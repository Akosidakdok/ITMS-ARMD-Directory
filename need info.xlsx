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13ffdf6c2fb86416/Documents/PARIS FILES/Z. OTHERS/TASK FOR OJT/"/>
    </mc:Choice>
  </mc:AlternateContent>
  <xr:revisionPtr revIDLastSave="94" documentId="8_{EE225C3B-C363-484E-99BA-6B8661F701CC}" xr6:coauthVersionLast="47" xr6:coauthVersionMax="47" xr10:uidLastSave="{19612536-CACC-4B72-8D84-9EB3B794A344}"/>
  <bookViews>
    <workbookView xWindow="-120" yWindow="-120" windowWidth="29040" windowHeight="15720" xr2:uid="{00000000-000D-0000-FFFF-FFFF00000000}"/>
  </bookViews>
  <sheets>
    <sheet name="Station List" sheetId="3" r:id="rId1"/>
    <sheet name="Sheet2" sheetId="15" r:id="rId2"/>
    <sheet name="Sheet1" sheetId="6" state="hidden" r:id="rId3"/>
    <sheet name="Rank Profile" sheetId="7" state="hidden" r:id="rId4"/>
    <sheet name="EXTRA (2)" sheetId="8" state="hidden" r:id="rId5"/>
    <sheet name="CHECKING" sheetId="9" state="hidden" r:id="rId6"/>
    <sheet name="tablecontent (3)" sheetId="14" state="hidden" r:id="rId7"/>
  </sheets>
  <definedNames>
    <definedName name="_xlnm._FilterDatabase" localSheetId="5" hidden="1">CHECKING!$A$2:$X$579</definedName>
    <definedName name="_xlnm._FilterDatabase" localSheetId="4" hidden="1">'EXTRA (2)'!$A$1:$AF$657</definedName>
    <definedName name="_xlnm._FilterDatabase" localSheetId="2" hidden="1">Sheet1!$I$1:$I$100</definedName>
    <definedName name="_xlnm._FilterDatabase" localSheetId="0" hidden="1">'Station List'!$A$1:$X$633</definedName>
    <definedName name="_xlnm.Print_Area" localSheetId="0">'Station List'!$A$1:$K$640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0" roundtripDataChecksum="I8/PAmdMS9cUGlkJtiIjerDaBa8txVQ/UplqMK+O36A="/>
    </ext>
  </extLst>
</workbook>
</file>

<file path=xl/calcChain.xml><?xml version="1.0" encoding="utf-8"?>
<calcChain xmlns="http://schemas.openxmlformats.org/spreadsheetml/2006/main">
  <c r="P579" i="9" l="1"/>
  <c r="L579" i="9"/>
  <c r="X579" i="9" s="1"/>
  <c r="K579" i="9"/>
  <c r="P578" i="9"/>
  <c r="L578" i="9"/>
  <c r="X578" i="9" s="1"/>
  <c r="K578" i="9"/>
  <c r="I578" i="9"/>
  <c r="W579" i="9" s="1"/>
  <c r="H578" i="9"/>
  <c r="F578" i="9"/>
  <c r="E578" i="9"/>
  <c r="D578" i="9"/>
  <c r="C578" i="9"/>
  <c r="P577" i="9"/>
  <c r="L577" i="9"/>
  <c r="X577" i="9" s="1"/>
  <c r="K577" i="9"/>
  <c r="I577" i="9"/>
  <c r="W578" i="9" s="1"/>
  <c r="H577" i="9"/>
  <c r="F577" i="9"/>
  <c r="E577" i="9"/>
  <c r="D577" i="9"/>
  <c r="C577" i="9"/>
  <c r="P576" i="9"/>
  <c r="L576" i="9"/>
  <c r="X576" i="9" s="1"/>
  <c r="K576" i="9"/>
  <c r="I576" i="9"/>
  <c r="W577" i="9" s="1"/>
  <c r="H576" i="9"/>
  <c r="F576" i="9"/>
  <c r="E576" i="9"/>
  <c r="D576" i="9"/>
  <c r="C576" i="9"/>
  <c r="P575" i="9"/>
  <c r="L575" i="9"/>
  <c r="X575" i="9" s="1"/>
  <c r="K575" i="9"/>
  <c r="I575" i="9"/>
  <c r="W576" i="9" s="1"/>
  <c r="H575" i="9"/>
  <c r="F575" i="9"/>
  <c r="E575" i="9"/>
  <c r="D575" i="9"/>
  <c r="C575" i="9"/>
  <c r="P574" i="9"/>
  <c r="L574" i="9"/>
  <c r="X574" i="9" s="1"/>
  <c r="K574" i="9"/>
  <c r="I574" i="9"/>
  <c r="W575" i="9" s="1"/>
  <c r="H574" i="9"/>
  <c r="F574" i="9"/>
  <c r="E574" i="9"/>
  <c r="D574" i="9"/>
  <c r="C574" i="9"/>
  <c r="P573" i="9"/>
  <c r="L573" i="9"/>
  <c r="X573" i="9" s="1"/>
  <c r="K573" i="9"/>
  <c r="I573" i="9"/>
  <c r="W574" i="9" s="1"/>
  <c r="H573" i="9"/>
  <c r="F573" i="9"/>
  <c r="E573" i="9"/>
  <c r="D573" i="9"/>
  <c r="C573" i="9"/>
  <c r="P572" i="9"/>
  <c r="L572" i="9"/>
  <c r="X572" i="9" s="1"/>
  <c r="K572" i="9"/>
  <c r="I572" i="9"/>
  <c r="W573" i="9" s="1"/>
  <c r="H572" i="9"/>
  <c r="F572" i="9"/>
  <c r="E572" i="9"/>
  <c r="D572" i="9"/>
  <c r="C572" i="9"/>
  <c r="P571" i="9"/>
  <c r="L571" i="9"/>
  <c r="X571" i="9" s="1"/>
  <c r="K571" i="9"/>
  <c r="I571" i="9"/>
  <c r="W572" i="9" s="1"/>
  <c r="H571" i="9"/>
  <c r="F571" i="9"/>
  <c r="E571" i="9"/>
  <c r="D571" i="9"/>
  <c r="C571" i="9"/>
  <c r="P570" i="9"/>
  <c r="L570" i="9"/>
  <c r="X570" i="9" s="1"/>
  <c r="K570" i="9"/>
  <c r="I570" i="9"/>
  <c r="W571" i="9" s="1"/>
  <c r="H570" i="9"/>
  <c r="F570" i="9"/>
  <c r="E570" i="9"/>
  <c r="D570" i="9"/>
  <c r="C570" i="9"/>
  <c r="P569" i="9"/>
  <c r="L569" i="9"/>
  <c r="X569" i="9" s="1"/>
  <c r="K569" i="9"/>
  <c r="I569" i="9"/>
  <c r="W570" i="9" s="1"/>
  <c r="H569" i="9"/>
  <c r="F569" i="9"/>
  <c r="E569" i="9"/>
  <c r="D569" i="9"/>
  <c r="C569" i="9"/>
  <c r="P568" i="9"/>
  <c r="L568" i="9"/>
  <c r="X568" i="9" s="1"/>
  <c r="K568" i="9"/>
  <c r="I568" i="9"/>
  <c r="W569" i="9" s="1"/>
  <c r="H568" i="9"/>
  <c r="F568" i="9"/>
  <c r="E568" i="9"/>
  <c r="D568" i="9"/>
  <c r="C568" i="9"/>
  <c r="P567" i="9"/>
  <c r="L567" i="9"/>
  <c r="X567" i="9" s="1"/>
  <c r="K567" i="9"/>
  <c r="I567" i="9"/>
  <c r="W568" i="9" s="1"/>
  <c r="H567" i="9"/>
  <c r="F567" i="9"/>
  <c r="E567" i="9"/>
  <c r="D567" i="9"/>
  <c r="C567" i="9"/>
  <c r="P566" i="9"/>
  <c r="L566" i="9"/>
  <c r="X566" i="9" s="1"/>
  <c r="K566" i="9"/>
  <c r="I566" i="9"/>
  <c r="W567" i="9" s="1"/>
  <c r="H566" i="9"/>
  <c r="F566" i="9"/>
  <c r="E566" i="9"/>
  <c r="D566" i="9"/>
  <c r="C566" i="9"/>
  <c r="P565" i="9"/>
  <c r="L565" i="9"/>
  <c r="X565" i="9" s="1"/>
  <c r="K565" i="9"/>
  <c r="I565" i="9"/>
  <c r="W566" i="9" s="1"/>
  <c r="H565" i="9"/>
  <c r="F565" i="9"/>
  <c r="E565" i="9"/>
  <c r="D565" i="9"/>
  <c r="C565" i="9"/>
  <c r="W564" i="9"/>
  <c r="P564" i="9"/>
  <c r="L564" i="9"/>
  <c r="X564" i="9" s="1"/>
  <c r="K564" i="9"/>
  <c r="I564" i="9"/>
  <c r="W565" i="9" s="1"/>
  <c r="H564" i="9"/>
  <c r="F564" i="9"/>
  <c r="E564" i="9"/>
  <c r="D564" i="9"/>
  <c r="C564" i="9"/>
  <c r="P563" i="9"/>
  <c r="L563" i="9"/>
  <c r="X563" i="9" s="1"/>
  <c r="K563" i="9"/>
  <c r="I563" i="9"/>
  <c r="H563" i="9"/>
  <c r="F563" i="9"/>
  <c r="E563" i="9"/>
  <c r="D563" i="9"/>
  <c r="C563" i="9"/>
  <c r="P562" i="9"/>
  <c r="L562" i="9"/>
  <c r="X562" i="9" s="1"/>
  <c r="K562" i="9"/>
  <c r="I562" i="9"/>
  <c r="W563" i="9" s="1"/>
  <c r="H562" i="9"/>
  <c r="F562" i="9"/>
  <c r="E562" i="9"/>
  <c r="D562" i="9"/>
  <c r="C562" i="9"/>
  <c r="P561" i="9"/>
  <c r="L561" i="9"/>
  <c r="X561" i="9" s="1"/>
  <c r="K561" i="9"/>
  <c r="I561" i="9"/>
  <c r="W562" i="9" s="1"/>
  <c r="H561" i="9"/>
  <c r="F561" i="9"/>
  <c r="E561" i="9"/>
  <c r="D561" i="9"/>
  <c r="C561" i="9"/>
  <c r="P560" i="9"/>
  <c r="L560" i="9"/>
  <c r="X560" i="9" s="1"/>
  <c r="K560" i="9"/>
  <c r="I560" i="9"/>
  <c r="W561" i="9" s="1"/>
  <c r="H560" i="9"/>
  <c r="F560" i="9"/>
  <c r="E560" i="9"/>
  <c r="D560" i="9"/>
  <c r="C560" i="9"/>
  <c r="P559" i="9"/>
  <c r="L559" i="9"/>
  <c r="X559" i="9" s="1"/>
  <c r="K559" i="9"/>
  <c r="I559" i="9"/>
  <c r="W560" i="9" s="1"/>
  <c r="H559" i="9"/>
  <c r="F559" i="9"/>
  <c r="E559" i="9"/>
  <c r="D559" i="9"/>
  <c r="C559" i="9"/>
  <c r="P558" i="9"/>
  <c r="L558" i="9"/>
  <c r="X558" i="9" s="1"/>
  <c r="K558" i="9"/>
  <c r="I558" i="9"/>
  <c r="W559" i="9" s="1"/>
  <c r="H558" i="9"/>
  <c r="F558" i="9"/>
  <c r="E558" i="9"/>
  <c r="D558" i="9"/>
  <c r="C558" i="9"/>
  <c r="P557" i="9"/>
  <c r="L557" i="9"/>
  <c r="X557" i="9" s="1"/>
  <c r="K557" i="9"/>
  <c r="I557" i="9"/>
  <c r="W558" i="9" s="1"/>
  <c r="H557" i="9"/>
  <c r="F557" i="9"/>
  <c r="E557" i="9"/>
  <c r="D557" i="9"/>
  <c r="C557" i="9"/>
  <c r="P556" i="9"/>
  <c r="L556" i="9"/>
  <c r="X556" i="9" s="1"/>
  <c r="K556" i="9"/>
  <c r="I556" i="9"/>
  <c r="W557" i="9" s="1"/>
  <c r="H556" i="9"/>
  <c r="F556" i="9"/>
  <c r="E556" i="9"/>
  <c r="D556" i="9"/>
  <c r="C556" i="9"/>
  <c r="P555" i="9"/>
  <c r="L555" i="9"/>
  <c r="X555" i="9" s="1"/>
  <c r="K555" i="9"/>
  <c r="I555" i="9"/>
  <c r="W556" i="9" s="1"/>
  <c r="H555" i="9"/>
  <c r="F555" i="9"/>
  <c r="E555" i="9"/>
  <c r="D555" i="9"/>
  <c r="C555" i="9"/>
  <c r="P554" i="9"/>
  <c r="L554" i="9"/>
  <c r="X554" i="9" s="1"/>
  <c r="K554" i="9"/>
  <c r="I554" i="9"/>
  <c r="W555" i="9" s="1"/>
  <c r="H554" i="9"/>
  <c r="F554" i="9"/>
  <c r="E554" i="9"/>
  <c r="D554" i="9"/>
  <c r="C554" i="9"/>
  <c r="P553" i="9"/>
  <c r="L553" i="9"/>
  <c r="X553" i="9" s="1"/>
  <c r="K553" i="9"/>
  <c r="I553" i="9"/>
  <c r="W554" i="9" s="1"/>
  <c r="H553" i="9"/>
  <c r="F553" i="9"/>
  <c r="E553" i="9"/>
  <c r="D553" i="9"/>
  <c r="C553" i="9"/>
  <c r="P552" i="9"/>
  <c r="L552" i="9"/>
  <c r="X552" i="9" s="1"/>
  <c r="K552" i="9"/>
  <c r="I552" i="9"/>
  <c r="W553" i="9" s="1"/>
  <c r="H552" i="9"/>
  <c r="F552" i="9"/>
  <c r="E552" i="9"/>
  <c r="D552" i="9"/>
  <c r="C552" i="9"/>
  <c r="P551" i="9"/>
  <c r="L551" i="9"/>
  <c r="X551" i="9" s="1"/>
  <c r="K551" i="9"/>
  <c r="I551" i="9"/>
  <c r="W552" i="9" s="1"/>
  <c r="H551" i="9"/>
  <c r="F551" i="9"/>
  <c r="E551" i="9"/>
  <c r="D551" i="9"/>
  <c r="C551" i="9"/>
  <c r="P550" i="9"/>
  <c r="L550" i="9"/>
  <c r="X550" i="9" s="1"/>
  <c r="K550" i="9"/>
  <c r="I550" i="9"/>
  <c r="W551" i="9" s="1"/>
  <c r="H550" i="9"/>
  <c r="F550" i="9"/>
  <c r="E550" i="9"/>
  <c r="D550" i="9"/>
  <c r="C550" i="9"/>
  <c r="P549" i="9"/>
  <c r="L549" i="9"/>
  <c r="X549" i="9" s="1"/>
  <c r="K549" i="9"/>
  <c r="I549" i="9"/>
  <c r="W550" i="9" s="1"/>
  <c r="H549" i="9"/>
  <c r="F549" i="9"/>
  <c r="E549" i="9"/>
  <c r="D549" i="9"/>
  <c r="C549" i="9"/>
  <c r="P548" i="9"/>
  <c r="L548" i="9"/>
  <c r="X548" i="9" s="1"/>
  <c r="K548" i="9"/>
  <c r="I548" i="9"/>
  <c r="W549" i="9" s="1"/>
  <c r="H548" i="9"/>
  <c r="F548" i="9"/>
  <c r="E548" i="9"/>
  <c r="D548" i="9"/>
  <c r="C548" i="9"/>
  <c r="P547" i="9"/>
  <c r="L547" i="9"/>
  <c r="X547" i="9" s="1"/>
  <c r="K547" i="9"/>
  <c r="I547" i="9"/>
  <c r="W548" i="9" s="1"/>
  <c r="H547" i="9"/>
  <c r="F547" i="9"/>
  <c r="E547" i="9"/>
  <c r="D547" i="9"/>
  <c r="C547" i="9"/>
  <c r="P546" i="9"/>
  <c r="L546" i="9"/>
  <c r="X546" i="9" s="1"/>
  <c r="K546" i="9"/>
  <c r="I546" i="9"/>
  <c r="W547" i="9" s="1"/>
  <c r="H546" i="9"/>
  <c r="F546" i="9"/>
  <c r="E546" i="9"/>
  <c r="D546" i="9"/>
  <c r="C546" i="9"/>
  <c r="P545" i="9"/>
  <c r="L545" i="9"/>
  <c r="X545" i="9" s="1"/>
  <c r="K545" i="9"/>
  <c r="I545" i="9"/>
  <c r="W546" i="9" s="1"/>
  <c r="H545" i="9"/>
  <c r="F545" i="9"/>
  <c r="E545" i="9"/>
  <c r="D545" i="9"/>
  <c r="C545" i="9"/>
  <c r="P544" i="9"/>
  <c r="L544" i="9"/>
  <c r="X544" i="9" s="1"/>
  <c r="K544" i="9"/>
  <c r="I544" i="9"/>
  <c r="W545" i="9" s="1"/>
  <c r="H544" i="9"/>
  <c r="F544" i="9"/>
  <c r="E544" i="9"/>
  <c r="D544" i="9"/>
  <c r="C544" i="9"/>
  <c r="P543" i="9"/>
  <c r="L543" i="9"/>
  <c r="X543" i="9" s="1"/>
  <c r="K543" i="9"/>
  <c r="I543" i="9"/>
  <c r="W544" i="9" s="1"/>
  <c r="H543" i="9"/>
  <c r="F543" i="9"/>
  <c r="E543" i="9"/>
  <c r="D543" i="9"/>
  <c r="C543" i="9"/>
  <c r="P542" i="9"/>
  <c r="L542" i="9"/>
  <c r="X542" i="9" s="1"/>
  <c r="K542" i="9"/>
  <c r="I542" i="9"/>
  <c r="W543" i="9" s="1"/>
  <c r="H542" i="9"/>
  <c r="F542" i="9"/>
  <c r="E542" i="9"/>
  <c r="D542" i="9"/>
  <c r="C542" i="9"/>
  <c r="P541" i="9"/>
  <c r="L541" i="9"/>
  <c r="X541" i="9" s="1"/>
  <c r="K541" i="9"/>
  <c r="I541" i="9"/>
  <c r="W542" i="9" s="1"/>
  <c r="H541" i="9"/>
  <c r="F541" i="9"/>
  <c r="E541" i="9"/>
  <c r="D541" i="9"/>
  <c r="C541" i="9"/>
  <c r="P540" i="9"/>
  <c r="L540" i="9"/>
  <c r="X540" i="9" s="1"/>
  <c r="K540" i="9"/>
  <c r="I540" i="9"/>
  <c r="W541" i="9" s="1"/>
  <c r="H540" i="9"/>
  <c r="F540" i="9"/>
  <c r="E540" i="9"/>
  <c r="D540" i="9"/>
  <c r="C540" i="9"/>
  <c r="P539" i="9"/>
  <c r="L539" i="9"/>
  <c r="X539" i="9" s="1"/>
  <c r="K539" i="9"/>
  <c r="I539" i="9"/>
  <c r="W540" i="9" s="1"/>
  <c r="H539" i="9"/>
  <c r="F539" i="9"/>
  <c r="E539" i="9"/>
  <c r="D539" i="9"/>
  <c r="C539" i="9"/>
  <c r="P538" i="9"/>
  <c r="L538" i="9"/>
  <c r="X538" i="9" s="1"/>
  <c r="K538" i="9"/>
  <c r="I538" i="9"/>
  <c r="W539" i="9" s="1"/>
  <c r="H538" i="9"/>
  <c r="F538" i="9"/>
  <c r="E538" i="9"/>
  <c r="D538" i="9"/>
  <c r="C538" i="9"/>
  <c r="P537" i="9"/>
  <c r="L537" i="9"/>
  <c r="X537" i="9" s="1"/>
  <c r="K537" i="9"/>
  <c r="I537" i="9"/>
  <c r="W538" i="9" s="1"/>
  <c r="H537" i="9"/>
  <c r="F537" i="9"/>
  <c r="E537" i="9"/>
  <c r="D537" i="9"/>
  <c r="C537" i="9"/>
  <c r="P536" i="9"/>
  <c r="L536" i="9"/>
  <c r="X536" i="9" s="1"/>
  <c r="K536" i="9"/>
  <c r="I536" i="9"/>
  <c r="W537" i="9" s="1"/>
  <c r="H536" i="9"/>
  <c r="F536" i="9"/>
  <c r="E536" i="9"/>
  <c r="D536" i="9"/>
  <c r="C536" i="9"/>
  <c r="P535" i="9"/>
  <c r="L535" i="9"/>
  <c r="X535" i="9" s="1"/>
  <c r="K535" i="9"/>
  <c r="I535" i="9"/>
  <c r="W536" i="9" s="1"/>
  <c r="H535" i="9"/>
  <c r="F535" i="9"/>
  <c r="E535" i="9"/>
  <c r="D535" i="9"/>
  <c r="C535" i="9"/>
  <c r="P534" i="9"/>
  <c r="L534" i="9"/>
  <c r="X534" i="9" s="1"/>
  <c r="K534" i="9"/>
  <c r="I534" i="9"/>
  <c r="W535" i="9" s="1"/>
  <c r="H534" i="9"/>
  <c r="F534" i="9"/>
  <c r="E534" i="9"/>
  <c r="D534" i="9"/>
  <c r="C534" i="9"/>
  <c r="P533" i="9"/>
  <c r="L533" i="9"/>
  <c r="X533" i="9" s="1"/>
  <c r="K533" i="9"/>
  <c r="I533" i="9"/>
  <c r="W534" i="9" s="1"/>
  <c r="H533" i="9"/>
  <c r="F533" i="9"/>
  <c r="E533" i="9"/>
  <c r="D533" i="9"/>
  <c r="C533" i="9"/>
  <c r="P532" i="9"/>
  <c r="L532" i="9"/>
  <c r="X532" i="9" s="1"/>
  <c r="K532" i="9"/>
  <c r="I532" i="9"/>
  <c r="W533" i="9" s="1"/>
  <c r="H532" i="9"/>
  <c r="F532" i="9"/>
  <c r="E532" i="9"/>
  <c r="D532" i="9"/>
  <c r="C532" i="9"/>
  <c r="P531" i="9"/>
  <c r="L531" i="9"/>
  <c r="X531" i="9" s="1"/>
  <c r="K531" i="9"/>
  <c r="I531" i="9"/>
  <c r="W532" i="9" s="1"/>
  <c r="H531" i="9"/>
  <c r="F531" i="9"/>
  <c r="E531" i="9"/>
  <c r="D531" i="9"/>
  <c r="C531" i="9"/>
  <c r="P530" i="9"/>
  <c r="L530" i="9"/>
  <c r="X530" i="9" s="1"/>
  <c r="K530" i="9"/>
  <c r="I530" i="9"/>
  <c r="W531" i="9" s="1"/>
  <c r="H530" i="9"/>
  <c r="F530" i="9"/>
  <c r="E530" i="9"/>
  <c r="D530" i="9"/>
  <c r="C530" i="9"/>
  <c r="P529" i="9"/>
  <c r="L529" i="9"/>
  <c r="X529" i="9" s="1"/>
  <c r="K529" i="9"/>
  <c r="I529" i="9"/>
  <c r="W530" i="9" s="1"/>
  <c r="H529" i="9"/>
  <c r="F529" i="9"/>
  <c r="E529" i="9"/>
  <c r="D529" i="9"/>
  <c r="C529" i="9"/>
  <c r="P528" i="9"/>
  <c r="L528" i="9"/>
  <c r="X528" i="9" s="1"/>
  <c r="K528" i="9"/>
  <c r="I528" i="9"/>
  <c r="W529" i="9" s="1"/>
  <c r="H528" i="9"/>
  <c r="F528" i="9"/>
  <c r="E528" i="9"/>
  <c r="D528" i="9"/>
  <c r="C528" i="9"/>
  <c r="P527" i="9"/>
  <c r="L527" i="9"/>
  <c r="X527" i="9" s="1"/>
  <c r="K527" i="9"/>
  <c r="I527" i="9"/>
  <c r="W528" i="9" s="1"/>
  <c r="H527" i="9"/>
  <c r="F527" i="9"/>
  <c r="E527" i="9"/>
  <c r="D527" i="9"/>
  <c r="C527" i="9"/>
  <c r="P526" i="9"/>
  <c r="L526" i="9"/>
  <c r="X526" i="9" s="1"/>
  <c r="K526" i="9"/>
  <c r="I526" i="9"/>
  <c r="W527" i="9" s="1"/>
  <c r="H526" i="9"/>
  <c r="F526" i="9"/>
  <c r="E526" i="9"/>
  <c r="D526" i="9"/>
  <c r="C526" i="9"/>
  <c r="P525" i="9"/>
  <c r="L525" i="9"/>
  <c r="X525" i="9" s="1"/>
  <c r="K525" i="9"/>
  <c r="I525" i="9"/>
  <c r="W526" i="9" s="1"/>
  <c r="H525" i="9"/>
  <c r="F525" i="9"/>
  <c r="E525" i="9"/>
  <c r="D525" i="9"/>
  <c r="C525" i="9"/>
  <c r="P524" i="9"/>
  <c r="L524" i="9"/>
  <c r="X524" i="9" s="1"/>
  <c r="K524" i="9"/>
  <c r="I524" i="9"/>
  <c r="W525" i="9" s="1"/>
  <c r="H524" i="9"/>
  <c r="F524" i="9"/>
  <c r="E524" i="9"/>
  <c r="D524" i="9"/>
  <c r="C524" i="9"/>
  <c r="P523" i="9"/>
  <c r="L523" i="9"/>
  <c r="X523" i="9" s="1"/>
  <c r="K523" i="9"/>
  <c r="I523" i="9"/>
  <c r="W524" i="9" s="1"/>
  <c r="H523" i="9"/>
  <c r="F523" i="9"/>
  <c r="E523" i="9"/>
  <c r="D523" i="9"/>
  <c r="C523" i="9"/>
  <c r="P522" i="9"/>
  <c r="L522" i="9"/>
  <c r="X522" i="9" s="1"/>
  <c r="K522" i="9"/>
  <c r="I522" i="9"/>
  <c r="W523" i="9" s="1"/>
  <c r="H522" i="9"/>
  <c r="F522" i="9"/>
  <c r="E522" i="9"/>
  <c r="D522" i="9"/>
  <c r="C522" i="9"/>
  <c r="P521" i="9"/>
  <c r="L521" i="9"/>
  <c r="X521" i="9" s="1"/>
  <c r="K521" i="9"/>
  <c r="I521" i="9"/>
  <c r="W522" i="9" s="1"/>
  <c r="H521" i="9"/>
  <c r="F521" i="9"/>
  <c r="E521" i="9"/>
  <c r="D521" i="9"/>
  <c r="C521" i="9"/>
  <c r="P520" i="9"/>
  <c r="L520" i="9"/>
  <c r="X520" i="9" s="1"/>
  <c r="K520" i="9"/>
  <c r="I520" i="9"/>
  <c r="W521" i="9" s="1"/>
  <c r="H520" i="9"/>
  <c r="F520" i="9"/>
  <c r="E520" i="9"/>
  <c r="D520" i="9"/>
  <c r="C520" i="9"/>
  <c r="P519" i="9"/>
  <c r="L519" i="9"/>
  <c r="X519" i="9" s="1"/>
  <c r="K519" i="9"/>
  <c r="I519" i="9"/>
  <c r="W520" i="9" s="1"/>
  <c r="H519" i="9"/>
  <c r="F519" i="9"/>
  <c r="E519" i="9"/>
  <c r="D519" i="9"/>
  <c r="C519" i="9"/>
  <c r="P518" i="9"/>
  <c r="L518" i="9"/>
  <c r="X518" i="9" s="1"/>
  <c r="K518" i="9"/>
  <c r="I518" i="9"/>
  <c r="W519" i="9" s="1"/>
  <c r="H518" i="9"/>
  <c r="F518" i="9"/>
  <c r="E518" i="9"/>
  <c r="D518" i="9"/>
  <c r="C518" i="9"/>
  <c r="P517" i="9"/>
  <c r="L517" i="9"/>
  <c r="X517" i="9" s="1"/>
  <c r="K517" i="9"/>
  <c r="I517" i="9"/>
  <c r="W518" i="9" s="1"/>
  <c r="H517" i="9"/>
  <c r="F517" i="9"/>
  <c r="E517" i="9"/>
  <c r="D517" i="9"/>
  <c r="C517" i="9"/>
  <c r="P516" i="9"/>
  <c r="L516" i="9"/>
  <c r="X516" i="9" s="1"/>
  <c r="K516" i="9"/>
  <c r="I516" i="9"/>
  <c r="W517" i="9" s="1"/>
  <c r="H516" i="9"/>
  <c r="F516" i="9"/>
  <c r="E516" i="9"/>
  <c r="D516" i="9"/>
  <c r="C516" i="9"/>
  <c r="P515" i="9"/>
  <c r="L515" i="9"/>
  <c r="X515" i="9" s="1"/>
  <c r="K515" i="9"/>
  <c r="I515" i="9"/>
  <c r="W516" i="9" s="1"/>
  <c r="H515" i="9"/>
  <c r="F515" i="9"/>
  <c r="E515" i="9"/>
  <c r="D515" i="9"/>
  <c r="C515" i="9"/>
  <c r="P514" i="9"/>
  <c r="L514" i="9"/>
  <c r="X514" i="9" s="1"/>
  <c r="K514" i="9"/>
  <c r="I514" i="9"/>
  <c r="W515" i="9" s="1"/>
  <c r="H514" i="9"/>
  <c r="F514" i="9"/>
  <c r="E514" i="9"/>
  <c r="D514" i="9"/>
  <c r="C514" i="9"/>
  <c r="P513" i="9"/>
  <c r="L513" i="9"/>
  <c r="X513" i="9" s="1"/>
  <c r="K513" i="9"/>
  <c r="I513" i="9"/>
  <c r="W514" i="9" s="1"/>
  <c r="H513" i="9"/>
  <c r="F513" i="9"/>
  <c r="E513" i="9"/>
  <c r="D513" i="9"/>
  <c r="C513" i="9"/>
  <c r="P512" i="9"/>
  <c r="L512" i="9"/>
  <c r="X512" i="9" s="1"/>
  <c r="K512" i="9"/>
  <c r="I512" i="9"/>
  <c r="W513" i="9" s="1"/>
  <c r="H512" i="9"/>
  <c r="F512" i="9"/>
  <c r="E512" i="9"/>
  <c r="D512" i="9"/>
  <c r="C512" i="9"/>
  <c r="P511" i="9"/>
  <c r="L511" i="9"/>
  <c r="X511" i="9" s="1"/>
  <c r="K511" i="9"/>
  <c r="I511" i="9"/>
  <c r="W512" i="9" s="1"/>
  <c r="H511" i="9"/>
  <c r="F511" i="9"/>
  <c r="E511" i="9"/>
  <c r="D511" i="9"/>
  <c r="C511" i="9"/>
  <c r="P510" i="9"/>
  <c r="L510" i="9"/>
  <c r="X510" i="9" s="1"/>
  <c r="K510" i="9"/>
  <c r="I510" i="9"/>
  <c r="W511" i="9" s="1"/>
  <c r="H510" i="9"/>
  <c r="F510" i="9"/>
  <c r="E510" i="9"/>
  <c r="D510" i="9"/>
  <c r="C510" i="9"/>
  <c r="P509" i="9"/>
  <c r="L509" i="9"/>
  <c r="X509" i="9" s="1"/>
  <c r="K509" i="9"/>
  <c r="I509" i="9"/>
  <c r="W510" i="9" s="1"/>
  <c r="H509" i="9"/>
  <c r="F509" i="9"/>
  <c r="E509" i="9"/>
  <c r="D509" i="9"/>
  <c r="C509" i="9"/>
  <c r="P508" i="9"/>
  <c r="L508" i="9"/>
  <c r="X508" i="9" s="1"/>
  <c r="K508" i="9"/>
  <c r="I508" i="9"/>
  <c r="W509" i="9" s="1"/>
  <c r="H508" i="9"/>
  <c r="F508" i="9"/>
  <c r="E508" i="9"/>
  <c r="D508" i="9"/>
  <c r="C508" i="9"/>
  <c r="P507" i="9"/>
  <c r="L507" i="9"/>
  <c r="X507" i="9" s="1"/>
  <c r="K507" i="9"/>
  <c r="I507" i="9"/>
  <c r="W508" i="9" s="1"/>
  <c r="H507" i="9"/>
  <c r="F507" i="9"/>
  <c r="E507" i="9"/>
  <c r="D507" i="9"/>
  <c r="C507" i="9"/>
  <c r="P506" i="9"/>
  <c r="L506" i="9"/>
  <c r="X506" i="9" s="1"/>
  <c r="K506" i="9"/>
  <c r="I506" i="9"/>
  <c r="W507" i="9" s="1"/>
  <c r="H506" i="9"/>
  <c r="F506" i="9"/>
  <c r="E506" i="9"/>
  <c r="D506" i="9"/>
  <c r="C506" i="9"/>
  <c r="P505" i="9"/>
  <c r="L505" i="9"/>
  <c r="X505" i="9" s="1"/>
  <c r="K505" i="9"/>
  <c r="I505" i="9"/>
  <c r="W506" i="9" s="1"/>
  <c r="H505" i="9"/>
  <c r="F505" i="9"/>
  <c r="E505" i="9"/>
  <c r="D505" i="9"/>
  <c r="C505" i="9"/>
  <c r="P504" i="9"/>
  <c r="L504" i="9"/>
  <c r="X504" i="9" s="1"/>
  <c r="K504" i="9"/>
  <c r="I504" i="9"/>
  <c r="W505" i="9" s="1"/>
  <c r="H504" i="9"/>
  <c r="F504" i="9"/>
  <c r="E504" i="9"/>
  <c r="D504" i="9"/>
  <c r="C504" i="9"/>
  <c r="P503" i="9"/>
  <c r="L503" i="9"/>
  <c r="X503" i="9" s="1"/>
  <c r="K503" i="9"/>
  <c r="I503" i="9"/>
  <c r="W504" i="9" s="1"/>
  <c r="H503" i="9"/>
  <c r="F503" i="9"/>
  <c r="E503" i="9"/>
  <c r="D503" i="9"/>
  <c r="C503" i="9"/>
  <c r="P502" i="9"/>
  <c r="L502" i="9"/>
  <c r="X502" i="9" s="1"/>
  <c r="K502" i="9"/>
  <c r="I502" i="9"/>
  <c r="W503" i="9" s="1"/>
  <c r="H502" i="9"/>
  <c r="F502" i="9"/>
  <c r="E502" i="9"/>
  <c r="D502" i="9"/>
  <c r="C502" i="9"/>
  <c r="P501" i="9"/>
  <c r="L501" i="9"/>
  <c r="X501" i="9" s="1"/>
  <c r="K501" i="9"/>
  <c r="I501" i="9"/>
  <c r="W502" i="9" s="1"/>
  <c r="H501" i="9"/>
  <c r="F501" i="9"/>
  <c r="E501" i="9"/>
  <c r="D501" i="9"/>
  <c r="C501" i="9"/>
  <c r="P500" i="9"/>
  <c r="L500" i="9"/>
  <c r="X500" i="9" s="1"/>
  <c r="K500" i="9"/>
  <c r="I500" i="9"/>
  <c r="W501" i="9" s="1"/>
  <c r="H500" i="9"/>
  <c r="F500" i="9"/>
  <c r="E500" i="9"/>
  <c r="D500" i="9"/>
  <c r="C500" i="9"/>
  <c r="P499" i="9"/>
  <c r="L499" i="9"/>
  <c r="X499" i="9" s="1"/>
  <c r="K499" i="9"/>
  <c r="I499" i="9"/>
  <c r="W500" i="9" s="1"/>
  <c r="H499" i="9"/>
  <c r="F499" i="9"/>
  <c r="E499" i="9"/>
  <c r="D499" i="9"/>
  <c r="C499" i="9"/>
  <c r="P498" i="9"/>
  <c r="L498" i="9"/>
  <c r="X498" i="9" s="1"/>
  <c r="K498" i="9"/>
  <c r="I498" i="9"/>
  <c r="W499" i="9" s="1"/>
  <c r="H498" i="9"/>
  <c r="F498" i="9"/>
  <c r="E498" i="9"/>
  <c r="D498" i="9"/>
  <c r="C498" i="9"/>
  <c r="P497" i="9"/>
  <c r="L497" i="9"/>
  <c r="X497" i="9" s="1"/>
  <c r="K497" i="9"/>
  <c r="I497" i="9"/>
  <c r="W498" i="9" s="1"/>
  <c r="H497" i="9"/>
  <c r="F497" i="9"/>
  <c r="E497" i="9"/>
  <c r="D497" i="9"/>
  <c r="C497" i="9"/>
  <c r="P496" i="9"/>
  <c r="L496" i="9"/>
  <c r="X496" i="9" s="1"/>
  <c r="K496" i="9"/>
  <c r="I496" i="9"/>
  <c r="W497" i="9" s="1"/>
  <c r="H496" i="9"/>
  <c r="F496" i="9"/>
  <c r="E496" i="9"/>
  <c r="D496" i="9"/>
  <c r="C496" i="9"/>
  <c r="P495" i="9"/>
  <c r="L495" i="9"/>
  <c r="X495" i="9" s="1"/>
  <c r="K495" i="9"/>
  <c r="I495" i="9"/>
  <c r="W496" i="9" s="1"/>
  <c r="H495" i="9"/>
  <c r="F495" i="9"/>
  <c r="E495" i="9"/>
  <c r="D495" i="9"/>
  <c r="C495" i="9"/>
  <c r="P494" i="9"/>
  <c r="L494" i="9"/>
  <c r="X494" i="9" s="1"/>
  <c r="K494" i="9"/>
  <c r="I494" i="9"/>
  <c r="W495" i="9" s="1"/>
  <c r="H494" i="9"/>
  <c r="F494" i="9"/>
  <c r="E494" i="9"/>
  <c r="D494" i="9"/>
  <c r="C494" i="9"/>
  <c r="P493" i="9"/>
  <c r="L493" i="9"/>
  <c r="X493" i="9" s="1"/>
  <c r="K493" i="9"/>
  <c r="I493" i="9"/>
  <c r="W494" i="9" s="1"/>
  <c r="H493" i="9"/>
  <c r="F493" i="9"/>
  <c r="E493" i="9"/>
  <c r="D493" i="9"/>
  <c r="C493" i="9"/>
  <c r="P492" i="9"/>
  <c r="L492" i="9"/>
  <c r="X492" i="9" s="1"/>
  <c r="K492" i="9"/>
  <c r="I492" i="9"/>
  <c r="W493" i="9" s="1"/>
  <c r="H492" i="9"/>
  <c r="F492" i="9"/>
  <c r="E492" i="9"/>
  <c r="D492" i="9"/>
  <c r="C492" i="9"/>
  <c r="P491" i="9"/>
  <c r="L491" i="9"/>
  <c r="X491" i="9" s="1"/>
  <c r="K491" i="9"/>
  <c r="I491" i="9"/>
  <c r="W492" i="9" s="1"/>
  <c r="H491" i="9"/>
  <c r="F491" i="9"/>
  <c r="E491" i="9"/>
  <c r="D491" i="9"/>
  <c r="C491" i="9"/>
  <c r="P490" i="9"/>
  <c r="L490" i="9"/>
  <c r="X490" i="9" s="1"/>
  <c r="K490" i="9"/>
  <c r="I490" i="9"/>
  <c r="W491" i="9" s="1"/>
  <c r="H490" i="9"/>
  <c r="F490" i="9"/>
  <c r="E490" i="9"/>
  <c r="D490" i="9"/>
  <c r="C490" i="9"/>
  <c r="P489" i="9"/>
  <c r="L489" i="9"/>
  <c r="X489" i="9" s="1"/>
  <c r="K489" i="9"/>
  <c r="I489" i="9"/>
  <c r="W490" i="9" s="1"/>
  <c r="H489" i="9"/>
  <c r="F489" i="9"/>
  <c r="E489" i="9"/>
  <c r="D489" i="9"/>
  <c r="C489" i="9"/>
  <c r="P488" i="9"/>
  <c r="L488" i="9"/>
  <c r="X488" i="9" s="1"/>
  <c r="K488" i="9"/>
  <c r="I488" i="9"/>
  <c r="W489" i="9" s="1"/>
  <c r="H488" i="9"/>
  <c r="F488" i="9"/>
  <c r="E488" i="9"/>
  <c r="D488" i="9"/>
  <c r="C488" i="9"/>
  <c r="P487" i="9"/>
  <c r="L487" i="9"/>
  <c r="X487" i="9" s="1"/>
  <c r="K487" i="9"/>
  <c r="I487" i="9"/>
  <c r="W488" i="9" s="1"/>
  <c r="H487" i="9"/>
  <c r="F487" i="9"/>
  <c r="E487" i="9"/>
  <c r="D487" i="9"/>
  <c r="C487" i="9"/>
  <c r="P486" i="9"/>
  <c r="L486" i="9"/>
  <c r="X486" i="9" s="1"/>
  <c r="K486" i="9"/>
  <c r="I486" i="9"/>
  <c r="W487" i="9" s="1"/>
  <c r="H486" i="9"/>
  <c r="F486" i="9"/>
  <c r="E486" i="9"/>
  <c r="D486" i="9"/>
  <c r="C486" i="9"/>
  <c r="P485" i="9"/>
  <c r="L485" i="9"/>
  <c r="X485" i="9" s="1"/>
  <c r="K485" i="9"/>
  <c r="I485" i="9"/>
  <c r="W486" i="9" s="1"/>
  <c r="H485" i="9"/>
  <c r="F485" i="9"/>
  <c r="E485" i="9"/>
  <c r="D485" i="9"/>
  <c r="C485" i="9"/>
  <c r="P484" i="9"/>
  <c r="L484" i="9"/>
  <c r="X484" i="9" s="1"/>
  <c r="K484" i="9"/>
  <c r="I484" i="9"/>
  <c r="W485" i="9" s="1"/>
  <c r="H484" i="9"/>
  <c r="F484" i="9"/>
  <c r="E484" i="9"/>
  <c r="D484" i="9"/>
  <c r="C484" i="9"/>
  <c r="P483" i="9"/>
  <c r="L483" i="9"/>
  <c r="X483" i="9" s="1"/>
  <c r="K483" i="9"/>
  <c r="I483" i="9"/>
  <c r="W484" i="9" s="1"/>
  <c r="H483" i="9"/>
  <c r="F483" i="9"/>
  <c r="E483" i="9"/>
  <c r="D483" i="9"/>
  <c r="C483" i="9"/>
  <c r="P482" i="9"/>
  <c r="L482" i="9"/>
  <c r="X482" i="9" s="1"/>
  <c r="K482" i="9"/>
  <c r="I482" i="9"/>
  <c r="W483" i="9" s="1"/>
  <c r="H482" i="9"/>
  <c r="F482" i="9"/>
  <c r="E482" i="9"/>
  <c r="D482" i="9"/>
  <c r="C482" i="9"/>
  <c r="P481" i="9"/>
  <c r="L481" i="9"/>
  <c r="X481" i="9" s="1"/>
  <c r="K481" i="9"/>
  <c r="I481" i="9"/>
  <c r="W482" i="9" s="1"/>
  <c r="H481" i="9"/>
  <c r="F481" i="9"/>
  <c r="E481" i="9"/>
  <c r="D481" i="9"/>
  <c r="C481" i="9"/>
  <c r="P480" i="9"/>
  <c r="L480" i="9"/>
  <c r="X480" i="9" s="1"/>
  <c r="K480" i="9"/>
  <c r="I480" i="9"/>
  <c r="W481" i="9" s="1"/>
  <c r="H480" i="9"/>
  <c r="F480" i="9"/>
  <c r="E480" i="9"/>
  <c r="D480" i="9"/>
  <c r="C480" i="9"/>
  <c r="P479" i="9"/>
  <c r="L479" i="9"/>
  <c r="X479" i="9" s="1"/>
  <c r="K479" i="9"/>
  <c r="I479" i="9"/>
  <c r="W480" i="9" s="1"/>
  <c r="H479" i="9"/>
  <c r="F479" i="9"/>
  <c r="E479" i="9"/>
  <c r="D479" i="9"/>
  <c r="C479" i="9"/>
  <c r="P478" i="9"/>
  <c r="L478" i="9"/>
  <c r="X478" i="9" s="1"/>
  <c r="K478" i="9"/>
  <c r="I478" i="9"/>
  <c r="W479" i="9" s="1"/>
  <c r="H478" i="9"/>
  <c r="F478" i="9"/>
  <c r="E478" i="9"/>
  <c r="D478" i="9"/>
  <c r="C478" i="9"/>
  <c r="P477" i="9"/>
  <c r="L477" i="9"/>
  <c r="X477" i="9" s="1"/>
  <c r="K477" i="9"/>
  <c r="I477" i="9"/>
  <c r="W478" i="9" s="1"/>
  <c r="H477" i="9"/>
  <c r="F477" i="9"/>
  <c r="E477" i="9"/>
  <c r="D477" i="9"/>
  <c r="C477" i="9"/>
  <c r="P476" i="9"/>
  <c r="L476" i="9"/>
  <c r="X476" i="9" s="1"/>
  <c r="K476" i="9"/>
  <c r="I476" i="9"/>
  <c r="W477" i="9" s="1"/>
  <c r="H476" i="9"/>
  <c r="F476" i="9"/>
  <c r="E476" i="9"/>
  <c r="D476" i="9"/>
  <c r="C476" i="9"/>
  <c r="P475" i="9"/>
  <c r="L475" i="9"/>
  <c r="X475" i="9" s="1"/>
  <c r="K475" i="9"/>
  <c r="I475" i="9"/>
  <c r="W476" i="9" s="1"/>
  <c r="H475" i="9"/>
  <c r="F475" i="9"/>
  <c r="E475" i="9"/>
  <c r="D475" i="9"/>
  <c r="C475" i="9"/>
  <c r="P474" i="9"/>
  <c r="L474" i="9"/>
  <c r="X474" i="9" s="1"/>
  <c r="K474" i="9"/>
  <c r="I474" i="9"/>
  <c r="W475" i="9" s="1"/>
  <c r="H474" i="9"/>
  <c r="F474" i="9"/>
  <c r="E474" i="9"/>
  <c r="D474" i="9"/>
  <c r="C474" i="9"/>
  <c r="P473" i="9"/>
  <c r="L473" i="9"/>
  <c r="X473" i="9" s="1"/>
  <c r="K473" i="9"/>
  <c r="I473" i="9"/>
  <c r="W474" i="9" s="1"/>
  <c r="H473" i="9"/>
  <c r="F473" i="9"/>
  <c r="E473" i="9"/>
  <c r="D473" i="9"/>
  <c r="C473" i="9"/>
  <c r="P472" i="9"/>
  <c r="L472" i="9"/>
  <c r="X472" i="9" s="1"/>
  <c r="K472" i="9"/>
  <c r="I472" i="9"/>
  <c r="W473" i="9" s="1"/>
  <c r="H472" i="9"/>
  <c r="F472" i="9"/>
  <c r="E472" i="9"/>
  <c r="D472" i="9"/>
  <c r="C472" i="9"/>
  <c r="P471" i="9"/>
  <c r="L471" i="9"/>
  <c r="X471" i="9" s="1"/>
  <c r="K471" i="9"/>
  <c r="I471" i="9"/>
  <c r="W472" i="9" s="1"/>
  <c r="H471" i="9"/>
  <c r="F471" i="9"/>
  <c r="E471" i="9"/>
  <c r="D471" i="9"/>
  <c r="C471" i="9"/>
  <c r="P470" i="9"/>
  <c r="L470" i="9"/>
  <c r="X470" i="9" s="1"/>
  <c r="K470" i="9"/>
  <c r="I470" i="9"/>
  <c r="W471" i="9" s="1"/>
  <c r="H470" i="9"/>
  <c r="F470" i="9"/>
  <c r="E470" i="9"/>
  <c r="D470" i="9"/>
  <c r="C470" i="9"/>
  <c r="P469" i="9"/>
  <c r="L469" i="9"/>
  <c r="X469" i="9" s="1"/>
  <c r="K469" i="9"/>
  <c r="I469" i="9"/>
  <c r="W470" i="9" s="1"/>
  <c r="H469" i="9"/>
  <c r="F469" i="9"/>
  <c r="E469" i="9"/>
  <c r="D469" i="9"/>
  <c r="C469" i="9"/>
  <c r="P468" i="9"/>
  <c r="L468" i="9"/>
  <c r="X468" i="9" s="1"/>
  <c r="K468" i="9"/>
  <c r="I468" i="9"/>
  <c r="W469" i="9" s="1"/>
  <c r="H468" i="9"/>
  <c r="F468" i="9"/>
  <c r="E468" i="9"/>
  <c r="D468" i="9"/>
  <c r="C468" i="9"/>
  <c r="P467" i="9"/>
  <c r="L467" i="9"/>
  <c r="X467" i="9" s="1"/>
  <c r="K467" i="9"/>
  <c r="I467" i="9"/>
  <c r="W468" i="9" s="1"/>
  <c r="H467" i="9"/>
  <c r="F467" i="9"/>
  <c r="E467" i="9"/>
  <c r="D467" i="9"/>
  <c r="C467" i="9"/>
  <c r="P466" i="9"/>
  <c r="L466" i="9"/>
  <c r="X466" i="9" s="1"/>
  <c r="K466" i="9"/>
  <c r="I466" i="9"/>
  <c r="W467" i="9" s="1"/>
  <c r="H466" i="9"/>
  <c r="F466" i="9"/>
  <c r="E466" i="9"/>
  <c r="D466" i="9"/>
  <c r="C466" i="9"/>
  <c r="P465" i="9"/>
  <c r="L465" i="9"/>
  <c r="X465" i="9" s="1"/>
  <c r="K465" i="9"/>
  <c r="I465" i="9"/>
  <c r="W466" i="9" s="1"/>
  <c r="H465" i="9"/>
  <c r="F465" i="9"/>
  <c r="E465" i="9"/>
  <c r="D465" i="9"/>
  <c r="C465" i="9"/>
  <c r="P464" i="9"/>
  <c r="L464" i="9"/>
  <c r="X464" i="9" s="1"/>
  <c r="K464" i="9"/>
  <c r="I464" i="9"/>
  <c r="W465" i="9" s="1"/>
  <c r="H464" i="9"/>
  <c r="F464" i="9"/>
  <c r="E464" i="9"/>
  <c r="D464" i="9"/>
  <c r="C464" i="9"/>
  <c r="P463" i="9"/>
  <c r="L463" i="9"/>
  <c r="X463" i="9" s="1"/>
  <c r="K463" i="9"/>
  <c r="I463" i="9"/>
  <c r="W464" i="9" s="1"/>
  <c r="H463" i="9"/>
  <c r="F463" i="9"/>
  <c r="E463" i="9"/>
  <c r="D463" i="9"/>
  <c r="C463" i="9"/>
  <c r="P462" i="9"/>
  <c r="L462" i="9"/>
  <c r="X462" i="9" s="1"/>
  <c r="K462" i="9"/>
  <c r="I462" i="9"/>
  <c r="W463" i="9" s="1"/>
  <c r="H462" i="9"/>
  <c r="F462" i="9"/>
  <c r="E462" i="9"/>
  <c r="D462" i="9"/>
  <c r="C462" i="9"/>
  <c r="P461" i="9"/>
  <c r="L461" i="9"/>
  <c r="X461" i="9" s="1"/>
  <c r="K461" i="9"/>
  <c r="I461" i="9"/>
  <c r="W462" i="9" s="1"/>
  <c r="H461" i="9"/>
  <c r="F461" i="9"/>
  <c r="E461" i="9"/>
  <c r="D461" i="9"/>
  <c r="C461" i="9"/>
  <c r="P460" i="9"/>
  <c r="L460" i="9"/>
  <c r="X460" i="9" s="1"/>
  <c r="K460" i="9"/>
  <c r="I460" i="9"/>
  <c r="W461" i="9" s="1"/>
  <c r="H460" i="9"/>
  <c r="F460" i="9"/>
  <c r="E460" i="9"/>
  <c r="D460" i="9"/>
  <c r="C460" i="9"/>
  <c r="P459" i="9"/>
  <c r="L459" i="9"/>
  <c r="X459" i="9" s="1"/>
  <c r="K459" i="9"/>
  <c r="I459" i="9"/>
  <c r="W460" i="9" s="1"/>
  <c r="H459" i="9"/>
  <c r="F459" i="9"/>
  <c r="E459" i="9"/>
  <c r="D459" i="9"/>
  <c r="C459" i="9"/>
  <c r="P458" i="9"/>
  <c r="L458" i="9"/>
  <c r="X458" i="9" s="1"/>
  <c r="K458" i="9"/>
  <c r="I458" i="9"/>
  <c r="W459" i="9" s="1"/>
  <c r="H458" i="9"/>
  <c r="F458" i="9"/>
  <c r="E458" i="9"/>
  <c r="D458" i="9"/>
  <c r="C458" i="9"/>
  <c r="P457" i="9"/>
  <c r="L457" i="9"/>
  <c r="X457" i="9" s="1"/>
  <c r="K457" i="9"/>
  <c r="I457" i="9"/>
  <c r="W458" i="9" s="1"/>
  <c r="H457" i="9"/>
  <c r="F457" i="9"/>
  <c r="E457" i="9"/>
  <c r="D457" i="9"/>
  <c r="C457" i="9"/>
  <c r="P456" i="9"/>
  <c r="L456" i="9"/>
  <c r="X456" i="9" s="1"/>
  <c r="K456" i="9"/>
  <c r="I456" i="9"/>
  <c r="W457" i="9" s="1"/>
  <c r="H456" i="9"/>
  <c r="F456" i="9"/>
  <c r="E456" i="9"/>
  <c r="D456" i="9"/>
  <c r="C456" i="9"/>
  <c r="P455" i="9"/>
  <c r="L455" i="9"/>
  <c r="X455" i="9" s="1"/>
  <c r="K455" i="9"/>
  <c r="I455" i="9"/>
  <c r="W456" i="9" s="1"/>
  <c r="H455" i="9"/>
  <c r="F455" i="9"/>
  <c r="E455" i="9"/>
  <c r="D455" i="9"/>
  <c r="C455" i="9"/>
  <c r="P454" i="9"/>
  <c r="L454" i="9"/>
  <c r="X454" i="9" s="1"/>
  <c r="K454" i="9"/>
  <c r="I454" i="9"/>
  <c r="W455" i="9" s="1"/>
  <c r="H454" i="9"/>
  <c r="F454" i="9"/>
  <c r="E454" i="9"/>
  <c r="D454" i="9"/>
  <c r="C454" i="9"/>
  <c r="P453" i="9"/>
  <c r="L453" i="9"/>
  <c r="X453" i="9" s="1"/>
  <c r="K453" i="9"/>
  <c r="I453" i="9"/>
  <c r="W454" i="9" s="1"/>
  <c r="H453" i="9"/>
  <c r="F453" i="9"/>
  <c r="E453" i="9"/>
  <c r="D453" i="9"/>
  <c r="C453" i="9"/>
  <c r="P452" i="9"/>
  <c r="L452" i="9"/>
  <c r="X452" i="9" s="1"/>
  <c r="K452" i="9"/>
  <c r="I452" i="9"/>
  <c r="W453" i="9" s="1"/>
  <c r="H452" i="9"/>
  <c r="F452" i="9"/>
  <c r="E452" i="9"/>
  <c r="D452" i="9"/>
  <c r="C452" i="9"/>
  <c r="P451" i="9"/>
  <c r="L451" i="9"/>
  <c r="X451" i="9" s="1"/>
  <c r="K451" i="9"/>
  <c r="I451" i="9"/>
  <c r="W452" i="9" s="1"/>
  <c r="H451" i="9"/>
  <c r="F451" i="9"/>
  <c r="E451" i="9"/>
  <c r="D451" i="9"/>
  <c r="C451" i="9"/>
  <c r="A451" i="9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W450" i="9"/>
  <c r="P450" i="9"/>
  <c r="L450" i="9"/>
  <c r="X450" i="9" s="1"/>
  <c r="K450" i="9"/>
  <c r="I450" i="9"/>
  <c r="W451" i="9" s="1"/>
  <c r="H450" i="9"/>
  <c r="F450" i="9"/>
  <c r="E450" i="9"/>
  <c r="D450" i="9"/>
  <c r="C450" i="9"/>
  <c r="P449" i="9"/>
  <c r="L449" i="9"/>
  <c r="X449" i="9" s="1"/>
  <c r="K449" i="9"/>
  <c r="I449" i="9"/>
  <c r="H449" i="9"/>
  <c r="F449" i="9"/>
  <c r="E449" i="9"/>
  <c r="D449" i="9" s="1"/>
  <c r="P448" i="9"/>
  <c r="L448" i="9"/>
  <c r="X448" i="9" s="1"/>
  <c r="K448" i="9"/>
  <c r="I448" i="9"/>
  <c r="W449" i="9" s="1"/>
  <c r="H448" i="9"/>
  <c r="F448" i="9"/>
  <c r="E448" i="9"/>
  <c r="D448" i="9" s="1"/>
  <c r="P447" i="9"/>
  <c r="L447" i="9"/>
  <c r="X447" i="9" s="1"/>
  <c r="K447" i="9"/>
  <c r="I447" i="9"/>
  <c r="W448" i="9" s="1"/>
  <c r="H447" i="9"/>
  <c r="F447" i="9"/>
  <c r="E447" i="9"/>
  <c r="D447" i="9" s="1"/>
  <c r="P446" i="9"/>
  <c r="L446" i="9"/>
  <c r="X446" i="9" s="1"/>
  <c r="K446" i="9"/>
  <c r="I446" i="9"/>
  <c r="W447" i="9" s="1"/>
  <c r="H446" i="9"/>
  <c r="F446" i="9"/>
  <c r="E446" i="9"/>
  <c r="D446" i="9" s="1"/>
  <c r="P445" i="9"/>
  <c r="L445" i="9"/>
  <c r="X445" i="9" s="1"/>
  <c r="K445" i="9"/>
  <c r="I445" i="9"/>
  <c r="W446" i="9" s="1"/>
  <c r="H445" i="9"/>
  <c r="F445" i="9"/>
  <c r="E445" i="9"/>
  <c r="D445" i="9" s="1"/>
  <c r="P444" i="9"/>
  <c r="L444" i="9"/>
  <c r="X444" i="9" s="1"/>
  <c r="K444" i="9"/>
  <c r="I444" i="9"/>
  <c r="W445" i="9" s="1"/>
  <c r="H444" i="9"/>
  <c r="F444" i="9"/>
  <c r="E444" i="9"/>
  <c r="D444" i="9" s="1"/>
  <c r="L443" i="9"/>
  <c r="K443" i="9"/>
  <c r="I443" i="9"/>
  <c r="W444" i="9" s="1"/>
  <c r="H443" i="9"/>
  <c r="F443" i="9"/>
  <c r="E443" i="9"/>
  <c r="D443" i="9" s="1"/>
  <c r="P442" i="9"/>
  <c r="L442" i="9"/>
  <c r="X442" i="9" s="1"/>
  <c r="K442" i="9"/>
  <c r="I442" i="9"/>
  <c r="H442" i="9"/>
  <c r="F442" i="9"/>
  <c r="E442" i="9"/>
  <c r="D442" i="9" s="1"/>
  <c r="P441" i="9"/>
  <c r="L441" i="9"/>
  <c r="X441" i="9" s="1"/>
  <c r="K441" i="9"/>
  <c r="I441" i="9"/>
  <c r="W442" i="9" s="1"/>
  <c r="H441" i="9"/>
  <c r="F441" i="9"/>
  <c r="E441" i="9"/>
  <c r="D441" i="9" s="1"/>
  <c r="A441" i="9"/>
  <c r="A442" i="9" s="1"/>
  <c r="A443" i="9" s="1"/>
  <c r="A444" i="9" s="1"/>
  <c r="A445" i="9" s="1"/>
  <c r="A446" i="9" s="1"/>
  <c r="A447" i="9" s="1"/>
  <c r="A448" i="9" s="1"/>
  <c r="A449" i="9" s="1"/>
  <c r="W440" i="9"/>
  <c r="P440" i="9"/>
  <c r="L440" i="9"/>
  <c r="X440" i="9" s="1"/>
  <c r="K440" i="9"/>
  <c r="I440" i="9"/>
  <c r="W441" i="9" s="1"/>
  <c r="H440" i="9"/>
  <c r="F440" i="9"/>
  <c r="E440" i="9"/>
  <c r="D440" i="9" s="1"/>
  <c r="P439" i="9"/>
  <c r="L439" i="9"/>
  <c r="X439" i="9" s="1"/>
  <c r="K439" i="9"/>
  <c r="I439" i="9"/>
  <c r="H439" i="9"/>
  <c r="F439" i="9"/>
  <c r="E439" i="9"/>
  <c r="D439" i="9" s="1"/>
  <c r="P438" i="9"/>
  <c r="L438" i="9"/>
  <c r="X438" i="9" s="1"/>
  <c r="K438" i="9"/>
  <c r="I438" i="9"/>
  <c r="W439" i="9" s="1"/>
  <c r="H438" i="9"/>
  <c r="F438" i="9"/>
  <c r="E438" i="9"/>
  <c r="D438" i="9" s="1"/>
  <c r="P437" i="9"/>
  <c r="L437" i="9"/>
  <c r="X437" i="9" s="1"/>
  <c r="K437" i="9"/>
  <c r="I437" i="9"/>
  <c r="W438" i="9" s="1"/>
  <c r="H437" i="9"/>
  <c r="F437" i="9"/>
  <c r="E437" i="9"/>
  <c r="D437" i="9" s="1"/>
  <c r="P436" i="9"/>
  <c r="L436" i="9"/>
  <c r="X436" i="9" s="1"/>
  <c r="K436" i="9"/>
  <c r="I436" i="9"/>
  <c r="W437" i="9" s="1"/>
  <c r="H436" i="9"/>
  <c r="F436" i="9"/>
  <c r="E436" i="9"/>
  <c r="D436" i="9" s="1"/>
  <c r="P435" i="9"/>
  <c r="L435" i="9"/>
  <c r="X435" i="9" s="1"/>
  <c r="K435" i="9"/>
  <c r="I435" i="9"/>
  <c r="W436" i="9" s="1"/>
  <c r="H435" i="9"/>
  <c r="F435" i="9"/>
  <c r="E435" i="9"/>
  <c r="D435" i="9" s="1"/>
  <c r="P434" i="9"/>
  <c r="L434" i="9"/>
  <c r="X434" i="9" s="1"/>
  <c r="K434" i="9"/>
  <c r="I434" i="9"/>
  <c r="W435" i="9" s="1"/>
  <c r="H434" i="9"/>
  <c r="F434" i="9"/>
  <c r="E434" i="9"/>
  <c r="D434" i="9" s="1"/>
  <c r="P433" i="9"/>
  <c r="L433" i="9"/>
  <c r="X433" i="9" s="1"/>
  <c r="K433" i="9"/>
  <c r="I433" i="9"/>
  <c r="W434" i="9" s="1"/>
  <c r="H433" i="9"/>
  <c r="F433" i="9"/>
  <c r="E433" i="9"/>
  <c r="D433" i="9" s="1"/>
  <c r="P432" i="9"/>
  <c r="L432" i="9"/>
  <c r="X432" i="9" s="1"/>
  <c r="K432" i="9"/>
  <c r="I432" i="9"/>
  <c r="W433" i="9" s="1"/>
  <c r="H432" i="9"/>
  <c r="F432" i="9"/>
  <c r="E432" i="9"/>
  <c r="D432" i="9" s="1"/>
  <c r="P431" i="9"/>
  <c r="L431" i="9"/>
  <c r="X431" i="9" s="1"/>
  <c r="K431" i="9"/>
  <c r="I431" i="9"/>
  <c r="W432" i="9" s="1"/>
  <c r="H431" i="9"/>
  <c r="F431" i="9"/>
  <c r="E431" i="9"/>
  <c r="D431" i="9" s="1"/>
  <c r="P430" i="9"/>
  <c r="L430" i="9"/>
  <c r="X430" i="9" s="1"/>
  <c r="K430" i="9"/>
  <c r="I430" i="9"/>
  <c r="W431" i="9" s="1"/>
  <c r="H430" i="9"/>
  <c r="F430" i="9"/>
  <c r="E430" i="9"/>
  <c r="D430" i="9" s="1"/>
  <c r="P429" i="9"/>
  <c r="L429" i="9"/>
  <c r="X429" i="9" s="1"/>
  <c r="K429" i="9"/>
  <c r="I429" i="9"/>
  <c r="W430" i="9" s="1"/>
  <c r="H429" i="9"/>
  <c r="F429" i="9"/>
  <c r="E429" i="9"/>
  <c r="D429" i="9" s="1"/>
  <c r="P428" i="9"/>
  <c r="L428" i="9"/>
  <c r="X428" i="9" s="1"/>
  <c r="K428" i="9"/>
  <c r="I428" i="9"/>
  <c r="W429" i="9" s="1"/>
  <c r="H428" i="9"/>
  <c r="F428" i="9"/>
  <c r="E428" i="9"/>
  <c r="D428" i="9" s="1"/>
  <c r="P427" i="9"/>
  <c r="L427" i="9"/>
  <c r="X427" i="9" s="1"/>
  <c r="K427" i="9"/>
  <c r="I427" i="9"/>
  <c r="W428" i="9" s="1"/>
  <c r="H427" i="9"/>
  <c r="F427" i="9"/>
  <c r="E427" i="9"/>
  <c r="D427" i="9" s="1"/>
  <c r="P426" i="9"/>
  <c r="L426" i="9"/>
  <c r="X426" i="9" s="1"/>
  <c r="K426" i="9"/>
  <c r="I426" i="9"/>
  <c r="W427" i="9" s="1"/>
  <c r="H426" i="9"/>
  <c r="F426" i="9"/>
  <c r="E426" i="9"/>
  <c r="D426" i="9" s="1"/>
  <c r="P425" i="9"/>
  <c r="L425" i="9"/>
  <c r="X425" i="9" s="1"/>
  <c r="K425" i="9"/>
  <c r="I425" i="9"/>
  <c r="W426" i="9" s="1"/>
  <c r="H425" i="9"/>
  <c r="F425" i="9"/>
  <c r="E425" i="9"/>
  <c r="D425" i="9" s="1"/>
  <c r="P424" i="9"/>
  <c r="L424" i="9"/>
  <c r="X424" i="9" s="1"/>
  <c r="K424" i="9"/>
  <c r="I424" i="9"/>
  <c r="W425" i="9" s="1"/>
  <c r="H424" i="9"/>
  <c r="F424" i="9"/>
  <c r="E424" i="9"/>
  <c r="D424" i="9" s="1"/>
  <c r="P423" i="9"/>
  <c r="L423" i="9"/>
  <c r="X423" i="9" s="1"/>
  <c r="K423" i="9"/>
  <c r="I423" i="9"/>
  <c r="W424" i="9" s="1"/>
  <c r="H423" i="9"/>
  <c r="F423" i="9"/>
  <c r="E423" i="9"/>
  <c r="D423" i="9" s="1"/>
  <c r="P422" i="9"/>
  <c r="L422" i="9"/>
  <c r="X422" i="9" s="1"/>
  <c r="K422" i="9"/>
  <c r="I422" i="9"/>
  <c r="W423" i="9" s="1"/>
  <c r="H422" i="9"/>
  <c r="F422" i="9"/>
  <c r="E422" i="9"/>
  <c r="D422" i="9" s="1"/>
  <c r="P421" i="9"/>
  <c r="L421" i="9"/>
  <c r="X421" i="9" s="1"/>
  <c r="K421" i="9"/>
  <c r="I421" i="9"/>
  <c r="W422" i="9" s="1"/>
  <c r="H421" i="9"/>
  <c r="F421" i="9"/>
  <c r="E421" i="9"/>
  <c r="D421" i="9" s="1"/>
  <c r="P420" i="9"/>
  <c r="L420" i="9"/>
  <c r="X420" i="9" s="1"/>
  <c r="K420" i="9"/>
  <c r="I420" i="9"/>
  <c r="W421" i="9" s="1"/>
  <c r="H420" i="9"/>
  <c r="F420" i="9"/>
  <c r="E420" i="9"/>
  <c r="D420" i="9" s="1"/>
  <c r="P419" i="9"/>
  <c r="L419" i="9"/>
  <c r="X419" i="9" s="1"/>
  <c r="K419" i="9"/>
  <c r="I419" i="9"/>
  <c r="W420" i="9" s="1"/>
  <c r="H419" i="9"/>
  <c r="F419" i="9"/>
  <c r="E419" i="9"/>
  <c r="D419" i="9" s="1"/>
  <c r="P418" i="9"/>
  <c r="L418" i="9"/>
  <c r="K418" i="9"/>
  <c r="I418" i="9"/>
  <c r="W419" i="9" s="1"/>
  <c r="H418" i="9"/>
  <c r="F418" i="9"/>
  <c r="E418" i="9"/>
  <c r="D418" i="9" s="1"/>
  <c r="P417" i="9"/>
  <c r="L417" i="9"/>
  <c r="X417" i="9" s="1"/>
  <c r="K417" i="9"/>
  <c r="I417" i="9"/>
  <c r="H417" i="9"/>
  <c r="F417" i="9"/>
  <c r="E417" i="9"/>
  <c r="D417" i="9" s="1"/>
  <c r="P416" i="9"/>
  <c r="L416" i="9"/>
  <c r="X416" i="9" s="1"/>
  <c r="K416" i="9"/>
  <c r="I416" i="9"/>
  <c r="W417" i="9" s="1"/>
  <c r="H416" i="9"/>
  <c r="F416" i="9"/>
  <c r="E416" i="9"/>
  <c r="D416" i="9" s="1"/>
  <c r="P415" i="9"/>
  <c r="L415" i="9"/>
  <c r="X415" i="9" s="1"/>
  <c r="K415" i="9"/>
  <c r="I415" i="9"/>
  <c r="W416" i="9" s="1"/>
  <c r="H415" i="9"/>
  <c r="F415" i="9"/>
  <c r="E415" i="9"/>
  <c r="D415" i="9" s="1"/>
  <c r="P414" i="9"/>
  <c r="L414" i="9"/>
  <c r="X414" i="9" s="1"/>
  <c r="K414" i="9"/>
  <c r="I414" i="9"/>
  <c r="W415" i="9" s="1"/>
  <c r="H414" i="9"/>
  <c r="F414" i="9"/>
  <c r="E414" i="9"/>
  <c r="D414" i="9" s="1"/>
  <c r="P413" i="9"/>
  <c r="L413" i="9"/>
  <c r="X413" i="9" s="1"/>
  <c r="K413" i="9"/>
  <c r="I413" i="9"/>
  <c r="W414" i="9" s="1"/>
  <c r="H413" i="9"/>
  <c r="F413" i="9"/>
  <c r="E413" i="9"/>
  <c r="D413" i="9" s="1"/>
  <c r="A413" i="9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P412" i="9"/>
  <c r="L412" i="9"/>
  <c r="X412" i="9" s="1"/>
  <c r="K412" i="9"/>
  <c r="I412" i="9"/>
  <c r="W413" i="9" s="1"/>
  <c r="H412" i="9"/>
  <c r="F412" i="9"/>
  <c r="E412" i="9"/>
  <c r="D412" i="9" s="1"/>
  <c r="I411" i="9"/>
  <c r="W412" i="9" s="1"/>
  <c r="H411" i="9"/>
  <c r="F411" i="9"/>
  <c r="E411" i="9"/>
  <c r="D411" i="9" s="1"/>
  <c r="M409" i="9"/>
  <c r="L409" i="9"/>
  <c r="K409" i="9"/>
  <c r="M408" i="9"/>
  <c r="L408" i="9"/>
  <c r="K408" i="9"/>
  <c r="J408" i="9"/>
  <c r="I408" i="9"/>
  <c r="H408" i="9"/>
  <c r="G408" i="9"/>
  <c r="F408" i="9"/>
  <c r="E408" i="9"/>
  <c r="D408" i="9" s="1"/>
  <c r="M407" i="9"/>
  <c r="L407" i="9"/>
  <c r="K407" i="9"/>
  <c r="J407" i="9"/>
  <c r="I407" i="9"/>
  <c r="H407" i="9"/>
  <c r="G407" i="9"/>
  <c r="F407" i="9"/>
  <c r="E407" i="9"/>
  <c r="C407" i="9" s="1"/>
  <c r="D407" i="9"/>
  <c r="M406" i="9"/>
  <c r="L406" i="9"/>
  <c r="K406" i="9"/>
  <c r="J406" i="9"/>
  <c r="I406" i="9"/>
  <c r="H406" i="9"/>
  <c r="G406" i="9"/>
  <c r="F406" i="9"/>
  <c r="E406" i="9"/>
  <c r="D406" i="9" s="1"/>
  <c r="M405" i="9"/>
  <c r="L405" i="9"/>
  <c r="K405" i="9"/>
  <c r="J405" i="9"/>
  <c r="I405" i="9"/>
  <c r="H405" i="9"/>
  <c r="G405" i="9"/>
  <c r="F405" i="9"/>
  <c r="E405" i="9"/>
  <c r="D405" i="9"/>
  <c r="C405" i="9"/>
  <c r="W404" i="9"/>
  <c r="M404" i="9"/>
  <c r="L404" i="9"/>
  <c r="K404" i="9"/>
  <c r="J404" i="9"/>
  <c r="I404" i="9"/>
  <c r="H404" i="9"/>
  <c r="G404" i="9"/>
  <c r="F404" i="9"/>
  <c r="E404" i="9"/>
  <c r="D404" i="9" s="1"/>
  <c r="C404" i="9"/>
  <c r="M403" i="9"/>
  <c r="L403" i="9"/>
  <c r="K403" i="9"/>
  <c r="J403" i="9"/>
  <c r="I403" i="9"/>
  <c r="H403" i="9"/>
  <c r="G403" i="9"/>
  <c r="F403" i="9"/>
  <c r="E403" i="9"/>
  <c r="D403" i="9"/>
  <c r="C403" i="9"/>
  <c r="M402" i="9"/>
  <c r="L402" i="9"/>
  <c r="K402" i="9"/>
  <c r="J402" i="9"/>
  <c r="I402" i="9"/>
  <c r="H402" i="9"/>
  <c r="G402" i="9"/>
  <c r="F402" i="9"/>
  <c r="E402" i="9"/>
  <c r="C402" i="9" s="1"/>
  <c r="D402" i="9"/>
  <c r="M401" i="9"/>
  <c r="L401" i="9"/>
  <c r="K401" i="9"/>
  <c r="J401" i="9"/>
  <c r="I401" i="9"/>
  <c r="H401" i="9"/>
  <c r="G401" i="9"/>
  <c r="F401" i="9"/>
  <c r="E401" i="9"/>
  <c r="D401" i="9" s="1"/>
  <c r="M400" i="9"/>
  <c r="L400" i="9"/>
  <c r="K400" i="9"/>
  <c r="J400" i="9"/>
  <c r="I400" i="9"/>
  <c r="H400" i="9"/>
  <c r="G400" i="9"/>
  <c r="F400" i="9"/>
  <c r="E400" i="9"/>
  <c r="D400" i="9"/>
  <c r="C400" i="9"/>
  <c r="M399" i="9"/>
  <c r="L399" i="9"/>
  <c r="K399" i="9"/>
  <c r="J399" i="9"/>
  <c r="I399" i="9"/>
  <c r="H399" i="9"/>
  <c r="G399" i="9"/>
  <c r="F399" i="9"/>
  <c r="E399" i="9"/>
  <c r="D399" i="9"/>
  <c r="C399" i="9"/>
  <c r="M398" i="9"/>
  <c r="L398" i="9"/>
  <c r="K398" i="9"/>
  <c r="J398" i="9"/>
  <c r="I398" i="9"/>
  <c r="H398" i="9"/>
  <c r="G398" i="9"/>
  <c r="F398" i="9"/>
  <c r="E398" i="9"/>
  <c r="D398" i="9"/>
  <c r="C398" i="9"/>
  <c r="M397" i="9"/>
  <c r="L397" i="9"/>
  <c r="K397" i="9"/>
  <c r="J397" i="9"/>
  <c r="I397" i="9"/>
  <c r="H397" i="9"/>
  <c r="G397" i="9"/>
  <c r="F397" i="9"/>
  <c r="E397" i="9"/>
  <c r="D397" i="9"/>
  <c r="C397" i="9"/>
  <c r="M396" i="9"/>
  <c r="L396" i="9"/>
  <c r="K396" i="9"/>
  <c r="J396" i="9"/>
  <c r="I396" i="9"/>
  <c r="H396" i="9"/>
  <c r="G396" i="9"/>
  <c r="F396" i="9"/>
  <c r="E396" i="9"/>
  <c r="D396" i="9" s="1"/>
  <c r="M395" i="9"/>
  <c r="L395" i="9"/>
  <c r="K395" i="9"/>
  <c r="J395" i="9"/>
  <c r="I395" i="9"/>
  <c r="H395" i="9"/>
  <c r="G395" i="9"/>
  <c r="F395" i="9"/>
  <c r="E395" i="9"/>
  <c r="D395" i="9" s="1"/>
  <c r="M394" i="9"/>
  <c r="L394" i="9"/>
  <c r="K394" i="9"/>
  <c r="J394" i="9"/>
  <c r="I394" i="9"/>
  <c r="H394" i="9"/>
  <c r="G394" i="9"/>
  <c r="F394" i="9"/>
  <c r="E394" i="9"/>
  <c r="D394" i="9" s="1"/>
  <c r="M393" i="9"/>
  <c r="L393" i="9"/>
  <c r="K393" i="9"/>
  <c r="J393" i="9"/>
  <c r="I393" i="9"/>
  <c r="H393" i="9"/>
  <c r="G393" i="9"/>
  <c r="F393" i="9"/>
  <c r="E393" i="9"/>
  <c r="D393" i="9"/>
  <c r="C393" i="9"/>
  <c r="M392" i="9"/>
  <c r="L392" i="9"/>
  <c r="K392" i="9"/>
  <c r="J392" i="9"/>
  <c r="I392" i="9"/>
  <c r="H392" i="9"/>
  <c r="G392" i="9"/>
  <c r="F392" i="9"/>
  <c r="E392" i="9"/>
  <c r="D392" i="9"/>
  <c r="C392" i="9"/>
  <c r="M391" i="9"/>
  <c r="L391" i="9"/>
  <c r="K391" i="9"/>
  <c r="J391" i="9"/>
  <c r="I391" i="9"/>
  <c r="H391" i="9"/>
  <c r="G391" i="9"/>
  <c r="F391" i="9"/>
  <c r="E391" i="9"/>
  <c r="D391" i="9"/>
  <c r="C391" i="9"/>
  <c r="M390" i="9"/>
  <c r="L390" i="9"/>
  <c r="K390" i="9"/>
  <c r="J390" i="9"/>
  <c r="I390" i="9"/>
  <c r="H390" i="9"/>
  <c r="G390" i="9"/>
  <c r="F390" i="9"/>
  <c r="E390" i="9"/>
  <c r="C390" i="9" s="1"/>
  <c r="D390" i="9"/>
  <c r="M389" i="9"/>
  <c r="L389" i="9"/>
  <c r="K389" i="9"/>
  <c r="J389" i="9"/>
  <c r="I389" i="9"/>
  <c r="H389" i="9"/>
  <c r="G389" i="9"/>
  <c r="F389" i="9"/>
  <c r="E389" i="9"/>
  <c r="D389" i="9" s="1"/>
  <c r="M388" i="9"/>
  <c r="L388" i="9"/>
  <c r="K388" i="9"/>
  <c r="J388" i="9"/>
  <c r="I388" i="9"/>
  <c r="H388" i="9"/>
  <c r="G388" i="9"/>
  <c r="F388" i="9"/>
  <c r="E388" i="9"/>
  <c r="D388" i="9"/>
  <c r="C388" i="9"/>
  <c r="M387" i="9"/>
  <c r="L387" i="9"/>
  <c r="K387" i="9"/>
  <c r="J387" i="9"/>
  <c r="I387" i="9"/>
  <c r="H387" i="9"/>
  <c r="G387" i="9"/>
  <c r="F387" i="9"/>
  <c r="E387" i="9"/>
  <c r="D387" i="9"/>
  <c r="C387" i="9"/>
  <c r="M386" i="9"/>
  <c r="L386" i="9"/>
  <c r="K386" i="9"/>
  <c r="J386" i="9"/>
  <c r="I386" i="9"/>
  <c r="H386" i="9"/>
  <c r="G386" i="9"/>
  <c r="F386" i="9"/>
  <c r="E386" i="9"/>
  <c r="D386" i="9"/>
  <c r="C386" i="9"/>
  <c r="M385" i="9"/>
  <c r="L385" i="9"/>
  <c r="K385" i="9"/>
  <c r="J385" i="9"/>
  <c r="I385" i="9"/>
  <c r="H385" i="9"/>
  <c r="G385" i="9"/>
  <c r="F385" i="9"/>
  <c r="E385" i="9"/>
  <c r="D385" i="9"/>
  <c r="C385" i="9"/>
  <c r="M384" i="9"/>
  <c r="L384" i="9"/>
  <c r="K384" i="9"/>
  <c r="J384" i="9"/>
  <c r="I384" i="9"/>
  <c r="H384" i="9"/>
  <c r="G384" i="9"/>
  <c r="F384" i="9"/>
  <c r="E384" i="9"/>
  <c r="D384" i="9" s="1"/>
  <c r="M383" i="9"/>
  <c r="L383" i="9"/>
  <c r="K383" i="9"/>
  <c r="J383" i="9"/>
  <c r="I383" i="9"/>
  <c r="H383" i="9"/>
  <c r="G383" i="9"/>
  <c r="F383" i="9"/>
  <c r="E383" i="9"/>
  <c r="D383" i="9" s="1"/>
  <c r="M382" i="9"/>
  <c r="L382" i="9"/>
  <c r="K382" i="9"/>
  <c r="J382" i="9"/>
  <c r="I382" i="9"/>
  <c r="H382" i="9"/>
  <c r="G382" i="9"/>
  <c r="F382" i="9"/>
  <c r="E382" i="9"/>
  <c r="D382" i="9" s="1"/>
  <c r="M381" i="9"/>
  <c r="L381" i="9"/>
  <c r="K381" i="9"/>
  <c r="J381" i="9"/>
  <c r="I381" i="9"/>
  <c r="H381" i="9"/>
  <c r="G381" i="9"/>
  <c r="F381" i="9"/>
  <c r="E381" i="9"/>
  <c r="D381" i="9"/>
  <c r="C381" i="9"/>
  <c r="M380" i="9"/>
  <c r="L380" i="9"/>
  <c r="K380" i="9"/>
  <c r="J380" i="9"/>
  <c r="I380" i="9"/>
  <c r="H380" i="9"/>
  <c r="G380" i="9"/>
  <c r="F380" i="9"/>
  <c r="E380" i="9"/>
  <c r="D380" i="9"/>
  <c r="C380" i="9"/>
  <c r="M379" i="9"/>
  <c r="L379" i="9"/>
  <c r="K379" i="9"/>
  <c r="J379" i="9"/>
  <c r="I379" i="9"/>
  <c r="H379" i="9"/>
  <c r="G379" i="9"/>
  <c r="F379" i="9"/>
  <c r="E379" i="9"/>
  <c r="D379" i="9"/>
  <c r="C379" i="9"/>
  <c r="M378" i="9"/>
  <c r="L378" i="9"/>
  <c r="K378" i="9"/>
  <c r="J378" i="9"/>
  <c r="I378" i="9"/>
  <c r="H378" i="9"/>
  <c r="G378" i="9"/>
  <c r="F378" i="9"/>
  <c r="E378" i="9"/>
  <c r="C378" i="9" s="1"/>
  <c r="D378" i="9"/>
  <c r="M377" i="9"/>
  <c r="L377" i="9"/>
  <c r="K377" i="9"/>
  <c r="J377" i="9"/>
  <c r="I377" i="9"/>
  <c r="H377" i="9"/>
  <c r="G377" i="9"/>
  <c r="F377" i="9"/>
  <c r="E377" i="9"/>
  <c r="D377" i="9" s="1"/>
  <c r="M376" i="9"/>
  <c r="L376" i="9"/>
  <c r="K376" i="9"/>
  <c r="J376" i="9"/>
  <c r="I376" i="9"/>
  <c r="H376" i="9"/>
  <c r="G376" i="9"/>
  <c r="F376" i="9"/>
  <c r="E376" i="9"/>
  <c r="D376" i="9"/>
  <c r="C376" i="9"/>
  <c r="M375" i="9"/>
  <c r="L375" i="9"/>
  <c r="K375" i="9"/>
  <c r="J375" i="9"/>
  <c r="I375" i="9"/>
  <c r="H375" i="9"/>
  <c r="G375" i="9"/>
  <c r="F375" i="9"/>
  <c r="E375" i="9"/>
  <c r="D375" i="9"/>
  <c r="C375" i="9"/>
  <c r="M374" i="9"/>
  <c r="L374" i="9"/>
  <c r="K374" i="9"/>
  <c r="J374" i="9"/>
  <c r="I374" i="9"/>
  <c r="H374" i="9"/>
  <c r="G374" i="9"/>
  <c r="F374" i="9"/>
  <c r="E374" i="9"/>
  <c r="D374" i="9"/>
  <c r="C374" i="9"/>
  <c r="M373" i="9"/>
  <c r="L373" i="9"/>
  <c r="K373" i="9"/>
  <c r="J373" i="9"/>
  <c r="I373" i="9"/>
  <c r="H373" i="9"/>
  <c r="G373" i="9"/>
  <c r="F373" i="9"/>
  <c r="E373" i="9"/>
  <c r="D373" i="9"/>
  <c r="C373" i="9"/>
  <c r="M372" i="9"/>
  <c r="L372" i="9"/>
  <c r="K372" i="9"/>
  <c r="J372" i="9"/>
  <c r="I372" i="9"/>
  <c r="H372" i="9"/>
  <c r="G372" i="9"/>
  <c r="F372" i="9"/>
  <c r="E372" i="9"/>
  <c r="D372" i="9" s="1"/>
  <c r="M371" i="9"/>
  <c r="L371" i="9"/>
  <c r="K371" i="9"/>
  <c r="J371" i="9"/>
  <c r="I371" i="9"/>
  <c r="H371" i="9"/>
  <c r="G371" i="9"/>
  <c r="F371" i="9"/>
  <c r="E371" i="9"/>
  <c r="D371" i="9" s="1"/>
  <c r="M370" i="9"/>
  <c r="L370" i="9"/>
  <c r="K370" i="9"/>
  <c r="J370" i="9"/>
  <c r="I370" i="9"/>
  <c r="H370" i="9"/>
  <c r="G370" i="9"/>
  <c r="F370" i="9"/>
  <c r="E370" i="9"/>
  <c r="D370" i="9" s="1"/>
  <c r="M369" i="9"/>
  <c r="L369" i="9"/>
  <c r="K369" i="9"/>
  <c r="J369" i="9"/>
  <c r="I369" i="9"/>
  <c r="H369" i="9"/>
  <c r="G369" i="9"/>
  <c r="F369" i="9"/>
  <c r="E369" i="9"/>
  <c r="D369" i="9"/>
  <c r="C369" i="9"/>
  <c r="M368" i="9"/>
  <c r="L368" i="9"/>
  <c r="K368" i="9"/>
  <c r="J368" i="9"/>
  <c r="I368" i="9"/>
  <c r="H368" i="9"/>
  <c r="G368" i="9"/>
  <c r="F368" i="9"/>
  <c r="E368" i="9"/>
  <c r="D368" i="9"/>
  <c r="C368" i="9"/>
  <c r="M367" i="9"/>
  <c r="L367" i="9"/>
  <c r="K367" i="9"/>
  <c r="J367" i="9"/>
  <c r="I367" i="9"/>
  <c r="H367" i="9"/>
  <c r="G367" i="9"/>
  <c r="F367" i="9"/>
  <c r="E367" i="9"/>
  <c r="D367" i="9" s="1"/>
  <c r="C367" i="9"/>
  <c r="M366" i="9"/>
  <c r="L366" i="9"/>
  <c r="K366" i="9"/>
  <c r="J366" i="9"/>
  <c r="I366" i="9"/>
  <c r="H366" i="9"/>
  <c r="G366" i="9"/>
  <c r="F366" i="9"/>
  <c r="E366" i="9"/>
  <c r="C366" i="9" s="1"/>
  <c r="D366" i="9"/>
  <c r="M365" i="9"/>
  <c r="L365" i="9"/>
  <c r="K365" i="9"/>
  <c r="J365" i="9"/>
  <c r="I365" i="9"/>
  <c r="H365" i="9"/>
  <c r="G365" i="9"/>
  <c r="F365" i="9"/>
  <c r="E365" i="9"/>
  <c r="D365" i="9" s="1"/>
  <c r="M364" i="9"/>
  <c r="L364" i="9"/>
  <c r="K364" i="9"/>
  <c r="J364" i="9"/>
  <c r="I364" i="9"/>
  <c r="H364" i="9"/>
  <c r="G364" i="9"/>
  <c r="F364" i="9"/>
  <c r="E364" i="9"/>
  <c r="D364" i="9"/>
  <c r="C364" i="9"/>
  <c r="M363" i="9"/>
  <c r="L363" i="9"/>
  <c r="K363" i="9"/>
  <c r="J363" i="9"/>
  <c r="I363" i="9"/>
  <c r="H363" i="9"/>
  <c r="G363" i="9"/>
  <c r="F363" i="9"/>
  <c r="E363" i="9"/>
  <c r="D363" i="9"/>
  <c r="C363" i="9"/>
  <c r="M362" i="9"/>
  <c r="L362" i="9"/>
  <c r="K362" i="9"/>
  <c r="J362" i="9"/>
  <c r="I362" i="9"/>
  <c r="H362" i="9"/>
  <c r="G362" i="9"/>
  <c r="F362" i="9"/>
  <c r="E362" i="9"/>
  <c r="D362" i="9"/>
  <c r="C362" i="9"/>
  <c r="M361" i="9"/>
  <c r="L361" i="9"/>
  <c r="K361" i="9"/>
  <c r="J361" i="9"/>
  <c r="I361" i="9"/>
  <c r="H361" i="9"/>
  <c r="G361" i="9"/>
  <c r="F361" i="9"/>
  <c r="E361" i="9"/>
  <c r="D361" i="9"/>
  <c r="C361" i="9"/>
  <c r="M360" i="9"/>
  <c r="L360" i="9"/>
  <c r="K360" i="9"/>
  <c r="J360" i="9"/>
  <c r="I360" i="9"/>
  <c r="H360" i="9"/>
  <c r="G360" i="9"/>
  <c r="F360" i="9"/>
  <c r="E360" i="9"/>
  <c r="D360" i="9" s="1"/>
  <c r="M359" i="9"/>
  <c r="L359" i="9"/>
  <c r="K359" i="9"/>
  <c r="J359" i="9"/>
  <c r="I359" i="9"/>
  <c r="H359" i="9"/>
  <c r="G359" i="9"/>
  <c r="F359" i="9"/>
  <c r="E359" i="9"/>
  <c r="D359" i="9" s="1"/>
  <c r="M358" i="9"/>
  <c r="L358" i="9"/>
  <c r="K358" i="9"/>
  <c r="J358" i="9"/>
  <c r="I358" i="9"/>
  <c r="H358" i="9"/>
  <c r="G358" i="9"/>
  <c r="F358" i="9"/>
  <c r="E358" i="9"/>
  <c r="D358" i="9" s="1"/>
  <c r="M357" i="9"/>
  <c r="L357" i="9"/>
  <c r="K357" i="9"/>
  <c r="J357" i="9"/>
  <c r="I357" i="9"/>
  <c r="H357" i="9"/>
  <c r="G357" i="9"/>
  <c r="F357" i="9"/>
  <c r="E357" i="9"/>
  <c r="D357" i="9"/>
  <c r="C357" i="9"/>
  <c r="M356" i="9"/>
  <c r="L356" i="9"/>
  <c r="K356" i="9"/>
  <c r="J356" i="9"/>
  <c r="I356" i="9"/>
  <c r="H356" i="9"/>
  <c r="G356" i="9"/>
  <c r="F356" i="9"/>
  <c r="E356" i="9"/>
  <c r="D356" i="9"/>
  <c r="C356" i="9"/>
  <c r="M355" i="9"/>
  <c r="L355" i="9"/>
  <c r="K355" i="9"/>
  <c r="J355" i="9"/>
  <c r="I355" i="9"/>
  <c r="H355" i="9"/>
  <c r="G355" i="9"/>
  <c r="F355" i="9"/>
  <c r="E355" i="9"/>
  <c r="D355" i="9" s="1"/>
  <c r="C355" i="9"/>
  <c r="M354" i="9"/>
  <c r="L354" i="9"/>
  <c r="K354" i="9"/>
  <c r="J354" i="9"/>
  <c r="I354" i="9"/>
  <c r="H354" i="9"/>
  <c r="G354" i="9"/>
  <c r="F354" i="9"/>
  <c r="E354" i="9"/>
  <c r="C354" i="9" s="1"/>
  <c r="D354" i="9"/>
  <c r="M353" i="9"/>
  <c r="L353" i="9"/>
  <c r="K353" i="9"/>
  <c r="J353" i="9"/>
  <c r="I353" i="9"/>
  <c r="H353" i="9"/>
  <c r="G353" i="9"/>
  <c r="F353" i="9"/>
  <c r="E353" i="9"/>
  <c r="D353" i="9" s="1"/>
  <c r="M352" i="9"/>
  <c r="L352" i="9"/>
  <c r="K352" i="9"/>
  <c r="J352" i="9"/>
  <c r="I352" i="9"/>
  <c r="H352" i="9"/>
  <c r="G352" i="9"/>
  <c r="F352" i="9"/>
  <c r="E352" i="9"/>
  <c r="D352" i="9"/>
  <c r="C352" i="9"/>
  <c r="M351" i="9"/>
  <c r="L351" i="9"/>
  <c r="K351" i="9"/>
  <c r="J351" i="9"/>
  <c r="I351" i="9"/>
  <c r="H351" i="9"/>
  <c r="G351" i="9"/>
  <c r="F351" i="9"/>
  <c r="E351" i="9"/>
  <c r="D351" i="9"/>
  <c r="C351" i="9"/>
  <c r="M350" i="9"/>
  <c r="L350" i="9"/>
  <c r="K350" i="9"/>
  <c r="J350" i="9"/>
  <c r="I350" i="9"/>
  <c r="H350" i="9"/>
  <c r="G350" i="9"/>
  <c r="F350" i="9"/>
  <c r="E350" i="9"/>
  <c r="D350" i="9"/>
  <c r="C350" i="9"/>
  <c r="M349" i="9"/>
  <c r="L349" i="9"/>
  <c r="K349" i="9"/>
  <c r="J349" i="9"/>
  <c r="I349" i="9"/>
  <c r="H349" i="9"/>
  <c r="G349" i="9"/>
  <c r="F349" i="9"/>
  <c r="E349" i="9"/>
  <c r="M348" i="9"/>
  <c r="L348" i="9"/>
  <c r="K348" i="9"/>
  <c r="J348" i="9"/>
  <c r="I348" i="9"/>
  <c r="H348" i="9"/>
  <c r="G348" i="9"/>
  <c r="F348" i="9"/>
  <c r="E348" i="9"/>
  <c r="D348" i="9" s="1"/>
  <c r="M347" i="9"/>
  <c r="L347" i="9"/>
  <c r="K347" i="9"/>
  <c r="J347" i="9"/>
  <c r="I347" i="9"/>
  <c r="H347" i="9"/>
  <c r="G347" i="9"/>
  <c r="F347" i="9"/>
  <c r="E347" i="9"/>
  <c r="D347" i="9" s="1"/>
  <c r="M346" i="9"/>
  <c r="L346" i="9"/>
  <c r="K346" i="9"/>
  <c r="J346" i="9"/>
  <c r="I346" i="9"/>
  <c r="H346" i="9"/>
  <c r="G346" i="9"/>
  <c r="F346" i="9"/>
  <c r="E346" i="9"/>
  <c r="D346" i="9" s="1"/>
  <c r="C346" i="9"/>
  <c r="M345" i="9"/>
  <c r="L345" i="9"/>
  <c r="K345" i="9"/>
  <c r="J345" i="9"/>
  <c r="I345" i="9"/>
  <c r="H345" i="9"/>
  <c r="G345" i="9"/>
  <c r="F345" i="9"/>
  <c r="E345" i="9"/>
  <c r="D345" i="9"/>
  <c r="C345" i="9"/>
  <c r="M344" i="9"/>
  <c r="L344" i="9"/>
  <c r="K344" i="9"/>
  <c r="J344" i="9"/>
  <c r="I344" i="9"/>
  <c r="H344" i="9"/>
  <c r="G344" i="9"/>
  <c r="F344" i="9"/>
  <c r="E344" i="9"/>
  <c r="D344" i="9" s="1"/>
  <c r="C344" i="9"/>
  <c r="M343" i="9"/>
  <c r="L343" i="9"/>
  <c r="K343" i="9"/>
  <c r="J343" i="9"/>
  <c r="I343" i="9"/>
  <c r="H343" i="9"/>
  <c r="G343" i="9"/>
  <c r="F343" i="9"/>
  <c r="E343" i="9"/>
  <c r="D343" i="9"/>
  <c r="C343" i="9"/>
  <c r="M342" i="9"/>
  <c r="L342" i="9"/>
  <c r="K342" i="9"/>
  <c r="J342" i="9"/>
  <c r="I342" i="9"/>
  <c r="H342" i="9"/>
  <c r="G342" i="9"/>
  <c r="F342" i="9"/>
  <c r="E342" i="9"/>
  <c r="M341" i="9"/>
  <c r="L341" i="9"/>
  <c r="K341" i="9"/>
  <c r="J341" i="9"/>
  <c r="I341" i="9"/>
  <c r="H341" i="9"/>
  <c r="G341" i="9"/>
  <c r="F341" i="9"/>
  <c r="E341" i="9"/>
  <c r="D341" i="9"/>
  <c r="C341" i="9"/>
  <c r="M340" i="9"/>
  <c r="L340" i="9"/>
  <c r="K340" i="9"/>
  <c r="J340" i="9"/>
  <c r="I340" i="9"/>
  <c r="H340" i="9"/>
  <c r="G340" i="9"/>
  <c r="F340" i="9"/>
  <c r="E340" i="9"/>
  <c r="D340" i="9" s="1"/>
  <c r="M339" i="9"/>
  <c r="L339" i="9"/>
  <c r="K339" i="9"/>
  <c r="J339" i="9"/>
  <c r="I339" i="9"/>
  <c r="H339" i="9"/>
  <c r="G339" i="9"/>
  <c r="F339" i="9"/>
  <c r="E339" i="9"/>
  <c r="D339" i="9" s="1"/>
  <c r="C339" i="9"/>
  <c r="M338" i="9"/>
  <c r="L338" i="9"/>
  <c r="K338" i="9"/>
  <c r="J338" i="9"/>
  <c r="I338" i="9"/>
  <c r="H338" i="9"/>
  <c r="G338" i="9"/>
  <c r="F338" i="9"/>
  <c r="E338" i="9"/>
  <c r="D338" i="9"/>
  <c r="C338" i="9"/>
  <c r="M337" i="9"/>
  <c r="L337" i="9"/>
  <c r="K337" i="9"/>
  <c r="J337" i="9"/>
  <c r="I337" i="9"/>
  <c r="H337" i="9"/>
  <c r="G337" i="9"/>
  <c r="F337" i="9"/>
  <c r="E337" i="9"/>
  <c r="D337" i="9" s="1"/>
  <c r="C337" i="9"/>
  <c r="M336" i="9"/>
  <c r="L336" i="9"/>
  <c r="K336" i="9"/>
  <c r="J336" i="9"/>
  <c r="I336" i="9"/>
  <c r="H336" i="9"/>
  <c r="G336" i="9"/>
  <c r="F336" i="9"/>
  <c r="E336" i="9"/>
  <c r="C336" i="9" s="1"/>
  <c r="D336" i="9"/>
  <c r="M335" i="9"/>
  <c r="L335" i="9"/>
  <c r="K335" i="9"/>
  <c r="J335" i="9"/>
  <c r="I335" i="9"/>
  <c r="H335" i="9"/>
  <c r="G335" i="9"/>
  <c r="F335" i="9"/>
  <c r="E335" i="9"/>
  <c r="D335" i="9" s="1"/>
  <c r="M334" i="9"/>
  <c r="L334" i="9"/>
  <c r="K334" i="9"/>
  <c r="J334" i="9"/>
  <c r="I334" i="9"/>
  <c r="H334" i="9"/>
  <c r="G334" i="9"/>
  <c r="F334" i="9"/>
  <c r="E334" i="9"/>
  <c r="D334" i="9" s="1"/>
  <c r="M333" i="9"/>
  <c r="L333" i="9"/>
  <c r="K333" i="9"/>
  <c r="J333" i="9"/>
  <c r="I333" i="9"/>
  <c r="H333" i="9"/>
  <c r="G333" i="9"/>
  <c r="F333" i="9"/>
  <c r="E333" i="9"/>
  <c r="C333" i="9" s="1"/>
  <c r="M332" i="9"/>
  <c r="L332" i="9"/>
  <c r="K332" i="9"/>
  <c r="J332" i="9"/>
  <c r="I332" i="9"/>
  <c r="H332" i="9"/>
  <c r="G332" i="9"/>
  <c r="F332" i="9"/>
  <c r="E332" i="9"/>
  <c r="D332" i="9" s="1"/>
  <c r="M331" i="9"/>
  <c r="L331" i="9"/>
  <c r="K331" i="9"/>
  <c r="J331" i="9"/>
  <c r="I331" i="9"/>
  <c r="H331" i="9"/>
  <c r="G331" i="9"/>
  <c r="F331" i="9"/>
  <c r="E331" i="9"/>
  <c r="D331" i="9"/>
  <c r="C331" i="9"/>
  <c r="M330" i="9"/>
  <c r="L330" i="9"/>
  <c r="K330" i="9"/>
  <c r="J330" i="9"/>
  <c r="I330" i="9"/>
  <c r="H330" i="9"/>
  <c r="G330" i="9"/>
  <c r="F330" i="9"/>
  <c r="E330" i="9"/>
  <c r="D330" i="9" s="1"/>
  <c r="C330" i="9"/>
  <c r="M329" i="9"/>
  <c r="L329" i="9"/>
  <c r="K329" i="9"/>
  <c r="J329" i="9"/>
  <c r="I329" i="9"/>
  <c r="H329" i="9"/>
  <c r="G329" i="9"/>
  <c r="F329" i="9"/>
  <c r="E329" i="9"/>
  <c r="D329" i="9"/>
  <c r="C329" i="9"/>
  <c r="M328" i="9"/>
  <c r="L328" i="9"/>
  <c r="K328" i="9"/>
  <c r="J328" i="9"/>
  <c r="I328" i="9"/>
  <c r="H328" i="9"/>
  <c r="G328" i="9"/>
  <c r="F328" i="9"/>
  <c r="E328" i="9"/>
  <c r="D328" i="9"/>
  <c r="C328" i="9"/>
  <c r="M327" i="9"/>
  <c r="L327" i="9"/>
  <c r="K327" i="9"/>
  <c r="J327" i="9"/>
  <c r="I327" i="9"/>
  <c r="H327" i="9"/>
  <c r="G327" i="9"/>
  <c r="F327" i="9"/>
  <c r="E327" i="9"/>
  <c r="C327" i="9" s="1"/>
  <c r="D327" i="9"/>
  <c r="M326" i="9"/>
  <c r="L326" i="9"/>
  <c r="K326" i="9"/>
  <c r="J326" i="9"/>
  <c r="I326" i="9"/>
  <c r="H326" i="9"/>
  <c r="G326" i="9"/>
  <c r="F326" i="9"/>
  <c r="E326" i="9"/>
  <c r="M325" i="9"/>
  <c r="L325" i="9"/>
  <c r="K325" i="9"/>
  <c r="J325" i="9"/>
  <c r="I325" i="9"/>
  <c r="H325" i="9"/>
  <c r="G325" i="9"/>
  <c r="F325" i="9"/>
  <c r="E325" i="9"/>
  <c r="D325" i="9"/>
  <c r="C325" i="9"/>
  <c r="H324" i="9"/>
  <c r="E324" i="9"/>
  <c r="C324" i="9" s="1"/>
  <c r="M323" i="9"/>
  <c r="L323" i="9"/>
  <c r="K323" i="9"/>
  <c r="J323" i="9"/>
  <c r="I323" i="9"/>
  <c r="H323" i="9"/>
  <c r="G323" i="9"/>
  <c r="F323" i="9"/>
  <c r="E323" i="9"/>
  <c r="D323" i="9" s="1"/>
  <c r="M322" i="9"/>
  <c r="L322" i="9"/>
  <c r="K322" i="9"/>
  <c r="J322" i="9"/>
  <c r="I322" i="9"/>
  <c r="H322" i="9"/>
  <c r="G322" i="9"/>
  <c r="F322" i="9"/>
  <c r="E322" i="9"/>
  <c r="D322" i="9"/>
  <c r="C322" i="9"/>
  <c r="M321" i="9"/>
  <c r="L321" i="9"/>
  <c r="K321" i="9"/>
  <c r="J321" i="9"/>
  <c r="I321" i="9"/>
  <c r="H321" i="9"/>
  <c r="G321" i="9"/>
  <c r="F321" i="9"/>
  <c r="E321" i="9"/>
  <c r="C321" i="9" s="1"/>
  <c r="D321" i="9"/>
  <c r="M320" i="9"/>
  <c r="L320" i="9"/>
  <c r="K320" i="9"/>
  <c r="J320" i="9"/>
  <c r="I320" i="9"/>
  <c r="H320" i="9"/>
  <c r="G320" i="9"/>
  <c r="F320" i="9"/>
  <c r="E320" i="9"/>
  <c r="D320" i="9" s="1"/>
  <c r="M319" i="9"/>
  <c r="L319" i="9"/>
  <c r="K319" i="9"/>
  <c r="J319" i="9"/>
  <c r="I319" i="9"/>
  <c r="H319" i="9"/>
  <c r="G319" i="9"/>
  <c r="F319" i="9"/>
  <c r="E319" i="9"/>
  <c r="D319" i="9" s="1"/>
  <c r="C319" i="9"/>
  <c r="M318" i="9"/>
  <c r="L318" i="9"/>
  <c r="K318" i="9"/>
  <c r="J318" i="9"/>
  <c r="I318" i="9"/>
  <c r="H318" i="9"/>
  <c r="G318" i="9"/>
  <c r="F318" i="9"/>
  <c r="E318" i="9"/>
  <c r="D318" i="9"/>
  <c r="C318" i="9"/>
  <c r="M317" i="9"/>
  <c r="L317" i="9"/>
  <c r="K317" i="9"/>
  <c r="J317" i="9"/>
  <c r="I317" i="9"/>
  <c r="H317" i="9"/>
  <c r="G317" i="9"/>
  <c r="F317" i="9"/>
  <c r="E317" i="9"/>
  <c r="D317" i="9" s="1"/>
  <c r="M316" i="9"/>
  <c r="L316" i="9"/>
  <c r="K316" i="9"/>
  <c r="J316" i="9"/>
  <c r="I316" i="9"/>
  <c r="H316" i="9"/>
  <c r="G316" i="9"/>
  <c r="F316" i="9"/>
  <c r="E316" i="9"/>
  <c r="C316" i="9" s="1"/>
  <c r="M315" i="9"/>
  <c r="L315" i="9"/>
  <c r="K315" i="9"/>
  <c r="J315" i="9"/>
  <c r="I315" i="9"/>
  <c r="H315" i="9"/>
  <c r="G315" i="9"/>
  <c r="F315" i="9"/>
  <c r="E315" i="9"/>
  <c r="M314" i="9"/>
  <c r="L314" i="9"/>
  <c r="K314" i="9"/>
  <c r="J314" i="9"/>
  <c r="I314" i="9"/>
  <c r="H314" i="9"/>
  <c r="G314" i="9"/>
  <c r="F314" i="9"/>
  <c r="E314" i="9"/>
  <c r="D314" i="9"/>
  <c r="C314" i="9"/>
  <c r="W313" i="9"/>
  <c r="M313" i="9"/>
  <c r="L313" i="9"/>
  <c r="K313" i="9"/>
  <c r="J313" i="9"/>
  <c r="I313" i="9"/>
  <c r="H313" i="9"/>
  <c r="G313" i="9"/>
  <c r="F313" i="9"/>
  <c r="E313" i="9"/>
  <c r="C313" i="9" s="1"/>
  <c r="D313" i="9"/>
  <c r="M312" i="9"/>
  <c r="L312" i="9"/>
  <c r="K312" i="9"/>
  <c r="J312" i="9"/>
  <c r="I312" i="9"/>
  <c r="H312" i="9"/>
  <c r="G312" i="9"/>
  <c r="F312" i="9"/>
  <c r="E312" i="9"/>
  <c r="C312" i="9" s="1"/>
  <c r="D312" i="9"/>
  <c r="M311" i="9"/>
  <c r="L311" i="9"/>
  <c r="K311" i="9"/>
  <c r="J311" i="9"/>
  <c r="I311" i="9"/>
  <c r="H311" i="9"/>
  <c r="G311" i="9"/>
  <c r="F311" i="9"/>
  <c r="E311" i="9"/>
  <c r="D311" i="9" s="1"/>
  <c r="M310" i="9"/>
  <c r="L310" i="9"/>
  <c r="K310" i="9"/>
  <c r="J310" i="9"/>
  <c r="I310" i="9"/>
  <c r="H310" i="9"/>
  <c r="G310" i="9"/>
  <c r="F310" i="9"/>
  <c r="E310" i="9"/>
  <c r="D310" i="9"/>
  <c r="C310" i="9"/>
  <c r="M309" i="9"/>
  <c r="L309" i="9"/>
  <c r="K309" i="9"/>
  <c r="J309" i="9"/>
  <c r="I309" i="9"/>
  <c r="H309" i="9"/>
  <c r="G309" i="9"/>
  <c r="F309" i="9"/>
  <c r="E309" i="9"/>
  <c r="D309" i="9" s="1"/>
  <c r="C309" i="9"/>
  <c r="M308" i="9"/>
  <c r="L308" i="9"/>
  <c r="K308" i="9"/>
  <c r="J308" i="9"/>
  <c r="I308" i="9"/>
  <c r="H308" i="9"/>
  <c r="G308" i="9"/>
  <c r="F308" i="9"/>
  <c r="E308" i="9"/>
  <c r="D308" i="9"/>
  <c r="C308" i="9"/>
  <c r="M307" i="9"/>
  <c r="L307" i="9"/>
  <c r="K307" i="9"/>
  <c r="J307" i="9"/>
  <c r="I307" i="9"/>
  <c r="H307" i="9"/>
  <c r="G307" i="9"/>
  <c r="F307" i="9"/>
  <c r="E307" i="9"/>
  <c r="D307" i="9" s="1"/>
  <c r="C307" i="9"/>
  <c r="M306" i="9"/>
  <c r="L306" i="9"/>
  <c r="K306" i="9"/>
  <c r="J306" i="9"/>
  <c r="I306" i="9"/>
  <c r="H306" i="9"/>
  <c r="G306" i="9"/>
  <c r="F306" i="9"/>
  <c r="E306" i="9"/>
  <c r="C306" i="9" s="1"/>
  <c r="D306" i="9"/>
  <c r="M305" i="9"/>
  <c r="L305" i="9"/>
  <c r="K305" i="9"/>
  <c r="J305" i="9"/>
  <c r="I305" i="9"/>
  <c r="H305" i="9"/>
  <c r="G305" i="9"/>
  <c r="F305" i="9"/>
  <c r="E305" i="9"/>
  <c r="D305" i="9" s="1"/>
  <c r="M304" i="9"/>
  <c r="L304" i="9"/>
  <c r="K304" i="9"/>
  <c r="J304" i="9"/>
  <c r="I304" i="9"/>
  <c r="H304" i="9"/>
  <c r="G304" i="9"/>
  <c r="F304" i="9"/>
  <c r="E304" i="9"/>
  <c r="D304" i="9"/>
  <c r="C304" i="9"/>
  <c r="M303" i="9"/>
  <c r="L303" i="9"/>
  <c r="K303" i="9"/>
  <c r="J303" i="9"/>
  <c r="I303" i="9"/>
  <c r="H303" i="9"/>
  <c r="G303" i="9"/>
  <c r="F303" i="9"/>
  <c r="E303" i="9"/>
  <c r="D303" i="9"/>
  <c r="C303" i="9"/>
  <c r="M302" i="9"/>
  <c r="L302" i="9"/>
  <c r="K302" i="9"/>
  <c r="J302" i="9"/>
  <c r="I302" i="9"/>
  <c r="H302" i="9"/>
  <c r="G302" i="9"/>
  <c r="F302" i="9"/>
  <c r="E302" i="9"/>
  <c r="D302" i="9"/>
  <c r="C302" i="9"/>
  <c r="M301" i="9"/>
  <c r="L301" i="9"/>
  <c r="K301" i="9"/>
  <c r="J301" i="9"/>
  <c r="I301" i="9"/>
  <c r="H301" i="9"/>
  <c r="G301" i="9"/>
  <c r="F301" i="9"/>
  <c r="E301" i="9"/>
  <c r="D301" i="9" s="1"/>
  <c r="M300" i="9"/>
  <c r="L300" i="9"/>
  <c r="K300" i="9"/>
  <c r="J300" i="9"/>
  <c r="I300" i="9"/>
  <c r="H300" i="9"/>
  <c r="G300" i="9"/>
  <c r="F300" i="9"/>
  <c r="E300" i="9"/>
  <c r="C300" i="9" s="1"/>
  <c r="D300" i="9"/>
  <c r="M299" i="9"/>
  <c r="L299" i="9"/>
  <c r="K299" i="9"/>
  <c r="J299" i="9"/>
  <c r="I299" i="9"/>
  <c r="H299" i="9"/>
  <c r="G299" i="9"/>
  <c r="F299" i="9"/>
  <c r="E299" i="9"/>
  <c r="D299" i="9" s="1"/>
  <c r="M298" i="9"/>
  <c r="L298" i="9"/>
  <c r="K298" i="9"/>
  <c r="J298" i="9"/>
  <c r="I298" i="9"/>
  <c r="H298" i="9"/>
  <c r="G298" i="9"/>
  <c r="F298" i="9"/>
  <c r="E298" i="9"/>
  <c r="D298" i="9"/>
  <c r="C298" i="9"/>
  <c r="M297" i="9"/>
  <c r="L297" i="9"/>
  <c r="K297" i="9"/>
  <c r="J297" i="9"/>
  <c r="I297" i="9"/>
  <c r="H297" i="9"/>
  <c r="G297" i="9"/>
  <c r="F297" i="9"/>
  <c r="E297" i="9"/>
  <c r="C297" i="9" s="1"/>
  <c r="D297" i="9"/>
  <c r="M296" i="9"/>
  <c r="L296" i="9"/>
  <c r="K296" i="9"/>
  <c r="J296" i="9"/>
  <c r="I296" i="9"/>
  <c r="H296" i="9"/>
  <c r="G296" i="9"/>
  <c r="F296" i="9"/>
  <c r="E296" i="9"/>
  <c r="M295" i="9"/>
  <c r="L295" i="9"/>
  <c r="K295" i="9"/>
  <c r="J295" i="9"/>
  <c r="I295" i="9"/>
  <c r="H295" i="9"/>
  <c r="G295" i="9"/>
  <c r="F295" i="9"/>
  <c r="E295" i="9"/>
  <c r="D295" i="9"/>
  <c r="C295" i="9"/>
  <c r="M294" i="9"/>
  <c r="L294" i="9"/>
  <c r="K294" i="9"/>
  <c r="J294" i="9"/>
  <c r="I294" i="9"/>
  <c r="H294" i="9"/>
  <c r="G294" i="9"/>
  <c r="F294" i="9"/>
  <c r="E294" i="9"/>
  <c r="C294" i="9" s="1"/>
  <c r="D294" i="9"/>
  <c r="M293" i="9"/>
  <c r="L293" i="9"/>
  <c r="K293" i="9"/>
  <c r="J293" i="9"/>
  <c r="I293" i="9"/>
  <c r="H293" i="9"/>
  <c r="G293" i="9"/>
  <c r="F293" i="9"/>
  <c r="E293" i="9"/>
  <c r="D293" i="9" s="1"/>
  <c r="C293" i="9"/>
  <c r="M292" i="9"/>
  <c r="L292" i="9"/>
  <c r="K292" i="9"/>
  <c r="J292" i="9"/>
  <c r="I292" i="9"/>
  <c r="H292" i="9"/>
  <c r="G292" i="9"/>
  <c r="F292" i="9"/>
  <c r="E292" i="9"/>
  <c r="D292" i="9"/>
  <c r="C292" i="9"/>
  <c r="M291" i="9"/>
  <c r="L291" i="9"/>
  <c r="K291" i="9"/>
  <c r="J291" i="9"/>
  <c r="I291" i="9"/>
  <c r="H291" i="9"/>
  <c r="G291" i="9"/>
  <c r="F291" i="9"/>
  <c r="E291" i="9"/>
  <c r="D291" i="9" s="1"/>
  <c r="C291" i="9"/>
  <c r="M290" i="9"/>
  <c r="L290" i="9"/>
  <c r="K290" i="9"/>
  <c r="J290" i="9"/>
  <c r="I290" i="9"/>
  <c r="H290" i="9"/>
  <c r="G290" i="9"/>
  <c r="F290" i="9"/>
  <c r="E290" i="9"/>
  <c r="C290" i="9" s="1"/>
  <c r="D290" i="9"/>
  <c r="M289" i="9"/>
  <c r="L289" i="9"/>
  <c r="K289" i="9"/>
  <c r="J289" i="9"/>
  <c r="I289" i="9"/>
  <c r="H289" i="9"/>
  <c r="G289" i="9"/>
  <c r="F289" i="9"/>
  <c r="E289" i="9"/>
  <c r="C289" i="9" s="1"/>
  <c r="D289" i="9"/>
  <c r="M288" i="9"/>
  <c r="L288" i="9"/>
  <c r="K288" i="9"/>
  <c r="J288" i="9"/>
  <c r="I288" i="9"/>
  <c r="H288" i="9"/>
  <c r="G288" i="9"/>
  <c r="F288" i="9"/>
  <c r="E288" i="9"/>
  <c r="C288" i="9" s="1"/>
  <c r="D288" i="9"/>
  <c r="M287" i="9"/>
  <c r="L287" i="9"/>
  <c r="K287" i="9"/>
  <c r="J287" i="9"/>
  <c r="I287" i="9"/>
  <c r="H287" i="9"/>
  <c r="G287" i="9"/>
  <c r="F287" i="9"/>
  <c r="E287" i="9"/>
  <c r="D287" i="9" s="1"/>
  <c r="C287" i="9"/>
  <c r="M286" i="9"/>
  <c r="L286" i="9"/>
  <c r="K286" i="9"/>
  <c r="J286" i="9"/>
  <c r="I286" i="9"/>
  <c r="H286" i="9"/>
  <c r="G286" i="9"/>
  <c r="F286" i="9"/>
  <c r="E286" i="9"/>
  <c r="D286" i="9"/>
  <c r="C286" i="9"/>
  <c r="M285" i="9"/>
  <c r="L285" i="9"/>
  <c r="K285" i="9"/>
  <c r="J285" i="9"/>
  <c r="I285" i="9"/>
  <c r="H285" i="9"/>
  <c r="G285" i="9"/>
  <c r="F285" i="9"/>
  <c r="E285" i="9"/>
  <c r="D285" i="9" s="1"/>
  <c r="M284" i="9"/>
  <c r="L284" i="9"/>
  <c r="K284" i="9"/>
  <c r="J284" i="9"/>
  <c r="I284" i="9"/>
  <c r="H284" i="9"/>
  <c r="G284" i="9"/>
  <c r="F284" i="9"/>
  <c r="E284" i="9"/>
  <c r="D284" i="9"/>
  <c r="C284" i="9"/>
  <c r="M283" i="9"/>
  <c r="L283" i="9"/>
  <c r="K283" i="9"/>
  <c r="J283" i="9"/>
  <c r="I283" i="9"/>
  <c r="H283" i="9"/>
  <c r="G283" i="9"/>
  <c r="F283" i="9"/>
  <c r="E283" i="9"/>
  <c r="D283" i="9" s="1"/>
  <c r="M282" i="9"/>
  <c r="L282" i="9"/>
  <c r="K282" i="9"/>
  <c r="J282" i="9"/>
  <c r="I282" i="9"/>
  <c r="H282" i="9"/>
  <c r="G282" i="9"/>
  <c r="F282" i="9"/>
  <c r="E282" i="9"/>
  <c r="D282" i="9" s="1"/>
  <c r="C282" i="9"/>
  <c r="M281" i="9"/>
  <c r="L281" i="9"/>
  <c r="K281" i="9"/>
  <c r="J281" i="9"/>
  <c r="I281" i="9"/>
  <c r="H281" i="9"/>
  <c r="G281" i="9"/>
  <c r="F281" i="9"/>
  <c r="E281" i="9"/>
  <c r="D281" i="9"/>
  <c r="C281" i="9"/>
  <c r="M280" i="9"/>
  <c r="L280" i="9"/>
  <c r="K280" i="9"/>
  <c r="J280" i="9"/>
  <c r="I280" i="9"/>
  <c r="H280" i="9"/>
  <c r="G280" i="9"/>
  <c r="F280" i="9"/>
  <c r="E280" i="9"/>
  <c r="D280" i="9" s="1"/>
  <c r="C280" i="9"/>
  <c r="M279" i="9"/>
  <c r="L279" i="9"/>
  <c r="K279" i="9"/>
  <c r="J279" i="9"/>
  <c r="I279" i="9"/>
  <c r="H279" i="9"/>
  <c r="G279" i="9"/>
  <c r="F279" i="9"/>
  <c r="E279" i="9"/>
  <c r="C279" i="9" s="1"/>
  <c r="D279" i="9"/>
  <c r="M278" i="9"/>
  <c r="L278" i="9"/>
  <c r="K278" i="9"/>
  <c r="J278" i="9"/>
  <c r="I278" i="9"/>
  <c r="H278" i="9"/>
  <c r="G278" i="9"/>
  <c r="F278" i="9"/>
  <c r="E278" i="9"/>
  <c r="M277" i="9"/>
  <c r="L277" i="9"/>
  <c r="K277" i="9"/>
  <c r="J277" i="9"/>
  <c r="I277" i="9"/>
  <c r="H277" i="9"/>
  <c r="G277" i="9"/>
  <c r="F277" i="9"/>
  <c r="E277" i="9"/>
  <c r="D277" i="9"/>
  <c r="C277" i="9"/>
  <c r="M276" i="9"/>
  <c r="L276" i="9"/>
  <c r="K276" i="9"/>
  <c r="J276" i="9"/>
  <c r="I276" i="9"/>
  <c r="H276" i="9"/>
  <c r="G276" i="9"/>
  <c r="F276" i="9"/>
  <c r="E276" i="9"/>
  <c r="D276" i="9"/>
  <c r="C276" i="9"/>
  <c r="M275" i="9"/>
  <c r="L275" i="9"/>
  <c r="K275" i="9"/>
  <c r="J275" i="9"/>
  <c r="I275" i="9"/>
  <c r="H275" i="9"/>
  <c r="G275" i="9"/>
  <c r="F275" i="9"/>
  <c r="E275" i="9"/>
  <c r="D275" i="9"/>
  <c r="C275" i="9"/>
  <c r="M274" i="9"/>
  <c r="L274" i="9"/>
  <c r="K274" i="9"/>
  <c r="J274" i="9"/>
  <c r="I274" i="9"/>
  <c r="H274" i="9"/>
  <c r="G274" i="9"/>
  <c r="F274" i="9"/>
  <c r="E274" i="9"/>
  <c r="C274" i="9" s="1"/>
  <c r="D274" i="9"/>
  <c r="M273" i="9"/>
  <c r="L273" i="9"/>
  <c r="K273" i="9"/>
  <c r="J273" i="9"/>
  <c r="I273" i="9"/>
  <c r="H273" i="9"/>
  <c r="G273" i="9"/>
  <c r="F273" i="9"/>
  <c r="E273" i="9"/>
  <c r="D273" i="9" s="1"/>
  <c r="C273" i="9"/>
  <c r="M272" i="9"/>
  <c r="L272" i="9"/>
  <c r="K272" i="9"/>
  <c r="J272" i="9"/>
  <c r="I272" i="9"/>
  <c r="H272" i="9"/>
  <c r="G272" i="9"/>
  <c r="F272" i="9"/>
  <c r="E272" i="9"/>
  <c r="D272" i="9"/>
  <c r="C272" i="9"/>
  <c r="M271" i="9"/>
  <c r="L271" i="9"/>
  <c r="K271" i="9"/>
  <c r="J271" i="9"/>
  <c r="I271" i="9"/>
  <c r="H271" i="9"/>
  <c r="G271" i="9"/>
  <c r="F271" i="9"/>
  <c r="E271" i="9"/>
  <c r="D271" i="9" s="1"/>
  <c r="C271" i="9"/>
  <c r="M270" i="9"/>
  <c r="L270" i="9"/>
  <c r="K270" i="9"/>
  <c r="J270" i="9"/>
  <c r="I270" i="9"/>
  <c r="H270" i="9"/>
  <c r="G270" i="9"/>
  <c r="F270" i="9"/>
  <c r="E270" i="9"/>
  <c r="C270" i="9" s="1"/>
  <c r="D270" i="9"/>
  <c r="M269" i="9"/>
  <c r="L269" i="9"/>
  <c r="K269" i="9"/>
  <c r="J269" i="9"/>
  <c r="I269" i="9"/>
  <c r="H269" i="9"/>
  <c r="G269" i="9"/>
  <c r="F269" i="9"/>
  <c r="E269" i="9"/>
  <c r="D269" i="9" s="1"/>
  <c r="C269" i="9"/>
  <c r="M268" i="9"/>
  <c r="L268" i="9"/>
  <c r="K268" i="9"/>
  <c r="J268" i="9"/>
  <c r="I268" i="9"/>
  <c r="H268" i="9"/>
  <c r="G268" i="9"/>
  <c r="F268" i="9"/>
  <c r="E268" i="9"/>
  <c r="D268" i="9"/>
  <c r="C268" i="9"/>
  <c r="M267" i="9"/>
  <c r="L267" i="9"/>
  <c r="K267" i="9"/>
  <c r="J267" i="9"/>
  <c r="I267" i="9"/>
  <c r="H267" i="9"/>
  <c r="G267" i="9"/>
  <c r="F267" i="9"/>
  <c r="E267" i="9"/>
  <c r="D267" i="9" s="1"/>
  <c r="M266" i="9"/>
  <c r="L266" i="9"/>
  <c r="K266" i="9"/>
  <c r="J266" i="9"/>
  <c r="I266" i="9"/>
  <c r="H266" i="9"/>
  <c r="G266" i="9"/>
  <c r="F266" i="9"/>
  <c r="E266" i="9"/>
  <c r="D266" i="9"/>
  <c r="C266" i="9"/>
  <c r="M265" i="9"/>
  <c r="L265" i="9"/>
  <c r="K265" i="9"/>
  <c r="J265" i="9"/>
  <c r="I265" i="9"/>
  <c r="H265" i="9"/>
  <c r="G265" i="9"/>
  <c r="F265" i="9"/>
  <c r="E265" i="9"/>
  <c r="D265" i="9"/>
  <c r="C265" i="9"/>
  <c r="M264" i="9"/>
  <c r="L264" i="9"/>
  <c r="K264" i="9"/>
  <c r="J264" i="9"/>
  <c r="I264" i="9"/>
  <c r="H264" i="9"/>
  <c r="G264" i="9"/>
  <c r="F264" i="9"/>
  <c r="E264" i="9"/>
  <c r="C264" i="9" s="1"/>
  <c r="D264" i="9"/>
  <c r="M263" i="9"/>
  <c r="L263" i="9"/>
  <c r="K263" i="9"/>
  <c r="J263" i="9"/>
  <c r="I263" i="9"/>
  <c r="H263" i="9"/>
  <c r="G263" i="9"/>
  <c r="F263" i="9"/>
  <c r="E263" i="9"/>
  <c r="D263" i="9"/>
  <c r="C263" i="9"/>
  <c r="M262" i="9"/>
  <c r="L262" i="9"/>
  <c r="K262" i="9"/>
  <c r="J262" i="9"/>
  <c r="I262" i="9"/>
  <c r="H262" i="9"/>
  <c r="G262" i="9"/>
  <c r="F262" i="9"/>
  <c r="E262" i="9"/>
  <c r="C262" i="9" s="1"/>
  <c r="D262" i="9"/>
  <c r="M261" i="9"/>
  <c r="L261" i="9"/>
  <c r="K261" i="9"/>
  <c r="J261" i="9"/>
  <c r="I261" i="9"/>
  <c r="H261" i="9"/>
  <c r="G261" i="9"/>
  <c r="F261" i="9"/>
  <c r="E261" i="9"/>
  <c r="D261" i="9" s="1"/>
  <c r="M260" i="9"/>
  <c r="L260" i="9"/>
  <c r="K260" i="9"/>
  <c r="J260" i="9"/>
  <c r="I260" i="9"/>
  <c r="H260" i="9"/>
  <c r="G260" i="9"/>
  <c r="F260" i="9"/>
  <c r="E260" i="9"/>
  <c r="D260" i="9"/>
  <c r="C260" i="9"/>
  <c r="M259" i="9"/>
  <c r="L259" i="9"/>
  <c r="K259" i="9"/>
  <c r="J259" i="9"/>
  <c r="I259" i="9"/>
  <c r="H259" i="9"/>
  <c r="G259" i="9"/>
  <c r="F259" i="9"/>
  <c r="E259" i="9"/>
  <c r="C259" i="9" s="1"/>
  <c r="M258" i="9"/>
  <c r="L258" i="9"/>
  <c r="K258" i="9"/>
  <c r="J258" i="9"/>
  <c r="I258" i="9"/>
  <c r="H258" i="9"/>
  <c r="G258" i="9"/>
  <c r="F258" i="9"/>
  <c r="E258" i="9"/>
  <c r="M257" i="9"/>
  <c r="L257" i="9"/>
  <c r="K257" i="9"/>
  <c r="J257" i="9"/>
  <c r="I257" i="9"/>
  <c r="H257" i="9"/>
  <c r="G257" i="9"/>
  <c r="F257" i="9"/>
  <c r="E257" i="9"/>
  <c r="D257" i="9" s="1"/>
  <c r="C257" i="9"/>
  <c r="M256" i="9"/>
  <c r="L256" i="9"/>
  <c r="K256" i="9"/>
  <c r="J256" i="9"/>
  <c r="I256" i="9"/>
  <c r="H256" i="9"/>
  <c r="G256" i="9"/>
  <c r="F256" i="9"/>
  <c r="E256" i="9"/>
  <c r="D256" i="9"/>
  <c r="C256" i="9"/>
  <c r="M255" i="9"/>
  <c r="L255" i="9"/>
  <c r="K255" i="9"/>
  <c r="J255" i="9"/>
  <c r="I255" i="9"/>
  <c r="H255" i="9"/>
  <c r="G255" i="9"/>
  <c r="F255" i="9"/>
  <c r="E255" i="9"/>
  <c r="D255" i="9" s="1"/>
  <c r="C255" i="9"/>
  <c r="M254" i="9"/>
  <c r="L254" i="9"/>
  <c r="K254" i="9"/>
  <c r="J254" i="9"/>
  <c r="I254" i="9"/>
  <c r="H254" i="9"/>
  <c r="G254" i="9"/>
  <c r="F254" i="9"/>
  <c r="E254" i="9"/>
  <c r="D254" i="9"/>
  <c r="C254" i="9"/>
  <c r="M253" i="9"/>
  <c r="L253" i="9"/>
  <c r="K253" i="9"/>
  <c r="J253" i="9"/>
  <c r="I253" i="9"/>
  <c r="H253" i="9"/>
  <c r="G253" i="9"/>
  <c r="F253" i="9"/>
  <c r="E253" i="9"/>
  <c r="D253" i="9" s="1"/>
  <c r="C253" i="9"/>
  <c r="M252" i="9"/>
  <c r="L252" i="9"/>
  <c r="K252" i="9"/>
  <c r="J252" i="9"/>
  <c r="I252" i="9"/>
  <c r="H252" i="9"/>
  <c r="G252" i="9"/>
  <c r="F252" i="9"/>
  <c r="E252" i="9"/>
  <c r="D252" i="9"/>
  <c r="C252" i="9"/>
  <c r="W251" i="9"/>
  <c r="M251" i="9"/>
  <c r="L251" i="9"/>
  <c r="K251" i="9"/>
  <c r="J251" i="9"/>
  <c r="I251" i="9"/>
  <c r="H251" i="9"/>
  <c r="G251" i="9"/>
  <c r="F251" i="9"/>
  <c r="E251" i="9"/>
  <c r="D251" i="9" s="1"/>
  <c r="M250" i="9"/>
  <c r="L250" i="9"/>
  <c r="K250" i="9"/>
  <c r="J250" i="9"/>
  <c r="I250" i="9"/>
  <c r="H250" i="9"/>
  <c r="G250" i="9"/>
  <c r="F250" i="9"/>
  <c r="E250" i="9"/>
  <c r="C250" i="9" s="1"/>
  <c r="M249" i="9"/>
  <c r="L249" i="9"/>
  <c r="K249" i="9"/>
  <c r="J249" i="9"/>
  <c r="I249" i="9"/>
  <c r="H249" i="9"/>
  <c r="G249" i="9"/>
  <c r="F249" i="9"/>
  <c r="E249" i="9"/>
  <c r="D249" i="9" s="1"/>
  <c r="M248" i="9"/>
  <c r="L248" i="9"/>
  <c r="K248" i="9"/>
  <c r="J248" i="9"/>
  <c r="I248" i="9"/>
  <c r="H248" i="9"/>
  <c r="G248" i="9"/>
  <c r="F248" i="9"/>
  <c r="E248" i="9"/>
  <c r="D248" i="9"/>
  <c r="C248" i="9"/>
  <c r="M247" i="9"/>
  <c r="L247" i="9"/>
  <c r="K247" i="9"/>
  <c r="J247" i="9"/>
  <c r="I247" i="9"/>
  <c r="H247" i="9"/>
  <c r="G247" i="9"/>
  <c r="F247" i="9"/>
  <c r="E247" i="9"/>
  <c r="D247" i="9" s="1"/>
  <c r="C247" i="9"/>
  <c r="M246" i="9"/>
  <c r="L246" i="9"/>
  <c r="K246" i="9"/>
  <c r="J246" i="9"/>
  <c r="I246" i="9"/>
  <c r="H246" i="9"/>
  <c r="G246" i="9"/>
  <c r="F246" i="9"/>
  <c r="E246" i="9"/>
  <c r="D246" i="9"/>
  <c r="C246" i="9"/>
  <c r="M245" i="9"/>
  <c r="L245" i="9"/>
  <c r="K245" i="9"/>
  <c r="J245" i="9"/>
  <c r="I245" i="9"/>
  <c r="H245" i="9"/>
  <c r="G245" i="9"/>
  <c r="F245" i="9"/>
  <c r="E245" i="9"/>
  <c r="D245" i="9" s="1"/>
  <c r="M244" i="9"/>
  <c r="L244" i="9"/>
  <c r="K244" i="9"/>
  <c r="J244" i="9"/>
  <c r="I244" i="9"/>
  <c r="H244" i="9"/>
  <c r="G244" i="9"/>
  <c r="F244" i="9"/>
  <c r="E244" i="9"/>
  <c r="D244" i="9" s="1"/>
  <c r="C244" i="9"/>
  <c r="M243" i="9"/>
  <c r="L243" i="9"/>
  <c r="K243" i="9"/>
  <c r="J243" i="9"/>
  <c r="I243" i="9"/>
  <c r="H243" i="9"/>
  <c r="G243" i="9"/>
  <c r="F243" i="9"/>
  <c r="E243" i="9"/>
  <c r="D243" i="9"/>
  <c r="C243" i="9"/>
  <c r="M242" i="9"/>
  <c r="L242" i="9"/>
  <c r="K242" i="9"/>
  <c r="J242" i="9"/>
  <c r="I242" i="9"/>
  <c r="H242" i="9"/>
  <c r="G242" i="9"/>
  <c r="F242" i="9"/>
  <c r="E242" i="9"/>
  <c r="D242" i="9"/>
  <c r="C242" i="9"/>
  <c r="M241" i="9"/>
  <c r="L241" i="9"/>
  <c r="K241" i="9"/>
  <c r="J241" i="9"/>
  <c r="I241" i="9"/>
  <c r="H241" i="9"/>
  <c r="G241" i="9"/>
  <c r="F241" i="9"/>
  <c r="E241" i="9"/>
  <c r="C241" i="9" s="1"/>
  <c r="D241" i="9"/>
  <c r="M240" i="9"/>
  <c r="L240" i="9"/>
  <c r="K240" i="9"/>
  <c r="J240" i="9"/>
  <c r="I240" i="9"/>
  <c r="H240" i="9"/>
  <c r="G240" i="9"/>
  <c r="F240" i="9"/>
  <c r="E240" i="9"/>
  <c r="M239" i="9"/>
  <c r="L239" i="9"/>
  <c r="K239" i="9"/>
  <c r="J239" i="9"/>
  <c r="I239" i="9"/>
  <c r="H239" i="9"/>
  <c r="G239" i="9"/>
  <c r="F239" i="9"/>
  <c r="E239" i="9"/>
  <c r="D239" i="9"/>
  <c r="C239" i="9"/>
  <c r="M238" i="9"/>
  <c r="L238" i="9"/>
  <c r="K238" i="9"/>
  <c r="J238" i="9"/>
  <c r="I238" i="9"/>
  <c r="H238" i="9"/>
  <c r="G238" i="9"/>
  <c r="F238" i="9"/>
  <c r="E238" i="9"/>
  <c r="C238" i="9" s="1"/>
  <c r="D238" i="9"/>
  <c r="M237" i="9"/>
  <c r="L237" i="9"/>
  <c r="K237" i="9"/>
  <c r="J237" i="9"/>
  <c r="I237" i="9"/>
  <c r="H237" i="9"/>
  <c r="G237" i="9"/>
  <c r="F237" i="9"/>
  <c r="E237" i="9"/>
  <c r="C237" i="9" s="1"/>
  <c r="D237" i="9"/>
  <c r="M236" i="9"/>
  <c r="L236" i="9"/>
  <c r="K236" i="9"/>
  <c r="J236" i="9"/>
  <c r="I236" i="9"/>
  <c r="H236" i="9"/>
  <c r="G236" i="9"/>
  <c r="F236" i="9"/>
  <c r="E236" i="9"/>
  <c r="C236" i="9" s="1"/>
  <c r="D236" i="9"/>
  <c r="M235" i="9"/>
  <c r="L235" i="9"/>
  <c r="K235" i="9"/>
  <c r="J235" i="9"/>
  <c r="I235" i="9"/>
  <c r="H235" i="9"/>
  <c r="G235" i="9"/>
  <c r="F235" i="9"/>
  <c r="E235" i="9"/>
  <c r="D235" i="9" s="1"/>
  <c r="C235" i="9"/>
  <c r="M234" i="9"/>
  <c r="L234" i="9"/>
  <c r="K234" i="9"/>
  <c r="J234" i="9"/>
  <c r="I234" i="9"/>
  <c r="H234" i="9"/>
  <c r="G234" i="9"/>
  <c r="F234" i="9"/>
  <c r="E234" i="9"/>
  <c r="D234" i="9"/>
  <c r="C234" i="9"/>
  <c r="M233" i="9"/>
  <c r="L233" i="9"/>
  <c r="K233" i="9"/>
  <c r="J233" i="9"/>
  <c r="I233" i="9"/>
  <c r="H233" i="9"/>
  <c r="G233" i="9"/>
  <c r="F233" i="9"/>
  <c r="E233" i="9"/>
  <c r="D233" i="9" s="1"/>
  <c r="C233" i="9"/>
  <c r="M232" i="9"/>
  <c r="L232" i="9"/>
  <c r="K232" i="9"/>
  <c r="J232" i="9"/>
  <c r="I232" i="9"/>
  <c r="H232" i="9"/>
  <c r="G232" i="9"/>
  <c r="F232" i="9"/>
  <c r="E232" i="9"/>
  <c r="C232" i="9" s="1"/>
  <c r="D232" i="9"/>
  <c r="M231" i="9"/>
  <c r="L231" i="9"/>
  <c r="K231" i="9"/>
  <c r="J231" i="9"/>
  <c r="I231" i="9"/>
  <c r="H231" i="9"/>
  <c r="G231" i="9"/>
  <c r="F231" i="9"/>
  <c r="E231" i="9"/>
  <c r="D231" i="9" s="1"/>
  <c r="C231" i="9"/>
  <c r="M230" i="9"/>
  <c r="L230" i="9"/>
  <c r="K230" i="9"/>
  <c r="J230" i="9"/>
  <c r="I230" i="9"/>
  <c r="H230" i="9"/>
  <c r="G230" i="9"/>
  <c r="F230" i="9"/>
  <c r="E230" i="9"/>
  <c r="D230" i="9"/>
  <c r="C230" i="9"/>
  <c r="M229" i="9"/>
  <c r="L229" i="9"/>
  <c r="K229" i="9"/>
  <c r="J229" i="9"/>
  <c r="I229" i="9"/>
  <c r="H229" i="9"/>
  <c r="G229" i="9"/>
  <c r="F229" i="9"/>
  <c r="E229" i="9"/>
  <c r="D229" i="9" s="1"/>
  <c r="M228" i="9"/>
  <c r="L228" i="9"/>
  <c r="K228" i="9"/>
  <c r="J228" i="9"/>
  <c r="I228" i="9"/>
  <c r="H228" i="9"/>
  <c r="G228" i="9"/>
  <c r="F228" i="9"/>
  <c r="E228" i="9"/>
  <c r="D228" i="9"/>
  <c r="C228" i="9"/>
  <c r="M227" i="9"/>
  <c r="L227" i="9"/>
  <c r="K227" i="9"/>
  <c r="J227" i="9"/>
  <c r="I227" i="9"/>
  <c r="H227" i="9"/>
  <c r="G227" i="9"/>
  <c r="F227" i="9"/>
  <c r="E227" i="9"/>
  <c r="D227" i="9"/>
  <c r="C227" i="9"/>
  <c r="M226" i="9"/>
  <c r="L226" i="9"/>
  <c r="K226" i="9"/>
  <c r="J226" i="9"/>
  <c r="I226" i="9"/>
  <c r="H226" i="9"/>
  <c r="G226" i="9"/>
  <c r="F226" i="9"/>
  <c r="E226" i="9"/>
  <c r="D226" i="9" s="1"/>
  <c r="M225" i="9"/>
  <c r="L225" i="9"/>
  <c r="K225" i="9"/>
  <c r="J225" i="9"/>
  <c r="I225" i="9"/>
  <c r="H225" i="9"/>
  <c r="G225" i="9"/>
  <c r="F225" i="9"/>
  <c r="E225" i="9"/>
  <c r="C225" i="9" s="1"/>
  <c r="M224" i="9"/>
  <c r="L224" i="9"/>
  <c r="K224" i="9"/>
  <c r="J224" i="9"/>
  <c r="I224" i="9"/>
  <c r="H224" i="9"/>
  <c r="G224" i="9"/>
  <c r="F224" i="9"/>
  <c r="E224" i="9"/>
  <c r="C224" i="9" s="1"/>
  <c r="D224" i="9"/>
  <c r="M223" i="9"/>
  <c r="L223" i="9"/>
  <c r="K223" i="9"/>
  <c r="J223" i="9"/>
  <c r="I223" i="9"/>
  <c r="H223" i="9"/>
  <c r="G223" i="9"/>
  <c r="F223" i="9"/>
  <c r="E223" i="9"/>
  <c r="D223" i="9" s="1"/>
  <c r="C223" i="9"/>
  <c r="W222" i="9"/>
  <c r="M222" i="9"/>
  <c r="L222" i="9"/>
  <c r="K222" i="9"/>
  <c r="J222" i="9"/>
  <c r="I222" i="9"/>
  <c r="H222" i="9"/>
  <c r="G222" i="9"/>
  <c r="F222" i="9"/>
  <c r="E222" i="9"/>
  <c r="D222" i="9"/>
  <c r="C222" i="9"/>
  <c r="M221" i="9"/>
  <c r="L221" i="9"/>
  <c r="K221" i="9"/>
  <c r="J221" i="9"/>
  <c r="I221" i="9"/>
  <c r="H221" i="9"/>
  <c r="G221" i="9"/>
  <c r="F221" i="9"/>
  <c r="E221" i="9"/>
  <c r="C221" i="9" s="1"/>
  <c r="D221" i="9"/>
  <c r="M220" i="9"/>
  <c r="L220" i="9"/>
  <c r="K220" i="9"/>
  <c r="J220" i="9"/>
  <c r="I220" i="9"/>
  <c r="H220" i="9"/>
  <c r="G220" i="9"/>
  <c r="F220" i="9"/>
  <c r="E220" i="9"/>
  <c r="M219" i="9"/>
  <c r="L219" i="9"/>
  <c r="K219" i="9"/>
  <c r="J219" i="9"/>
  <c r="I219" i="9"/>
  <c r="H219" i="9"/>
  <c r="G219" i="9"/>
  <c r="F219" i="9"/>
  <c r="E219" i="9"/>
  <c r="D219" i="9"/>
  <c r="C219" i="9"/>
  <c r="M218" i="9"/>
  <c r="L218" i="9"/>
  <c r="K218" i="9"/>
  <c r="J218" i="9"/>
  <c r="I218" i="9"/>
  <c r="H218" i="9"/>
  <c r="G218" i="9"/>
  <c r="F218" i="9"/>
  <c r="E218" i="9"/>
  <c r="C218" i="9" s="1"/>
  <c r="D218" i="9"/>
  <c r="M217" i="9"/>
  <c r="L217" i="9"/>
  <c r="K217" i="9"/>
  <c r="J217" i="9"/>
  <c r="I217" i="9"/>
  <c r="H217" i="9"/>
  <c r="G217" i="9"/>
  <c r="F217" i="9"/>
  <c r="E217" i="9"/>
  <c r="D217" i="9" s="1"/>
  <c r="C217" i="9"/>
  <c r="M216" i="9"/>
  <c r="L216" i="9"/>
  <c r="K216" i="9"/>
  <c r="J216" i="9"/>
  <c r="I216" i="9"/>
  <c r="H216" i="9"/>
  <c r="G216" i="9"/>
  <c r="F216" i="9"/>
  <c r="E216" i="9"/>
  <c r="C216" i="9" s="1"/>
  <c r="D216" i="9"/>
  <c r="M215" i="9"/>
  <c r="L215" i="9"/>
  <c r="K215" i="9"/>
  <c r="J215" i="9"/>
  <c r="I215" i="9"/>
  <c r="H215" i="9"/>
  <c r="G215" i="9"/>
  <c r="F215" i="9"/>
  <c r="E215" i="9"/>
  <c r="D215" i="9" s="1"/>
  <c r="C215" i="9"/>
  <c r="M214" i="9"/>
  <c r="L214" i="9"/>
  <c r="K214" i="9"/>
  <c r="J214" i="9"/>
  <c r="I214" i="9"/>
  <c r="H214" i="9"/>
  <c r="G214" i="9"/>
  <c r="F214" i="9"/>
  <c r="E214" i="9"/>
  <c r="D214" i="9"/>
  <c r="C214" i="9"/>
  <c r="M213" i="9"/>
  <c r="L213" i="9"/>
  <c r="K213" i="9"/>
  <c r="J213" i="9"/>
  <c r="I213" i="9"/>
  <c r="H213" i="9"/>
  <c r="G213" i="9"/>
  <c r="F213" i="9"/>
  <c r="E213" i="9"/>
  <c r="D213" i="9"/>
  <c r="C213" i="9"/>
  <c r="M212" i="9"/>
  <c r="L212" i="9"/>
  <c r="K212" i="9"/>
  <c r="J212" i="9"/>
  <c r="I212" i="9"/>
  <c r="H212" i="9"/>
  <c r="G212" i="9"/>
  <c r="F212" i="9"/>
  <c r="E212" i="9"/>
  <c r="D212" i="9"/>
  <c r="C212" i="9"/>
  <c r="M211" i="9"/>
  <c r="L211" i="9"/>
  <c r="K211" i="9"/>
  <c r="J211" i="9"/>
  <c r="I211" i="9"/>
  <c r="H211" i="9"/>
  <c r="G211" i="9"/>
  <c r="F211" i="9"/>
  <c r="E211" i="9"/>
  <c r="D211" i="9" s="1"/>
  <c r="M210" i="9"/>
  <c r="L210" i="9"/>
  <c r="K210" i="9"/>
  <c r="J210" i="9"/>
  <c r="I210" i="9"/>
  <c r="H210" i="9"/>
  <c r="G210" i="9"/>
  <c r="F210" i="9"/>
  <c r="E210" i="9"/>
  <c r="D210" i="9" s="1"/>
  <c r="C210" i="9"/>
  <c r="M209" i="9"/>
  <c r="L209" i="9"/>
  <c r="K209" i="9"/>
  <c r="J209" i="9"/>
  <c r="I209" i="9"/>
  <c r="H209" i="9"/>
  <c r="G209" i="9"/>
  <c r="F209" i="9"/>
  <c r="E209" i="9"/>
  <c r="D209" i="9"/>
  <c r="C209" i="9"/>
  <c r="M208" i="9"/>
  <c r="L208" i="9"/>
  <c r="K208" i="9"/>
  <c r="J208" i="9"/>
  <c r="I208" i="9"/>
  <c r="H208" i="9"/>
  <c r="G208" i="9"/>
  <c r="F208" i="9"/>
  <c r="E208" i="9"/>
  <c r="D208" i="9" s="1"/>
  <c r="C208" i="9"/>
  <c r="M207" i="9"/>
  <c r="L207" i="9"/>
  <c r="K207" i="9"/>
  <c r="J207" i="9"/>
  <c r="I207" i="9"/>
  <c r="H207" i="9"/>
  <c r="G207" i="9"/>
  <c r="F207" i="9"/>
  <c r="E207" i="9"/>
  <c r="C207" i="9" s="1"/>
  <c r="D207" i="9"/>
  <c r="M206" i="9"/>
  <c r="L206" i="9"/>
  <c r="K206" i="9"/>
  <c r="J206" i="9"/>
  <c r="I206" i="9"/>
  <c r="H206" i="9"/>
  <c r="G206" i="9"/>
  <c r="F206" i="9"/>
  <c r="E206" i="9"/>
  <c r="M205" i="9"/>
  <c r="L205" i="9"/>
  <c r="K205" i="9"/>
  <c r="J205" i="9"/>
  <c r="I205" i="9"/>
  <c r="H205" i="9"/>
  <c r="G205" i="9"/>
  <c r="F205" i="9"/>
  <c r="E205" i="9"/>
  <c r="D205" i="9" s="1"/>
  <c r="C205" i="9"/>
  <c r="M204" i="9"/>
  <c r="L204" i="9"/>
  <c r="K204" i="9"/>
  <c r="J204" i="9"/>
  <c r="I204" i="9"/>
  <c r="H204" i="9"/>
  <c r="G204" i="9"/>
  <c r="F204" i="9"/>
  <c r="E204" i="9"/>
  <c r="C204" i="9" s="1"/>
  <c r="D204" i="9"/>
  <c r="M203" i="9"/>
  <c r="L203" i="9"/>
  <c r="K203" i="9"/>
  <c r="J203" i="9"/>
  <c r="I203" i="9"/>
  <c r="H203" i="9"/>
  <c r="G203" i="9"/>
  <c r="F203" i="9"/>
  <c r="E203" i="9"/>
  <c r="D203" i="9" s="1"/>
  <c r="C203" i="9"/>
  <c r="M202" i="9"/>
  <c r="L202" i="9"/>
  <c r="K202" i="9"/>
  <c r="J202" i="9"/>
  <c r="I202" i="9"/>
  <c r="H202" i="9"/>
  <c r="G202" i="9"/>
  <c r="F202" i="9"/>
  <c r="E202" i="9"/>
  <c r="C202" i="9" s="1"/>
  <c r="D202" i="9"/>
  <c r="M201" i="9"/>
  <c r="L201" i="9"/>
  <c r="K201" i="9"/>
  <c r="J201" i="9"/>
  <c r="I201" i="9"/>
  <c r="H201" i="9"/>
  <c r="G201" i="9"/>
  <c r="F201" i="9"/>
  <c r="E201" i="9"/>
  <c r="D201" i="9" s="1"/>
  <c r="C201" i="9"/>
  <c r="M200" i="9"/>
  <c r="L200" i="9"/>
  <c r="K200" i="9"/>
  <c r="J200" i="9"/>
  <c r="I200" i="9"/>
  <c r="H200" i="9"/>
  <c r="G200" i="9"/>
  <c r="F200" i="9"/>
  <c r="E200" i="9"/>
  <c r="D200" i="9"/>
  <c r="C200" i="9"/>
  <c r="M199" i="9"/>
  <c r="L199" i="9"/>
  <c r="K199" i="9"/>
  <c r="J199" i="9"/>
  <c r="I199" i="9"/>
  <c r="H199" i="9"/>
  <c r="G199" i="9"/>
  <c r="F199" i="9"/>
  <c r="E199" i="9"/>
  <c r="D199" i="9" s="1"/>
  <c r="M198" i="9"/>
  <c r="L198" i="9"/>
  <c r="K198" i="9"/>
  <c r="J198" i="9"/>
  <c r="I198" i="9"/>
  <c r="H198" i="9"/>
  <c r="G198" i="9"/>
  <c r="F198" i="9"/>
  <c r="E198" i="9"/>
  <c r="D198" i="9" s="1"/>
  <c r="C198" i="9"/>
  <c r="M197" i="9"/>
  <c r="L197" i="9"/>
  <c r="K197" i="9"/>
  <c r="J197" i="9"/>
  <c r="I197" i="9"/>
  <c r="H197" i="9"/>
  <c r="G197" i="9"/>
  <c r="F197" i="9"/>
  <c r="E197" i="9"/>
  <c r="D197" i="9"/>
  <c r="C197" i="9"/>
  <c r="M196" i="9"/>
  <c r="L196" i="9"/>
  <c r="K196" i="9"/>
  <c r="J196" i="9"/>
  <c r="I196" i="9"/>
  <c r="H196" i="9"/>
  <c r="G196" i="9"/>
  <c r="F196" i="9"/>
  <c r="E196" i="9"/>
  <c r="D196" i="9" s="1"/>
  <c r="M195" i="9"/>
  <c r="L195" i="9"/>
  <c r="K195" i="9"/>
  <c r="J195" i="9"/>
  <c r="I195" i="9"/>
  <c r="H195" i="9"/>
  <c r="G195" i="9"/>
  <c r="F195" i="9"/>
  <c r="E195" i="9"/>
  <c r="C195" i="9" s="1"/>
  <c r="M194" i="9"/>
  <c r="L194" i="9"/>
  <c r="K194" i="9"/>
  <c r="J194" i="9"/>
  <c r="I194" i="9"/>
  <c r="H194" i="9"/>
  <c r="G194" i="9"/>
  <c r="F194" i="9"/>
  <c r="E194" i="9"/>
  <c r="M193" i="9"/>
  <c r="L193" i="9"/>
  <c r="K193" i="9"/>
  <c r="J193" i="9"/>
  <c r="I193" i="9"/>
  <c r="H193" i="9"/>
  <c r="G193" i="9"/>
  <c r="F193" i="9"/>
  <c r="E193" i="9"/>
  <c r="D193" i="9"/>
  <c r="C193" i="9"/>
  <c r="M192" i="9"/>
  <c r="L192" i="9"/>
  <c r="K192" i="9"/>
  <c r="J192" i="9"/>
  <c r="I192" i="9"/>
  <c r="H192" i="9"/>
  <c r="G192" i="9"/>
  <c r="F192" i="9"/>
  <c r="E192" i="9"/>
  <c r="C192" i="9" s="1"/>
  <c r="D192" i="9"/>
  <c r="M191" i="9"/>
  <c r="L191" i="9"/>
  <c r="K191" i="9"/>
  <c r="J191" i="9"/>
  <c r="I191" i="9"/>
  <c r="H191" i="9"/>
  <c r="G191" i="9"/>
  <c r="F191" i="9"/>
  <c r="E191" i="9"/>
  <c r="D191" i="9" s="1"/>
  <c r="C191" i="9"/>
  <c r="M190" i="9"/>
  <c r="L190" i="9"/>
  <c r="K190" i="9"/>
  <c r="J190" i="9"/>
  <c r="I190" i="9"/>
  <c r="H190" i="9"/>
  <c r="G190" i="9"/>
  <c r="F190" i="9"/>
  <c r="E190" i="9"/>
  <c r="C190" i="9" s="1"/>
  <c r="D190" i="9"/>
  <c r="M189" i="9"/>
  <c r="L189" i="9"/>
  <c r="K189" i="9"/>
  <c r="J189" i="9"/>
  <c r="I189" i="9"/>
  <c r="H189" i="9"/>
  <c r="G189" i="9"/>
  <c r="F189" i="9"/>
  <c r="E189" i="9"/>
  <c r="D189" i="9" s="1"/>
  <c r="C189" i="9"/>
  <c r="M188" i="9"/>
  <c r="L188" i="9"/>
  <c r="K188" i="9"/>
  <c r="J188" i="9"/>
  <c r="I188" i="9"/>
  <c r="H188" i="9"/>
  <c r="G188" i="9"/>
  <c r="F188" i="9"/>
  <c r="E188" i="9"/>
  <c r="D188" i="9"/>
  <c r="C188" i="9"/>
  <c r="W187" i="9"/>
  <c r="M187" i="9"/>
  <c r="L187" i="9"/>
  <c r="K187" i="9"/>
  <c r="J187" i="9"/>
  <c r="I187" i="9"/>
  <c r="H187" i="9"/>
  <c r="G187" i="9"/>
  <c r="F187" i="9"/>
  <c r="E187" i="9"/>
  <c r="D187" i="9" s="1"/>
  <c r="M186" i="9"/>
  <c r="L186" i="9"/>
  <c r="K186" i="9"/>
  <c r="J186" i="9"/>
  <c r="I186" i="9"/>
  <c r="H186" i="9"/>
  <c r="G186" i="9"/>
  <c r="F186" i="9"/>
  <c r="E186" i="9"/>
  <c r="D186" i="9" s="1"/>
  <c r="C186" i="9"/>
  <c r="M185" i="9"/>
  <c r="L185" i="9"/>
  <c r="K185" i="9"/>
  <c r="J185" i="9"/>
  <c r="I185" i="9"/>
  <c r="H185" i="9"/>
  <c r="G185" i="9"/>
  <c r="F185" i="9"/>
  <c r="E185" i="9"/>
  <c r="D185" i="9"/>
  <c r="C185" i="9"/>
  <c r="M184" i="9"/>
  <c r="L184" i="9"/>
  <c r="K184" i="9"/>
  <c r="J184" i="9"/>
  <c r="I184" i="9"/>
  <c r="H184" i="9"/>
  <c r="G184" i="9"/>
  <c r="F184" i="9"/>
  <c r="E184" i="9"/>
  <c r="C184" i="9" s="1"/>
  <c r="D184" i="9"/>
  <c r="M183" i="9"/>
  <c r="L183" i="9"/>
  <c r="K183" i="9"/>
  <c r="J183" i="9"/>
  <c r="I183" i="9"/>
  <c r="H183" i="9"/>
  <c r="G183" i="9"/>
  <c r="F183" i="9"/>
  <c r="E183" i="9"/>
  <c r="C183" i="9" s="1"/>
  <c r="D183" i="9"/>
  <c r="M182" i="9"/>
  <c r="L182" i="9"/>
  <c r="K182" i="9"/>
  <c r="J182" i="9"/>
  <c r="I182" i="9"/>
  <c r="H182" i="9"/>
  <c r="G182" i="9"/>
  <c r="F182" i="9"/>
  <c r="E182" i="9"/>
  <c r="M181" i="9"/>
  <c r="L181" i="9"/>
  <c r="K181" i="9"/>
  <c r="J181" i="9"/>
  <c r="I181" i="9"/>
  <c r="H181" i="9"/>
  <c r="G181" i="9"/>
  <c r="F181" i="9"/>
  <c r="E181" i="9"/>
  <c r="D181" i="9"/>
  <c r="C181" i="9"/>
  <c r="M180" i="9"/>
  <c r="L180" i="9"/>
  <c r="K180" i="9"/>
  <c r="J180" i="9"/>
  <c r="I180" i="9"/>
  <c r="H180" i="9"/>
  <c r="G180" i="9"/>
  <c r="F180" i="9"/>
  <c r="E180" i="9"/>
  <c r="C180" i="9" s="1"/>
  <c r="D180" i="9"/>
  <c r="M179" i="9"/>
  <c r="L179" i="9"/>
  <c r="K179" i="9"/>
  <c r="J179" i="9"/>
  <c r="I179" i="9"/>
  <c r="H179" i="9"/>
  <c r="G179" i="9"/>
  <c r="F179" i="9"/>
  <c r="E179" i="9"/>
  <c r="D179" i="9" s="1"/>
  <c r="C179" i="9"/>
  <c r="M178" i="9"/>
  <c r="L178" i="9"/>
  <c r="K178" i="9"/>
  <c r="J178" i="9"/>
  <c r="I178" i="9"/>
  <c r="H178" i="9"/>
  <c r="G178" i="9"/>
  <c r="F178" i="9"/>
  <c r="E178" i="9"/>
  <c r="C178" i="9" s="1"/>
  <c r="D178" i="9"/>
  <c r="M177" i="9"/>
  <c r="L177" i="9"/>
  <c r="K177" i="9"/>
  <c r="J177" i="9"/>
  <c r="I177" i="9"/>
  <c r="H177" i="9"/>
  <c r="G177" i="9"/>
  <c r="F177" i="9"/>
  <c r="E177" i="9"/>
  <c r="D177" i="9" s="1"/>
  <c r="C177" i="9"/>
  <c r="M176" i="9"/>
  <c r="L176" i="9"/>
  <c r="K176" i="9"/>
  <c r="J176" i="9"/>
  <c r="I176" i="9"/>
  <c r="H176" i="9"/>
  <c r="G176" i="9"/>
  <c r="F176" i="9"/>
  <c r="E176" i="9"/>
  <c r="D176" i="9"/>
  <c r="C176" i="9"/>
  <c r="M175" i="9"/>
  <c r="L175" i="9"/>
  <c r="K175" i="9"/>
  <c r="J175" i="9"/>
  <c r="I175" i="9"/>
  <c r="H175" i="9"/>
  <c r="G175" i="9"/>
  <c r="F175" i="9"/>
  <c r="E175" i="9"/>
  <c r="D175" i="9" s="1"/>
  <c r="C175" i="9"/>
  <c r="M174" i="9"/>
  <c r="L174" i="9"/>
  <c r="K174" i="9"/>
  <c r="J174" i="9"/>
  <c r="I174" i="9"/>
  <c r="H174" i="9"/>
  <c r="G174" i="9"/>
  <c r="F174" i="9"/>
  <c r="E174" i="9"/>
  <c r="D174" i="9"/>
  <c r="C174" i="9"/>
  <c r="M173" i="9"/>
  <c r="L173" i="9"/>
  <c r="K173" i="9"/>
  <c r="J173" i="9"/>
  <c r="I173" i="9"/>
  <c r="H173" i="9"/>
  <c r="G173" i="9"/>
  <c r="F173" i="9"/>
  <c r="E173" i="9"/>
  <c r="D173" i="9" s="1"/>
  <c r="M172" i="9"/>
  <c r="L172" i="9"/>
  <c r="K172" i="9"/>
  <c r="J172" i="9"/>
  <c r="I172" i="9"/>
  <c r="H172" i="9"/>
  <c r="G172" i="9"/>
  <c r="F172" i="9"/>
  <c r="E172" i="9"/>
  <c r="D172" i="9" s="1"/>
  <c r="C172" i="9"/>
  <c r="M171" i="9"/>
  <c r="L171" i="9"/>
  <c r="K171" i="9"/>
  <c r="J171" i="9"/>
  <c r="I171" i="9"/>
  <c r="H171" i="9"/>
  <c r="G171" i="9"/>
  <c r="F171" i="9"/>
  <c r="E171" i="9"/>
  <c r="D171" i="9"/>
  <c r="C171" i="9"/>
  <c r="M170" i="9"/>
  <c r="L170" i="9"/>
  <c r="K170" i="9"/>
  <c r="J170" i="9"/>
  <c r="I170" i="9"/>
  <c r="H170" i="9"/>
  <c r="G170" i="9"/>
  <c r="F170" i="9"/>
  <c r="E170" i="9"/>
  <c r="C170" i="9" s="1"/>
  <c r="D170" i="9"/>
  <c r="M169" i="9"/>
  <c r="L169" i="9"/>
  <c r="K169" i="9"/>
  <c r="J169" i="9"/>
  <c r="I169" i="9"/>
  <c r="H169" i="9"/>
  <c r="G169" i="9"/>
  <c r="F169" i="9"/>
  <c r="E169" i="9"/>
  <c r="C169" i="9" s="1"/>
  <c r="M168" i="9"/>
  <c r="L168" i="9"/>
  <c r="K168" i="9"/>
  <c r="J168" i="9"/>
  <c r="I168" i="9"/>
  <c r="H168" i="9"/>
  <c r="G168" i="9"/>
  <c r="F168" i="9"/>
  <c r="E168" i="9"/>
  <c r="W167" i="9"/>
  <c r="M167" i="9"/>
  <c r="L167" i="9"/>
  <c r="K167" i="9"/>
  <c r="J167" i="9"/>
  <c r="I167" i="9"/>
  <c r="H167" i="9"/>
  <c r="G167" i="9"/>
  <c r="F167" i="9"/>
  <c r="E167" i="9"/>
  <c r="D167" i="9"/>
  <c r="C167" i="9"/>
  <c r="M166" i="9"/>
  <c r="L166" i="9"/>
  <c r="K166" i="9"/>
  <c r="J166" i="9"/>
  <c r="I166" i="9"/>
  <c r="H166" i="9"/>
  <c r="G166" i="9"/>
  <c r="F166" i="9"/>
  <c r="E166" i="9"/>
  <c r="C166" i="9" s="1"/>
  <c r="D166" i="9"/>
  <c r="M165" i="9"/>
  <c r="L165" i="9"/>
  <c r="K165" i="9"/>
  <c r="J165" i="9"/>
  <c r="I165" i="9"/>
  <c r="H165" i="9"/>
  <c r="G165" i="9"/>
  <c r="F165" i="9"/>
  <c r="E165" i="9"/>
  <c r="D165" i="9" s="1"/>
  <c r="C165" i="9"/>
  <c r="M164" i="9"/>
  <c r="L164" i="9"/>
  <c r="K164" i="9"/>
  <c r="J164" i="9"/>
  <c r="I164" i="9"/>
  <c r="H164" i="9"/>
  <c r="G164" i="9"/>
  <c r="F164" i="9"/>
  <c r="E164" i="9"/>
  <c r="C164" i="9" s="1"/>
  <c r="D164" i="9"/>
  <c r="M163" i="9"/>
  <c r="L163" i="9"/>
  <c r="K163" i="9"/>
  <c r="J163" i="9"/>
  <c r="I163" i="9"/>
  <c r="H163" i="9"/>
  <c r="G163" i="9"/>
  <c r="F163" i="9"/>
  <c r="E163" i="9"/>
  <c r="D163" i="9" s="1"/>
  <c r="C163" i="9"/>
  <c r="M162" i="9"/>
  <c r="L162" i="9"/>
  <c r="K162" i="9"/>
  <c r="J162" i="9"/>
  <c r="I162" i="9"/>
  <c r="H162" i="9"/>
  <c r="G162" i="9"/>
  <c r="F162" i="9"/>
  <c r="E162" i="9"/>
  <c r="D162" i="9"/>
  <c r="C162" i="9"/>
  <c r="M161" i="9"/>
  <c r="L161" i="9"/>
  <c r="K161" i="9"/>
  <c r="J161" i="9"/>
  <c r="I161" i="9"/>
  <c r="H161" i="9"/>
  <c r="G161" i="9"/>
  <c r="F161" i="9"/>
  <c r="E161" i="9"/>
  <c r="D161" i="9" s="1"/>
  <c r="M160" i="9"/>
  <c r="L160" i="9"/>
  <c r="K160" i="9"/>
  <c r="J160" i="9"/>
  <c r="I160" i="9"/>
  <c r="H160" i="9"/>
  <c r="G160" i="9"/>
  <c r="F160" i="9"/>
  <c r="E160" i="9"/>
  <c r="D160" i="9" s="1"/>
  <c r="C160" i="9"/>
  <c r="M159" i="9"/>
  <c r="L159" i="9"/>
  <c r="K159" i="9"/>
  <c r="J159" i="9"/>
  <c r="I159" i="9"/>
  <c r="H159" i="9"/>
  <c r="G159" i="9"/>
  <c r="F159" i="9"/>
  <c r="E159" i="9"/>
  <c r="D159" i="9"/>
  <c r="C159" i="9"/>
  <c r="M158" i="9"/>
  <c r="L158" i="9"/>
  <c r="K158" i="9"/>
  <c r="J158" i="9"/>
  <c r="I158" i="9"/>
  <c r="H158" i="9"/>
  <c r="G158" i="9"/>
  <c r="F158" i="9"/>
  <c r="E158" i="9"/>
  <c r="C158" i="9" s="1"/>
  <c r="D158" i="9"/>
  <c r="M157" i="9"/>
  <c r="L157" i="9"/>
  <c r="K157" i="9"/>
  <c r="J157" i="9"/>
  <c r="I157" i="9"/>
  <c r="H157" i="9"/>
  <c r="G157" i="9"/>
  <c r="F157" i="9"/>
  <c r="E157" i="9"/>
  <c r="C157" i="9" s="1"/>
  <c r="L156" i="9"/>
  <c r="K156" i="9"/>
  <c r="H156" i="9"/>
  <c r="E156" i="9"/>
  <c r="C156" i="9" s="1"/>
  <c r="M156" i="9" s="1"/>
  <c r="D156" i="9"/>
  <c r="M155" i="9"/>
  <c r="L155" i="9"/>
  <c r="K155" i="9"/>
  <c r="J155" i="9"/>
  <c r="I155" i="9"/>
  <c r="H155" i="9"/>
  <c r="G155" i="9"/>
  <c r="F155" i="9"/>
  <c r="E155" i="9"/>
  <c r="D155" i="9" s="1"/>
  <c r="M154" i="9"/>
  <c r="L154" i="9"/>
  <c r="K154" i="9"/>
  <c r="J154" i="9"/>
  <c r="I154" i="9"/>
  <c r="H154" i="9"/>
  <c r="G154" i="9"/>
  <c r="F154" i="9"/>
  <c r="E154" i="9"/>
  <c r="D154" i="9" s="1"/>
  <c r="C154" i="9"/>
  <c r="M153" i="9"/>
  <c r="L153" i="9"/>
  <c r="K153" i="9"/>
  <c r="J153" i="9"/>
  <c r="I153" i="9"/>
  <c r="H153" i="9"/>
  <c r="G153" i="9"/>
  <c r="F153" i="9"/>
  <c r="E153" i="9"/>
  <c r="D153" i="9"/>
  <c r="C153" i="9"/>
  <c r="M152" i="9"/>
  <c r="L152" i="9"/>
  <c r="K152" i="9"/>
  <c r="J152" i="9"/>
  <c r="I152" i="9"/>
  <c r="H152" i="9"/>
  <c r="G152" i="9"/>
  <c r="F152" i="9"/>
  <c r="E152" i="9"/>
  <c r="C152" i="9" s="1"/>
  <c r="D152" i="9"/>
  <c r="M151" i="9"/>
  <c r="L151" i="9"/>
  <c r="K151" i="9"/>
  <c r="J151" i="9"/>
  <c r="I151" i="9"/>
  <c r="H151" i="9"/>
  <c r="G151" i="9"/>
  <c r="F151" i="9"/>
  <c r="E151" i="9"/>
  <c r="C151" i="9" s="1"/>
  <c r="M150" i="9"/>
  <c r="L150" i="9"/>
  <c r="K150" i="9"/>
  <c r="J150" i="9"/>
  <c r="I150" i="9"/>
  <c r="H150" i="9"/>
  <c r="G150" i="9"/>
  <c r="F150" i="9"/>
  <c r="E150" i="9"/>
  <c r="M149" i="9"/>
  <c r="L149" i="9"/>
  <c r="K149" i="9"/>
  <c r="J149" i="9"/>
  <c r="I149" i="9"/>
  <c r="H149" i="9"/>
  <c r="G149" i="9"/>
  <c r="F149" i="9"/>
  <c r="E149" i="9"/>
  <c r="D149" i="9"/>
  <c r="C149" i="9"/>
  <c r="M148" i="9"/>
  <c r="L148" i="9"/>
  <c r="K148" i="9"/>
  <c r="J148" i="9"/>
  <c r="I148" i="9"/>
  <c r="H148" i="9"/>
  <c r="G148" i="9"/>
  <c r="F148" i="9"/>
  <c r="E148" i="9"/>
  <c r="C148" i="9" s="1"/>
  <c r="D148" i="9"/>
  <c r="M147" i="9"/>
  <c r="L147" i="9"/>
  <c r="K147" i="9"/>
  <c r="J147" i="9"/>
  <c r="I147" i="9"/>
  <c r="H147" i="9"/>
  <c r="G147" i="9"/>
  <c r="F147" i="9"/>
  <c r="E147" i="9"/>
  <c r="D147" i="9" s="1"/>
  <c r="C147" i="9"/>
  <c r="M146" i="9"/>
  <c r="L146" i="9"/>
  <c r="K146" i="9"/>
  <c r="J146" i="9"/>
  <c r="I146" i="9"/>
  <c r="H146" i="9"/>
  <c r="G146" i="9"/>
  <c r="F146" i="9"/>
  <c r="E146" i="9"/>
  <c r="D146" i="9"/>
  <c r="C146" i="9"/>
  <c r="M145" i="9"/>
  <c r="L145" i="9"/>
  <c r="K145" i="9"/>
  <c r="J145" i="9"/>
  <c r="I145" i="9"/>
  <c r="H145" i="9"/>
  <c r="G145" i="9"/>
  <c r="F145" i="9"/>
  <c r="E145" i="9"/>
  <c r="D145" i="9" s="1"/>
  <c r="C145" i="9"/>
  <c r="M144" i="9"/>
  <c r="L144" i="9"/>
  <c r="K144" i="9"/>
  <c r="J144" i="9"/>
  <c r="I144" i="9"/>
  <c r="H144" i="9"/>
  <c r="G144" i="9"/>
  <c r="F144" i="9"/>
  <c r="E144" i="9"/>
  <c r="C144" i="9" s="1"/>
  <c r="D144" i="9"/>
  <c r="M143" i="9"/>
  <c r="L143" i="9"/>
  <c r="K143" i="9"/>
  <c r="J143" i="9"/>
  <c r="I143" i="9"/>
  <c r="H143" i="9"/>
  <c r="G143" i="9"/>
  <c r="F143" i="9"/>
  <c r="E143" i="9"/>
  <c r="M142" i="9"/>
  <c r="L142" i="9"/>
  <c r="K142" i="9"/>
  <c r="J142" i="9"/>
  <c r="I142" i="9"/>
  <c r="H142" i="9"/>
  <c r="G142" i="9"/>
  <c r="F142" i="9"/>
  <c r="E142" i="9"/>
  <c r="D142" i="9" s="1"/>
  <c r="C142" i="9"/>
  <c r="M141" i="9"/>
  <c r="L141" i="9"/>
  <c r="K141" i="9"/>
  <c r="J141" i="9"/>
  <c r="I141" i="9"/>
  <c r="H141" i="9"/>
  <c r="G141" i="9"/>
  <c r="F141" i="9"/>
  <c r="E141" i="9"/>
  <c r="D141" i="9"/>
  <c r="C141" i="9"/>
  <c r="M140" i="9"/>
  <c r="L140" i="9"/>
  <c r="K140" i="9"/>
  <c r="J140" i="9"/>
  <c r="I140" i="9"/>
  <c r="H140" i="9"/>
  <c r="G140" i="9"/>
  <c r="F140" i="9"/>
  <c r="E140" i="9"/>
  <c r="D140" i="9" s="1"/>
  <c r="C140" i="9"/>
  <c r="M139" i="9"/>
  <c r="L139" i="9"/>
  <c r="K139" i="9"/>
  <c r="J139" i="9"/>
  <c r="I139" i="9"/>
  <c r="H139" i="9"/>
  <c r="G139" i="9"/>
  <c r="F139" i="9"/>
  <c r="E139" i="9"/>
  <c r="C139" i="9" s="1"/>
  <c r="D139" i="9"/>
  <c r="M138" i="9"/>
  <c r="L138" i="9"/>
  <c r="K138" i="9"/>
  <c r="J138" i="9"/>
  <c r="I138" i="9"/>
  <c r="H138" i="9"/>
  <c r="G138" i="9"/>
  <c r="F138" i="9"/>
  <c r="E138" i="9"/>
  <c r="M137" i="9"/>
  <c r="L137" i="9"/>
  <c r="K137" i="9"/>
  <c r="J137" i="9"/>
  <c r="I137" i="9"/>
  <c r="H137" i="9"/>
  <c r="G137" i="9"/>
  <c r="F137" i="9"/>
  <c r="E137" i="9"/>
  <c r="D137" i="9"/>
  <c r="C137" i="9"/>
  <c r="M136" i="9"/>
  <c r="L136" i="9"/>
  <c r="K136" i="9"/>
  <c r="J136" i="9"/>
  <c r="I136" i="9"/>
  <c r="H136" i="9"/>
  <c r="G136" i="9"/>
  <c r="F136" i="9"/>
  <c r="E136" i="9"/>
  <c r="C136" i="9" s="1"/>
  <c r="D136" i="9"/>
  <c r="M135" i="9"/>
  <c r="L135" i="9"/>
  <c r="K135" i="9"/>
  <c r="J135" i="9"/>
  <c r="I135" i="9"/>
  <c r="H135" i="9"/>
  <c r="G135" i="9"/>
  <c r="F135" i="9"/>
  <c r="E135" i="9"/>
  <c r="D135" i="9" s="1"/>
  <c r="C135" i="9"/>
  <c r="M134" i="9"/>
  <c r="L134" i="9"/>
  <c r="K134" i="9"/>
  <c r="J134" i="9"/>
  <c r="I134" i="9"/>
  <c r="H134" i="9"/>
  <c r="G134" i="9"/>
  <c r="F134" i="9"/>
  <c r="E134" i="9"/>
  <c r="D134" i="9"/>
  <c r="C134" i="9"/>
  <c r="M133" i="9"/>
  <c r="L133" i="9"/>
  <c r="K133" i="9"/>
  <c r="J133" i="9"/>
  <c r="I133" i="9"/>
  <c r="H133" i="9"/>
  <c r="G133" i="9"/>
  <c r="F133" i="9"/>
  <c r="E133" i="9"/>
  <c r="D133" i="9" s="1"/>
  <c r="C133" i="9"/>
  <c r="M132" i="9"/>
  <c r="L132" i="9"/>
  <c r="K132" i="9"/>
  <c r="J132" i="9"/>
  <c r="I132" i="9"/>
  <c r="H132" i="9"/>
  <c r="G132" i="9"/>
  <c r="F132" i="9"/>
  <c r="E132" i="9"/>
  <c r="C132" i="9" s="1"/>
  <c r="D132" i="9"/>
  <c r="M131" i="9"/>
  <c r="L131" i="9"/>
  <c r="K131" i="9"/>
  <c r="J131" i="9"/>
  <c r="I131" i="9"/>
  <c r="H131" i="9"/>
  <c r="G131" i="9"/>
  <c r="F131" i="9"/>
  <c r="E131" i="9"/>
  <c r="M130" i="9"/>
  <c r="L130" i="9"/>
  <c r="K130" i="9"/>
  <c r="J130" i="9"/>
  <c r="I130" i="9"/>
  <c r="H130" i="9"/>
  <c r="G130" i="9"/>
  <c r="F130" i="9"/>
  <c r="E130" i="9"/>
  <c r="D130" i="9"/>
  <c r="C130" i="9"/>
  <c r="M129" i="9"/>
  <c r="L129" i="9"/>
  <c r="K129" i="9"/>
  <c r="J129" i="9"/>
  <c r="I129" i="9"/>
  <c r="H129" i="9"/>
  <c r="G129" i="9"/>
  <c r="F129" i="9"/>
  <c r="E129" i="9"/>
  <c r="D129" i="9"/>
  <c r="C129" i="9"/>
  <c r="M128" i="9"/>
  <c r="L128" i="9"/>
  <c r="K128" i="9"/>
  <c r="J128" i="9"/>
  <c r="I128" i="9"/>
  <c r="H128" i="9"/>
  <c r="G128" i="9"/>
  <c r="F128" i="9"/>
  <c r="E128" i="9"/>
  <c r="C128" i="9" s="1"/>
  <c r="D128" i="9"/>
  <c r="M127" i="9"/>
  <c r="L127" i="9"/>
  <c r="K127" i="9"/>
  <c r="J127" i="9"/>
  <c r="I127" i="9"/>
  <c r="H127" i="9"/>
  <c r="G127" i="9"/>
  <c r="F127" i="9"/>
  <c r="E127" i="9"/>
  <c r="C127" i="9" s="1"/>
  <c r="M126" i="9"/>
  <c r="L126" i="9"/>
  <c r="K126" i="9"/>
  <c r="J126" i="9"/>
  <c r="I126" i="9"/>
  <c r="H126" i="9"/>
  <c r="G126" i="9"/>
  <c r="F126" i="9"/>
  <c r="E126" i="9"/>
  <c r="M125" i="9"/>
  <c r="L125" i="9"/>
  <c r="K125" i="9"/>
  <c r="J125" i="9"/>
  <c r="I125" i="9"/>
  <c r="H125" i="9"/>
  <c r="G125" i="9"/>
  <c r="F125" i="9"/>
  <c r="E125" i="9"/>
  <c r="D125" i="9"/>
  <c r="C125" i="9"/>
  <c r="M124" i="9"/>
  <c r="L124" i="9"/>
  <c r="K124" i="9"/>
  <c r="J124" i="9"/>
  <c r="I124" i="9"/>
  <c r="H124" i="9"/>
  <c r="G124" i="9"/>
  <c r="F124" i="9"/>
  <c r="E124" i="9"/>
  <c r="C124" i="9" s="1"/>
  <c r="D124" i="9"/>
  <c r="M123" i="9"/>
  <c r="L123" i="9"/>
  <c r="K123" i="9"/>
  <c r="J123" i="9"/>
  <c r="I123" i="9"/>
  <c r="H123" i="9"/>
  <c r="G123" i="9"/>
  <c r="F123" i="9"/>
  <c r="E123" i="9"/>
  <c r="D123" i="9" s="1"/>
  <c r="C123" i="9"/>
  <c r="M122" i="9"/>
  <c r="L122" i="9"/>
  <c r="K122" i="9"/>
  <c r="J122" i="9"/>
  <c r="I122" i="9"/>
  <c r="H122" i="9"/>
  <c r="G122" i="9"/>
  <c r="F122" i="9"/>
  <c r="E122" i="9"/>
  <c r="D122" i="9"/>
  <c r="C122" i="9"/>
  <c r="M121" i="9"/>
  <c r="L121" i="9"/>
  <c r="K121" i="9"/>
  <c r="J121" i="9"/>
  <c r="I121" i="9"/>
  <c r="H121" i="9"/>
  <c r="G121" i="9"/>
  <c r="F121" i="9"/>
  <c r="E121" i="9"/>
  <c r="D121" i="9" s="1"/>
  <c r="C121" i="9"/>
  <c r="M120" i="9"/>
  <c r="L120" i="9"/>
  <c r="K120" i="9"/>
  <c r="J120" i="9"/>
  <c r="I120" i="9"/>
  <c r="H120" i="9"/>
  <c r="G120" i="9"/>
  <c r="F120" i="9"/>
  <c r="E120" i="9"/>
  <c r="C120" i="9" s="1"/>
  <c r="D120" i="9"/>
  <c r="M119" i="9"/>
  <c r="L119" i="9"/>
  <c r="K119" i="9"/>
  <c r="J119" i="9"/>
  <c r="I119" i="9"/>
  <c r="H119" i="9"/>
  <c r="G119" i="9"/>
  <c r="F119" i="9"/>
  <c r="E119" i="9"/>
  <c r="M118" i="9"/>
  <c r="L118" i="9"/>
  <c r="K118" i="9"/>
  <c r="J118" i="9"/>
  <c r="I118" i="9"/>
  <c r="H118" i="9"/>
  <c r="G118" i="9"/>
  <c r="F118" i="9"/>
  <c r="E118" i="9"/>
  <c r="D118" i="9"/>
  <c r="C118" i="9"/>
  <c r="M117" i="9"/>
  <c r="L117" i="9"/>
  <c r="K117" i="9"/>
  <c r="J117" i="9"/>
  <c r="I117" i="9"/>
  <c r="H117" i="9"/>
  <c r="G117" i="9"/>
  <c r="F117" i="9"/>
  <c r="E117" i="9"/>
  <c r="D117" i="9"/>
  <c r="C117" i="9"/>
  <c r="M116" i="9"/>
  <c r="L116" i="9"/>
  <c r="K116" i="9"/>
  <c r="J116" i="9"/>
  <c r="I116" i="9"/>
  <c r="H116" i="9"/>
  <c r="G116" i="9"/>
  <c r="F116" i="9"/>
  <c r="E116" i="9"/>
  <c r="D116" i="9" s="1"/>
  <c r="C116" i="9"/>
  <c r="M115" i="9"/>
  <c r="L115" i="9"/>
  <c r="K115" i="9"/>
  <c r="J115" i="9"/>
  <c r="I115" i="9"/>
  <c r="H115" i="9"/>
  <c r="G115" i="9"/>
  <c r="F115" i="9"/>
  <c r="E115" i="9"/>
  <c r="C115" i="9" s="1"/>
  <c r="D115" i="9"/>
  <c r="M114" i="9"/>
  <c r="L114" i="9"/>
  <c r="K114" i="9"/>
  <c r="J114" i="9"/>
  <c r="I114" i="9"/>
  <c r="H114" i="9"/>
  <c r="G114" i="9"/>
  <c r="F114" i="9"/>
  <c r="E114" i="9"/>
  <c r="M113" i="9"/>
  <c r="L113" i="9"/>
  <c r="K113" i="9"/>
  <c r="J113" i="9"/>
  <c r="I113" i="9"/>
  <c r="H113" i="9"/>
  <c r="G113" i="9"/>
  <c r="F113" i="9"/>
  <c r="E113" i="9"/>
  <c r="D113" i="9"/>
  <c r="C113" i="9"/>
  <c r="M112" i="9"/>
  <c r="L112" i="9"/>
  <c r="K112" i="9"/>
  <c r="J112" i="9"/>
  <c r="I112" i="9"/>
  <c r="H112" i="9"/>
  <c r="G112" i="9"/>
  <c r="F112" i="9"/>
  <c r="E112" i="9"/>
  <c r="C112" i="9" s="1"/>
  <c r="D112" i="9"/>
  <c r="M111" i="9"/>
  <c r="L111" i="9"/>
  <c r="K111" i="9"/>
  <c r="J111" i="9"/>
  <c r="I111" i="9"/>
  <c r="H111" i="9"/>
  <c r="G111" i="9"/>
  <c r="F111" i="9"/>
  <c r="E111" i="9"/>
  <c r="D111" i="9" s="1"/>
  <c r="C111" i="9"/>
  <c r="M110" i="9"/>
  <c r="L110" i="9"/>
  <c r="K110" i="9"/>
  <c r="J110" i="9"/>
  <c r="I110" i="9"/>
  <c r="H110" i="9"/>
  <c r="G110" i="9"/>
  <c r="F110" i="9"/>
  <c r="E110" i="9"/>
  <c r="D110" i="9"/>
  <c r="C110" i="9"/>
  <c r="M109" i="9"/>
  <c r="L109" i="9"/>
  <c r="K109" i="9"/>
  <c r="J109" i="9"/>
  <c r="I109" i="9"/>
  <c r="H109" i="9"/>
  <c r="G109" i="9"/>
  <c r="F109" i="9"/>
  <c r="E109" i="9"/>
  <c r="D109" i="9" s="1"/>
  <c r="M108" i="9"/>
  <c r="L108" i="9"/>
  <c r="K108" i="9"/>
  <c r="J108" i="9"/>
  <c r="I108" i="9"/>
  <c r="H108" i="9"/>
  <c r="G108" i="9"/>
  <c r="F108" i="9"/>
  <c r="E108" i="9"/>
  <c r="C108" i="9" s="1"/>
  <c r="D108" i="9"/>
  <c r="M107" i="9"/>
  <c r="L107" i="9"/>
  <c r="K107" i="9"/>
  <c r="J107" i="9"/>
  <c r="I107" i="9"/>
  <c r="H107" i="9"/>
  <c r="G107" i="9"/>
  <c r="F107" i="9"/>
  <c r="E107" i="9"/>
  <c r="M106" i="9"/>
  <c r="L106" i="9"/>
  <c r="K106" i="9"/>
  <c r="J106" i="9"/>
  <c r="I106" i="9"/>
  <c r="H106" i="9"/>
  <c r="G106" i="9"/>
  <c r="F106" i="9"/>
  <c r="E106" i="9"/>
  <c r="D106" i="9" s="1"/>
  <c r="C106" i="9"/>
  <c r="K105" i="9"/>
  <c r="H105" i="9"/>
  <c r="E105" i="9"/>
  <c r="D105" i="9"/>
  <c r="C105" i="9"/>
  <c r="M104" i="9"/>
  <c r="L104" i="9"/>
  <c r="K104" i="9"/>
  <c r="J104" i="9"/>
  <c r="I104" i="9"/>
  <c r="H104" i="9"/>
  <c r="G104" i="9"/>
  <c r="F104" i="9"/>
  <c r="E104" i="9"/>
  <c r="C104" i="9" s="1"/>
  <c r="D104" i="9"/>
  <c r="M103" i="9"/>
  <c r="L103" i="9"/>
  <c r="K103" i="9"/>
  <c r="J103" i="9"/>
  <c r="I103" i="9"/>
  <c r="H103" i="9"/>
  <c r="G103" i="9"/>
  <c r="F103" i="9"/>
  <c r="E103" i="9"/>
  <c r="D103" i="9" s="1"/>
  <c r="C103" i="9"/>
  <c r="M102" i="9"/>
  <c r="L102" i="9"/>
  <c r="K102" i="9"/>
  <c r="J102" i="9"/>
  <c r="I102" i="9"/>
  <c r="H102" i="9"/>
  <c r="G102" i="9"/>
  <c r="F102" i="9"/>
  <c r="E102" i="9"/>
  <c r="D102" i="9"/>
  <c r="C102" i="9"/>
  <c r="M101" i="9"/>
  <c r="L101" i="9"/>
  <c r="K101" i="9"/>
  <c r="J101" i="9"/>
  <c r="I101" i="9"/>
  <c r="H101" i="9"/>
  <c r="G101" i="9"/>
  <c r="F101" i="9"/>
  <c r="E101" i="9"/>
  <c r="D101" i="9" s="1"/>
  <c r="C101" i="9"/>
  <c r="M100" i="9"/>
  <c r="L100" i="9"/>
  <c r="K100" i="9"/>
  <c r="J100" i="9"/>
  <c r="I100" i="9"/>
  <c r="H100" i="9"/>
  <c r="G100" i="9"/>
  <c r="F100" i="9"/>
  <c r="E100" i="9"/>
  <c r="C100" i="9" s="1"/>
  <c r="D100" i="9"/>
  <c r="M99" i="9"/>
  <c r="L99" i="9"/>
  <c r="K99" i="9"/>
  <c r="J99" i="9"/>
  <c r="I99" i="9"/>
  <c r="H99" i="9"/>
  <c r="G99" i="9"/>
  <c r="F99" i="9"/>
  <c r="E99" i="9"/>
  <c r="M98" i="9"/>
  <c r="L98" i="9"/>
  <c r="K98" i="9"/>
  <c r="J98" i="9"/>
  <c r="I98" i="9"/>
  <c r="H98" i="9"/>
  <c r="G98" i="9"/>
  <c r="F98" i="9"/>
  <c r="E98" i="9"/>
  <c r="D98" i="9"/>
  <c r="C98" i="9"/>
  <c r="M97" i="9"/>
  <c r="L97" i="9"/>
  <c r="K97" i="9"/>
  <c r="J97" i="9"/>
  <c r="I97" i="9"/>
  <c r="H97" i="9"/>
  <c r="G97" i="9"/>
  <c r="F97" i="9"/>
  <c r="E97" i="9"/>
  <c r="D97" i="9"/>
  <c r="C97" i="9"/>
  <c r="M96" i="9"/>
  <c r="L96" i="9"/>
  <c r="K96" i="9"/>
  <c r="J96" i="9"/>
  <c r="I96" i="9"/>
  <c r="H96" i="9"/>
  <c r="G96" i="9"/>
  <c r="F96" i="9"/>
  <c r="E96" i="9"/>
  <c r="D96" i="9" s="1"/>
  <c r="M95" i="9"/>
  <c r="L95" i="9"/>
  <c r="K95" i="9"/>
  <c r="J95" i="9"/>
  <c r="I95" i="9"/>
  <c r="H95" i="9"/>
  <c r="G95" i="9"/>
  <c r="F95" i="9"/>
  <c r="E95" i="9"/>
  <c r="C95" i="9" s="1"/>
  <c r="M94" i="9"/>
  <c r="L94" i="9"/>
  <c r="K94" i="9"/>
  <c r="J94" i="9"/>
  <c r="I94" i="9"/>
  <c r="H94" i="9"/>
  <c r="G94" i="9"/>
  <c r="F94" i="9"/>
  <c r="E94" i="9"/>
  <c r="D94" i="9" s="1"/>
  <c r="M93" i="9"/>
  <c r="L93" i="9"/>
  <c r="K93" i="9"/>
  <c r="J93" i="9"/>
  <c r="I93" i="9"/>
  <c r="H93" i="9"/>
  <c r="G93" i="9"/>
  <c r="F93" i="9"/>
  <c r="E93" i="9"/>
  <c r="D93" i="9"/>
  <c r="C93" i="9"/>
  <c r="M92" i="9"/>
  <c r="L92" i="9"/>
  <c r="K92" i="9"/>
  <c r="J92" i="9"/>
  <c r="I92" i="9"/>
  <c r="H92" i="9"/>
  <c r="G92" i="9"/>
  <c r="F92" i="9"/>
  <c r="E92" i="9"/>
  <c r="C92" i="9" s="1"/>
  <c r="M91" i="9"/>
  <c r="L91" i="9"/>
  <c r="K91" i="9"/>
  <c r="J91" i="9"/>
  <c r="I91" i="9"/>
  <c r="H91" i="9"/>
  <c r="G91" i="9"/>
  <c r="F91" i="9"/>
  <c r="E91" i="9"/>
  <c r="D91" i="9" s="1"/>
  <c r="M90" i="9"/>
  <c r="L90" i="9"/>
  <c r="K90" i="9"/>
  <c r="J90" i="9"/>
  <c r="I90" i="9"/>
  <c r="H90" i="9"/>
  <c r="G90" i="9"/>
  <c r="F90" i="9"/>
  <c r="E90" i="9"/>
  <c r="D90" i="9"/>
  <c r="C90" i="9"/>
  <c r="M89" i="9"/>
  <c r="L89" i="9"/>
  <c r="K89" i="9"/>
  <c r="J89" i="9"/>
  <c r="I89" i="9"/>
  <c r="H89" i="9"/>
  <c r="G89" i="9"/>
  <c r="F89" i="9"/>
  <c r="E89" i="9"/>
  <c r="D89" i="9" s="1"/>
  <c r="M88" i="9"/>
  <c r="L88" i="9"/>
  <c r="K88" i="9"/>
  <c r="J88" i="9"/>
  <c r="I88" i="9"/>
  <c r="H88" i="9"/>
  <c r="G88" i="9"/>
  <c r="F88" i="9"/>
  <c r="E88" i="9"/>
  <c r="C88" i="9" s="1"/>
  <c r="D88" i="9"/>
  <c r="M87" i="9"/>
  <c r="L87" i="9"/>
  <c r="K87" i="9"/>
  <c r="J87" i="9"/>
  <c r="I87" i="9"/>
  <c r="H87" i="9"/>
  <c r="G87" i="9"/>
  <c r="F87" i="9"/>
  <c r="E87" i="9"/>
  <c r="M86" i="9"/>
  <c r="L86" i="9"/>
  <c r="K86" i="9"/>
  <c r="J86" i="9"/>
  <c r="I86" i="9"/>
  <c r="H86" i="9"/>
  <c r="G86" i="9"/>
  <c r="F86" i="9"/>
  <c r="E86" i="9"/>
  <c r="D86" i="9"/>
  <c r="C86" i="9"/>
  <c r="M85" i="9"/>
  <c r="L85" i="9"/>
  <c r="K85" i="9"/>
  <c r="J85" i="9"/>
  <c r="I85" i="9"/>
  <c r="H85" i="9"/>
  <c r="G85" i="9"/>
  <c r="F85" i="9"/>
  <c r="E85" i="9"/>
  <c r="D85" i="9" s="1"/>
  <c r="C85" i="9"/>
  <c r="M84" i="9"/>
  <c r="L84" i="9"/>
  <c r="K84" i="9"/>
  <c r="J84" i="9"/>
  <c r="I84" i="9"/>
  <c r="H84" i="9"/>
  <c r="G84" i="9"/>
  <c r="F84" i="9"/>
  <c r="E84" i="9"/>
  <c r="D84" i="9"/>
  <c r="C84" i="9"/>
  <c r="M83" i="9"/>
  <c r="L83" i="9"/>
  <c r="K83" i="9"/>
  <c r="J83" i="9"/>
  <c r="I83" i="9"/>
  <c r="H83" i="9"/>
  <c r="G83" i="9"/>
  <c r="F83" i="9"/>
  <c r="E83" i="9"/>
  <c r="D83" i="9" s="1"/>
  <c r="M82" i="9"/>
  <c r="L82" i="9"/>
  <c r="K82" i="9"/>
  <c r="J82" i="9"/>
  <c r="I82" i="9"/>
  <c r="H82" i="9"/>
  <c r="G82" i="9"/>
  <c r="F82" i="9"/>
  <c r="E82" i="9"/>
  <c r="D82" i="9"/>
  <c r="C82" i="9"/>
  <c r="M81" i="9"/>
  <c r="L81" i="9"/>
  <c r="K81" i="9"/>
  <c r="J81" i="9"/>
  <c r="I81" i="9"/>
  <c r="H81" i="9"/>
  <c r="G81" i="9"/>
  <c r="F81" i="9"/>
  <c r="E81" i="9"/>
  <c r="D81" i="9"/>
  <c r="C81" i="9"/>
  <c r="M80" i="9"/>
  <c r="L80" i="9"/>
  <c r="K80" i="9"/>
  <c r="J80" i="9"/>
  <c r="I80" i="9"/>
  <c r="H80" i="9"/>
  <c r="G80" i="9"/>
  <c r="F80" i="9"/>
  <c r="E80" i="9"/>
  <c r="C80" i="9" s="1"/>
  <c r="D80" i="9"/>
  <c r="M79" i="9"/>
  <c r="L79" i="9"/>
  <c r="K79" i="9"/>
  <c r="J79" i="9"/>
  <c r="I79" i="9"/>
  <c r="H79" i="9"/>
  <c r="G79" i="9"/>
  <c r="F79" i="9"/>
  <c r="E79" i="9"/>
  <c r="C79" i="9" s="1"/>
  <c r="M78" i="9"/>
  <c r="L78" i="9"/>
  <c r="K78" i="9"/>
  <c r="J78" i="9"/>
  <c r="I78" i="9"/>
  <c r="H78" i="9"/>
  <c r="G78" i="9"/>
  <c r="F78" i="9"/>
  <c r="E78" i="9"/>
  <c r="D78" i="9" s="1"/>
  <c r="M77" i="9"/>
  <c r="L77" i="9"/>
  <c r="K77" i="9"/>
  <c r="J77" i="9"/>
  <c r="I77" i="9"/>
  <c r="H77" i="9"/>
  <c r="G77" i="9"/>
  <c r="F77" i="9"/>
  <c r="E77" i="9"/>
  <c r="D77" i="9"/>
  <c r="C77" i="9"/>
  <c r="M76" i="9"/>
  <c r="L76" i="9"/>
  <c r="K76" i="9"/>
  <c r="J76" i="9"/>
  <c r="I76" i="9"/>
  <c r="H76" i="9"/>
  <c r="G76" i="9"/>
  <c r="F76" i="9"/>
  <c r="E76" i="9"/>
  <c r="D76" i="9" s="1"/>
  <c r="M75" i="9"/>
  <c r="L75" i="9"/>
  <c r="K75" i="9"/>
  <c r="J75" i="9"/>
  <c r="I75" i="9"/>
  <c r="H75" i="9"/>
  <c r="G75" i="9"/>
  <c r="F75" i="9"/>
  <c r="E75" i="9"/>
  <c r="D75" i="9" s="1"/>
  <c r="C75" i="9"/>
  <c r="M74" i="9"/>
  <c r="L74" i="9"/>
  <c r="K74" i="9"/>
  <c r="J74" i="9"/>
  <c r="I74" i="9"/>
  <c r="H74" i="9"/>
  <c r="G74" i="9"/>
  <c r="F74" i="9"/>
  <c r="E74" i="9"/>
  <c r="D74" i="9"/>
  <c r="C74" i="9"/>
  <c r="M73" i="9"/>
  <c r="L73" i="9"/>
  <c r="K73" i="9"/>
  <c r="J73" i="9"/>
  <c r="I73" i="9"/>
  <c r="H73" i="9"/>
  <c r="G73" i="9"/>
  <c r="F73" i="9"/>
  <c r="E73" i="9"/>
  <c r="D73" i="9" s="1"/>
  <c r="C73" i="9"/>
  <c r="M72" i="9"/>
  <c r="L72" i="9"/>
  <c r="K72" i="9"/>
  <c r="J72" i="9"/>
  <c r="I72" i="9"/>
  <c r="H72" i="9"/>
  <c r="G72" i="9"/>
  <c r="F72" i="9"/>
  <c r="E72" i="9"/>
  <c r="D72" i="9"/>
  <c r="C72" i="9"/>
  <c r="M71" i="9"/>
  <c r="L71" i="9"/>
  <c r="K71" i="9"/>
  <c r="J71" i="9"/>
  <c r="I71" i="9"/>
  <c r="H71" i="9"/>
  <c r="G71" i="9"/>
  <c r="F71" i="9"/>
  <c r="E71" i="9"/>
  <c r="D71" i="9" s="1"/>
  <c r="M70" i="9"/>
  <c r="L70" i="9"/>
  <c r="K70" i="9"/>
  <c r="J70" i="9"/>
  <c r="I70" i="9"/>
  <c r="H70" i="9"/>
  <c r="G70" i="9"/>
  <c r="F70" i="9"/>
  <c r="E70" i="9"/>
  <c r="D70" i="9"/>
  <c r="C70" i="9"/>
  <c r="M69" i="9"/>
  <c r="L69" i="9"/>
  <c r="K69" i="9"/>
  <c r="J69" i="9"/>
  <c r="I69" i="9"/>
  <c r="H69" i="9"/>
  <c r="G69" i="9"/>
  <c r="F69" i="9"/>
  <c r="E69" i="9"/>
  <c r="D69" i="9"/>
  <c r="C69" i="9"/>
  <c r="K68" i="9"/>
  <c r="H68" i="9"/>
  <c r="M67" i="9"/>
  <c r="L67" i="9"/>
  <c r="K67" i="9"/>
  <c r="J67" i="9"/>
  <c r="I67" i="9"/>
  <c r="H67" i="9"/>
  <c r="G67" i="9"/>
  <c r="F67" i="9"/>
  <c r="E67" i="9"/>
  <c r="D67" i="9" s="1"/>
  <c r="M66" i="9"/>
  <c r="L66" i="9"/>
  <c r="K66" i="9"/>
  <c r="J66" i="9"/>
  <c r="I66" i="9"/>
  <c r="H66" i="9"/>
  <c r="G66" i="9"/>
  <c r="F66" i="9"/>
  <c r="E66" i="9"/>
  <c r="D66" i="9"/>
  <c r="C66" i="9"/>
  <c r="M65" i="9"/>
  <c r="L65" i="9"/>
  <c r="K65" i="9"/>
  <c r="J65" i="9"/>
  <c r="I65" i="9"/>
  <c r="H65" i="9"/>
  <c r="G65" i="9"/>
  <c r="F65" i="9"/>
  <c r="E65" i="9"/>
  <c r="D65" i="9" s="1"/>
  <c r="M64" i="9"/>
  <c r="L64" i="9"/>
  <c r="K64" i="9"/>
  <c r="J64" i="9"/>
  <c r="I64" i="9"/>
  <c r="H64" i="9"/>
  <c r="G64" i="9"/>
  <c r="F64" i="9"/>
  <c r="E64" i="9"/>
  <c r="D64" i="9" s="1"/>
  <c r="C64" i="9"/>
  <c r="M63" i="9"/>
  <c r="L63" i="9"/>
  <c r="K63" i="9"/>
  <c r="J63" i="9"/>
  <c r="I63" i="9"/>
  <c r="H63" i="9"/>
  <c r="G63" i="9"/>
  <c r="F63" i="9"/>
  <c r="E63" i="9"/>
  <c r="D63" i="9"/>
  <c r="C63" i="9"/>
  <c r="M62" i="9"/>
  <c r="L62" i="9"/>
  <c r="K62" i="9"/>
  <c r="J62" i="9"/>
  <c r="I62" i="9"/>
  <c r="H62" i="9"/>
  <c r="G62" i="9"/>
  <c r="F62" i="9"/>
  <c r="E62" i="9"/>
  <c r="D62" i="9" s="1"/>
  <c r="C62" i="9"/>
  <c r="M61" i="9"/>
  <c r="L61" i="9"/>
  <c r="K61" i="9"/>
  <c r="J61" i="9"/>
  <c r="I61" i="9"/>
  <c r="H61" i="9"/>
  <c r="G61" i="9"/>
  <c r="F61" i="9"/>
  <c r="E61" i="9"/>
  <c r="D61" i="9"/>
  <c r="C61" i="9"/>
  <c r="M60" i="9"/>
  <c r="L60" i="9"/>
  <c r="K60" i="9"/>
  <c r="J60" i="9"/>
  <c r="I60" i="9"/>
  <c r="H60" i="9"/>
  <c r="G60" i="9"/>
  <c r="F60" i="9"/>
  <c r="E60" i="9"/>
  <c r="D60" i="9" s="1"/>
  <c r="M59" i="9"/>
  <c r="L59" i="9"/>
  <c r="K59" i="9"/>
  <c r="J59" i="9"/>
  <c r="I59" i="9"/>
  <c r="H59" i="9"/>
  <c r="G59" i="9"/>
  <c r="F59" i="9"/>
  <c r="E59" i="9"/>
  <c r="D59" i="9"/>
  <c r="C59" i="9"/>
  <c r="M58" i="9"/>
  <c r="L58" i="9"/>
  <c r="K58" i="9"/>
  <c r="J58" i="9"/>
  <c r="I58" i="9"/>
  <c r="H58" i="9"/>
  <c r="G58" i="9"/>
  <c r="F58" i="9"/>
  <c r="E58" i="9"/>
  <c r="D58" i="9"/>
  <c r="C58" i="9"/>
  <c r="M57" i="9"/>
  <c r="L57" i="9"/>
  <c r="K57" i="9"/>
  <c r="J57" i="9"/>
  <c r="I57" i="9"/>
  <c r="H57" i="9"/>
  <c r="G57" i="9"/>
  <c r="F57" i="9"/>
  <c r="E57" i="9"/>
  <c r="C57" i="9" s="1"/>
  <c r="D57" i="9"/>
  <c r="M56" i="9"/>
  <c r="L56" i="9"/>
  <c r="K56" i="9"/>
  <c r="J56" i="9"/>
  <c r="I56" i="9"/>
  <c r="H56" i="9"/>
  <c r="G56" i="9"/>
  <c r="F56" i="9"/>
  <c r="E56" i="9"/>
  <c r="C56" i="9" s="1"/>
  <c r="M55" i="9"/>
  <c r="L55" i="9"/>
  <c r="K55" i="9"/>
  <c r="J55" i="9"/>
  <c r="I55" i="9"/>
  <c r="H55" i="9"/>
  <c r="G55" i="9"/>
  <c r="F55" i="9"/>
  <c r="E55" i="9"/>
  <c r="D55" i="9" s="1"/>
  <c r="M54" i="9"/>
  <c r="L54" i="9"/>
  <c r="K54" i="9"/>
  <c r="J54" i="9"/>
  <c r="I54" i="9"/>
  <c r="H54" i="9"/>
  <c r="G54" i="9"/>
  <c r="F54" i="9"/>
  <c r="E54" i="9"/>
  <c r="D54" i="9"/>
  <c r="C54" i="9"/>
  <c r="M53" i="9"/>
  <c r="L53" i="9"/>
  <c r="K53" i="9"/>
  <c r="J53" i="9"/>
  <c r="I53" i="9"/>
  <c r="H53" i="9"/>
  <c r="G53" i="9"/>
  <c r="F53" i="9"/>
  <c r="E53" i="9"/>
  <c r="D53" i="9" s="1"/>
  <c r="M52" i="9"/>
  <c r="L52" i="9"/>
  <c r="K52" i="9"/>
  <c r="J52" i="9"/>
  <c r="I52" i="9"/>
  <c r="H52" i="9"/>
  <c r="G52" i="9"/>
  <c r="F52" i="9"/>
  <c r="E52" i="9"/>
  <c r="D52" i="9" s="1"/>
  <c r="C52" i="9"/>
  <c r="M51" i="9"/>
  <c r="L51" i="9"/>
  <c r="K51" i="9"/>
  <c r="J51" i="9"/>
  <c r="I51" i="9"/>
  <c r="H51" i="9"/>
  <c r="G51" i="9"/>
  <c r="F51" i="9"/>
  <c r="E51" i="9"/>
  <c r="D51" i="9"/>
  <c r="C51" i="9"/>
  <c r="M50" i="9"/>
  <c r="L50" i="9"/>
  <c r="K50" i="9"/>
  <c r="J50" i="9"/>
  <c r="I50" i="9"/>
  <c r="H50" i="9"/>
  <c r="G50" i="9"/>
  <c r="F50" i="9"/>
  <c r="E50" i="9"/>
  <c r="D50" i="9" s="1"/>
  <c r="C50" i="9"/>
  <c r="M49" i="9"/>
  <c r="L49" i="9"/>
  <c r="K49" i="9"/>
  <c r="J49" i="9"/>
  <c r="I49" i="9"/>
  <c r="H49" i="9"/>
  <c r="G49" i="9"/>
  <c r="F49" i="9"/>
  <c r="E49" i="9"/>
  <c r="D49" i="9"/>
  <c r="C49" i="9"/>
  <c r="M48" i="9"/>
  <c r="L48" i="9"/>
  <c r="K48" i="9"/>
  <c r="J48" i="9"/>
  <c r="I48" i="9"/>
  <c r="H48" i="9"/>
  <c r="G48" i="9"/>
  <c r="F48" i="9"/>
  <c r="E48" i="9"/>
  <c r="D48" i="9" s="1"/>
  <c r="M47" i="9"/>
  <c r="L47" i="9"/>
  <c r="K47" i="9"/>
  <c r="J47" i="9"/>
  <c r="I47" i="9"/>
  <c r="H47" i="9"/>
  <c r="G47" i="9"/>
  <c r="F47" i="9"/>
  <c r="E47" i="9"/>
  <c r="D47" i="9"/>
  <c r="C47" i="9"/>
  <c r="M46" i="9"/>
  <c r="L46" i="9"/>
  <c r="K46" i="9"/>
  <c r="J46" i="9"/>
  <c r="I46" i="9"/>
  <c r="H46" i="9"/>
  <c r="G46" i="9"/>
  <c r="F46" i="9"/>
  <c r="E46" i="9"/>
  <c r="D46" i="9"/>
  <c r="C46" i="9"/>
  <c r="M45" i="9"/>
  <c r="L45" i="9"/>
  <c r="K45" i="9"/>
  <c r="J45" i="9"/>
  <c r="I45" i="9"/>
  <c r="H45" i="9"/>
  <c r="G45" i="9"/>
  <c r="F45" i="9"/>
  <c r="E45" i="9"/>
  <c r="C45" i="9" s="1"/>
  <c r="D45" i="9"/>
  <c r="M44" i="9"/>
  <c r="L44" i="9"/>
  <c r="K44" i="9"/>
  <c r="J44" i="9"/>
  <c r="I44" i="9"/>
  <c r="H44" i="9"/>
  <c r="G44" i="9"/>
  <c r="F44" i="9"/>
  <c r="E44" i="9"/>
  <c r="C44" i="9" s="1"/>
  <c r="M43" i="9"/>
  <c r="L43" i="9"/>
  <c r="K43" i="9"/>
  <c r="J43" i="9"/>
  <c r="I43" i="9"/>
  <c r="H43" i="9"/>
  <c r="G43" i="9"/>
  <c r="F43" i="9"/>
  <c r="E43" i="9"/>
  <c r="D43" i="9" s="1"/>
  <c r="M42" i="9"/>
  <c r="L42" i="9"/>
  <c r="K42" i="9"/>
  <c r="J42" i="9"/>
  <c r="I42" i="9"/>
  <c r="H42" i="9"/>
  <c r="G42" i="9"/>
  <c r="F42" i="9"/>
  <c r="E42" i="9"/>
  <c r="D42" i="9"/>
  <c r="C42" i="9"/>
  <c r="M41" i="9"/>
  <c r="L41" i="9"/>
  <c r="K41" i="9"/>
  <c r="J41" i="9"/>
  <c r="I41" i="9"/>
  <c r="H41" i="9"/>
  <c r="G41" i="9"/>
  <c r="F41" i="9"/>
  <c r="E41" i="9"/>
  <c r="D41" i="9" s="1"/>
  <c r="M40" i="9"/>
  <c r="L40" i="9"/>
  <c r="K40" i="9"/>
  <c r="J40" i="9"/>
  <c r="I40" i="9"/>
  <c r="H40" i="9"/>
  <c r="G40" i="9"/>
  <c r="F40" i="9"/>
  <c r="E40" i="9"/>
  <c r="D40" i="9" s="1"/>
  <c r="C40" i="9"/>
  <c r="M39" i="9"/>
  <c r="L39" i="9"/>
  <c r="K39" i="9"/>
  <c r="J39" i="9"/>
  <c r="I39" i="9"/>
  <c r="H39" i="9"/>
  <c r="G39" i="9"/>
  <c r="F39" i="9"/>
  <c r="E39" i="9"/>
  <c r="D39" i="9"/>
  <c r="C39" i="9"/>
  <c r="M38" i="9"/>
  <c r="L38" i="9"/>
  <c r="K38" i="9"/>
  <c r="J38" i="9"/>
  <c r="I38" i="9"/>
  <c r="H38" i="9"/>
  <c r="G38" i="9"/>
  <c r="F38" i="9"/>
  <c r="E38" i="9"/>
  <c r="D38" i="9" s="1"/>
  <c r="C38" i="9"/>
  <c r="M37" i="9"/>
  <c r="L37" i="9"/>
  <c r="K37" i="9"/>
  <c r="J37" i="9"/>
  <c r="I37" i="9"/>
  <c r="H37" i="9"/>
  <c r="G37" i="9"/>
  <c r="F37" i="9"/>
  <c r="E37" i="9"/>
  <c r="D37" i="9"/>
  <c r="C37" i="9"/>
  <c r="M36" i="9"/>
  <c r="L36" i="9"/>
  <c r="K36" i="9"/>
  <c r="J36" i="9"/>
  <c r="I36" i="9"/>
  <c r="H36" i="9"/>
  <c r="G36" i="9"/>
  <c r="F36" i="9"/>
  <c r="E36" i="9"/>
  <c r="D36" i="9" s="1"/>
  <c r="M35" i="9"/>
  <c r="L35" i="9"/>
  <c r="K35" i="9"/>
  <c r="J35" i="9"/>
  <c r="I35" i="9"/>
  <c r="H35" i="9"/>
  <c r="G35" i="9"/>
  <c r="F35" i="9"/>
  <c r="E35" i="9"/>
  <c r="D35" i="9"/>
  <c r="C35" i="9"/>
  <c r="M34" i="9"/>
  <c r="L34" i="9"/>
  <c r="K34" i="9"/>
  <c r="J34" i="9"/>
  <c r="I34" i="9"/>
  <c r="H34" i="9"/>
  <c r="G34" i="9"/>
  <c r="F34" i="9"/>
  <c r="E34" i="9"/>
  <c r="D34" i="9"/>
  <c r="C34" i="9"/>
  <c r="M33" i="9"/>
  <c r="L33" i="9"/>
  <c r="K33" i="9"/>
  <c r="J33" i="9"/>
  <c r="I33" i="9"/>
  <c r="H33" i="9"/>
  <c r="G33" i="9"/>
  <c r="F33" i="9"/>
  <c r="E33" i="9"/>
  <c r="C33" i="9" s="1"/>
  <c r="D33" i="9"/>
  <c r="M32" i="9"/>
  <c r="L32" i="9"/>
  <c r="K32" i="9"/>
  <c r="J32" i="9"/>
  <c r="I32" i="9"/>
  <c r="H32" i="9"/>
  <c r="G32" i="9"/>
  <c r="F32" i="9"/>
  <c r="E32" i="9"/>
  <c r="C32" i="9" s="1"/>
  <c r="M31" i="9"/>
  <c r="L31" i="9"/>
  <c r="K31" i="9"/>
  <c r="J31" i="9"/>
  <c r="I31" i="9"/>
  <c r="H31" i="9"/>
  <c r="G31" i="9"/>
  <c r="F31" i="9"/>
  <c r="E31" i="9"/>
  <c r="D31" i="9" s="1"/>
  <c r="M30" i="9"/>
  <c r="L30" i="9"/>
  <c r="K30" i="9"/>
  <c r="J30" i="9"/>
  <c r="I30" i="9"/>
  <c r="H30" i="9"/>
  <c r="G30" i="9"/>
  <c r="F30" i="9"/>
  <c r="E30" i="9"/>
  <c r="D30" i="9"/>
  <c r="C30" i="9"/>
  <c r="M29" i="9"/>
  <c r="L29" i="9"/>
  <c r="K29" i="9"/>
  <c r="J29" i="9"/>
  <c r="I29" i="9"/>
  <c r="H29" i="9"/>
  <c r="G29" i="9"/>
  <c r="F29" i="9"/>
  <c r="E29" i="9"/>
  <c r="D29" i="9" s="1"/>
  <c r="M28" i="9"/>
  <c r="L28" i="9"/>
  <c r="K28" i="9"/>
  <c r="J28" i="9"/>
  <c r="I28" i="9"/>
  <c r="H28" i="9"/>
  <c r="G28" i="9"/>
  <c r="F28" i="9"/>
  <c r="E28" i="9"/>
  <c r="D28" i="9" s="1"/>
  <c r="C28" i="9"/>
  <c r="M27" i="9"/>
  <c r="L27" i="9"/>
  <c r="K27" i="9"/>
  <c r="J27" i="9"/>
  <c r="I27" i="9"/>
  <c r="H27" i="9"/>
  <c r="G27" i="9"/>
  <c r="F27" i="9"/>
  <c r="E27" i="9"/>
  <c r="D27" i="9"/>
  <c r="C27" i="9"/>
  <c r="M26" i="9"/>
  <c r="L26" i="9"/>
  <c r="K26" i="9"/>
  <c r="J26" i="9"/>
  <c r="I26" i="9"/>
  <c r="H26" i="9"/>
  <c r="G26" i="9"/>
  <c r="F26" i="9"/>
  <c r="E26" i="9"/>
  <c r="D26" i="9" s="1"/>
  <c r="C26" i="9"/>
  <c r="M25" i="9"/>
  <c r="L25" i="9"/>
  <c r="K25" i="9"/>
  <c r="J25" i="9"/>
  <c r="I25" i="9"/>
  <c r="H25" i="9"/>
  <c r="G25" i="9"/>
  <c r="F25" i="9"/>
  <c r="E25" i="9"/>
  <c r="D25" i="9"/>
  <c r="C25" i="9"/>
  <c r="M24" i="9"/>
  <c r="L24" i="9"/>
  <c r="K24" i="9"/>
  <c r="J24" i="9"/>
  <c r="I24" i="9"/>
  <c r="H24" i="9"/>
  <c r="G24" i="9"/>
  <c r="F24" i="9"/>
  <c r="E24" i="9"/>
  <c r="D24" i="9" s="1"/>
  <c r="M23" i="9"/>
  <c r="L23" i="9"/>
  <c r="K23" i="9"/>
  <c r="J23" i="9"/>
  <c r="I23" i="9"/>
  <c r="H23" i="9"/>
  <c r="G23" i="9"/>
  <c r="F23" i="9"/>
  <c r="E23" i="9"/>
  <c r="D23" i="9"/>
  <c r="C23" i="9"/>
  <c r="M22" i="9"/>
  <c r="L22" i="9"/>
  <c r="K22" i="9"/>
  <c r="J22" i="9"/>
  <c r="I22" i="9"/>
  <c r="H22" i="9"/>
  <c r="G22" i="9"/>
  <c r="F22" i="9"/>
  <c r="E22" i="9"/>
  <c r="D22" i="9"/>
  <c r="C22" i="9"/>
  <c r="M21" i="9"/>
  <c r="L21" i="9"/>
  <c r="K21" i="9"/>
  <c r="J21" i="9"/>
  <c r="I21" i="9"/>
  <c r="H21" i="9"/>
  <c r="G21" i="9"/>
  <c r="F21" i="9"/>
  <c r="E21" i="9"/>
  <c r="C21" i="9" s="1"/>
  <c r="D21" i="9"/>
  <c r="M20" i="9"/>
  <c r="L20" i="9"/>
  <c r="K20" i="9"/>
  <c r="J20" i="9"/>
  <c r="I20" i="9"/>
  <c r="H20" i="9"/>
  <c r="G20" i="9"/>
  <c r="F20" i="9"/>
  <c r="E20" i="9"/>
  <c r="C20" i="9" s="1"/>
  <c r="M19" i="9"/>
  <c r="L19" i="9"/>
  <c r="K19" i="9"/>
  <c r="J19" i="9"/>
  <c r="I19" i="9"/>
  <c r="H19" i="9"/>
  <c r="G19" i="9"/>
  <c r="F19" i="9"/>
  <c r="E19" i="9"/>
  <c r="D19" i="9" s="1"/>
  <c r="M18" i="9"/>
  <c r="L18" i="9"/>
  <c r="K18" i="9"/>
  <c r="J18" i="9"/>
  <c r="I18" i="9"/>
  <c r="H18" i="9"/>
  <c r="G18" i="9"/>
  <c r="F18" i="9"/>
  <c r="E18" i="9"/>
  <c r="D18" i="9"/>
  <c r="C18" i="9"/>
  <c r="M17" i="9"/>
  <c r="L17" i="9"/>
  <c r="K17" i="9"/>
  <c r="J17" i="9"/>
  <c r="I17" i="9"/>
  <c r="H17" i="9"/>
  <c r="G17" i="9"/>
  <c r="F17" i="9"/>
  <c r="E17" i="9"/>
  <c r="D17" i="9" s="1"/>
  <c r="M16" i="9"/>
  <c r="L16" i="9"/>
  <c r="K16" i="9"/>
  <c r="J16" i="9"/>
  <c r="I16" i="9"/>
  <c r="H16" i="9"/>
  <c r="G16" i="9"/>
  <c r="F16" i="9"/>
  <c r="E16" i="9"/>
  <c r="D16" i="9" s="1"/>
  <c r="C16" i="9"/>
  <c r="M15" i="9"/>
  <c r="L15" i="9"/>
  <c r="K15" i="9"/>
  <c r="J15" i="9"/>
  <c r="I15" i="9"/>
  <c r="H15" i="9"/>
  <c r="G15" i="9"/>
  <c r="F15" i="9"/>
  <c r="E15" i="9"/>
  <c r="D15" i="9"/>
  <c r="C15" i="9"/>
  <c r="M14" i="9"/>
  <c r="L14" i="9"/>
  <c r="K14" i="9"/>
  <c r="J14" i="9"/>
  <c r="I14" i="9"/>
  <c r="H14" i="9"/>
  <c r="G14" i="9"/>
  <c r="F14" i="9"/>
  <c r="E14" i="9"/>
  <c r="D14" i="9" s="1"/>
  <c r="C14" i="9"/>
  <c r="M13" i="9"/>
  <c r="L13" i="9"/>
  <c r="K13" i="9"/>
  <c r="J13" i="9"/>
  <c r="I13" i="9"/>
  <c r="H13" i="9"/>
  <c r="G13" i="9"/>
  <c r="F13" i="9"/>
  <c r="E13" i="9"/>
  <c r="D13" i="9"/>
  <c r="C13" i="9"/>
  <c r="M12" i="9"/>
  <c r="L12" i="9"/>
  <c r="K12" i="9"/>
  <c r="J12" i="9"/>
  <c r="I12" i="9"/>
  <c r="H12" i="9"/>
  <c r="G12" i="9"/>
  <c r="F12" i="9"/>
  <c r="E12" i="9"/>
  <c r="D12" i="9" s="1"/>
  <c r="M11" i="9"/>
  <c r="L11" i="9"/>
  <c r="K11" i="9"/>
  <c r="J11" i="9"/>
  <c r="I11" i="9"/>
  <c r="H11" i="9"/>
  <c r="G11" i="9"/>
  <c r="F11" i="9"/>
  <c r="E11" i="9"/>
  <c r="D11" i="9"/>
  <c r="C11" i="9"/>
  <c r="M10" i="9"/>
  <c r="L10" i="9"/>
  <c r="K10" i="9"/>
  <c r="J10" i="9"/>
  <c r="W10" i="9" s="1"/>
  <c r="H10" i="9"/>
  <c r="G10" i="9"/>
  <c r="F10" i="9"/>
  <c r="E10" i="9"/>
  <c r="D10" i="9"/>
  <c r="C10" i="9"/>
  <c r="M9" i="9"/>
  <c r="L9" i="9"/>
  <c r="K9" i="9"/>
  <c r="J9" i="9"/>
  <c r="I9" i="9"/>
  <c r="H9" i="9"/>
  <c r="G9" i="9"/>
  <c r="F9" i="9"/>
  <c r="E9" i="9"/>
  <c r="D9" i="9"/>
  <c r="C9" i="9"/>
  <c r="M8" i="9"/>
  <c r="L8" i="9"/>
  <c r="K8" i="9"/>
  <c r="J8" i="9"/>
  <c r="I8" i="9"/>
  <c r="H8" i="9"/>
  <c r="G8" i="9"/>
  <c r="F8" i="9"/>
  <c r="E8" i="9"/>
  <c r="C8" i="9" s="1"/>
  <c r="D8" i="9"/>
  <c r="M7" i="9"/>
  <c r="L7" i="9"/>
  <c r="K7" i="9"/>
  <c r="J7" i="9"/>
  <c r="I7" i="9"/>
  <c r="H7" i="9"/>
  <c r="G7" i="9"/>
  <c r="F7" i="9"/>
  <c r="E7" i="9"/>
  <c r="C7" i="9" s="1"/>
  <c r="M6" i="9"/>
  <c r="L6" i="9"/>
  <c r="K6" i="9"/>
  <c r="J6" i="9"/>
  <c r="I6" i="9"/>
  <c r="H6" i="9"/>
  <c r="G6" i="9"/>
  <c r="F6" i="9"/>
  <c r="E6" i="9"/>
  <c r="D6" i="9" s="1"/>
  <c r="M5" i="9"/>
  <c r="L5" i="9"/>
  <c r="K5" i="9"/>
  <c r="J5" i="9"/>
  <c r="I5" i="9"/>
  <c r="H5" i="9"/>
  <c r="G5" i="9"/>
  <c r="F5" i="9"/>
  <c r="E5" i="9"/>
  <c r="D5" i="9"/>
  <c r="C5" i="9"/>
  <c r="M4" i="9"/>
  <c r="L4" i="9"/>
  <c r="K4" i="9"/>
  <c r="J4" i="9"/>
  <c r="I4" i="9"/>
  <c r="H4" i="9"/>
  <c r="G4" i="9"/>
  <c r="F4" i="9"/>
  <c r="E4" i="9"/>
  <c r="D4" i="9" s="1"/>
  <c r="E591" i="8"/>
  <c r="E590" i="8"/>
  <c r="E589" i="8"/>
  <c r="E588" i="8"/>
  <c r="E587" i="8"/>
  <c r="E586" i="8"/>
  <c r="E585" i="8"/>
  <c r="E584" i="8"/>
  <c r="E583" i="8"/>
  <c r="E582" i="8"/>
  <c r="E581" i="8"/>
  <c r="E580" i="8"/>
  <c r="E579" i="8"/>
  <c r="E578" i="8"/>
  <c r="E577" i="8"/>
  <c r="E576" i="8"/>
  <c r="E575" i="8"/>
  <c r="E574" i="8"/>
  <c r="E573" i="8"/>
  <c r="E572" i="8"/>
  <c r="E571" i="8"/>
  <c r="E570" i="8"/>
  <c r="E569" i="8"/>
  <c r="E568" i="8"/>
  <c r="E567" i="8"/>
  <c r="E566" i="8"/>
  <c r="E565" i="8"/>
  <c r="E564" i="8"/>
  <c r="E563" i="8"/>
  <c r="E562" i="8"/>
  <c r="E561" i="8"/>
  <c r="E560" i="8"/>
  <c r="E559" i="8"/>
  <c r="E558" i="8"/>
  <c r="E557" i="8"/>
  <c r="E556" i="8"/>
  <c r="E555" i="8"/>
  <c r="E554" i="8"/>
  <c r="E553" i="8"/>
  <c r="E552" i="8"/>
  <c r="E551" i="8"/>
  <c r="E550" i="8"/>
  <c r="E549" i="8"/>
  <c r="E548" i="8"/>
  <c r="E547" i="8"/>
  <c r="E546" i="8"/>
  <c r="E545" i="8"/>
  <c r="E544" i="8"/>
  <c r="E543" i="8"/>
  <c r="E542" i="8"/>
  <c r="E541" i="8"/>
  <c r="E540" i="8"/>
  <c r="E539" i="8"/>
  <c r="E538" i="8"/>
  <c r="E537" i="8"/>
  <c r="E536" i="8"/>
  <c r="E535" i="8"/>
  <c r="E534" i="8"/>
  <c r="E533" i="8"/>
  <c r="E532" i="8"/>
  <c r="E531" i="8"/>
  <c r="E530" i="8"/>
  <c r="E529" i="8"/>
  <c r="E528" i="8"/>
  <c r="E527" i="8"/>
  <c r="E526" i="8"/>
  <c r="E525" i="8"/>
  <c r="E524" i="8"/>
  <c r="E523" i="8"/>
  <c r="E522" i="8"/>
  <c r="E521" i="8"/>
  <c r="E520" i="8"/>
  <c r="E519" i="8"/>
  <c r="E518" i="8"/>
  <c r="E517" i="8"/>
  <c r="E516" i="8"/>
  <c r="E515" i="8"/>
  <c r="E514" i="8"/>
  <c r="E513" i="8"/>
  <c r="E512" i="8"/>
  <c r="E511" i="8"/>
  <c r="E510" i="8"/>
  <c r="E509" i="8"/>
  <c r="E508" i="8"/>
  <c r="E507" i="8"/>
  <c r="E506" i="8"/>
  <c r="E505" i="8"/>
  <c r="E504" i="8"/>
  <c r="E503" i="8"/>
  <c r="E502" i="8"/>
  <c r="E501" i="8"/>
  <c r="E500" i="8"/>
  <c r="E499" i="8"/>
  <c r="E498" i="8"/>
  <c r="E497" i="8"/>
  <c r="E496" i="8"/>
  <c r="E495" i="8"/>
  <c r="E494" i="8"/>
  <c r="E493" i="8"/>
  <c r="E492" i="8"/>
  <c r="E491" i="8"/>
  <c r="E490" i="8"/>
  <c r="E489" i="8"/>
  <c r="E488" i="8"/>
  <c r="E487" i="8"/>
  <c r="E486" i="8"/>
  <c r="E485" i="8"/>
  <c r="E484" i="8"/>
  <c r="E483" i="8"/>
  <c r="E482" i="8"/>
  <c r="E481" i="8"/>
  <c r="E480" i="8"/>
  <c r="E479" i="8"/>
  <c r="E478" i="8"/>
  <c r="E477" i="8"/>
  <c r="E476" i="8"/>
  <c r="E475" i="8"/>
  <c r="E474" i="8"/>
  <c r="E473" i="8"/>
  <c r="E472" i="8"/>
  <c r="E471" i="8"/>
  <c r="E470" i="8"/>
  <c r="E469" i="8"/>
  <c r="E468" i="8"/>
  <c r="E467" i="8"/>
  <c r="E466" i="8"/>
  <c r="E465" i="8"/>
  <c r="E464" i="8"/>
  <c r="E463" i="8"/>
  <c r="E462" i="8"/>
  <c r="E461" i="8"/>
  <c r="E460" i="8"/>
  <c r="E459" i="8"/>
  <c r="E458" i="8"/>
  <c r="E457" i="8"/>
  <c r="E456" i="8"/>
  <c r="E455" i="8"/>
  <c r="E454" i="8"/>
  <c r="E453" i="8"/>
  <c r="E452" i="8"/>
  <c r="E451" i="8"/>
  <c r="E450" i="8"/>
  <c r="E449" i="8"/>
  <c r="E448" i="8"/>
  <c r="E447" i="8"/>
  <c r="E446" i="8"/>
  <c r="E445" i="8"/>
  <c r="E444" i="8"/>
  <c r="E443" i="8"/>
  <c r="E442" i="8"/>
  <c r="E441" i="8"/>
  <c r="E440" i="8"/>
  <c r="E439" i="8"/>
  <c r="E438" i="8"/>
  <c r="E437" i="8"/>
  <c r="E436" i="8"/>
  <c r="E435" i="8"/>
  <c r="E434" i="8"/>
  <c r="E433" i="8"/>
  <c r="E432" i="8"/>
  <c r="E431" i="8"/>
  <c r="E430" i="8"/>
  <c r="E429" i="8"/>
  <c r="E428" i="8"/>
  <c r="E427" i="8"/>
  <c r="E426" i="8"/>
  <c r="E425" i="8"/>
  <c r="E424" i="8"/>
  <c r="E423" i="8"/>
  <c r="E422" i="8"/>
  <c r="E421" i="8"/>
  <c r="E420" i="8"/>
  <c r="E419" i="8"/>
  <c r="E418" i="8"/>
  <c r="E417" i="8"/>
  <c r="E416" i="8"/>
  <c r="E415" i="8"/>
  <c r="E414" i="8"/>
  <c r="E413" i="8"/>
  <c r="E412" i="8"/>
  <c r="E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G27" i="7"/>
  <c r="D27" i="7"/>
  <c r="C27" i="7"/>
  <c r="B27" i="7"/>
  <c r="E26" i="7"/>
  <c r="H25" i="7"/>
  <c r="D25" i="7"/>
  <c r="C25" i="7"/>
  <c r="B25" i="7"/>
  <c r="E24" i="7"/>
  <c r="E23" i="7"/>
  <c r="E22" i="7"/>
  <c r="E21" i="7"/>
  <c r="E20" i="7"/>
  <c r="E19" i="7"/>
  <c r="E18" i="7"/>
  <c r="H17" i="7"/>
  <c r="E17" i="7"/>
  <c r="D17" i="7"/>
  <c r="C17" i="7"/>
  <c r="B17" i="7"/>
  <c r="E16" i="7"/>
  <c r="E15" i="7"/>
  <c r="E14" i="7"/>
  <c r="E13" i="7"/>
  <c r="E12" i="7"/>
  <c r="E11" i="7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X525" i="3"/>
  <c r="W525" i="3"/>
  <c r="R525" i="3"/>
  <c r="X408" i="9" l="1"/>
  <c r="X381" i="9"/>
  <c r="W375" i="9"/>
  <c r="W409" i="9"/>
  <c r="X374" i="9"/>
  <c r="X403" i="9"/>
  <c r="W285" i="9"/>
  <c r="X369" i="9"/>
  <c r="W258" i="9"/>
  <c r="W325" i="9"/>
  <c r="X333" i="9"/>
  <c r="X336" i="9"/>
  <c r="E25" i="7"/>
  <c r="E27" i="7" s="1"/>
  <c r="X35" i="9"/>
  <c r="X81" i="9"/>
  <c r="W12" i="9"/>
  <c r="W25" i="9"/>
  <c r="X57" i="9"/>
  <c r="W63" i="9"/>
  <c r="W71" i="9"/>
  <c r="X73" i="9"/>
  <c r="W84" i="9"/>
  <c r="W110" i="9"/>
  <c r="W116" i="9"/>
  <c r="W129" i="9"/>
  <c r="X143" i="9"/>
  <c r="W117" i="9"/>
  <c r="W130" i="9"/>
  <c r="W157" i="9"/>
  <c r="X13" i="9"/>
  <c r="W18" i="9"/>
  <c r="X19" i="9"/>
  <c r="W37" i="9"/>
  <c r="X38" i="9"/>
  <c r="X51" i="9"/>
  <c r="X64" i="9"/>
  <c r="X72" i="9"/>
  <c r="W94" i="9"/>
  <c r="X117" i="9"/>
  <c r="W141" i="9"/>
  <c r="W188" i="9"/>
  <c r="W189" i="9"/>
  <c r="X318" i="9"/>
  <c r="W92" i="9"/>
  <c r="W104" i="9"/>
  <c r="W107" i="9"/>
  <c r="W330" i="9"/>
  <c r="W119" i="9"/>
  <c r="W198" i="9"/>
  <c r="X256" i="9"/>
  <c r="X276" i="9"/>
  <c r="X301" i="9"/>
  <c r="W314" i="9"/>
  <c r="W315" i="9"/>
  <c r="X329" i="9"/>
  <c r="X34" i="9"/>
  <c r="W85" i="9"/>
  <c r="W91" i="9"/>
  <c r="X185" i="9"/>
  <c r="X223" i="9"/>
  <c r="W235" i="9"/>
  <c r="W288" i="9"/>
  <c r="X393" i="9"/>
  <c r="W201" i="9"/>
  <c r="X227" i="9"/>
  <c r="X253" i="9"/>
  <c r="X338" i="9"/>
  <c r="X404" i="9"/>
  <c r="W99" i="9"/>
  <c r="X110" i="9"/>
  <c r="X116" i="9"/>
  <c r="W127" i="9"/>
  <c r="X129" i="9"/>
  <c r="W140" i="9"/>
  <c r="X163" i="9"/>
  <c r="W182" i="9"/>
  <c r="X182" i="9"/>
  <c r="X189" i="9"/>
  <c r="W29" i="9"/>
  <c r="X122" i="9"/>
  <c r="W210" i="9"/>
  <c r="W217" i="9"/>
  <c r="W283" i="9"/>
  <c r="X283" i="9"/>
  <c r="X303" i="9"/>
  <c r="X310" i="9"/>
  <c r="W403" i="9"/>
  <c r="X293" i="9"/>
  <c r="X299" i="9"/>
  <c r="X130" i="9"/>
  <c r="W226" i="9"/>
  <c r="W292" i="9"/>
  <c r="W35" i="9"/>
  <c r="W41" i="9"/>
  <c r="W81" i="9"/>
  <c r="W114" i="9"/>
  <c r="X115" i="9"/>
  <c r="W264" i="9"/>
  <c r="X10" i="9"/>
  <c r="W34" i="9"/>
  <c r="W65" i="9"/>
  <c r="X69" i="9"/>
  <c r="X70" i="9"/>
  <c r="W80" i="9"/>
  <c r="X121" i="9"/>
  <c r="W126" i="9"/>
  <c r="W231" i="9"/>
  <c r="W131" i="9"/>
  <c r="W159" i="9"/>
  <c r="W197" i="9"/>
  <c r="X204" i="9"/>
  <c r="X230" i="9"/>
  <c r="W236" i="9"/>
  <c r="W242" i="9"/>
  <c r="W268" i="9"/>
  <c r="W289" i="9"/>
  <c r="W296" i="9"/>
  <c r="X321" i="9"/>
  <c r="W329" i="9"/>
  <c r="X330" i="9"/>
  <c r="W26" i="9"/>
  <c r="W352" i="9"/>
  <c r="X379" i="9"/>
  <c r="X385" i="9"/>
  <c r="W398" i="9"/>
  <c r="W399" i="9"/>
  <c r="X28" i="9"/>
  <c r="X96" i="9"/>
  <c r="X33" i="9"/>
  <c r="W83" i="9"/>
  <c r="X102" i="9"/>
  <c r="X124" i="9"/>
  <c r="W128" i="9"/>
  <c r="W202" i="9"/>
  <c r="X202" i="9"/>
  <c r="X254" i="9"/>
  <c r="W286" i="9"/>
  <c r="W287" i="9"/>
  <c r="X295" i="9"/>
  <c r="X300" i="9"/>
  <c r="X313" i="9"/>
  <c r="X314" i="9"/>
  <c r="W318" i="9"/>
  <c r="X392" i="9"/>
  <c r="X386" i="9"/>
  <c r="X106" i="9"/>
  <c r="W158" i="9"/>
  <c r="X196" i="9"/>
  <c r="W249" i="9"/>
  <c r="X11" i="9"/>
  <c r="W22" i="9"/>
  <c r="X77" i="9"/>
  <c r="W142" i="9"/>
  <c r="X171" i="9"/>
  <c r="W176" i="9"/>
  <c r="X177" i="9"/>
  <c r="X208" i="9"/>
  <c r="X222" i="9"/>
  <c r="W227" i="9"/>
  <c r="W267" i="9"/>
  <c r="W327" i="9"/>
  <c r="X328" i="9"/>
  <c r="X198" i="9"/>
  <c r="X244" i="9"/>
  <c r="W137" i="9"/>
  <c r="X95" i="9"/>
  <c r="X384" i="9"/>
  <c r="W33" i="9"/>
  <c r="X42" i="9"/>
  <c r="X260" i="9"/>
  <c r="X281" i="9"/>
  <c r="X351" i="9"/>
  <c r="W363" i="9"/>
  <c r="X391" i="9"/>
  <c r="X397" i="9"/>
  <c r="X398" i="9"/>
  <c r="W67" i="9"/>
  <c r="X111" i="9"/>
  <c r="X243" i="9"/>
  <c r="X21" i="9"/>
  <c r="W32" i="9"/>
  <c r="X47" i="9"/>
  <c r="X54" i="9"/>
  <c r="W98" i="9"/>
  <c r="X128" i="9"/>
  <c r="W146" i="9"/>
  <c r="W174" i="9"/>
  <c r="W212" i="9"/>
  <c r="W220" i="9"/>
  <c r="X220" i="9"/>
  <c r="X266" i="9"/>
  <c r="X319" i="9"/>
  <c r="W326" i="9"/>
  <c r="W333" i="9"/>
  <c r="W48" i="9"/>
  <c r="X217" i="9"/>
  <c r="W149" i="9"/>
  <c r="X8" i="9"/>
  <c r="X59" i="9"/>
  <c r="W194" i="9"/>
  <c r="X194" i="9"/>
  <c r="W206" i="9"/>
  <c r="X206" i="9"/>
  <c r="X285" i="9"/>
  <c r="X286" i="9"/>
  <c r="W298" i="9"/>
  <c r="X91" i="9"/>
  <c r="X45" i="9"/>
  <c r="W72" i="9"/>
  <c r="X92" i="9"/>
  <c r="W106" i="9"/>
  <c r="W132" i="9"/>
  <c r="X134" i="9"/>
  <c r="X140" i="9"/>
  <c r="X152" i="9"/>
  <c r="W160" i="9"/>
  <c r="W166" i="9"/>
  <c r="X168" i="9"/>
  <c r="W245" i="9"/>
  <c r="X264" i="9"/>
  <c r="W304" i="9"/>
  <c r="W311" i="9"/>
  <c r="X311" i="9"/>
  <c r="W332" i="9"/>
  <c r="W349" i="9"/>
  <c r="X357" i="9"/>
  <c r="X362" i="9"/>
  <c r="W389" i="9"/>
  <c r="X172" i="9"/>
  <c r="X309" i="9"/>
  <c r="W144" i="9"/>
  <c r="W211" i="9"/>
  <c r="X211" i="9"/>
  <c r="W278" i="9"/>
  <c r="X291" i="9"/>
  <c r="X298" i="9"/>
  <c r="W322" i="9"/>
  <c r="W331" i="9"/>
  <c r="W82" i="9"/>
  <c r="W6" i="9"/>
  <c r="X7" i="9"/>
  <c r="W24" i="9"/>
  <c r="X52" i="9"/>
  <c r="W95" i="9"/>
  <c r="X139" i="9"/>
  <c r="W230" i="9"/>
  <c r="X231" i="9"/>
  <c r="W237" i="9"/>
  <c r="W250" i="9"/>
  <c r="X263" i="9"/>
  <c r="W302" i="9"/>
  <c r="X316" i="9"/>
  <c r="X335" i="9"/>
  <c r="W348" i="9"/>
  <c r="X348" i="9"/>
  <c r="W360" i="9"/>
  <c r="X367" i="9"/>
  <c r="X373" i="9"/>
  <c r="W386" i="9"/>
  <c r="X388" i="9"/>
  <c r="W372" i="9"/>
  <c r="X372" i="9"/>
  <c r="W400" i="9"/>
  <c r="X12" i="9"/>
  <c r="X27" i="9"/>
  <c r="W38" i="9"/>
  <c r="X46" i="9"/>
  <c r="W57" i="9"/>
  <c r="W74" i="9"/>
  <c r="W79" i="9"/>
  <c r="X103" i="9"/>
  <c r="X112" i="9"/>
  <c r="W125" i="9"/>
  <c r="X126" i="9"/>
  <c r="W154" i="9"/>
  <c r="X155" i="9"/>
  <c r="X158" i="9"/>
  <c r="W170" i="9"/>
  <c r="W177" i="9"/>
  <c r="X184" i="9"/>
  <c r="X197" i="9"/>
  <c r="W209" i="9"/>
  <c r="X271" i="9"/>
  <c r="X278" i="9"/>
  <c r="X292" i="9"/>
  <c r="W305" i="9"/>
  <c r="W317" i="9"/>
  <c r="X317" i="9"/>
  <c r="X343" i="9"/>
  <c r="X355" i="9"/>
  <c r="X356" i="9"/>
  <c r="X361" i="9"/>
  <c r="W373" i="9"/>
  <c r="W374" i="9"/>
  <c r="X376" i="9"/>
  <c r="W342" i="9"/>
  <c r="X342" i="9"/>
  <c r="X360" i="9"/>
  <c r="X368" i="9"/>
  <c r="X375" i="9"/>
  <c r="W388" i="9"/>
  <c r="W395" i="9"/>
  <c r="X395" i="9"/>
  <c r="W9" i="9"/>
  <c r="X39" i="9"/>
  <c r="X75" i="9"/>
  <c r="X80" i="9"/>
  <c r="W87" i="9"/>
  <c r="W93" i="9"/>
  <c r="X101" i="9"/>
  <c r="W109" i="9"/>
  <c r="W118" i="9"/>
  <c r="X133" i="9"/>
  <c r="X141" i="9"/>
  <c r="X149" i="9"/>
  <c r="W153" i="9"/>
  <c r="X170" i="9"/>
  <c r="W190" i="9"/>
  <c r="X190" i="9"/>
  <c r="X209" i="9"/>
  <c r="W216" i="9"/>
  <c r="X236" i="9"/>
  <c r="X257" i="9"/>
  <c r="X262" i="9"/>
  <c r="W276" i="9"/>
  <c r="W290" i="9"/>
  <c r="W297" i="9"/>
  <c r="W303" i="9"/>
  <c r="W323" i="9"/>
  <c r="X323" i="9"/>
  <c r="W335" i="9"/>
  <c r="W387" i="9"/>
  <c r="X341" i="9"/>
  <c r="X353" i="9"/>
  <c r="W379" i="9"/>
  <c r="W385" i="9"/>
  <c r="X387" i="9"/>
  <c r="W401" i="9"/>
  <c r="X401" i="9"/>
  <c r="W8" i="9"/>
  <c r="W21" i="9"/>
  <c r="W36" i="9"/>
  <c r="W78" i="9"/>
  <c r="X79" i="9"/>
  <c r="W138" i="9"/>
  <c r="X154" i="9"/>
  <c r="W161" i="9"/>
  <c r="X242" i="9"/>
  <c r="W248" i="9"/>
  <c r="W254" i="9"/>
  <c r="X277" i="9"/>
  <c r="X9" i="9"/>
  <c r="X22" i="9"/>
  <c r="X23" i="9"/>
  <c r="W49" i="9"/>
  <c r="W108" i="9"/>
  <c r="X109" i="9"/>
  <c r="X118" i="9"/>
  <c r="X131" i="9"/>
  <c r="W168" i="9"/>
  <c r="X201" i="9"/>
  <c r="X215" i="9"/>
  <c r="X221" i="9"/>
  <c r="X228" i="9"/>
  <c r="W252" i="9"/>
  <c r="W253" i="9"/>
  <c r="X261" i="9"/>
  <c r="W274" i="9"/>
  <c r="X275" i="9"/>
  <c r="W282" i="9"/>
  <c r="X302" i="9"/>
  <c r="W339" i="9"/>
  <c r="W340" i="9"/>
  <c r="W351" i="9"/>
  <c r="W365" i="9"/>
  <c r="X371" i="9"/>
  <c r="X380" i="9"/>
  <c r="X49" i="9"/>
  <c r="W70" i="9"/>
  <c r="X71" i="9"/>
  <c r="W76" i="9"/>
  <c r="X123" i="9"/>
  <c r="X145" i="9"/>
  <c r="X146" i="9"/>
  <c r="W173" i="9"/>
  <c r="X180" i="9"/>
  <c r="X181" i="9"/>
  <c r="W193" i="9"/>
  <c r="W199" i="9"/>
  <c r="W239" i="9"/>
  <c r="W240" i="9"/>
  <c r="W266" i="9"/>
  <c r="W273" i="9"/>
  <c r="X282" i="9"/>
  <c r="W300" i="9"/>
  <c r="X308" i="9"/>
  <c r="X315" i="9"/>
  <c r="W350" i="9"/>
  <c r="W364" i="9"/>
  <c r="W378" i="9"/>
  <c r="X378" i="9"/>
  <c r="W391" i="9"/>
  <c r="W397" i="9"/>
  <c r="W13" i="9"/>
  <c r="X15" i="9"/>
  <c r="W47" i="9"/>
  <c r="X48" i="9"/>
  <c r="W53" i="9"/>
  <c r="W60" i="9"/>
  <c r="X62" i="9"/>
  <c r="W69" i="9"/>
  <c r="X108" i="9"/>
  <c r="W120" i="9"/>
  <c r="W135" i="9"/>
  <c r="W143" i="9"/>
  <c r="X151" i="9"/>
  <c r="W165" i="9"/>
  <c r="W186" i="9"/>
  <c r="W205" i="9"/>
  <c r="X212" i="9"/>
  <c r="X259" i="9"/>
  <c r="W265" i="9"/>
  <c r="X273" i="9"/>
  <c r="W280" i="9"/>
  <c r="X294" i="9"/>
  <c r="W27" i="9"/>
  <c r="X104" i="9"/>
  <c r="X144" i="9"/>
  <c r="W155" i="9"/>
  <c r="X160" i="9"/>
  <c r="X166" i="9"/>
  <c r="W172" i="9"/>
  <c r="W185" i="9"/>
  <c r="W337" i="9"/>
  <c r="X339" i="9"/>
  <c r="W344" i="9"/>
  <c r="X350" i="9"/>
  <c r="W356" i="9"/>
  <c r="W362" i="9"/>
  <c r="W377" i="9"/>
  <c r="W45" i="9"/>
  <c r="W46" i="9"/>
  <c r="W66" i="9"/>
  <c r="X67" i="9"/>
  <c r="X83" i="9"/>
  <c r="X84" i="9"/>
  <c r="X97" i="9"/>
  <c r="W171" i="9"/>
  <c r="X192" i="9"/>
  <c r="X205" i="9"/>
  <c r="X218" i="9"/>
  <c r="X219" i="9"/>
  <c r="X238" i="9"/>
  <c r="X239" i="9"/>
  <c r="X265" i="9"/>
  <c r="W271" i="9"/>
  <c r="X272" i="9"/>
  <c r="W279" i="9"/>
  <c r="X280" i="9"/>
  <c r="W299" i="9"/>
  <c r="X306" i="9"/>
  <c r="W376" i="9"/>
  <c r="X390" i="9"/>
  <c r="W396" i="9"/>
  <c r="X396" i="9"/>
  <c r="X406" i="9"/>
  <c r="W11" i="9"/>
  <c r="W15" i="9"/>
  <c r="W20" i="9"/>
  <c r="W30" i="9"/>
  <c r="X31" i="9"/>
  <c r="W40" i="9"/>
  <c r="X41" i="9"/>
  <c r="X85" i="9"/>
  <c r="X127" i="9"/>
  <c r="W152" i="9"/>
  <c r="X214" i="9"/>
  <c r="W228" i="9"/>
  <c r="X229" i="9"/>
  <c r="W269" i="9"/>
  <c r="X269" i="9"/>
  <c r="W275" i="9"/>
  <c r="W291" i="9"/>
  <c r="X4" i="9"/>
  <c r="X5" i="9"/>
  <c r="W14" i="9"/>
  <c r="X16" i="9"/>
  <c r="W62" i="9"/>
  <c r="W73" i="9"/>
  <c r="X90" i="9"/>
  <c r="W115" i="9"/>
  <c r="X119" i="9"/>
  <c r="W134" i="9"/>
  <c r="X136" i="9"/>
  <c r="X137" i="9"/>
  <c r="X147" i="9"/>
  <c r="W151" i="9"/>
  <c r="X153" i="9"/>
  <c r="X82" i="9"/>
  <c r="W88" i="9"/>
  <c r="X89" i="9"/>
  <c r="W195" i="9"/>
  <c r="W219" i="9"/>
  <c r="X250" i="9"/>
  <c r="X258" i="9"/>
  <c r="X274" i="9"/>
  <c r="W281" i="9"/>
  <c r="W28" i="9"/>
  <c r="X29" i="9"/>
  <c r="X30" i="9"/>
  <c r="X40" i="9"/>
  <c r="W61" i="9"/>
  <c r="X63" i="9"/>
  <c r="X74" i="9"/>
  <c r="W124" i="9"/>
  <c r="W162" i="9"/>
  <c r="X164" i="9"/>
  <c r="X195" i="9"/>
  <c r="X203" i="9"/>
  <c r="W208" i="9"/>
  <c r="X210" i="9"/>
  <c r="W218" i="9"/>
  <c r="X226" i="9"/>
  <c r="X296" i="9"/>
  <c r="W321" i="9"/>
  <c r="X322" i="9"/>
  <c r="W353" i="9"/>
  <c r="W43" i="9"/>
  <c r="X44" i="9"/>
  <c r="W102" i="9"/>
  <c r="W169" i="9"/>
  <c r="X179" i="9"/>
  <c r="W207" i="9"/>
  <c r="X233" i="9"/>
  <c r="W256" i="9"/>
  <c r="W257" i="9"/>
  <c r="W295" i="9"/>
  <c r="W312" i="9"/>
  <c r="W320" i="9"/>
  <c r="W17" i="9"/>
  <c r="X36" i="9"/>
  <c r="X37" i="9"/>
  <c r="W59" i="9"/>
  <c r="X61" i="9"/>
  <c r="X94" i="9"/>
  <c r="W113" i="9"/>
  <c r="X114" i="9"/>
  <c r="W122" i="9"/>
  <c r="X125" i="9"/>
  <c r="X169" i="9"/>
  <c r="W178" i="9"/>
  <c r="X178" i="9"/>
  <c r="W184" i="9"/>
  <c r="X186" i="9"/>
  <c r="W200" i="9"/>
  <c r="W232" i="9"/>
  <c r="X232" i="9"/>
  <c r="W238" i="9"/>
  <c r="W246" i="9"/>
  <c r="W294" i="9"/>
  <c r="X312" i="9"/>
  <c r="W319" i="9"/>
  <c r="W42" i="9"/>
  <c r="X43" i="9"/>
  <c r="W52" i="9"/>
  <c r="X53" i="9"/>
  <c r="W58" i="9"/>
  <c r="X60" i="9"/>
  <c r="W100" i="9"/>
  <c r="W112" i="9"/>
  <c r="W262" i="9"/>
  <c r="W183" i="9"/>
  <c r="X304" i="9"/>
  <c r="W5" i="9"/>
  <c r="X6" i="9"/>
  <c r="W16" i="9"/>
  <c r="X17" i="9"/>
  <c r="X18" i="9"/>
  <c r="W23" i="9"/>
  <c r="X26" i="9"/>
  <c r="W31" i="9"/>
  <c r="X32" i="9"/>
  <c r="W51" i="9"/>
  <c r="W56" i="9"/>
  <c r="X93" i="9"/>
  <c r="W111" i="9"/>
  <c r="X159" i="9"/>
  <c r="W214" i="9"/>
  <c r="W221" i="9"/>
  <c r="X224" i="9"/>
  <c r="X237" i="9"/>
  <c r="W244" i="9"/>
  <c r="W270" i="9"/>
  <c r="X270" i="9"/>
  <c r="W277" i="9"/>
  <c r="W310" i="9"/>
  <c r="X349" i="9"/>
  <c r="W361" i="9"/>
  <c r="W4" i="9"/>
  <c r="X24" i="9"/>
  <c r="X25" i="9"/>
  <c r="W50" i="9"/>
  <c r="X58" i="9"/>
  <c r="W75" i="9"/>
  <c r="X76" i="9"/>
  <c r="X86" i="9"/>
  <c r="W90" i="9"/>
  <c r="W97" i="9"/>
  <c r="W136" i="9"/>
  <c r="X138" i="9"/>
  <c r="W145" i="9"/>
  <c r="X148" i="9"/>
  <c r="W229" i="9"/>
  <c r="W243" i="9"/>
  <c r="X365" i="9"/>
  <c r="X377" i="9"/>
  <c r="W384" i="9"/>
  <c r="X389" i="9"/>
  <c r="X402" i="9"/>
  <c r="X325" i="9"/>
  <c r="W341" i="9"/>
  <c r="X352" i="9"/>
  <c r="W359" i="9"/>
  <c r="X359" i="9"/>
  <c r="X363" i="9"/>
  <c r="X364" i="9"/>
  <c r="W371" i="9"/>
  <c r="W383" i="9"/>
  <c r="X383" i="9"/>
  <c r="X399" i="9"/>
  <c r="X400" i="9"/>
  <c r="W408" i="9"/>
  <c r="X334" i="9"/>
  <c r="X340" i="9"/>
  <c r="W347" i="9"/>
  <c r="X347" i="9"/>
  <c r="W357" i="9"/>
  <c r="W358" i="9"/>
  <c r="X358" i="9"/>
  <c r="W369" i="9"/>
  <c r="W370" i="9"/>
  <c r="X370" i="9"/>
  <c r="W407" i="9"/>
  <c r="W368" i="9"/>
  <c r="W381" i="9"/>
  <c r="W382" i="9"/>
  <c r="X382" i="9"/>
  <c r="X407" i="9"/>
  <c r="W380" i="9"/>
  <c r="W392" i="9"/>
  <c r="W393" i="9"/>
  <c r="W394" i="9"/>
  <c r="X394" i="9"/>
  <c r="W405" i="9"/>
  <c r="X409" i="9"/>
  <c r="X113" i="9"/>
  <c r="X135" i="9"/>
  <c r="X157" i="9"/>
  <c r="X167" i="9"/>
  <c r="X183" i="9"/>
  <c r="X193" i="9"/>
  <c r="X207" i="9"/>
  <c r="W328" i="9"/>
  <c r="W7" i="9"/>
  <c r="X14" i="9"/>
  <c r="W19" i="9"/>
  <c r="X20" i="9"/>
  <c r="W39" i="9"/>
  <c r="W44" i="9"/>
  <c r="X50" i="9"/>
  <c r="W55" i="9"/>
  <c r="X56" i="9"/>
  <c r="W77" i="9"/>
  <c r="X78" i="9"/>
  <c r="X88" i="9"/>
  <c r="X132" i="9"/>
  <c r="W139" i="9"/>
  <c r="W150" i="9"/>
  <c r="W164" i="9"/>
  <c r="W181" i="9"/>
  <c r="W191" i="9"/>
  <c r="X199" i="9"/>
  <c r="X200" i="9"/>
  <c r="X225" i="9"/>
  <c r="X235" i="9"/>
  <c r="W241" i="9"/>
  <c r="X255" i="9"/>
  <c r="W260" i="9"/>
  <c r="W261" i="9"/>
  <c r="X290" i="9"/>
  <c r="W308" i="9"/>
  <c r="W316" i="9"/>
  <c r="W338" i="9"/>
  <c r="W345" i="9"/>
  <c r="X346" i="9"/>
  <c r="W355" i="9"/>
  <c r="W367" i="9"/>
  <c r="W406" i="9"/>
  <c r="W54" i="9"/>
  <c r="X55" i="9"/>
  <c r="W64" i="9"/>
  <c r="X65" i="9"/>
  <c r="X66" i="9"/>
  <c r="W86" i="9"/>
  <c r="X87" i="9"/>
  <c r="X98" i="9"/>
  <c r="X120" i="9"/>
  <c r="X142" i="9"/>
  <c r="W148" i="9"/>
  <c r="X150" i="9"/>
  <c r="X165" i="9"/>
  <c r="X173" i="9"/>
  <c r="X174" i="9"/>
  <c r="W180" i="9"/>
  <c r="X191" i="9"/>
  <c r="W196" i="9"/>
  <c r="W215" i="9"/>
  <c r="X216" i="9"/>
  <c r="W223" i="9"/>
  <c r="W224" i="9"/>
  <c r="X234" i="9"/>
  <c r="X240" i="9"/>
  <c r="X241" i="9"/>
  <c r="X252" i="9"/>
  <c r="W259" i="9"/>
  <c r="X279" i="9"/>
  <c r="X297" i="9"/>
  <c r="W306" i="9"/>
  <c r="W307" i="9"/>
  <c r="X307" i="9"/>
  <c r="X326" i="9"/>
  <c r="X327" i="9"/>
  <c r="W336" i="9"/>
  <c r="X337" i="9"/>
  <c r="W354" i="9"/>
  <c r="W366" i="9"/>
  <c r="W390" i="9"/>
  <c r="W343" i="9"/>
  <c r="X344" i="9"/>
  <c r="X345" i="9"/>
  <c r="X354" i="9"/>
  <c r="X366" i="9"/>
  <c r="W402" i="9"/>
  <c r="X405" i="9"/>
  <c r="D7" i="9"/>
  <c r="D20" i="9"/>
  <c r="D32" i="9"/>
  <c r="D44" i="9"/>
  <c r="D56" i="9"/>
  <c r="D79" i="9"/>
  <c r="X99" i="9"/>
  <c r="C109" i="9"/>
  <c r="D138" i="9"/>
  <c r="C138" i="9"/>
  <c r="X213" i="9"/>
  <c r="D225" i="9"/>
  <c r="W233" i="9"/>
  <c r="X251" i="9"/>
  <c r="W272" i="9"/>
  <c r="D316" i="9"/>
  <c r="C12" i="9"/>
  <c r="C24" i="9"/>
  <c r="C36" i="9"/>
  <c r="C48" i="9"/>
  <c r="C60" i="9"/>
  <c r="C71" i="9"/>
  <c r="C83" i="9"/>
  <c r="C89" i="9"/>
  <c r="C96" i="9"/>
  <c r="C301" i="9"/>
  <c r="D315" i="9"/>
  <c r="C315" i="9"/>
  <c r="C91" i="9"/>
  <c r="D92" i="9"/>
  <c r="C94" i="9"/>
  <c r="D95" i="9"/>
  <c r="D107" i="9"/>
  <c r="C107" i="9"/>
  <c r="X161" i="9"/>
  <c r="X162" i="9"/>
  <c r="W179" i="9"/>
  <c r="D182" i="9"/>
  <c r="C182" i="9"/>
  <c r="X249" i="9"/>
  <c r="C261" i="9"/>
  <c r="X289" i="9"/>
  <c r="W309" i="9"/>
  <c r="D326" i="9"/>
  <c r="C326" i="9"/>
  <c r="D194" i="9"/>
  <c r="C194" i="9"/>
  <c r="D99" i="9"/>
  <c r="C99" i="9"/>
  <c r="D220" i="9"/>
  <c r="C220" i="9"/>
  <c r="D240" i="9"/>
  <c r="C240" i="9"/>
  <c r="W101" i="9"/>
  <c r="W103" i="9"/>
  <c r="X248" i="9"/>
  <c r="D259" i="9"/>
  <c r="X288" i="9"/>
  <c r="C299" i="9"/>
  <c r="X320" i="9"/>
  <c r="D87" i="9"/>
  <c r="C87" i="9"/>
  <c r="D119" i="9"/>
  <c r="C119" i="9"/>
  <c r="C4" i="9"/>
  <c r="C17" i="9"/>
  <c r="C29" i="9"/>
  <c r="C41" i="9"/>
  <c r="C53" i="9"/>
  <c r="C65" i="9"/>
  <c r="C76" i="9"/>
  <c r="W121" i="9"/>
  <c r="W123" i="9"/>
  <c r="D127" i="9"/>
  <c r="D131" i="9"/>
  <c r="C131" i="9"/>
  <c r="D143" i="9"/>
  <c r="C143" i="9"/>
  <c r="W147" i="9"/>
  <c r="D151" i="9"/>
  <c r="D169" i="9"/>
  <c r="X187" i="9"/>
  <c r="X188" i="9"/>
  <c r="W204" i="9"/>
  <c r="W255" i="9"/>
  <c r="D258" i="9"/>
  <c r="C258" i="9"/>
  <c r="X287" i="9"/>
  <c r="D342" i="9"/>
  <c r="C342" i="9"/>
  <c r="W89" i="9"/>
  <c r="W96" i="9"/>
  <c r="W133" i="9"/>
  <c r="C196" i="9"/>
  <c r="D206" i="9"/>
  <c r="C206" i="9"/>
  <c r="X245" i="9"/>
  <c r="X246" i="9"/>
  <c r="X267" i="9"/>
  <c r="X268" i="9"/>
  <c r="D278" i="9"/>
  <c r="C278" i="9"/>
  <c r="W293" i="9"/>
  <c r="X332" i="9"/>
  <c r="C6" i="9"/>
  <c r="C19" i="9"/>
  <c r="C31" i="9"/>
  <c r="C43" i="9"/>
  <c r="C55" i="9"/>
  <c r="C67" i="9"/>
  <c r="C78" i="9"/>
  <c r="D114" i="9"/>
  <c r="C114" i="9"/>
  <c r="D157" i="9"/>
  <c r="D168" i="9"/>
  <c r="C168" i="9"/>
  <c r="W203" i="9"/>
  <c r="C226" i="9"/>
  <c r="W234" i="9"/>
  <c r="D296" i="9"/>
  <c r="C296" i="9"/>
  <c r="C317" i="9"/>
  <c r="X100" i="9"/>
  <c r="X107" i="9"/>
  <c r="D126" i="9"/>
  <c r="C126" i="9"/>
  <c r="D150" i="9"/>
  <c r="C150" i="9"/>
  <c r="W163" i="9"/>
  <c r="X176" i="9"/>
  <c r="W192" i="9"/>
  <c r="D195" i="9"/>
  <c r="X305" i="9"/>
  <c r="X331" i="9"/>
  <c r="C155" i="9"/>
  <c r="C161" i="9"/>
  <c r="C173" i="9"/>
  <c r="C187" i="9"/>
  <c r="C199" i="9"/>
  <c r="C211" i="9"/>
  <c r="C229" i="9"/>
  <c r="C245" i="9"/>
  <c r="C251" i="9"/>
  <c r="C267" i="9"/>
  <c r="C283" i="9"/>
  <c r="C285" i="9"/>
  <c r="C305" i="9"/>
  <c r="C320" i="9"/>
  <c r="C334" i="9"/>
  <c r="C335" i="9"/>
  <c r="C249" i="9"/>
  <c r="D250" i="9"/>
  <c r="C332" i="9"/>
  <c r="D333" i="9"/>
  <c r="W225" i="9"/>
  <c r="W263" i="9"/>
  <c r="W301" i="9"/>
  <c r="C323" i="9"/>
  <c r="D324" i="9"/>
  <c r="W346" i="9"/>
  <c r="C349" i="9"/>
  <c r="D349" i="9"/>
  <c r="C340" i="9"/>
  <c r="C311" i="9"/>
  <c r="W334" i="9"/>
  <c r="W213" i="9"/>
  <c r="C353" i="9"/>
  <c r="C365" i="9"/>
  <c r="C377" i="9"/>
  <c r="C389" i="9"/>
  <c r="C401" i="9"/>
  <c r="C411" i="9"/>
  <c r="C444" i="9"/>
  <c r="C445" i="9"/>
  <c r="C446" i="9"/>
  <c r="C447" i="9"/>
  <c r="C448" i="9"/>
  <c r="C449" i="9"/>
  <c r="C440" i="9"/>
  <c r="C441" i="9"/>
  <c r="C442" i="9"/>
  <c r="C443" i="9"/>
  <c r="C358" i="9"/>
  <c r="C370" i="9"/>
  <c r="C382" i="9"/>
  <c r="C394" i="9"/>
  <c r="C406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347" i="9"/>
  <c r="C359" i="9"/>
  <c r="C371" i="9"/>
  <c r="C383" i="9"/>
  <c r="C395" i="9"/>
  <c r="C348" i="9"/>
  <c r="C360" i="9"/>
  <c r="C372" i="9"/>
  <c r="C384" i="9"/>
  <c r="C396" i="9"/>
  <c r="C408" i="9"/>
  <c r="C412" i="9"/>
  <c r="C413" i="9"/>
  <c r="C414" i="9"/>
  <c r="C415" i="9"/>
  <c r="C416" i="9"/>
  <c r="C417" i="9"/>
  <c r="C418" i="9"/>
  <c r="C583" i="9" l="1"/>
  <c r="C582" i="9"/>
  <c r="C585" i="9" s="1"/>
  <c r="C58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77" authorId="0" shapeId="0" xr:uid="{00000000-0006-0000-0700-000001000000}">
      <text>
        <r>
          <rPr>
            <sz val="10"/>
            <color rgb="FF000000"/>
            <rFont val="Arial"/>
            <family val="2"/>
            <scheme val="minor"/>
          </rPr>
          <t>======
ID#AAACDOscRXk
acel paris    (2026-07-17 00:38:57)
TERMINATE AS DI OF ITMD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iULbOQa7yyEol+8GnUML8sQvsoQ=="/>
    </ext>
  </extLst>
</comments>
</file>

<file path=xl/sharedStrings.xml><?xml version="1.0" encoding="utf-8"?>
<sst xmlns="http://schemas.openxmlformats.org/spreadsheetml/2006/main" count="11537" uniqueCount="3787">
  <si>
    <t>INFORMATION TECHNOLOGY MANAGEMENT SERVICE</t>
  </si>
  <si>
    <t>NO.</t>
  </si>
  <si>
    <t>RANK</t>
  </si>
  <si>
    <t>NAME</t>
  </si>
  <si>
    <t>Designation</t>
  </si>
  <si>
    <t>Highest Educational Attainment</t>
  </si>
  <si>
    <t>Highest Eligibilty</t>
  </si>
  <si>
    <t>Highest Mandatory Training</t>
  </si>
  <si>
    <t>Date Entered Service</t>
  </si>
  <si>
    <t>Contact Numbers</t>
  </si>
  <si>
    <t>LAST</t>
  </si>
  <si>
    <t>FIRST</t>
  </si>
  <si>
    <t>MIDDLE</t>
  </si>
  <si>
    <t>QLFR</t>
  </si>
  <si>
    <t>PBGEN</t>
  </si>
  <si>
    <t>PALGUE</t>
  </si>
  <si>
    <t>ROMY</t>
  </si>
  <si>
    <t>INWAY</t>
  </si>
  <si>
    <t>Director</t>
  </si>
  <si>
    <t>PhD/Master in Mgmt/BS PS</t>
  </si>
  <si>
    <t>PESE</t>
  </si>
  <si>
    <t>PSOSEC</t>
  </si>
  <si>
    <t>09175304121</t>
  </si>
  <si>
    <t>Pcpl</t>
  </si>
  <si>
    <t>CERIL</t>
  </si>
  <si>
    <t>PAUL KELVIN</t>
  </si>
  <si>
    <t>LAROZA</t>
  </si>
  <si>
    <t>Duty PNCO</t>
  </si>
  <si>
    <t>BS Crim</t>
  </si>
  <si>
    <t>RA 6506</t>
  </si>
  <si>
    <t>PSBRC</t>
  </si>
  <si>
    <t>09-165565299</t>
  </si>
  <si>
    <t>Pat</t>
  </si>
  <si>
    <t>BEJARIN</t>
  </si>
  <si>
    <t>GERALD</t>
  </si>
  <si>
    <t>DADIRO</t>
  </si>
  <si>
    <t xml:space="preserve"> PSBRC</t>
  </si>
  <si>
    <t>0928-5394066</t>
  </si>
  <si>
    <t>MORI</t>
  </si>
  <si>
    <t>LYNDON</t>
  </si>
  <si>
    <t>ACOSTA</t>
  </si>
  <si>
    <t>0933-4740797</t>
  </si>
  <si>
    <t>NUP</t>
  </si>
  <si>
    <t>AVENDAÑO</t>
  </si>
  <si>
    <t>MA. FRELIE JOY</t>
  </si>
  <si>
    <t>(no middle name)</t>
  </si>
  <si>
    <t>Bachelor in Public Administration</t>
  </si>
  <si>
    <t>CSP</t>
  </si>
  <si>
    <t>HRMCS</t>
  </si>
  <si>
    <t>0955-4289264</t>
  </si>
  <si>
    <t>LUZARA</t>
  </si>
  <si>
    <t>JEAN</t>
  </si>
  <si>
    <t>GRATUITO</t>
  </si>
  <si>
    <t>AB English</t>
  </si>
  <si>
    <t>CHMTC</t>
  </si>
  <si>
    <t>0930-9339945</t>
  </si>
  <si>
    <t>GRAND TOTAL</t>
  </si>
  <si>
    <t>PCOL</t>
  </si>
  <si>
    <t>TAGAO</t>
  </si>
  <si>
    <t>RONALD</t>
  </si>
  <si>
    <t>MANUEL</t>
  </si>
  <si>
    <t>09175452338</t>
  </si>
  <si>
    <t>PLTCOL</t>
  </si>
  <si>
    <t>TARUN*</t>
  </si>
  <si>
    <t>CHRISTIAN</t>
  </si>
  <si>
    <t>BELTRAN</t>
  </si>
  <si>
    <t>BS ECE</t>
  </si>
  <si>
    <t>RA 1080/CSP</t>
  </si>
  <si>
    <t>0917-8359985</t>
  </si>
  <si>
    <t>PSSg</t>
  </si>
  <si>
    <t>CHAN</t>
  </si>
  <si>
    <t>HAROLD JAY</t>
  </si>
  <si>
    <t>AMAZONA</t>
  </si>
  <si>
    <t>Duty PCO</t>
  </si>
  <si>
    <t>BSCS</t>
  </si>
  <si>
    <t>NAP PO Exam</t>
  </si>
  <si>
    <t>0907-1644817</t>
  </si>
  <si>
    <t>ERIBAL</t>
  </si>
  <si>
    <t>JOZEL JOY</t>
  </si>
  <si>
    <t>FALAGNE</t>
  </si>
  <si>
    <t>BS Info Mgmt</t>
  </si>
  <si>
    <t>CHMTC/MMC</t>
  </si>
  <si>
    <t>Prepared by:</t>
  </si>
  <si>
    <t>0961-7215961/
0949-1291189</t>
  </si>
  <si>
    <t>Noted by:</t>
  </si>
  <si>
    <t>GALBAN*</t>
  </si>
  <si>
    <t>JANE</t>
  </si>
  <si>
    <t>SALAS</t>
  </si>
  <si>
    <t>Bachelor in Business Teacher Education</t>
  </si>
  <si>
    <t>RA 1080</t>
  </si>
  <si>
    <t>None</t>
  </si>
  <si>
    <t>09059460128</t>
  </si>
  <si>
    <t>Police Lieutenant Colonel</t>
  </si>
  <si>
    <t>KRISHIA CAMILLE</t>
  </si>
  <si>
    <t>(NO MIDDLE NAME)</t>
  </si>
  <si>
    <t>BSBA Marketing Management</t>
  </si>
  <si>
    <t>PD 907</t>
  </si>
  <si>
    <t>SEMILLA</t>
  </si>
  <si>
    <t>FLORITES</t>
  </si>
  <si>
    <t>SARIO</t>
  </si>
  <si>
    <t>Bachelor in 
Business Admin.</t>
  </si>
  <si>
    <t>Fund. Of Networking &amp; Data Communication</t>
  </si>
  <si>
    <t>0910-6513661</t>
  </si>
  <si>
    <t xml:space="preserve">MATILLANO </t>
  </si>
  <si>
    <t>MINA HAYDEE</t>
  </si>
  <si>
    <t>BECERA</t>
  </si>
  <si>
    <t>BS Accountancy</t>
  </si>
  <si>
    <t>Supervisory/MS Access Programming</t>
  </si>
  <si>
    <t>0926-6411836</t>
  </si>
  <si>
    <t>BAGO</t>
  </si>
  <si>
    <t>REBECCA</t>
  </si>
  <si>
    <t>LLANEZA</t>
  </si>
  <si>
    <t xml:space="preserve">BS BA </t>
  </si>
  <si>
    <t>EDP Data
Controller  I</t>
  </si>
  <si>
    <t>Funds. Of Networking &amp; Data Comm.</t>
  </si>
  <si>
    <t>0927-8398862</t>
  </si>
  <si>
    <t>Camp Bgen Rafael T Crame, Quezon City</t>
  </si>
  <si>
    <t>CAADAN</t>
  </si>
  <si>
    <t>JENNYFER</t>
  </si>
  <si>
    <t>PISCO</t>
  </si>
  <si>
    <t>BS Psychology</t>
  </si>
  <si>
    <t>PATIÑO*</t>
  </si>
  <si>
    <t>RANDI</t>
  </si>
  <si>
    <t>MANZANO</t>
  </si>
  <si>
    <t>BS CoE/MPA</t>
  </si>
  <si>
    <t>PESE/CSP</t>
  </si>
  <si>
    <t>0999-3264372</t>
  </si>
  <si>
    <t>PCPT</t>
  </si>
  <si>
    <t xml:space="preserve">KARIM </t>
  </si>
  <si>
    <t>BENSAR ALI</t>
  </si>
  <si>
    <t>ABDULGANI</t>
  </si>
  <si>
    <t>BS IT</t>
  </si>
  <si>
    <t xml:space="preserve"> PSOBC</t>
  </si>
  <si>
    <t>0926-7388655</t>
  </si>
  <si>
    <t>PCpl</t>
  </si>
  <si>
    <t>AGGARAO</t>
  </si>
  <si>
    <t>ALBERTO</t>
  </si>
  <si>
    <t>CALLANGAN</t>
  </si>
  <si>
    <t>Action PNCO</t>
  </si>
  <si>
    <t>0935-2170617</t>
  </si>
  <si>
    <t>SANG-AN</t>
  </si>
  <si>
    <t>CATHERINE</t>
  </si>
  <si>
    <t>VALDESTAMON</t>
  </si>
  <si>
    <t>Secretary</t>
  </si>
  <si>
    <t>0946-4097884</t>
  </si>
  <si>
    <t>ESTEVES</t>
  </si>
  <si>
    <t>MARICEL</t>
  </si>
  <si>
    <t>FRESNOZA</t>
  </si>
  <si>
    <t>Computer Programming</t>
  </si>
  <si>
    <t>0929-3473925</t>
  </si>
  <si>
    <t>DESIGNATION</t>
  </si>
  <si>
    <t>REMARKS</t>
  </si>
  <si>
    <t>FABRO*</t>
  </si>
  <si>
    <t>JHOANNA GRACIA</t>
  </si>
  <si>
    <t>MANLAPAZ</t>
  </si>
  <si>
    <t xml:space="preserve">BS CS/MA in Dev Mgmt/PhD </t>
  </si>
  <si>
    <t>0917-8334438</t>
  </si>
  <si>
    <t>PEÑON</t>
  </si>
  <si>
    <t>JAYSON</t>
  </si>
  <si>
    <t>CABRAL</t>
  </si>
  <si>
    <t>Duty PNCO/CSG (creation of AVP)</t>
  </si>
  <si>
    <t>BS Ind. Tech.</t>
  </si>
  <si>
    <t>CSC</t>
  </si>
  <si>
    <t>0960-8411365</t>
  </si>
  <si>
    <t>ALVAREZ</t>
  </si>
  <si>
    <t>PAMELA</t>
  </si>
  <si>
    <t>CEREZO</t>
  </si>
  <si>
    <t>BS Tourism</t>
  </si>
  <si>
    <t>CSSP</t>
  </si>
  <si>
    <t>Web Page Dev't Course</t>
  </si>
  <si>
    <t>0923-7136863</t>
  </si>
  <si>
    <t>RUIVIVAR</t>
  </si>
  <si>
    <t>JOSE SALVADOR</t>
  </si>
  <si>
    <t>DEL ROSARIO</t>
  </si>
  <si>
    <t>AB Mass 
Communication</t>
  </si>
  <si>
    <t>Basic Video Editing; Technical Process &amp; Arts</t>
  </si>
  <si>
    <t>0939-1475897</t>
  </si>
  <si>
    <t>PMSg</t>
  </si>
  <si>
    <t>CANJA*</t>
  </si>
  <si>
    <t>ROBERTO</t>
  </si>
  <si>
    <t>GINETA</t>
  </si>
  <si>
    <t>JR</t>
  </si>
  <si>
    <t>PSJLC</t>
  </si>
  <si>
    <t>0917-8668764</t>
  </si>
  <si>
    <t>CUASAY</t>
  </si>
  <si>
    <t>ZAYRA JANE</t>
  </si>
  <si>
    <t>CEDENO</t>
  </si>
  <si>
    <t>0997-8474949</t>
  </si>
  <si>
    <t>COSTALES</t>
  </si>
  <si>
    <t>MARY GRACE</t>
  </si>
  <si>
    <t>RODRIGUEZ</t>
  </si>
  <si>
    <t>0926-5398523</t>
  </si>
  <si>
    <t>VER</t>
  </si>
  <si>
    <t>MARIE LOUISE ROVIAN</t>
  </si>
  <si>
    <t>RAMOS</t>
  </si>
  <si>
    <t>TESDA-Data Encoder</t>
  </si>
  <si>
    <t>Funds. Of Networking &amp; Data Communication</t>
  </si>
  <si>
    <t>0915-8167417</t>
  </si>
  <si>
    <t>PSMU</t>
  </si>
  <si>
    <t>MIGUEL</t>
  </si>
  <si>
    <t>TARUN</t>
  </si>
  <si>
    <t xml:space="preserve">PLT </t>
  </si>
  <si>
    <t>DAVID*</t>
  </si>
  <si>
    <t>EDUARDO</t>
  </si>
  <si>
    <t>BALATIAN</t>
  </si>
  <si>
    <t>EDP Specialist</t>
  </si>
  <si>
    <t>PSOBC</t>
  </si>
  <si>
    <t>0966766437</t>
  </si>
  <si>
    <t>CELARIO</t>
  </si>
  <si>
    <t>RUBY ROSE</t>
  </si>
  <si>
    <t>BUEZA</t>
  </si>
  <si>
    <t>Staff, SMAS, PSMU</t>
  </si>
  <si>
    <t>NAP Entrance</t>
  </si>
  <si>
    <t>0951-4992446</t>
  </si>
  <si>
    <t>BERSALES*</t>
  </si>
  <si>
    <t>ARJAY</t>
  </si>
  <si>
    <t>PAGUIA</t>
  </si>
  <si>
    <t>0977-2663229</t>
  </si>
  <si>
    <t>BUSTARDE*</t>
  </si>
  <si>
    <t>MA GOUDELIA</t>
  </si>
  <si>
    <t>MIRABEL</t>
  </si>
  <si>
    <t>Bachelor in Office Administration</t>
  </si>
  <si>
    <t>Fund of Networking &amp; Data Comm. Course</t>
  </si>
  <si>
    <t>0933-318572/ 
09420228789</t>
  </si>
  <si>
    <t>DAGUPLO</t>
  </si>
  <si>
    <t>ROSETTE</t>
  </si>
  <si>
    <t>CASTILLO</t>
  </si>
  <si>
    <t>Administrative Aide VI (SG6)</t>
  </si>
  <si>
    <t>BSBA</t>
  </si>
  <si>
    <t>0921-2469396</t>
  </si>
  <si>
    <t>FRANDO</t>
  </si>
  <si>
    <t>DANICA</t>
  </si>
  <si>
    <t>DATO-ON</t>
  </si>
  <si>
    <t>BS Criminology</t>
  </si>
  <si>
    <t>0961-4886674</t>
  </si>
  <si>
    <t>MADAYAG*</t>
  </si>
  <si>
    <t>ROY</t>
  </si>
  <si>
    <t>IBARRA</t>
  </si>
  <si>
    <t>PATIÑO</t>
  </si>
  <si>
    <t>BS CS</t>
  </si>
  <si>
    <t>0907-5635536</t>
  </si>
  <si>
    <t>NABONG</t>
  </si>
  <si>
    <t>WENDA GREEN LINDON</t>
  </si>
  <si>
    <t>TOMAS</t>
  </si>
  <si>
    <t>BS IS</t>
  </si>
  <si>
    <t>0917-9907585</t>
  </si>
  <si>
    <t>QUIJANO</t>
  </si>
  <si>
    <t>SHEILA MARIE</t>
  </si>
  <si>
    <t>VELARDE</t>
  </si>
  <si>
    <t>0950-5894162</t>
  </si>
  <si>
    <t>ITPMD</t>
  </si>
  <si>
    <t>DELA PEÑA</t>
  </si>
  <si>
    <t>VICTORIO</t>
  </si>
  <si>
    <t>MENDIOLA</t>
  </si>
  <si>
    <t>KARIM</t>
  </si>
  <si>
    <t>0916-5168290</t>
  </si>
  <si>
    <t>BALICAG</t>
  </si>
  <si>
    <t>JOSE</t>
  </si>
  <si>
    <t>DAKETAN</t>
  </si>
  <si>
    <t>IT Project Officer</t>
  </si>
  <si>
    <t>0927-9735788</t>
  </si>
  <si>
    <t>PEÑAVERDE</t>
  </si>
  <si>
    <t>PHILIP JAMES</t>
  </si>
  <si>
    <t>Chief, EMS</t>
  </si>
  <si>
    <t>BS Nursing/BS Crim</t>
  </si>
  <si>
    <t>RA 1080/RA 6506</t>
  </si>
  <si>
    <t>0921-2744048</t>
  </si>
  <si>
    <t>BERENGUEL</t>
  </si>
  <si>
    <t>LUCHIE</t>
  </si>
  <si>
    <t>RELOYA</t>
  </si>
  <si>
    <t>BS Management</t>
  </si>
  <si>
    <t>MATILLANO</t>
  </si>
  <si>
    <t>TESDA
-Data Encoder</t>
  </si>
  <si>
    <t>OPC/CHMTC</t>
  </si>
  <si>
    <t>0919-6037707</t>
  </si>
  <si>
    <t>DAGTA</t>
  </si>
  <si>
    <t>MARY ANN</t>
  </si>
  <si>
    <t>Yap</t>
  </si>
  <si>
    <t>BCEC/Multimedia Course</t>
  </si>
  <si>
    <t>0956-8629227</t>
  </si>
  <si>
    <t>GONZALES*</t>
  </si>
  <si>
    <t>NECILDA</t>
  </si>
  <si>
    <t>JAVINIAR</t>
  </si>
  <si>
    <t>BS BA</t>
  </si>
  <si>
    <t>Prog. Course MS Acces</t>
  </si>
  <si>
    <t>0918-7708759</t>
  </si>
  <si>
    <t>FABRO</t>
  </si>
  <si>
    <t>QUINTOS</t>
  </si>
  <si>
    <t>ANGELICA</t>
  </si>
  <si>
    <t>AGOR</t>
  </si>
  <si>
    <t>Chief, ITPMIS/OIC, SCS</t>
  </si>
  <si>
    <t>BSIT</t>
  </si>
  <si>
    <t>OFFICE/DIVISION</t>
  </si>
  <si>
    <t>0945-8154169</t>
  </si>
  <si>
    <t>MANAOG</t>
  </si>
  <si>
    <t>RODNIE</t>
  </si>
  <si>
    <t>0945-2066435</t>
  </si>
  <si>
    <t>MORTEL</t>
  </si>
  <si>
    <t>ALWYN</t>
  </si>
  <si>
    <t>ALBUFERA</t>
  </si>
  <si>
    <t>0965-2107608</t>
  </si>
  <si>
    <t>ABANILLA</t>
  </si>
  <si>
    <t>ITPMD-OCPNP</t>
  </si>
  <si>
    <t>FREDDIE</t>
  </si>
  <si>
    <t>BAUTISTA</t>
  </si>
  <si>
    <t>PEMS</t>
  </si>
  <si>
    <t>GASCON</t>
  </si>
  <si>
    <t>MARIA LUZ</t>
  </si>
  <si>
    <t>BUMAGAT</t>
  </si>
  <si>
    <t>BS PT</t>
  </si>
  <si>
    <t>CS PO Exam</t>
  </si>
  <si>
    <t>PSSLC</t>
  </si>
  <si>
    <t>0919-2043338</t>
  </si>
  <si>
    <t>IRASUSTA</t>
  </si>
  <si>
    <t>JOANA MARIE</t>
  </si>
  <si>
    <t>NATIVIDAD</t>
  </si>
  <si>
    <t>Instructors 
Development Course</t>
  </si>
  <si>
    <t>09154300806</t>
  </si>
  <si>
    <t>PMAJ</t>
  </si>
  <si>
    <t>TAN</t>
  </si>
  <si>
    <t>ACHILES</t>
  </si>
  <si>
    <t>YABUT</t>
  </si>
  <si>
    <t>0998-5974254</t>
  </si>
  <si>
    <t>PLT</t>
  </si>
  <si>
    <t>SOSA</t>
  </si>
  <si>
    <t xml:space="preserve">TAN </t>
  </si>
  <si>
    <t>GIBSON JOHN</t>
  </si>
  <si>
    <t>PSOAC</t>
  </si>
  <si>
    <t>ARAOS</t>
  </si>
  <si>
    <t>0917-6229285</t>
  </si>
  <si>
    <t>CLAOR</t>
  </si>
  <si>
    <t>MICHELLE</t>
  </si>
  <si>
    <t>DUGAM</t>
  </si>
  <si>
    <t>IT Project PNCO</t>
  </si>
  <si>
    <t>0955-6384560</t>
  </si>
  <si>
    <t xml:space="preserve">ALIMAMBO </t>
  </si>
  <si>
    <t>JICK</t>
  </si>
  <si>
    <t>BONUAN</t>
  </si>
  <si>
    <t>ALIMAMBO</t>
  </si>
  <si>
    <t>0977-4274007</t>
  </si>
  <si>
    <t>INALVEZ*</t>
  </si>
  <si>
    <t>NEIL ADRIAN</t>
  </si>
  <si>
    <t>NUCOM</t>
  </si>
  <si>
    <t>0977-6394440</t>
  </si>
  <si>
    <t>ITPMD-IAS</t>
  </si>
  <si>
    <t>LUALHATI</t>
  </si>
  <si>
    <t>PAULO ANDREW</t>
  </si>
  <si>
    <t>PUNZALAN</t>
  </si>
  <si>
    <t>ESTRADA</t>
  </si>
  <si>
    <t>MICAELLA ALLYSSA</t>
  </si>
  <si>
    <t>MONTES</t>
  </si>
  <si>
    <t>0915-6803437</t>
  </si>
  <si>
    <t>0956-8091155</t>
  </si>
  <si>
    <t>TUBELLEZA</t>
  </si>
  <si>
    <t>JOHN CARLO</t>
  </si>
  <si>
    <t>VILLARINO</t>
  </si>
  <si>
    <t>ECHANO</t>
  </si>
  <si>
    <t>KERWIN</t>
  </si>
  <si>
    <t>RUFON</t>
  </si>
  <si>
    <t>0995-7230126</t>
  </si>
  <si>
    <t>0976-0708892</t>
  </si>
  <si>
    <t>ABDUHARI</t>
  </si>
  <si>
    <t>AL-MITRA</t>
  </si>
  <si>
    <t>PUNGUTAN</t>
  </si>
  <si>
    <t>JAYBEE</t>
  </si>
  <si>
    <t>BALASE</t>
  </si>
  <si>
    <t>EUNILAINE</t>
  </si>
  <si>
    <t>SALVADOR</t>
  </si>
  <si>
    <t>BS CoE</t>
  </si>
  <si>
    <t>CSC (Brgy Official)</t>
  </si>
  <si>
    <t>0965-631-2847</t>
  </si>
  <si>
    <t>0926-7373043</t>
  </si>
  <si>
    <t>ITPMD-OTDCA</t>
  </si>
  <si>
    <t>MUÑOZ</t>
  </si>
  <si>
    <t>RANZ NIKKO</t>
  </si>
  <si>
    <t>BIEN</t>
  </si>
  <si>
    <t xml:space="preserve">PCPT </t>
  </si>
  <si>
    <t>ABO</t>
  </si>
  <si>
    <t>MARK JESSIE</t>
  </si>
  <si>
    <t>MELITANTE</t>
  </si>
  <si>
    <t>ITPMD-OTCDS</t>
  </si>
  <si>
    <t>0936-4130146</t>
  </si>
  <si>
    <t>BACATAN</t>
  </si>
  <si>
    <t>FERDINAND</t>
  </si>
  <si>
    <t>JALOVA</t>
  </si>
  <si>
    <t>NAP Ent. Exam</t>
  </si>
  <si>
    <t>AMIT</t>
  </si>
  <si>
    <t>ARIEL</t>
  </si>
  <si>
    <t>DE GUZMAN</t>
  </si>
  <si>
    <t>0946-5348401</t>
  </si>
  <si>
    <t>ITPMD-OTDCO</t>
  </si>
  <si>
    <t>ABONG</t>
  </si>
  <si>
    <t>0917-9387950</t>
  </si>
  <si>
    <t>MARK CLENTON</t>
  </si>
  <si>
    <t>ILACAD</t>
  </si>
  <si>
    <t>DIONELL</t>
  </si>
  <si>
    <t>TUGADE</t>
  </si>
  <si>
    <t>PCMS</t>
  </si>
  <si>
    <t>MARAÑON</t>
  </si>
  <si>
    <t>CHRIS JOHN</t>
  </si>
  <si>
    <t>CATALOGO</t>
  </si>
  <si>
    <t>NAP SPO Exam</t>
  </si>
  <si>
    <t>ITPMD-DPRM</t>
  </si>
  <si>
    <t>0921-7221646</t>
  </si>
  <si>
    <t>DELA CRUZ</t>
  </si>
  <si>
    <t>ALVIN</t>
  </si>
  <si>
    <t>ORUA</t>
  </si>
  <si>
    <t>0906-2498343</t>
  </si>
  <si>
    <t>ABRIAM</t>
  </si>
  <si>
    <t>ANNETH VALERIE</t>
  </si>
  <si>
    <t>MALNAT</t>
  </si>
  <si>
    <t>EDP Especialist</t>
  </si>
  <si>
    <t>DESEO</t>
  </si>
  <si>
    <t>REYNANTE</t>
  </si>
  <si>
    <t>NUYDA</t>
  </si>
  <si>
    <t>ITMS GO-DES-2021-15 dated January 18, 2021</t>
  </si>
  <si>
    <t>0932-8920857</t>
  </si>
  <si>
    <t>ITPMD-DIDM</t>
  </si>
  <si>
    <t>EDP Specialist/
CPO Exam</t>
  </si>
  <si>
    <t>09773306823</t>
  </si>
  <si>
    <t>DULIN</t>
  </si>
  <si>
    <t>JOEY</t>
  </si>
  <si>
    <t>BINARAO</t>
  </si>
  <si>
    <t>NOBRES</t>
  </si>
  <si>
    <t>DANGSI</t>
  </si>
  <si>
    <t>DOCTOLERO</t>
  </si>
  <si>
    <t>JOHN NICK</t>
  </si>
  <si>
    <t>0905-2535305</t>
  </si>
  <si>
    <t>0909-2938555</t>
  </si>
  <si>
    <t>ABUAN</t>
  </si>
  <si>
    <t>DICKSON</t>
  </si>
  <si>
    <t>CLEMENTE</t>
  </si>
  <si>
    <t>0956-6570420</t>
  </si>
  <si>
    <t>PACIENCIA</t>
  </si>
  <si>
    <t>METALLICA LYH</t>
  </si>
  <si>
    <t>OCTAVIANO</t>
  </si>
  <si>
    <t>GALAMGAM</t>
  </si>
  <si>
    <t>RAMON</t>
  </si>
  <si>
    <t>DIAZ</t>
  </si>
  <si>
    <t>0997-3655525</t>
  </si>
  <si>
    <t>DIMACULANGAN</t>
  </si>
  <si>
    <t>JOHN VINCENT</t>
  </si>
  <si>
    <t>VENTURA</t>
  </si>
  <si>
    <t>BA in Consular and 
Diplomatic Affairs</t>
  </si>
  <si>
    <t>BCEC/BDCNC/CHMTC</t>
  </si>
  <si>
    <t>0956-8570005</t>
  </si>
  <si>
    <t>0926-690-0872</t>
  </si>
  <si>
    <t>MEJIA</t>
  </si>
  <si>
    <t>GIRLIE</t>
  </si>
  <si>
    <t>CRUZ</t>
  </si>
  <si>
    <t>IT NUP</t>
  </si>
  <si>
    <t>BS CS Undergrad.</t>
  </si>
  <si>
    <t>TESDA</t>
  </si>
  <si>
    <t>Comp. Hardware Maintenance &amp; Trouble Shooting</t>
  </si>
  <si>
    <t>0927-7302000</t>
  </si>
  <si>
    <t>PINEDA</t>
  </si>
  <si>
    <t>PRECIOUS PEARL SALVE</t>
  </si>
  <si>
    <t>PACTAO</t>
  </si>
  <si>
    <t>MA BS/BS CS</t>
  </si>
  <si>
    <t>BCEC/CHMTC/BDCNC</t>
  </si>
  <si>
    <t>0948-4071900</t>
  </si>
  <si>
    <t>NICOLAS</t>
  </si>
  <si>
    <t>JAY-R</t>
  </si>
  <si>
    <t>TADEO</t>
  </si>
  <si>
    <t>0920-6394936</t>
  </si>
  <si>
    <t>BS MI</t>
  </si>
  <si>
    <t>AGOS</t>
  </si>
  <si>
    <t>CELSO</t>
  </si>
  <si>
    <t>TAPONG</t>
  </si>
  <si>
    <t>SY</t>
  </si>
  <si>
    <t>ONG</t>
  </si>
  <si>
    <t>Dutyt PNCO/IT PNCO</t>
  </si>
  <si>
    <t>CASTRO</t>
  </si>
  <si>
    <t>MARYJANE</t>
  </si>
  <si>
    <t>DIZON</t>
  </si>
  <si>
    <t>0917-6548452</t>
  </si>
  <si>
    <t>BS IT/Prof. Educ</t>
  </si>
  <si>
    <t>LET</t>
  </si>
  <si>
    <t>0950-1115804</t>
  </si>
  <si>
    <t>LUMABI</t>
  </si>
  <si>
    <t>GINA</t>
  </si>
  <si>
    <t>TINGALA</t>
  </si>
  <si>
    <t>AGUILANDO</t>
  </si>
  <si>
    <t>ADAMSON</t>
  </si>
  <si>
    <t>TESDA-
Data Encoder</t>
  </si>
  <si>
    <t>BANDONG</t>
  </si>
  <si>
    <t>09267199809/ 
 09471754148</t>
  </si>
  <si>
    <t>ITSD</t>
  </si>
  <si>
    <t>OÑA*</t>
  </si>
  <si>
    <t>ERNANI</t>
  </si>
  <si>
    <t>WILSON</t>
  </si>
  <si>
    <t>Corel Draw Graphic</t>
  </si>
  <si>
    <t>DIMASANGKAY</t>
  </si>
  <si>
    <t>SORAIYA</t>
  </si>
  <si>
    <t>0908-5760951</t>
  </si>
  <si>
    <t>MUSAID</t>
  </si>
  <si>
    <t>UBANDO</t>
  </si>
  <si>
    <t>OBENA</t>
  </si>
  <si>
    <t>0917-8800972</t>
  </si>
  <si>
    <t>0919-7265632</t>
  </si>
  <si>
    <t>ITPMD-DC</t>
  </si>
  <si>
    <t>LAXAMANA</t>
  </si>
  <si>
    <t>II</t>
  </si>
  <si>
    <t>BALLENAS</t>
  </si>
  <si>
    <t>ALPAS</t>
  </si>
  <si>
    <t>0998-3998333</t>
  </si>
  <si>
    <t>MANAHAN</t>
  </si>
  <si>
    <t>0966-4625855</t>
  </si>
  <si>
    <t>ALDRIN</t>
  </si>
  <si>
    <t>ENRIQUEZ</t>
  </si>
  <si>
    <t>BS ICT</t>
  </si>
  <si>
    <t>09524460531</t>
  </si>
  <si>
    <t>AGUILAR</t>
  </si>
  <si>
    <t>JAMES BENEDICT</t>
  </si>
  <si>
    <t>GALVEZ</t>
  </si>
  <si>
    <t>RSPNCO</t>
  </si>
  <si>
    <t>BUHAIN</t>
  </si>
  <si>
    <t>DOROTHY</t>
  </si>
  <si>
    <t>VILLALOBOS</t>
  </si>
  <si>
    <t>0956-7595065</t>
  </si>
  <si>
    <t>AGUS</t>
  </si>
  <si>
    <t>CARCIOLO</t>
  </si>
  <si>
    <t>SUAYA-NAGESNES</t>
  </si>
  <si>
    <t>CAJANDAB</t>
  </si>
  <si>
    <t>RAFFY JANE</t>
  </si>
  <si>
    <t>ALIDAO</t>
  </si>
  <si>
    <t>EDP Specialist/CSP</t>
  </si>
  <si>
    <t>0912-6980797</t>
  </si>
  <si>
    <t>PSMS</t>
  </si>
  <si>
    <t>TACTAY</t>
  </si>
  <si>
    <t>HENRY</t>
  </si>
  <si>
    <t>BANTIYAN</t>
  </si>
  <si>
    <t>GOLINO</t>
  </si>
  <si>
    <t>JEFTER</t>
  </si>
  <si>
    <t>PAKID</t>
  </si>
  <si>
    <t>ITPMD-DI</t>
  </si>
  <si>
    <t>AGUSTIN</t>
  </si>
  <si>
    <t>RIZELLE</t>
  </si>
  <si>
    <t>INALDO</t>
  </si>
  <si>
    <t>Chief, TSS/Planing Officer</t>
  </si>
  <si>
    <t>0939-8934724</t>
  </si>
  <si>
    <t>PONTANAR</t>
  </si>
  <si>
    <t>MARK ALLAN</t>
  </si>
  <si>
    <t>TUALA</t>
  </si>
  <si>
    <t>BEEd</t>
  </si>
  <si>
    <t>PRC</t>
  </si>
  <si>
    <t>0968-6456470</t>
  </si>
  <si>
    <t>SAET</t>
  </si>
  <si>
    <t>REVALE</t>
  </si>
  <si>
    <t>MITZI ANNE</t>
  </si>
  <si>
    <t>EDELLENE</t>
  </si>
  <si>
    <t>BESA</t>
  </si>
  <si>
    <t>BABAGAY</t>
  </si>
  <si>
    <t>ALABA</t>
  </si>
  <si>
    <t>NAP Ent./CSC</t>
  </si>
  <si>
    <t>NIEL</t>
  </si>
  <si>
    <t>CAGAMPANG</t>
  </si>
  <si>
    <t>0931-1126415</t>
  </si>
  <si>
    <t>0999-4275134</t>
  </si>
  <si>
    <t>SALES</t>
  </si>
  <si>
    <t>JAFET</t>
  </si>
  <si>
    <t>ANINAO</t>
  </si>
  <si>
    <t>09167919991</t>
  </si>
  <si>
    <t>BUTLIG</t>
  </si>
  <si>
    <t>MARIE FE</t>
  </si>
  <si>
    <t>TUANDA</t>
  </si>
  <si>
    <t>BS Office Admin</t>
  </si>
  <si>
    <t>SOBREVILLA</t>
  </si>
  <si>
    <t>RAYMUND CHRISTOPHER</t>
  </si>
  <si>
    <t xml:space="preserve">None </t>
  </si>
  <si>
    <t>DECIPULO</t>
  </si>
  <si>
    <t>0926-2417598</t>
  </si>
  <si>
    <t>ULPINDO</t>
  </si>
  <si>
    <t>KRISANTO</t>
  </si>
  <si>
    <t>TAPIA</t>
  </si>
  <si>
    <t>TACORDA*</t>
  </si>
  <si>
    <t>JASON ABRAHAM</t>
  </si>
  <si>
    <t>ALAWI</t>
  </si>
  <si>
    <t>ABION</t>
  </si>
  <si>
    <t>NABIL</t>
  </si>
  <si>
    <t>HAJINULLA</t>
  </si>
  <si>
    <t xml:space="preserve"> BS IT</t>
  </si>
  <si>
    <t>Personnel Orient. Course for Newly Appt NUP</t>
  </si>
  <si>
    <t>0961-6057109</t>
  </si>
  <si>
    <t>0906-3799263</t>
  </si>
  <si>
    <t>ITPMD-DO</t>
  </si>
  <si>
    <t>BSCoE</t>
  </si>
  <si>
    <t>IGNACIO</t>
  </si>
  <si>
    <t>MICHAEL</t>
  </si>
  <si>
    <t>TINTE</t>
  </si>
  <si>
    <t>ALI</t>
  </si>
  <si>
    <t>AMIR HASSAN</t>
  </si>
  <si>
    <t>DMD</t>
  </si>
  <si>
    <t>0917-5254870/
0999-8842166</t>
  </si>
  <si>
    <t>Chief, ICTMD, PNPA</t>
  </si>
  <si>
    <t>GOZE</t>
  </si>
  <si>
    <t>JONATHAN</t>
  </si>
  <si>
    <t>SISON</t>
  </si>
  <si>
    <t>GUIFAYA*</t>
  </si>
  <si>
    <t>GILBERT</t>
  </si>
  <si>
    <t>ULIDAN</t>
  </si>
  <si>
    <t>0936-0629077</t>
  </si>
  <si>
    <t>09166461445</t>
  </si>
  <si>
    <t>BILLOSO*</t>
  </si>
  <si>
    <t>AL ANTHONY</t>
  </si>
  <si>
    <t>PILASPILAS</t>
  </si>
  <si>
    <t>CONSOLACION</t>
  </si>
  <si>
    <t>CHARMAINE JOY</t>
  </si>
  <si>
    <t>MORA</t>
  </si>
  <si>
    <t>0947-2165053</t>
  </si>
  <si>
    <t>OBOG</t>
  </si>
  <si>
    <t>JOHN MARLO</t>
  </si>
  <si>
    <t>MAGRAMO</t>
  </si>
  <si>
    <t>09161978384</t>
  </si>
  <si>
    <t>BUENSUCESO</t>
  </si>
  <si>
    <t>SHIRLEY MAE</t>
  </si>
  <si>
    <t>NEIL PAUL</t>
  </si>
  <si>
    <t>PTD</t>
  </si>
  <si>
    <t>Chief, PTD</t>
  </si>
  <si>
    <t>CSSP/
CSC Data Encoder</t>
  </si>
  <si>
    <t>MALAKI</t>
  </si>
  <si>
    <t>09178380513</t>
  </si>
  <si>
    <t>ROFEL GEN</t>
  </si>
  <si>
    <t>TIMBAL</t>
  </si>
  <si>
    <t>0995-7190272</t>
  </si>
  <si>
    <t>ALEGRE</t>
  </si>
  <si>
    <t>GUEVARRA*</t>
  </si>
  <si>
    <t>GALANG</t>
  </si>
  <si>
    <t>BS CoE/BS Crim</t>
  </si>
  <si>
    <t>CSP/RA 6506</t>
  </si>
  <si>
    <t>0917-5778327</t>
  </si>
  <si>
    <t>DINA</t>
  </si>
  <si>
    <t>FERMANTEZ</t>
  </si>
  <si>
    <t>JEPOLLO*</t>
  </si>
  <si>
    <t>JOCELYN</t>
  </si>
  <si>
    <t>TAMONDONG</t>
  </si>
  <si>
    <t>IT Officer</t>
  </si>
  <si>
    <t>Office Productivity Course</t>
  </si>
  <si>
    <t>0905-8060729</t>
  </si>
  <si>
    <t>SUNIEGA</t>
  </si>
  <si>
    <t>FERRANCULLO</t>
  </si>
  <si>
    <t>JOHN PAUL</t>
  </si>
  <si>
    <t>PAZ</t>
  </si>
  <si>
    <t>CAMFOLI*</t>
  </si>
  <si>
    <t>GLENMORE</t>
  </si>
  <si>
    <t>ONNAN</t>
  </si>
  <si>
    <t>0930-6517012</t>
  </si>
  <si>
    <t>GUAVINO*</t>
  </si>
  <si>
    <t>ITPMD-ACG</t>
  </si>
  <si>
    <t>CHE-YENNE</t>
  </si>
  <si>
    <t>LAZARITO</t>
  </si>
  <si>
    <t>BS HRM</t>
  </si>
  <si>
    <t>0917-9975888</t>
  </si>
  <si>
    <t>DULA</t>
  </si>
  <si>
    <t>JOEL</t>
  </si>
  <si>
    <t>MANALANSAN</t>
  </si>
  <si>
    <t>AN</t>
  </si>
  <si>
    <t>SANTI RAYMUND</t>
  </si>
  <si>
    <t>0947-2788851</t>
  </si>
  <si>
    <t>NEVADO</t>
  </si>
  <si>
    <t>ITPMD-AKG</t>
  </si>
  <si>
    <t>IT Project Officer/Asst. Chief, RICTMD</t>
  </si>
  <si>
    <t>SIBAYAN</t>
  </si>
  <si>
    <t>REYGIE</t>
  </si>
  <si>
    <t>PIAGAN</t>
  </si>
  <si>
    <t>ACORDA</t>
  </si>
  <si>
    <t>0908-7824125</t>
  </si>
  <si>
    <t>ELPIDIO</t>
  </si>
  <si>
    <t>PALARCA</t>
  </si>
  <si>
    <t>CORDERO</t>
  </si>
  <si>
    <t>EARLBON</t>
  </si>
  <si>
    <t>JIMENEZ</t>
  </si>
  <si>
    <t>Liaison Officer (SG7)</t>
  </si>
  <si>
    <t>JAVIER</t>
  </si>
  <si>
    <t>ROGINA</t>
  </si>
  <si>
    <t>TANGLAO</t>
  </si>
  <si>
    <t>0917-7704806</t>
  </si>
  <si>
    <t>ANABON</t>
  </si>
  <si>
    <t>0917-5352023</t>
  </si>
  <si>
    <t>LEVI</t>
  </si>
  <si>
    <t>ABAGGUE</t>
  </si>
  <si>
    <t>ACUESTA</t>
  </si>
  <si>
    <t>ANA JUNE</t>
  </si>
  <si>
    <t>FORRO</t>
  </si>
  <si>
    <t>ISR (SG17)</t>
  </si>
  <si>
    <t>CSP/EDP Specialist</t>
  </si>
  <si>
    <t>09666436280</t>
  </si>
  <si>
    <t>JOSEPH</t>
  </si>
  <si>
    <t>SAMONTE</t>
  </si>
  <si>
    <t>ADULTA</t>
  </si>
  <si>
    <t>ARREN LEE</t>
  </si>
  <si>
    <t>ANCHOVAS</t>
  </si>
  <si>
    <t>CHACON</t>
  </si>
  <si>
    <t>ESHIER</t>
  </si>
  <si>
    <t>0977-6767160</t>
  </si>
  <si>
    <t>QUIÑONES</t>
  </si>
  <si>
    <t>Comp. Maint. Tech. II (SG15)</t>
  </si>
  <si>
    <t>AGRIPA</t>
  </si>
  <si>
    <t>PAUL KENNETH</t>
  </si>
  <si>
    <t>0977-7312367</t>
  </si>
  <si>
    <t>AGUHO</t>
  </si>
  <si>
    <t>MARK ANTHONY</t>
  </si>
  <si>
    <t>CAMBA</t>
  </si>
  <si>
    <t>OCAMPO</t>
  </si>
  <si>
    <t>AMADO</t>
  </si>
  <si>
    <t>BISCAYDA</t>
  </si>
  <si>
    <t>BERNARDINO</t>
  </si>
  <si>
    <t>SANTOS</t>
  </si>
  <si>
    <t>BS CS/MA Units</t>
  </si>
  <si>
    <t>IT NUP (SG7)</t>
  </si>
  <si>
    <t>ANDANAR</t>
  </si>
  <si>
    <t>JON JASON</t>
  </si>
  <si>
    <t>GORGOLON</t>
  </si>
  <si>
    <t>ALCANTARA</t>
  </si>
  <si>
    <t>JHINNA-LOU</t>
  </si>
  <si>
    <t>SAN ESTEBAN</t>
  </si>
  <si>
    <t>Action NUP (SG7)</t>
  </si>
  <si>
    <t>GUSTILO</t>
  </si>
  <si>
    <t>THOBORNE THER</t>
  </si>
  <si>
    <t>ALDE</t>
  </si>
  <si>
    <t>MILA</t>
  </si>
  <si>
    <t>BERNADAS</t>
  </si>
  <si>
    <t>ANDRES</t>
  </si>
  <si>
    <t>JOSE WILSON</t>
  </si>
  <si>
    <t>HACIÑAS</t>
  </si>
  <si>
    <t>CODIMO</t>
  </si>
  <si>
    <t>SOLOMON</t>
  </si>
  <si>
    <t>MADLAENG</t>
  </si>
  <si>
    <t>0945-1854958</t>
  </si>
  <si>
    <t>956-6130376</t>
  </si>
  <si>
    <t>ALFABETO</t>
  </si>
  <si>
    <t>LOUIE VAN</t>
  </si>
  <si>
    <t>MANGOBA</t>
  </si>
  <si>
    <t>ROMMEL</t>
  </si>
  <si>
    <t>JAZMIN</t>
  </si>
  <si>
    <t>ANASTACIO</t>
  </si>
  <si>
    <t>Administrative Assistant I (SG7)</t>
  </si>
  <si>
    <t>0930-2300541</t>
  </si>
  <si>
    <t>RADA</t>
  </si>
  <si>
    <t>KRIZTELA FEY</t>
  </si>
  <si>
    <t>LIM</t>
  </si>
  <si>
    <t>ALFONSO</t>
  </si>
  <si>
    <t>IRANIE</t>
  </si>
  <si>
    <t>EMPEÑO</t>
  </si>
  <si>
    <t>0936-0919177</t>
  </si>
  <si>
    <t>SEVILLA</t>
  </si>
  <si>
    <t>JERALD</t>
  </si>
  <si>
    <t>VILLABRIGA</t>
  </si>
  <si>
    <t>MANUZON</t>
  </si>
  <si>
    <t>TIMOTHY</t>
  </si>
  <si>
    <t>HORNOZ</t>
  </si>
  <si>
    <t>ANGELES</t>
  </si>
  <si>
    <t>MARK DANIEL</t>
  </si>
  <si>
    <t>MAMITAG</t>
  </si>
  <si>
    <t>0921-8960607</t>
  </si>
  <si>
    <t>HUSSEIN</t>
  </si>
  <si>
    <t>MAISO</t>
  </si>
  <si>
    <t>PRISCILLA</t>
  </si>
  <si>
    <t>Chief, HMS/ITO I (SG19)</t>
  </si>
  <si>
    <t>DAMO</t>
  </si>
  <si>
    <t>BS EEd</t>
  </si>
  <si>
    <t>Basic Micro Operation Course</t>
  </si>
  <si>
    <t>ALMACHAR</t>
  </si>
  <si>
    <t>0916-2790265</t>
  </si>
  <si>
    <t>ARLENE</t>
  </si>
  <si>
    <t>ACIERTO</t>
  </si>
  <si>
    <t>ISA/ISR (SG12)</t>
  </si>
  <si>
    <t>MENDOZA</t>
  </si>
  <si>
    <t>GENESIS</t>
  </si>
  <si>
    <t>TEODORO</t>
  </si>
  <si>
    <t>Fine Arts 
(Undergraduate)</t>
  </si>
  <si>
    <t>ALMADEN</t>
  </si>
  <si>
    <t>CABACANG</t>
  </si>
  <si>
    <t>ESPEDIDO</t>
  </si>
  <si>
    <t>Verifier/Encoder (SG7)</t>
  </si>
  <si>
    <t>IBON GAY</t>
  </si>
  <si>
    <t>DACUMOS</t>
  </si>
  <si>
    <t>Comp. Maintenance &amp; Trouble Shooting Course</t>
  </si>
  <si>
    <t>0919-8729542</t>
  </si>
  <si>
    <t>0915-7660357</t>
  </si>
  <si>
    <t>ANGLIGEN</t>
  </si>
  <si>
    <t>MARLON</t>
  </si>
  <si>
    <t>PIO/PCR Staff (SG7)</t>
  </si>
  <si>
    <t>PINANGI</t>
  </si>
  <si>
    <t>HADJI OSOPH</t>
  </si>
  <si>
    <t>IT PNCO</t>
  </si>
  <si>
    <t>SOLAIMAN</t>
  </si>
  <si>
    <t>MONESIT</t>
  </si>
  <si>
    <t>ANARNA</t>
  </si>
  <si>
    <t>0927-8445446</t>
  </si>
  <si>
    <t>DARIA</t>
  </si>
  <si>
    <t>CALAMAYA</t>
  </si>
  <si>
    <t>Personnel Staff/PAIS Encoder</t>
  </si>
  <si>
    <t>ITPMD-MG</t>
  </si>
  <si>
    <t>IGNACIO*</t>
  </si>
  <si>
    <t>AQUINO</t>
  </si>
  <si>
    <t>ROGELIO</t>
  </si>
  <si>
    <t>IHSS, ARMD</t>
  </si>
  <si>
    <t>Reproduction Machine Operator (SG4)</t>
  </si>
  <si>
    <t>ARCE</t>
  </si>
  <si>
    <t>MARIE FRANCISSE THERESE</t>
  </si>
  <si>
    <t>ARMAMENTO</t>
  </si>
  <si>
    <t>ANISCO</t>
  </si>
  <si>
    <t>ARCHIE</t>
  </si>
  <si>
    <t>STO. DOMINGO</t>
  </si>
  <si>
    <t>ARGETE</t>
  </si>
  <si>
    <t>GRACIANO</t>
  </si>
  <si>
    <t>ROSILLO</t>
  </si>
  <si>
    <t>0947-3175406</t>
  </si>
  <si>
    <t>ARROYO</t>
  </si>
  <si>
    <t>REMOLADO</t>
  </si>
  <si>
    <t>ISR II (SG14)</t>
  </si>
  <si>
    <t>BACLIG</t>
  </si>
  <si>
    <t>ANUNCIO</t>
  </si>
  <si>
    <t>EDP Specialist/
PD 907</t>
  </si>
  <si>
    <t>ALEJANDER</t>
  </si>
  <si>
    <t>Administrative  Assistant I(SG7)</t>
  </si>
  <si>
    <t>TALAMPAS</t>
  </si>
  <si>
    <t>0997-3754158</t>
  </si>
  <si>
    <t>Schooling PSOSEC</t>
  </si>
  <si>
    <t>0948-1748796</t>
  </si>
  <si>
    <t>Asst Chief, RICTMD</t>
  </si>
  <si>
    <t>NEILJANE</t>
  </si>
  <si>
    <t>ADONA</t>
  </si>
  <si>
    <t>INFANTE</t>
  </si>
  <si>
    <t>BEVERLY</t>
  </si>
  <si>
    <t>PASAMBA</t>
  </si>
  <si>
    <t>ICRMIS Staff  (SG8)</t>
  </si>
  <si>
    <t>ITPMD-PDEG</t>
  </si>
  <si>
    <t>BS Nursing</t>
  </si>
  <si>
    <t>0932-8787623</t>
  </si>
  <si>
    <t>STEPHEN PAUL</t>
  </si>
  <si>
    <t>BAUZON</t>
  </si>
  <si>
    <t>Administrative Assistant VI (SG12)</t>
  </si>
  <si>
    <t>NAPOD</t>
  </si>
  <si>
    <t>0945-4912830</t>
  </si>
  <si>
    <t>OLIQUINO</t>
  </si>
  <si>
    <t>SARMIENTO</t>
  </si>
  <si>
    <t>ERIC</t>
  </si>
  <si>
    <t>BAJAMONDE</t>
  </si>
  <si>
    <t>BUDY</t>
  </si>
  <si>
    <t xml:space="preserve">CHRISTIAN JOHN </t>
  </si>
  <si>
    <t>PLAZA</t>
  </si>
  <si>
    <t>0907-7895084</t>
  </si>
  <si>
    <t>ARGAWANON</t>
  </si>
  <si>
    <t>BALONGOY</t>
  </si>
  <si>
    <t>RONALYN</t>
  </si>
  <si>
    <t>JUNREY</t>
  </si>
  <si>
    <t>SOLDEVILLA</t>
  </si>
  <si>
    <t>BOOC</t>
  </si>
  <si>
    <t>Asst. Chief, PTD (SG22)</t>
  </si>
  <si>
    <t>09062195199</t>
  </si>
  <si>
    <t>MACAWILE</t>
  </si>
  <si>
    <t>BALUCANAG</t>
  </si>
  <si>
    <t>GRACE</t>
  </si>
  <si>
    <t>INCISO</t>
  </si>
  <si>
    <t>EBARSABAL</t>
  </si>
  <si>
    <t>Researcher (SG12)</t>
  </si>
  <si>
    <t>DULNUAN</t>
  </si>
  <si>
    <t>CUYANGO</t>
  </si>
  <si>
    <t>0999-7861300</t>
  </si>
  <si>
    <t>0915-8804321</t>
  </si>
  <si>
    <t>BATICADOS</t>
  </si>
  <si>
    <t>PAISTE</t>
  </si>
  <si>
    <t>IVY</t>
  </si>
  <si>
    <t>MARL JAYSON</t>
  </si>
  <si>
    <t>ELEGARLE</t>
  </si>
  <si>
    <t>JOVES</t>
  </si>
  <si>
    <t>APACIBLE</t>
  </si>
  <si>
    <t>KIM SANDELL</t>
  </si>
  <si>
    <t>ITPMD-SAF</t>
  </si>
  <si>
    <t>09616398647</t>
  </si>
  <si>
    <t>CAMO</t>
  </si>
  <si>
    <t>PARALLAG</t>
  </si>
  <si>
    <t>KIETHEL</t>
  </si>
  <si>
    <t>MAX CASSANDER</t>
  </si>
  <si>
    <t>CALAQUIAN</t>
  </si>
  <si>
    <t>SINIGUIAN</t>
  </si>
  <si>
    <t>0977-6000097</t>
  </si>
  <si>
    <t>CHARLES ISAAK</t>
  </si>
  <si>
    <t>Administrative Assistant II (SG8)</t>
  </si>
  <si>
    <t>0916-9778301</t>
  </si>
  <si>
    <t>BERNARDO</t>
  </si>
  <si>
    <t>ROLAND JAY</t>
  </si>
  <si>
    <t>APALLA</t>
  </si>
  <si>
    <t>DUMAGAT</t>
  </si>
  <si>
    <t>RUEL</t>
  </si>
  <si>
    <t>AMPIS</t>
  </si>
  <si>
    <t>Personnel Staff (SG4)</t>
  </si>
  <si>
    <t>BERSALES</t>
  </si>
  <si>
    <t>ITPMD-AVSEGROUP</t>
  </si>
  <si>
    <t>BILLOTE</t>
  </si>
  <si>
    <t>TAEZA</t>
  </si>
  <si>
    <t>JOHANNES GOLD</t>
  </si>
  <si>
    <t>LUCERO</t>
  </si>
  <si>
    <t>C, LS/C,IHSS/Asst. C, BFS/ITPO</t>
  </si>
  <si>
    <t>SUNSHINE</t>
  </si>
  <si>
    <t>VELASCO</t>
  </si>
  <si>
    <t>GARCIA</t>
  </si>
  <si>
    <t>RETAZO*</t>
  </si>
  <si>
    <t>EDGAR SEBASTIAN</t>
  </si>
  <si>
    <t>RIZALDY</t>
  </si>
  <si>
    <t>CMT I (SG11)</t>
  </si>
  <si>
    <t>ISIDORO</t>
  </si>
  <si>
    <t>0965-4058610</t>
  </si>
  <si>
    <t>0905-4082637</t>
  </si>
  <si>
    <t>NIEL PAUL</t>
  </si>
  <si>
    <t>AGOS*</t>
  </si>
  <si>
    <t>M in IT/BS IT</t>
  </si>
  <si>
    <t>Sci. &amp; Tech. Spl (PD997)</t>
  </si>
  <si>
    <t>ARCANGEL</t>
  </si>
  <si>
    <t>OLIVER</t>
  </si>
  <si>
    <t>BUITRE</t>
  </si>
  <si>
    <t>TIMOTHY JOSEPH</t>
  </si>
  <si>
    <t>SIPIN</t>
  </si>
  <si>
    <t>LS Staff (SG6)</t>
  </si>
  <si>
    <t>EVANGELISTA</t>
  </si>
  <si>
    <t>RHEA</t>
  </si>
  <si>
    <t>TADURAN</t>
  </si>
  <si>
    <t>CABADING</t>
  </si>
  <si>
    <t>ELIJAH VINCENT</t>
  </si>
  <si>
    <t>SERANDON</t>
  </si>
  <si>
    <t>BULURAN</t>
  </si>
  <si>
    <t>0919-4833249</t>
  </si>
  <si>
    <t>MARVIN</t>
  </si>
  <si>
    <t xml:space="preserve"> LAPURGA</t>
  </si>
  <si>
    <t>ICRMS Staff (SG6)</t>
  </si>
  <si>
    <t>09772947581</t>
  </si>
  <si>
    <t>COPRADA*</t>
  </si>
  <si>
    <t>ROMUALDO JULES OSMUND</t>
  </si>
  <si>
    <t>CAMPOSANO</t>
  </si>
  <si>
    <t>BUSTARDE</t>
  </si>
  <si>
    <t>AREOLA</t>
  </si>
  <si>
    <t>09554027803</t>
  </si>
  <si>
    <t>MARJORIE</t>
  </si>
  <si>
    <t>BALZA</t>
  </si>
  <si>
    <t>ITPMD (PRO1)</t>
  </si>
  <si>
    <t>PADILLA</t>
  </si>
  <si>
    <t>KEM EDNYLL</t>
  </si>
  <si>
    <t>Administrative Assistant (SG9)</t>
  </si>
  <si>
    <t>MACARINE</t>
  </si>
  <si>
    <t>0951-7407972</t>
  </si>
  <si>
    <t>VILLEGAS</t>
  </si>
  <si>
    <t>NAIF</t>
  </si>
  <si>
    <t>STA ANA</t>
  </si>
  <si>
    <t>BALON</t>
  </si>
  <si>
    <t>PHIL JEURGEN</t>
  </si>
  <si>
    <t>ILAN</t>
  </si>
  <si>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PSBRC</t>
    </r>
  </si>
  <si>
    <t>0926-7230880</t>
  </si>
  <si>
    <t>0998-038978</t>
  </si>
  <si>
    <t>ITPMD-PRBS</t>
  </si>
  <si>
    <t>ANURAN</t>
  </si>
  <si>
    <t>ADRIAN</t>
  </si>
  <si>
    <t>MIRASOL</t>
  </si>
  <si>
    <t>CABALLA</t>
  </si>
  <si>
    <t>CALLAO</t>
  </si>
  <si>
    <t>Administrative Assistant I (SG7) (DMD)</t>
  </si>
  <si>
    <t>0926-.253978</t>
  </si>
  <si>
    <t>CABAÑAS</t>
  </si>
  <si>
    <t>MARY JOY</t>
  </si>
  <si>
    <t>DUTERTE</t>
  </si>
  <si>
    <t>ISA/ISR (SG12))</t>
  </si>
  <si>
    <t>ERIKSON</t>
  </si>
  <si>
    <t>TE</t>
  </si>
  <si>
    <t>CALIPES</t>
  </si>
  <si>
    <t>JEWELYN</t>
  </si>
  <si>
    <t>MACATIGAS</t>
  </si>
  <si>
    <t>ORNIDO*</t>
  </si>
  <si>
    <t>Planning Staff/Secretary (SG7)</t>
  </si>
  <si>
    <t>JAN MICHAEL</t>
  </si>
  <si>
    <t>PONTILA</t>
  </si>
  <si>
    <t>0919-614222</t>
  </si>
  <si>
    <t>CALUDAC</t>
  </si>
  <si>
    <t>ANDREW KEITH</t>
  </si>
  <si>
    <t>MAGBAGAY</t>
  </si>
  <si>
    <t>Comp Programmer (SG7)</t>
  </si>
  <si>
    <t>CAROLINO</t>
  </si>
  <si>
    <t>NORMAN JAMES</t>
  </si>
  <si>
    <t>LOVETE</t>
  </si>
  <si>
    <t>Administrative Aide VI (SG6) (DMD)</t>
  </si>
  <si>
    <t>0927-5465069</t>
  </si>
  <si>
    <t>ESCABOSA</t>
  </si>
  <si>
    <t>GEROGIL</t>
  </si>
  <si>
    <t>SALAZAR</t>
  </si>
  <si>
    <t>CATANEO</t>
  </si>
  <si>
    <t>RYAN</t>
  </si>
  <si>
    <t>VINLUAN</t>
  </si>
  <si>
    <t>Electrician  (SG6)</t>
  </si>
  <si>
    <t>094-34906372</t>
  </si>
  <si>
    <t>ARIAS</t>
  </si>
  <si>
    <t>AUDEN</t>
  </si>
  <si>
    <t>GOZUM</t>
  </si>
  <si>
    <t>OIC, TS/Training Officer</t>
  </si>
  <si>
    <t xml:space="preserve">FERRANCULLO* </t>
  </si>
  <si>
    <t xml:space="preserve">AUDEN </t>
  </si>
  <si>
    <t>0917-6214749</t>
  </si>
  <si>
    <t>CELADIÑA</t>
  </si>
  <si>
    <t>CUISON</t>
  </si>
  <si>
    <t>Utility (SG1)</t>
  </si>
  <si>
    <t>OBORDO</t>
  </si>
  <si>
    <t>JOEDHEL LLOYD</t>
  </si>
  <si>
    <t>EYAO</t>
  </si>
  <si>
    <t>CHIDROME</t>
  </si>
  <si>
    <t>JAES ALLAN</t>
  </si>
  <si>
    <t>CHANTENGCO</t>
  </si>
  <si>
    <t>0961-5943538</t>
  </si>
  <si>
    <t>Administrative Assistant III (SG9)</t>
  </si>
  <si>
    <t>ITPMD-CHS</t>
  </si>
  <si>
    <t xml:space="preserve"> SLO/OCI</t>
  </si>
  <si>
    <t>BS IT/BS Crim</t>
  </si>
  <si>
    <t>GILL</t>
  </si>
  <si>
    <t>AJIT</t>
  </si>
  <si>
    <t>MENOR</t>
  </si>
  <si>
    <t>CUETO</t>
  </si>
  <si>
    <t>NOEME</t>
  </si>
  <si>
    <t>MAMON</t>
  </si>
  <si>
    <t>0995-0355642</t>
  </si>
  <si>
    <t>ARLES</t>
  </si>
  <si>
    <t>VINZELL</t>
  </si>
  <si>
    <t>VILLAGONZALO</t>
  </si>
  <si>
    <t>ROMANO</t>
  </si>
  <si>
    <t>DACIR</t>
  </si>
  <si>
    <t>VILLARIN</t>
  </si>
  <si>
    <t>DANIELLE ZCHEA</t>
  </si>
  <si>
    <t>GACUTE</t>
  </si>
  <si>
    <t>0922-2948723</t>
  </si>
  <si>
    <t>BELARDO</t>
  </si>
  <si>
    <t>BS CS/MA in IT</t>
  </si>
  <si>
    <t>Electrician (SG6)</t>
  </si>
  <si>
    <t>REYNALDO</t>
  </si>
  <si>
    <t>PASCO</t>
  </si>
  <si>
    <t>YAP</t>
  </si>
  <si>
    <t>Admin Assistant (SG9)</t>
  </si>
  <si>
    <t>GUEVARRA</t>
  </si>
  <si>
    <t>GUSTILO*</t>
  </si>
  <si>
    <t>DALISAY</t>
  </si>
  <si>
    <t>MARIETTO</t>
  </si>
  <si>
    <t>CASPE</t>
  </si>
  <si>
    <t>DIÑO*</t>
  </si>
  <si>
    <t>DE LANA</t>
  </si>
  <si>
    <t>ELVIN ELDEN</t>
  </si>
  <si>
    <t>XZYRON</t>
  </si>
  <si>
    <t>SEBASTIAN</t>
  </si>
  <si>
    <t>AGNE</t>
  </si>
  <si>
    <t>BS ECT</t>
  </si>
  <si>
    <t>PC Networking &amp; Administration</t>
  </si>
  <si>
    <t>0935-1674489</t>
  </si>
  <si>
    <t>DE LEON</t>
  </si>
  <si>
    <t>YVETTE</t>
  </si>
  <si>
    <t>VILLAVERDE</t>
  </si>
  <si>
    <t>0917-3197823</t>
  </si>
  <si>
    <t>ASIRI</t>
  </si>
  <si>
    <t>DELFAIZA</t>
  </si>
  <si>
    <t>SARAJAN</t>
  </si>
  <si>
    <t>Computer Programmer (SG11)</t>
  </si>
  <si>
    <t>ALTHEA CELY</t>
  </si>
  <si>
    <t>PARA</t>
  </si>
  <si>
    <t>Computer Programmer  I (SG11)</t>
  </si>
  <si>
    <t>FONTANILLA</t>
  </si>
  <si>
    <t>JASON PATRICK</t>
  </si>
  <si>
    <t>ASHTER</t>
  </si>
  <si>
    <t>TIBURCIO</t>
  </si>
  <si>
    <t>AVILA</t>
  </si>
  <si>
    <t>0908-7200121</t>
  </si>
  <si>
    <t>CHRISTOPHER</t>
  </si>
  <si>
    <t>BALEÑA</t>
  </si>
  <si>
    <t>0945-8823777</t>
  </si>
  <si>
    <t>JESSICA</t>
  </si>
  <si>
    <t>ITPMD-LSS</t>
  </si>
  <si>
    <t>MARIA CRISTINA</t>
  </si>
  <si>
    <t>DOMONDON</t>
  </si>
  <si>
    <t>ISR III/Training Staff (SG17)</t>
  </si>
  <si>
    <t>ROSELYN</t>
  </si>
  <si>
    <t>CARTAGENA</t>
  </si>
  <si>
    <t>AYUPAN</t>
  </si>
  <si>
    <t>LAURENCE</t>
  </si>
  <si>
    <t>NOBLEZA</t>
  </si>
  <si>
    <t>ZAMORA</t>
  </si>
  <si>
    <t>MELVIN</t>
  </si>
  <si>
    <t>PANGANIBAN</t>
  </si>
  <si>
    <t>ORTIZ</t>
  </si>
  <si>
    <t>JULIUS</t>
  </si>
  <si>
    <t>SEMITARA</t>
  </si>
  <si>
    <t>BS Computer Eng</t>
  </si>
  <si>
    <t>DELA PERI</t>
  </si>
  <si>
    <t xml:space="preserve">CHRISTOPHER </t>
  </si>
  <si>
    <t>0922-9344767</t>
  </si>
  <si>
    <t>TOGONON</t>
  </si>
  <si>
    <t>AREVALO</t>
  </si>
  <si>
    <t>RALPH LYNDON</t>
  </si>
  <si>
    <t>RESUELLO</t>
  </si>
  <si>
    <t>LACSON</t>
  </si>
  <si>
    <t>VINEAH</t>
  </si>
  <si>
    <t>MARLYN</t>
  </si>
  <si>
    <t>EDP Specialist/
PO EXAM</t>
  </si>
  <si>
    <t>DIMO</t>
  </si>
  <si>
    <t>LAGULA</t>
  </si>
  <si>
    <t>CMT III (SG17)</t>
  </si>
  <si>
    <t>0917-5090321</t>
  </si>
  <si>
    <t>PAUL JANSEN</t>
  </si>
  <si>
    <t>FERNANDEZ</t>
  </si>
  <si>
    <t>Administrative Asst I (SG7)</t>
  </si>
  <si>
    <t>BUENO</t>
  </si>
  <si>
    <t>CHIER BRYAN</t>
  </si>
  <si>
    <t>MARCOS</t>
  </si>
  <si>
    <t>DIÑO</t>
  </si>
  <si>
    <t>CSP/RA 1080</t>
  </si>
  <si>
    <t>IT NUP (SG9)</t>
  </si>
  <si>
    <t>ITPMD-NCRPO</t>
  </si>
  <si>
    <t>DOMINGO</t>
  </si>
  <si>
    <t>KARL LOUIE</t>
  </si>
  <si>
    <t>CARDENAS</t>
  </si>
  <si>
    <t>Training Support Staff (SG6)</t>
  </si>
  <si>
    <t>MISCHELL</t>
  </si>
  <si>
    <t>ALOR</t>
  </si>
  <si>
    <t>ARIANE GRACE</t>
  </si>
  <si>
    <t>MA VICTORIA</t>
  </si>
  <si>
    <t>DONES</t>
  </si>
  <si>
    <t>Verifier/Encoder (SG12)</t>
  </si>
  <si>
    <t>ESMERO</t>
  </si>
  <si>
    <t>VICENTE</t>
  </si>
  <si>
    <t>NEQUIA</t>
  </si>
  <si>
    <t>0921-2040041</t>
  </si>
  <si>
    <t>ISR (SG10)</t>
  </si>
  <si>
    <t>ESTIPONA</t>
  </si>
  <si>
    <t>MICHAEL GERARD</t>
  </si>
  <si>
    <t>PEDRO</t>
  </si>
  <si>
    <t>Comp. Prog/Graphic Artist (SG15)</t>
  </si>
  <si>
    <t>FABIAN</t>
  </si>
  <si>
    <t>KHEN</t>
  </si>
  <si>
    <t>GOBANGCO</t>
  </si>
  <si>
    <t>ORNIDO</t>
  </si>
  <si>
    <t>ROWEN</t>
  </si>
  <si>
    <t>BON</t>
  </si>
  <si>
    <t>FERRER</t>
  </si>
  <si>
    <t>JOSHUA</t>
  </si>
  <si>
    <t>OLGINA</t>
  </si>
  <si>
    <t>BACCAY</t>
  </si>
  <si>
    <t>Computer Programmer I (SG11)</t>
  </si>
  <si>
    <t>IQUIN</t>
  </si>
  <si>
    <t>FLORO</t>
  </si>
  <si>
    <t>JOVENCIO</t>
  </si>
  <si>
    <t>FARINAS</t>
  </si>
  <si>
    <r>
      <rPr>
        <sz val="10"/>
        <color theme="1"/>
        <rFont val="Arial Narrow"/>
        <family val="2"/>
      </rPr>
      <t xml:space="preserve">SEVILLA </t>
    </r>
    <r>
      <rPr>
        <b/>
        <sz val="10"/>
        <color theme="1"/>
        <rFont val="Arial Narrow"/>
        <family val="2"/>
      </rPr>
      <t>*</t>
    </r>
  </si>
  <si>
    <t>BS CE/MPA</t>
  </si>
  <si>
    <t>0923-5955699</t>
  </si>
  <si>
    <t>BOLISLIS</t>
  </si>
  <si>
    <t>GABRIEL</t>
  </si>
  <si>
    <t>JIMMY</t>
  </si>
  <si>
    <t>ROSALYN</t>
  </si>
  <si>
    <t>BANG-AS</t>
  </si>
  <si>
    <t>DOMINGUIANO</t>
  </si>
  <si>
    <t>JAY</t>
  </si>
  <si>
    <t>ESTOYA</t>
  </si>
  <si>
    <t>0912-1300003</t>
  </si>
  <si>
    <t>0907-0664199</t>
  </si>
  <si>
    <t>GAJO</t>
  </si>
  <si>
    <t>ELMAN</t>
  </si>
  <si>
    <t>ABAJA</t>
  </si>
  <si>
    <t>Administrative  Assistant I (SG7)</t>
  </si>
  <si>
    <t>MALANI</t>
  </si>
  <si>
    <t>JOAN</t>
  </si>
  <si>
    <t>MAT-AN</t>
  </si>
  <si>
    <t>GALBAN</t>
  </si>
  <si>
    <t>0977-7627499</t>
  </si>
  <si>
    <t>BALDERAMA</t>
  </si>
  <si>
    <t>HARLEY</t>
  </si>
  <si>
    <t xml:space="preserve">ABUAN </t>
  </si>
  <si>
    <t xml:space="preserve">GO </t>
  </si>
  <si>
    <t>ROSWELL</t>
  </si>
  <si>
    <t>MACALOM</t>
  </si>
  <si>
    <t>GONZALES</t>
  </si>
  <si>
    <t>BS Computer Engineer</t>
  </si>
  <si>
    <t>0939-9368006</t>
  </si>
  <si>
    <t>GALPO</t>
  </si>
  <si>
    <t>BERMUDO</t>
  </si>
  <si>
    <t>GUALVEZ</t>
  </si>
  <si>
    <t>ANABELLE</t>
  </si>
  <si>
    <t>BAYONA</t>
  </si>
  <si>
    <t>Personnel Staff/PAIS Encoder (SG7)</t>
  </si>
  <si>
    <t>HAPAN</t>
  </si>
  <si>
    <t>IAN CARLO</t>
  </si>
  <si>
    <t>VILLANUEVA</t>
  </si>
  <si>
    <t>GALLARDE</t>
  </si>
  <si>
    <t>SUNNY BOY</t>
  </si>
  <si>
    <t>LS Staff (SG)</t>
  </si>
  <si>
    <t>GALUYO</t>
  </si>
  <si>
    <t>0936-3810600</t>
  </si>
  <si>
    <t>HERNANDEZ</t>
  </si>
  <si>
    <t>CYRUS</t>
  </si>
  <si>
    <t>BALDOS</t>
  </si>
  <si>
    <t>CANAPI</t>
  </si>
  <si>
    <t>BUNGAG</t>
  </si>
  <si>
    <t>Admin Assistant I (SG7)</t>
  </si>
  <si>
    <t>RODALYN</t>
  </si>
  <si>
    <t>ARGUELLES</t>
  </si>
  <si>
    <t>0920-2147242</t>
  </si>
  <si>
    <t>HERRERA</t>
  </si>
  <si>
    <t>PACIVICA</t>
  </si>
  <si>
    <t>BAYHON</t>
  </si>
  <si>
    <t>Records Custodian (SG7)</t>
  </si>
  <si>
    <t>CSP, PD 907, EDP 
Specialist</t>
  </si>
  <si>
    <t>HERVERA</t>
  </si>
  <si>
    <t>0948-775084</t>
  </si>
  <si>
    <t>ERICKSON</t>
  </si>
  <si>
    <t>SOLIS</t>
  </si>
  <si>
    <t>HUERNO</t>
  </si>
  <si>
    <t>CLARISS ANN</t>
  </si>
  <si>
    <t>VALLESFINO</t>
  </si>
  <si>
    <t>Database Administrator (SG11)</t>
  </si>
  <si>
    <t>PANAGA</t>
  </si>
  <si>
    <t>MOHAMED</t>
  </si>
  <si>
    <t>TALAUE</t>
  </si>
  <si>
    <t>BABATE</t>
  </si>
  <si>
    <t>JAN NOEL</t>
  </si>
  <si>
    <t>ADUCA</t>
  </si>
  <si>
    <t>0906-1911298</t>
  </si>
  <si>
    <t>JOHN ELMAR</t>
  </si>
  <si>
    <t>ALLAS</t>
  </si>
  <si>
    <t>ISA/Computer Programmer (SG11)</t>
  </si>
  <si>
    <t>CORPUZ</t>
  </si>
  <si>
    <t>ALEX ACE</t>
  </si>
  <si>
    <t>CABAUATAN</t>
  </si>
  <si>
    <t>ILDEFONSO</t>
  </si>
  <si>
    <t>JANN ARLY</t>
  </si>
  <si>
    <t>AROCENA</t>
  </si>
  <si>
    <t>09567952228</t>
  </si>
  <si>
    <t>MAY ANN</t>
  </si>
  <si>
    <t>CABARDO</t>
  </si>
  <si>
    <t>BALINGIT</t>
  </si>
  <si>
    <t>JOSE JEFFERSON</t>
  </si>
  <si>
    <t>LACSAM</t>
  </si>
  <si>
    <t>ITPMD-PRO1</t>
  </si>
  <si>
    <t>CHLOE ANN</t>
  </si>
  <si>
    <t>REBADAJO</t>
  </si>
  <si>
    <t>BANTIC</t>
  </si>
  <si>
    <t>JUVENAL</t>
  </si>
  <si>
    <t>BERMUDEZ</t>
  </si>
  <si>
    <t>PULINNEK</t>
  </si>
  <si>
    <t>PAUL ARNIE VIC</t>
  </si>
  <si>
    <t>JEPOLLO</t>
  </si>
  <si>
    <t>DINEROS</t>
  </si>
  <si>
    <t>0950-2033999</t>
  </si>
  <si>
    <t>LAZO</t>
  </si>
  <si>
    <t>JANUS CESAR</t>
  </si>
  <si>
    <t>RUIZAN</t>
  </si>
  <si>
    <t>JORDA</t>
  </si>
  <si>
    <t>ROUMELLIA</t>
  </si>
  <si>
    <t>ROBLES</t>
  </si>
  <si>
    <t>09759740417</t>
  </si>
  <si>
    <t>Training Specialist II (SG15)</t>
  </si>
  <si>
    <t>LACHICA</t>
  </si>
  <si>
    <t>LOLITA</t>
  </si>
  <si>
    <t>BORRES</t>
  </si>
  <si>
    <t>BALON*</t>
  </si>
  <si>
    <t>LAGGUI</t>
  </si>
  <si>
    <t>DANIELLA MARIE</t>
  </si>
  <si>
    <t>ALLAUIGAN</t>
  </si>
  <si>
    <t>LAMPA</t>
  </si>
  <si>
    <t>ENGELBERT</t>
  </si>
  <si>
    <t>VALERA</t>
  </si>
  <si>
    <t>0916-2528676</t>
  </si>
  <si>
    <t>Asst. Chief, HMS/CMT III (SG17)</t>
  </si>
  <si>
    <t>FLOMARIE JOHN</t>
  </si>
  <si>
    <t>GAVERIA</t>
  </si>
  <si>
    <t>LANUZA</t>
  </si>
  <si>
    <t>ARNOLD</t>
  </si>
  <si>
    <t>ZABATE</t>
  </si>
  <si>
    <t>0920-6504683</t>
  </si>
  <si>
    <t>BALMACEDA</t>
  </si>
  <si>
    <t>OIC, AISS (SG18)</t>
  </si>
  <si>
    <t>0929-1722911</t>
  </si>
  <si>
    <t>BANGUILAN</t>
  </si>
  <si>
    <t>LEE</t>
  </si>
  <si>
    <t>MARIA ELISA</t>
  </si>
  <si>
    <t>SUERO</t>
  </si>
  <si>
    <t>BIRUNG</t>
  </si>
  <si>
    <t>ICRMS Staff (SG9)</t>
  </si>
  <si>
    <t>PABLO</t>
  </si>
  <si>
    <t>LIGUTAN</t>
  </si>
  <si>
    <t>0967-0131682</t>
  </si>
  <si>
    <t>LEGASPI</t>
  </si>
  <si>
    <t>RAYBEN</t>
  </si>
  <si>
    <t>VASQUEZ</t>
  </si>
  <si>
    <t>LUANSING</t>
  </si>
  <si>
    <t>DIANALYN</t>
  </si>
  <si>
    <t>MAGLIPON</t>
  </si>
  <si>
    <t>SMD</t>
  </si>
  <si>
    <t>Administrative  Assistant  (SG7)</t>
  </si>
  <si>
    <t>0927-6964813</t>
  </si>
  <si>
    <t>BANDULA</t>
  </si>
  <si>
    <t>MARIA GERLYINES</t>
  </si>
  <si>
    <t>CABRERA</t>
  </si>
  <si>
    <t>BALLESTEROS</t>
  </si>
  <si>
    <t>MHARK</t>
  </si>
  <si>
    <t>VISTA</t>
  </si>
  <si>
    <t>MADAYAG</t>
  </si>
  <si>
    <t>0917-5602266</t>
  </si>
  <si>
    <t>MAGBANUA</t>
  </si>
  <si>
    <t>RACHELLE</t>
  </si>
  <si>
    <t>MAGALONG</t>
  </si>
  <si>
    <t>DAREN</t>
  </si>
  <si>
    <t>Training Support Staff (SG7)</t>
  </si>
  <si>
    <t>0966-2061857</t>
  </si>
  <si>
    <t>IT NUP (SG6)</t>
  </si>
  <si>
    <t>0919-8495434</t>
  </si>
  <si>
    <t>MANALO</t>
  </si>
  <si>
    <t>CZARMAINE JOYCE</t>
  </si>
  <si>
    <t>MALLILLIN</t>
  </si>
  <si>
    <t>0917-1732039</t>
  </si>
  <si>
    <t>MARICAR</t>
  </si>
  <si>
    <t>CABIGAS</t>
  </si>
  <si>
    <t>SALINAS</t>
  </si>
  <si>
    <t>Section Chief, QAS (SG19)</t>
  </si>
  <si>
    <t xml:space="preserve">OBORDO </t>
  </si>
  <si>
    <t>MANALUZ</t>
  </si>
  <si>
    <t>NIKKO RENZ</t>
  </si>
  <si>
    <t>GERON</t>
  </si>
  <si>
    <t>PALATTAO</t>
  </si>
  <si>
    <t>RACELIS</t>
  </si>
  <si>
    <t>BS CE</t>
  </si>
  <si>
    <t>Administrative Assistant  I (SG7)</t>
  </si>
  <si>
    <t>SULIT</t>
  </si>
  <si>
    <t>REYNALD LOUIE</t>
  </si>
  <si>
    <t>SAN MIGUEL</t>
  </si>
  <si>
    <t>MANANON</t>
  </si>
  <si>
    <t>0916-6190070</t>
  </si>
  <si>
    <t>ALBERT</t>
  </si>
  <si>
    <t>Administrative Assistant  (SG3)</t>
  </si>
  <si>
    <t xml:space="preserve">VILLAGONZALO </t>
  </si>
  <si>
    <t>REMAN JOSEPH</t>
  </si>
  <si>
    <t>RENTOY</t>
  </si>
  <si>
    <t>ITPMD-ES</t>
  </si>
  <si>
    <t xml:space="preserve">JEFTER </t>
  </si>
  <si>
    <t>MANDAL</t>
  </si>
  <si>
    <t>BIBIANA</t>
  </si>
  <si>
    <t>LUMBANG</t>
  </si>
  <si>
    <t>MARINTES</t>
  </si>
  <si>
    <t>MANUGUID</t>
  </si>
  <si>
    <t>Administrative  Assistant II (SG8)</t>
  </si>
  <si>
    <t>BARQUIN</t>
  </si>
  <si>
    <t>MARMOL</t>
  </si>
  <si>
    <t>0945-3021767</t>
  </si>
  <si>
    <t>ITPMD-FS</t>
  </si>
  <si>
    <t>CHRISTIAN PAUL</t>
  </si>
  <si>
    <t>SAN VICENTE</t>
  </si>
  <si>
    <t>MASAGANDA</t>
  </si>
  <si>
    <t>AARON</t>
  </si>
  <si>
    <t>BANAG</t>
  </si>
  <si>
    <t>ISR/Admin Assistant  (SG7)</t>
  </si>
  <si>
    <t xml:space="preserve">BALINGIT </t>
  </si>
  <si>
    <t>MATEO</t>
  </si>
  <si>
    <t>MARIAN AILEEN</t>
  </si>
  <si>
    <t>R'JOSE</t>
  </si>
  <si>
    <t>0917-5183464</t>
  </si>
  <si>
    <t>Budget NUP (SG13)</t>
  </si>
  <si>
    <t>DD IT(SG25)</t>
  </si>
  <si>
    <t>0969-0631848</t>
  </si>
  <si>
    <t>MALLILLIN*</t>
  </si>
  <si>
    <t>Programming using PHP and SQL</t>
  </si>
  <si>
    <t>0922-8990804</t>
  </si>
  <si>
    <t>MESA</t>
  </si>
  <si>
    <t>JOHN RICK</t>
  </si>
  <si>
    <t>ELUMBA</t>
  </si>
  <si>
    <t>MIRANDA</t>
  </si>
  <si>
    <t>DONNAH</t>
  </si>
  <si>
    <t>ABRERA</t>
  </si>
  <si>
    <t>ANDANAR*</t>
  </si>
  <si>
    <t>DAVID</t>
  </si>
  <si>
    <t>CARRO</t>
  </si>
  <si>
    <t>MISTICA</t>
  </si>
  <si>
    <t>EDP Specialist/
CSP</t>
  </si>
  <si>
    <t>MA FELIRITA</t>
  </si>
  <si>
    <t>SUBIDO</t>
  </si>
  <si>
    <t>Personnel Staff (SG14)</t>
  </si>
  <si>
    <t>MONAR</t>
  </si>
  <si>
    <t>CHRISTIAN MEL</t>
  </si>
  <si>
    <t>OLOR</t>
  </si>
  <si>
    <t>ISA/Computer Programmer(SG12)</t>
  </si>
  <si>
    <t>BATALLER</t>
  </si>
  <si>
    <t>SHERWIN SOLOMON</t>
  </si>
  <si>
    <t>REGGIEMAR</t>
  </si>
  <si>
    <t>BELLEN</t>
  </si>
  <si>
    <t>NAZA</t>
  </si>
  <si>
    <t>III</t>
  </si>
  <si>
    <t>MORALES</t>
  </si>
  <si>
    <t>MARIA MARGARITA ROSARIO</t>
  </si>
  <si>
    <t>0928-2765273</t>
  </si>
  <si>
    <t>MOSLARES</t>
  </si>
  <si>
    <t>ALPHA RIZZA</t>
  </si>
  <si>
    <t>ZARSATA</t>
  </si>
  <si>
    <t>Comp. Maint Tech. I (SG11)</t>
  </si>
  <si>
    <t>STA INES</t>
  </si>
  <si>
    <t>ERROL</t>
  </si>
  <si>
    <t>MOLINA</t>
  </si>
  <si>
    <t>MULANO</t>
  </si>
  <si>
    <t>MARY MICHELLE</t>
  </si>
  <si>
    <t>FULGENCIO</t>
  </si>
  <si>
    <t>0995-9676102</t>
  </si>
  <si>
    <t>NAVARRO</t>
  </si>
  <si>
    <t>BS IT/Ass.Degree in CS</t>
  </si>
  <si>
    <t>BARCELONA</t>
  </si>
  <si>
    <t>Asst. Chief/ITO II (SG22)</t>
  </si>
  <si>
    <t>NIEVA</t>
  </si>
  <si>
    <t>AILEEN</t>
  </si>
  <si>
    <t>SABELA</t>
  </si>
  <si>
    <t>Psrsonnel Staff/PAIS Encolder (SG9)</t>
  </si>
  <si>
    <t>BAUSA</t>
  </si>
  <si>
    <t>RIQUE</t>
  </si>
  <si>
    <t>ARCOS</t>
  </si>
  <si>
    <t>NOVIDA</t>
  </si>
  <si>
    <t>MARILOU</t>
  </si>
  <si>
    <t>Info Systems Analyst (SG 18)</t>
  </si>
  <si>
    <t>OLIVAR</t>
  </si>
  <si>
    <t>CHARLENE</t>
  </si>
  <si>
    <t>LAURESTA</t>
  </si>
  <si>
    <t>PALPARA</t>
  </si>
  <si>
    <t>RANDY</t>
  </si>
  <si>
    <t>TAMBANILLO</t>
  </si>
  <si>
    <t>0939-4346518</t>
  </si>
  <si>
    <t>OÑA</t>
  </si>
  <si>
    <t>AGUS*</t>
  </si>
  <si>
    <t>FAMINIANO</t>
  </si>
  <si>
    <t>ONGKINGCO</t>
  </si>
  <si>
    <t>LAURENCE ANTHONY</t>
  </si>
  <si>
    <t>RAMIL</t>
  </si>
  <si>
    <t>MARABE</t>
  </si>
  <si>
    <t>MADRID</t>
  </si>
  <si>
    <t>0925-8631941</t>
  </si>
  <si>
    <t>CESAR</t>
  </si>
  <si>
    <t>OREVILLO</t>
  </si>
  <si>
    <t>ESCARZA</t>
  </si>
  <si>
    <t>CARLO JOHN</t>
  </si>
  <si>
    <t>PRUGALIDAD</t>
  </si>
  <si>
    <t>Planning Officer (SG11)</t>
  </si>
  <si>
    <t>GERALIE</t>
  </si>
  <si>
    <t>LOMILLO</t>
  </si>
  <si>
    <t>RANCE</t>
  </si>
  <si>
    <t>LEONARDO</t>
  </si>
  <si>
    <t>ESPINOSA</t>
  </si>
  <si>
    <t>0946-0482000</t>
  </si>
  <si>
    <t>PACOL</t>
  </si>
  <si>
    <t>JEPHTE</t>
  </si>
  <si>
    <t>TENORIA</t>
  </si>
  <si>
    <t>0915-7374515</t>
  </si>
  <si>
    <t>ISA/ Computer Programmer (SG16)</t>
  </si>
  <si>
    <t>CARBONELL</t>
  </si>
  <si>
    <t>JAKE</t>
  </si>
  <si>
    <t>GASPAR</t>
  </si>
  <si>
    <t>NAP PO Exam/CSC</t>
  </si>
  <si>
    <t>PALISOC</t>
  </si>
  <si>
    <t>ALYSSA ALEXANDRIA</t>
  </si>
  <si>
    <t>0955-2740965</t>
  </si>
  <si>
    <t>MANCERA</t>
  </si>
  <si>
    <t>ARMENTA</t>
  </si>
  <si>
    <t>0948-0912817</t>
  </si>
  <si>
    <t>PANIZA</t>
  </si>
  <si>
    <t>ADELWISA</t>
  </si>
  <si>
    <t>ISA/ISR (SG16)</t>
  </si>
  <si>
    <t>QUINDO</t>
  </si>
  <si>
    <t>PARANADA</t>
  </si>
  <si>
    <t>IRA</t>
  </si>
  <si>
    <t>DIANA</t>
  </si>
  <si>
    <t>BANGGA</t>
  </si>
  <si>
    <t>BATBAT</t>
  </si>
  <si>
    <t>VALMIDIANO</t>
  </si>
  <si>
    <t>MATT KYNNPEARL</t>
  </si>
  <si>
    <t>CABURATAN</t>
  </si>
  <si>
    <t>Info System Researcher  (SG14)</t>
  </si>
  <si>
    <t>0926-1848317</t>
  </si>
  <si>
    <t>ANDRES*</t>
  </si>
  <si>
    <t>PARAZO</t>
  </si>
  <si>
    <t>MA. REGINA</t>
  </si>
  <si>
    <t>RABINA</t>
  </si>
  <si>
    <t>Administrative Aide (SG6) (DMD)</t>
  </si>
  <si>
    <t>TUGAOEN</t>
  </si>
  <si>
    <t>ALVIN REY</t>
  </si>
  <si>
    <t>ENGHUG</t>
  </si>
  <si>
    <t>0906-3850043</t>
  </si>
  <si>
    <t>PAREDES</t>
  </si>
  <si>
    <t>CONNIE</t>
  </si>
  <si>
    <t>VALDEZ</t>
  </si>
  <si>
    <t>0926-2730749</t>
  </si>
  <si>
    <t>Budget NUP (SG7)</t>
  </si>
  <si>
    <t>ITPMD-PRO7</t>
  </si>
  <si>
    <t>PARIS</t>
  </si>
  <si>
    <t>ACEL</t>
  </si>
  <si>
    <t>OBSELLA</t>
  </si>
  <si>
    <t>ARMD</t>
  </si>
  <si>
    <t>Administrative Aide (SG6)</t>
  </si>
  <si>
    <t>PASTOR</t>
  </si>
  <si>
    <t>SYBEL ZENA</t>
  </si>
  <si>
    <t>FREDELUCES</t>
  </si>
  <si>
    <t>RAMIRA</t>
  </si>
  <si>
    <t>RECLA</t>
  </si>
  <si>
    <t>Data Controller  (SG7)</t>
  </si>
  <si>
    <t>PAULO</t>
  </si>
  <si>
    <t>RUBY</t>
  </si>
  <si>
    <t>BERCASIO</t>
  </si>
  <si>
    <t>CLAUDINE</t>
  </si>
  <si>
    <t>0919-0950894</t>
  </si>
  <si>
    <t>RA 6505</t>
  </si>
  <si>
    <t>VIRGINIA</t>
  </si>
  <si>
    <t>0965-3410362/
0936-5751088</t>
  </si>
  <si>
    <t>Chief, DPS (SG19)</t>
  </si>
  <si>
    <t>ITMS SO-DES-2021-325 dated July 28, 2021</t>
  </si>
  <si>
    <t>BELLY</t>
  </si>
  <si>
    <t>DEL BARRIO</t>
  </si>
  <si>
    <t>SHARMAINE</t>
  </si>
  <si>
    <t>Training Staff (SG7)</t>
  </si>
  <si>
    <t>PEREZ</t>
  </si>
  <si>
    <t>FATHIMA</t>
  </si>
  <si>
    <t>ISR II/Planning Officer (SG14)</t>
  </si>
  <si>
    <t>CANUDAY</t>
  </si>
  <si>
    <t>JACKERON</t>
  </si>
  <si>
    <t>TING</t>
  </si>
  <si>
    <t>0956-8091075</t>
  </si>
  <si>
    <t>LIRIO</t>
  </si>
  <si>
    <t>Data Controller  (SG6)</t>
  </si>
  <si>
    <t>0916-1872199</t>
  </si>
  <si>
    <t>ELECCION</t>
  </si>
  <si>
    <t>CHRISTOFFERSON</t>
  </si>
  <si>
    <t>CURAMING</t>
  </si>
  <si>
    <t>PILAR</t>
  </si>
  <si>
    <t>JESSA KRIS</t>
  </si>
  <si>
    <t>CORDOVA</t>
  </si>
  <si>
    <t>BELOYA</t>
  </si>
  <si>
    <t>GENESON</t>
  </si>
  <si>
    <t>DORIENDES</t>
  </si>
  <si>
    <t xml:space="preserve">NAP SPO Exam </t>
  </si>
  <si>
    <t>Action PCO /IT Project Officer</t>
  </si>
  <si>
    <t>0915-8410360</t>
  </si>
  <si>
    <t>PIMENTEL</t>
  </si>
  <si>
    <t>MARGIE</t>
  </si>
  <si>
    <t>PONCE</t>
  </si>
  <si>
    <t>JASMIN</t>
  </si>
  <si>
    <t>CABAÑEROS</t>
  </si>
  <si>
    <t>JULIUS STEVE</t>
  </si>
  <si>
    <t>SABELLA</t>
  </si>
  <si>
    <t>PORNIA</t>
  </si>
  <si>
    <t>0938-9935076</t>
  </si>
  <si>
    <t>CRISANTO</t>
  </si>
  <si>
    <t>HURBAN</t>
  </si>
  <si>
    <t>Comp Programmer (SG6)</t>
  </si>
  <si>
    <t>SHIELA MARIE</t>
  </si>
  <si>
    <t>0903-3641739</t>
  </si>
  <si>
    <t>ERNESTO</t>
  </si>
  <si>
    <t>POQUIZ</t>
  </si>
  <si>
    <t>Computer File Librarian I (SG8)</t>
  </si>
  <si>
    <t>ONDONA</t>
  </si>
  <si>
    <t>JOHN HOPE</t>
  </si>
  <si>
    <t>MILLAN</t>
  </si>
  <si>
    <t>JOHN ERICK</t>
  </si>
  <si>
    <t>MAYORGA</t>
  </si>
  <si>
    <t>0948-8790389</t>
  </si>
  <si>
    <t>PRINCESS SANNY</t>
  </si>
  <si>
    <t>ABLOG</t>
  </si>
  <si>
    <t>ITPMD-PRO11</t>
  </si>
  <si>
    <t>WENCESLAO</t>
  </si>
  <si>
    <t>Asst. Chief, DPS (SG13)</t>
  </si>
  <si>
    <t>RARO</t>
  </si>
  <si>
    <t>EMILIO</t>
  </si>
  <si>
    <t>GARADO</t>
  </si>
  <si>
    <t>BILLOSO</t>
  </si>
  <si>
    <t>RAYMUNDO</t>
  </si>
  <si>
    <t>DANIEL JOSHUA</t>
  </si>
  <si>
    <t>BALMEO</t>
  </si>
  <si>
    <t>BONTIA</t>
  </si>
  <si>
    <t>ISAAC MEDEL</t>
  </si>
  <si>
    <t>AMAD</t>
  </si>
  <si>
    <t>CABELIS</t>
  </si>
  <si>
    <t>0921-7151515</t>
  </si>
  <si>
    <t>ADENA</t>
  </si>
  <si>
    <t>SILVINA</t>
  </si>
  <si>
    <t>LLANTO</t>
  </si>
  <si>
    <t>0995-9762329</t>
  </si>
  <si>
    <t>Finance NUP (SG12)</t>
  </si>
  <si>
    <t>JAMES RYAN</t>
  </si>
  <si>
    <t>GAMINO</t>
  </si>
  <si>
    <t>RECUENCO</t>
  </si>
  <si>
    <t>GEMMA</t>
  </si>
  <si>
    <t>CLEOFE</t>
  </si>
  <si>
    <t>KYLE BENEDICT</t>
  </si>
  <si>
    <t>SORIANO</t>
  </si>
  <si>
    <t>RIDULME</t>
  </si>
  <si>
    <t>ANNA LEA</t>
  </si>
  <si>
    <t>TUBA</t>
  </si>
  <si>
    <t>ARCEO</t>
  </si>
  <si>
    <t>GLORELYN</t>
  </si>
  <si>
    <t>GADIANE</t>
  </si>
  <si>
    <t>0930-0637137</t>
  </si>
  <si>
    <t>RIVERA</t>
  </si>
  <si>
    <t>EDMUND</t>
  </si>
  <si>
    <t>MALBARTINO</t>
  </si>
  <si>
    <t>0930-6522476</t>
  </si>
  <si>
    <t>ROQUE</t>
  </si>
  <si>
    <t>ARISTOTLE</t>
  </si>
  <si>
    <t>GARSIN</t>
  </si>
  <si>
    <t>Senior Administrative Asst. (SG13)</t>
  </si>
  <si>
    <t>BAYAUA</t>
  </si>
  <si>
    <t>ANGELO</t>
  </si>
  <si>
    <t>ZALUN</t>
  </si>
  <si>
    <t>ROSETE</t>
  </si>
  <si>
    <t>PACULAN</t>
  </si>
  <si>
    <t>ROSENA</t>
  </si>
  <si>
    <t>NIDUAZA</t>
  </si>
  <si>
    <t>0915-6892139</t>
  </si>
  <si>
    <t>RUARO</t>
  </si>
  <si>
    <t>SUPIL</t>
  </si>
  <si>
    <t>ANN MARGARETH</t>
  </si>
  <si>
    <t>SANTILLANA</t>
  </si>
  <si>
    <t>PERGIS</t>
  </si>
  <si>
    <t>HARLIE</t>
  </si>
  <si>
    <t>MUTIA</t>
  </si>
  <si>
    <t xml:space="preserve">JULIUS </t>
  </si>
  <si>
    <t>PASCUA</t>
  </si>
  <si>
    <t>Acting Asst. Chief/
IT Project Officer</t>
  </si>
  <si>
    <t>0908-8698563</t>
  </si>
  <si>
    <t>TABAFUNDA</t>
  </si>
  <si>
    <t>OIC, PIO/PCR Staff (SG14)</t>
  </si>
  <si>
    <t>RONNEL</t>
  </si>
  <si>
    <t>NACIS</t>
  </si>
  <si>
    <t>0906-5183285</t>
  </si>
  <si>
    <t>RUMBAOA</t>
  </si>
  <si>
    <t>SHIRLY</t>
  </si>
  <si>
    <t>CABUSORA</t>
  </si>
  <si>
    <t>WALIS</t>
  </si>
  <si>
    <t>JACKSON</t>
  </si>
  <si>
    <t>0918-6287676</t>
  </si>
  <si>
    <t>SABLAY</t>
  </si>
  <si>
    <t>HAZEL</t>
  </si>
  <si>
    <t>DILLOZA</t>
  </si>
  <si>
    <t>ISA/Computer Programmer (SG15)</t>
  </si>
  <si>
    <t>BATIS</t>
  </si>
  <si>
    <t>BS Education</t>
  </si>
  <si>
    <t>SAMPANA</t>
  </si>
  <si>
    <t>ITPMD-PRO12</t>
  </si>
  <si>
    <t>PHILLIP</t>
  </si>
  <si>
    <t>TUPAS</t>
  </si>
  <si>
    <t>0927-9568496</t>
  </si>
  <si>
    <t>Training Staff (SG8)</t>
  </si>
  <si>
    <t>QUIAÑO</t>
  </si>
  <si>
    <t>CRYSTAL JEZZELLE</t>
  </si>
  <si>
    <t>CARIASO</t>
  </si>
  <si>
    <t>SANCHEZ</t>
  </si>
  <si>
    <t>SHERYL</t>
  </si>
  <si>
    <t>PALLONES</t>
  </si>
  <si>
    <t>0927-5911013</t>
  </si>
  <si>
    <t>SANTIAGO</t>
  </si>
  <si>
    <t>MOISES REUEL</t>
  </si>
  <si>
    <t>DE ASIS</t>
  </si>
  <si>
    <t>BLANZA</t>
  </si>
  <si>
    <t>BA in Political Science</t>
  </si>
  <si>
    <t>ALLAN</t>
  </si>
  <si>
    <t>0938-8027632</t>
  </si>
  <si>
    <t>SASUTA</t>
  </si>
  <si>
    <t>HICBAN</t>
  </si>
  <si>
    <t>Aircon Technician (SG6)</t>
  </si>
  <si>
    <t>DIONISIO</t>
  </si>
  <si>
    <t>LAMES</t>
  </si>
  <si>
    <t>MAYJEAN</t>
  </si>
  <si>
    <t>GAGET</t>
  </si>
  <si>
    <t>SECULLES</t>
  </si>
  <si>
    <t>LILIBETH</t>
  </si>
  <si>
    <t>VERANO</t>
  </si>
  <si>
    <t>BA in Political Science
MA Educ Mgmt.</t>
  </si>
  <si>
    <t>0929-7326663</t>
  </si>
  <si>
    <t>0910-2828838</t>
  </si>
  <si>
    <t>SUASIN</t>
  </si>
  <si>
    <t>PINES</t>
  </si>
  <si>
    <t>SOCORRO</t>
  </si>
  <si>
    <t>JAMELA</t>
  </si>
  <si>
    <t>FAJARDO</t>
  </si>
  <si>
    <t>GIBSON</t>
  </si>
  <si>
    <t>TOBIAS</t>
  </si>
  <si>
    <t>ITPMD-PRO13</t>
  </si>
  <si>
    <t>SOLON</t>
  </si>
  <si>
    <t>RENA ELENA</t>
  </si>
  <si>
    <t>BS CIS/MBM</t>
  </si>
  <si>
    <t>OCCIANO</t>
  </si>
  <si>
    <t>CSP/PD 1408</t>
  </si>
  <si>
    <t>Comp Prog./ISR (SG15)</t>
  </si>
  <si>
    <t>TABIO</t>
  </si>
  <si>
    <t>HONEY LETH</t>
  </si>
  <si>
    <t>PALOMO</t>
  </si>
  <si>
    <t>ISR (SG15)</t>
  </si>
  <si>
    <t>TACORDA</t>
  </si>
  <si>
    <t>CABILOS</t>
  </si>
  <si>
    <t>ROBERT</t>
  </si>
  <si>
    <t>IT NUP (SG18)</t>
  </si>
  <si>
    <t>MONTALBAN</t>
  </si>
  <si>
    <t>0995-8613734</t>
  </si>
  <si>
    <t>TALLONGAN</t>
  </si>
  <si>
    <t>MADELIENE</t>
  </si>
  <si>
    <t>GUILLO</t>
  </si>
  <si>
    <t>MACATOL</t>
  </si>
  <si>
    <t>GEORGE</t>
  </si>
  <si>
    <t>CHARLIE</t>
  </si>
  <si>
    <t>GALITO</t>
  </si>
  <si>
    <t>MEMAN</t>
  </si>
  <si>
    <t>MELANIE JANE</t>
  </si>
  <si>
    <t>OBRA</t>
  </si>
  <si>
    <t>BORJA</t>
  </si>
  <si>
    <t>BRIAN THEO</t>
  </si>
  <si>
    <t>0917-7701560</t>
  </si>
  <si>
    <t>ISR/Comp Prog (SG11)</t>
  </si>
  <si>
    <t>0905-7780126</t>
  </si>
  <si>
    <t>MILLARE</t>
  </si>
  <si>
    <t>TORRANO</t>
  </si>
  <si>
    <t>LITO NOBERTO</t>
  </si>
  <si>
    <t>OLIVIA</t>
  </si>
  <si>
    <t>LACUTAB</t>
  </si>
  <si>
    <t>ANTONIO</t>
  </si>
  <si>
    <t>Asst Chief, CMD</t>
  </si>
  <si>
    <t>0916-2507905</t>
  </si>
  <si>
    <t>TURALBA</t>
  </si>
  <si>
    <t>KIMBERLY JOYCE</t>
  </si>
  <si>
    <t>Personnel Staff/ PAIS Encoder (SG11)</t>
  </si>
  <si>
    <t>JOHNY FER</t>
  </si>
  <si>
    <t>MABBORANG</t>
  </si>
  <si>
    <t>0995-7152380</t>
  </si>
  <si>
    <t>TUMBALI</t>
  </si>
  <si>
    <t>JAYANN</t>
  </si>
  <si>
    <t>PASICOLAN</t>
  </si>
  <si>
    <t>UNTALAN</t>
  </si>
  <si>
    <t>BUMAL-O</t>
  </si>
  <si>
    <t>RACHEL</t>
  </si>
  <si>
    <t>GUTIERREZ</t>
  </si>
  <si>
    <t>BS Information 
Mgmt.</t>
  </si>
  <si>
    <t>BALDO</t>
  </si>
  <si>
    <t>Action NUP (SG11)</t>
  </si>
  <si>
    <t>SPO/PO Exam</t>
  </si>
  <si>
    <t>0917-5859053</t>
  </si>
  <si>
    <t>0927-9960941</t>
  </si>
  <si>
    <t>BUCAG</t>
  </si>
  <si>
    <t>ANNIE</t>
  </si>
  <si>
    <t>JAMES</t>
  </si>
  <si>
    <t>RELLES</t>
  </si>
  <si>
    <t>TAGUBA</t>
  </si>
  <si>
    <t>RUBEN</t>
  </si>
  <si>
    <t>KELLY</t>
  </si>
  <si>
    <t>BROSAS</t>
  </si>
  <si>
    <t>CARTNER RHYSE</t>
  </si>
  <si>
    <t>PASCUAL</t>
  </si>
  <si>
    <t>Non-Duty Status</t>
  </si>
  <si>
    <t>0906-7548479</t>
  </si>
  <si>
    <t>0975-1300204</t>
  </si>
  <si>
    <t>LABANG</t>
  </si>
  <si>
    <t>ZIPAGAN</t>
  </si>
  <si>
    <t>VIGILANCIA</t>
  </si>
  <si>
    <t>SIXTO</t>
  </si>
  <si>
    <t>KATALBAS</t>
  </si>
  <si>
    <t>0927-8377548</t>
  </si>
  <si>
    <t>LAOYAN</t>
  </si>
  <si>
    <t>SILVER MARK</t>
  </si>
  <si>
    <t>TALLASE</t>
  </si>
  <si>
    <t>REYES</t>
  </si>
  <si>
    <t>JERICO</t>
  </si>
  <si>
    <t>MENESES</t>
  </si>
  <si>
    <t>VILLAMIN</t>
  </si>
  <si>
    <t>0946-7405310</t>
  </si>
  <si>
    <t>DOÑA WENNIE</t>
  </si>
  <si>
    <t>Encoder/Verifier/
Admin. Asst. Pers. (SG11)</t>
  </si>
  <si>
    <t>09657009923</t>
  </si>
  <si>
    <t>GUZMAN</t>
  </si>
  <si>
    <t>MARCELINO</t>
  </si>
  <si>
    <t>TUMOLVA</t>
  </si>
  <si>
    <t>VIERNES</t>
  </si>
  <si>
    <t>0935-7617159</t>
  </si>
  <si>
    <t>VILLAS</t>
  </si>
  <si>
    <t>JOHN MICHAEL</t>
  </si>
  <si>
    <t>ORLANDA</t>
  </si>
  <si>
    <t>BERNABE</t>
  </si>
  <si>
    <t>MACADANGDANG</t>
  </si>
  <si>
    <t>0961-7050104</t>
  </si>
  <si>
    <t>VILLAVICENCIO</t>
  </si>
  <si>
    <t>JOYLYN</t>
  </si>
  <si>
    <t>ZAFE</t>
  </si>
  <si>
    <t>PRINCE ANDREI</t>
  </si>
  <si>
    <t xml:space="preserve">PSOAC </t>
  </si>
  <si>
    <t>BRONZAL</t>
  </si>
  <si>
    <t>CORDON</t>
  </si>
  <si>
    <t>BRUCE KELLY</t>
  </si>
  <si>
    <t>ANDREO</t>
  </si>
  <si>
    <t>LOZANO</t>
  </si>
  <si>
    <t>BISIN</t>
  </si>
  <si>
    <t>IT PNCO/Computer Programmer</t>
  </si>
  <si>
    <t>0951-0376368</t>
  </si>
  <si>
    <t>NADERA</t>
  </si>
  <si>
    <t>SABATE</t>
  </si>
  <si>
    <t>0968-6671037</t>
  </si>
  <si>
    <t>GUINTO</t>
  </si>
  <si>
    <t>EDITHA</t>
  </si>
  <si>
    <t>ANICIETE</t>
  </si>
  <si>
    <t>0929-5183534</t>
  </si>
  <si>
    <t>ACE</t>
  </si>
  <si>
    <t>PAGADUAN</t>
  </si>
  <si>
    <t>0917-5357189</t>
  </si>
  <si>
    <t>GRAGASIN</t>
  </si>
  <si>
    <t>JOEVEN</t>
  </si>
  <si>
    <t>TABAGO</t>
  </si>
  <si>
    <t>BS Electrical Engineering</t>
  </si>
  <si>
    <t>CSP/
NAP PO Exam</t>
  </si>
  <si>
    <t>0917-1106001</t>
  </si>
  <si>
    <t>JARANILLA</t>
  </si>
  <si>
    <t>MA. ANNIE</t>
  </si>
  <si>
    <t>CAABAS</t>
  </si>
  <si>
    <t>SUCGANG</t>
  </si>
  <si>
    <t>0939-2569023</t>
  </si>
  <si>
    <t>ROSE ANNE</t>
  </si>
  <si>
    <t>ROXAS</t>
  </si>
  <si>
    <t>0917-8832903</t>
  </si>
  <si>
    <t>PALATTAO*</t>
  </si>
  <si>
    <t>BS CIS</t>
  </si>
  <si>
    <t>0918-6453200</t>
  </si>
  <si>
    <t>DICHOSO</t>
  </si>
  <si>
    <t>KAYCEE</t>
  </si>
  <si>
    <t>SYTICO</t>
  </si>
  <si>
    <t>ALCERA</t>
  </si>
  <si>
    <t>BS  Crim</t>
  </si>
  <si>
    <t>0912-4101205</t>
  </si>
  <si>
    <t>0905-3392089</t>
  </si>
  <si>
    <t>JAMES VINCENT</t>
  </si>
  <si>
    <t>LLIDO</t>
  </si>
  <si>
    <t>BALLESTEROS*</t>
  </si>
  <si>
    <t>PAMITTAN</t>
  </si>
  <si>
    <t>LATTAO</t>
  </si>
  <si>
    <t>Chief, ICRMS/DLOS Officer</t>
  </si>
  <si>
    <t>0927-1427260</t>
  </si>
  <si>
    <t>SIBUNGA</t>
  </si>
  <si>
    <t>TAMAYO</t>
  </si>
  <si>
    <t>0916-2201991</t>
  </si>
  <si>
    <t>Chief, BFS</t>
  </si>
  <si>
    <t>DIÑA</t>
  </si>
  <si>
    <t>JEREMY</t>
  </si>
  <si>
    <t>DOMALAON</t>
  </si>
  <si>
    <t>0949-1790438</t>
  </si>
  <si>
    <t>0998-5326263</t>
  </si>
  <si>
    <t>0917-8891444</t>
  </si>
  <si>
    <t>CHRISHELLE</t>
  </si>
  <si>
    <t>BURIGSAY</t>
  </si>
  <si>
    <t>SAGUN</t>
  </si>
  <si>
    <t>MARC IVOR JAN</t>
  </si>
  <si>
    <t>Asst. Chief, IHSS/Duty PCO, LS</t>
  </si>
  <si>
    <t>SABAYLE</t>
  </si>
  <si>
    <t>0926-4267292</t>
  </si>
  <si>
    <t>GEMINIANO</t>
  </si>
  <si>
    <t>MATINING</t>
  </si>
  <si>
    <t>BS Computer Engineering</t>
  </si>
  <si>
    <t>0995-6204790</t>
  </si>
  <si>
    <t>CONDES</t>
  </si>
  <si>
    <t>MARY ROSE</t>
  </si>
  <si>
    <t>DEL CASTILLO</t>
  </si>
  <si>
    <t>0926-7720464</t>
  </si>
  <si>
    <t>NALING</t>
  </si>
  <si>
    <t>ANN JENETH</t>
  </si>
  <si>
    <t>0965-4069917</t>
  </si>
  <si>
    <t>NIEZ</t>
  </si>
  <si>
    <t>JORDAN</t>
  </si>
  <si>
    <t>0936-7450777</t>
  </si>
  <si>
    <t>ESTRELLA</t>
  </si>
  <si>
    <t>0995-7620508</t>
  </si>
  <si>
    <t>GACES</t>
  </si>
  <si>
    <t>JUANITO</t>
  </si>
  <si>
    <t>BALLUG</t>
  </si>
  <si>
    <t>0919-0010843</t>
  </si>
  <si>
    <t>0905-3356477</t>
  </si>
  <si>
    <t>0927-2797713</t>
  </si>
  <si>
    <t xml:space="preserve">DOCTOLERO </t>
  </si>
  <si>
    <t>BS Info Mgt</t>
  </si>
  <si>
    <t>MARAMAG</t>
  </si>
  <si>
    <t>MARCIANA</t>
  </si>
  <si>
    <t>ORANTE</t>
  </si>
  <si>
    <t>CEPRIA</t>
  </si>
  <si>
    <t>0926-5795012</t>
  </si>
  <si>
    <t>0920-9730269</t>
  </si>
  <si>
    <t>DELEÑA</t>
  </si>
  <si>
    <t>CUELA</t>
  </si>
  <si>
    <t>ANDAL</t>
  </si>
  <si>
    <t>0909-8294415</t>
  </si>
  <si>
    <t>0905-5320909</t>
  </si>
  <si>
    <t>BCEC</t>
  </si>
  <si>
    <t>RUIZ</t>
  </si>
  <si>
    <t>0998-981-9509</t>
  </si>
  <si>
    <t>RONIE</t>
  </si>
  <si>
    <t>BATARA</t>
  </si>
  <si>
    <t>0929-8335212</t>
  </si>
  <si>
    <t>PHAS-DICTM</t>
  </si>
  <si>
    <t>PALPARA*</t>
  </si>
  <si>
    <t>FAMINIANO*</t>
  </si>
  <si>
    <t>ALLAN ROY</t>
  </si>
  <si>
    <t>AGANG</t>
  </si>
  <si>
    <t>Asst. Chief, ICT PPD</t>
  </si>
  <si>
    <t>BSComEng</t>
  </si>
  <si>
    <t>DAMASO</t>
  </si>
  <si>
    <t>MARIBEL</t>
  </si>
  <si>
    <t>MONES</t>
  </si>
  <si>
    <t>C, RCDD</t>
  </si>
  <si>
    <t>0917-8740745</t>
  </si>
  <si>
    <t>LOCOP</t>
  </si>
  <si>
    <t>HERRAEL KARL</t>
  </si>
  <si>
    <t>GIDOR</t>
  </si>
  <si>
    <t>ESCOBAL</t>
  </si>
  <si>
    <t>0995-6226339</t>
  </si>
  <si>
    <t>CARLO JOSEPH</t>
  </si>
  <si>
    <t>TORRES</t>
  </si>
  <si>
    <t>RECTO</t>
  </si>
  <si>
    <t>0920-9112142</t>
  </si>
  <si>
    <t>C.J. KLARK</t>
  </si>
  <si>
    <t>URETA</t>
  </si>
  <si>
    <t>0915-2268450</t>
  </si>
  <si>
    <t>JOAQUIN</t>
  </si>
  <si>
    <t>ROMEO</t>
  </si>
  <si>
    <t>LISING</t>
  </si>
  <si>
    <t>0908-8994325</t>
  </si>
  <si>
    <t>CABILES</t>
  </si>
  <si>
    <t>FIDEL</t>
  </si>
  <si>
    <t>VALEROS</t>
  </si>
  <si>
    <t>Chief , IT Help Desk/OIC,  SAS</t>
  </si>
  <si>
    <t>0917-3407654</t>
  </si>
  <si>
    <t>FONCARDAS</t>
  </si>
  <si>
    <t>MARK</t>
  </si>
  <si>
    <t>0917-3637131</t>
  </si>
  <si>
    <t>BS CS, MIT</t>
  </si>
  <si>
    <t>NHARCISO JHOEL</t>
  </si>
  <si>
    <t>0925-8520737</t>
  </si>
  <si>
    <t>Associate in Computer Science, MSIT</t>
  </si>
  <si>
    <t>0915-4032620</t>
  </si>
  <si>
    <t>MARICON</t>
  </si>
  <si>
    <t>TAYAMEN</t>
  </si>
  <si>
    <t>0936-4319828</t>
  </si>
  <si>
    <t>ESCALONA</t>
  </si>
  <si>
    <t>JERLY</t>
  </si>
  <si>
    <t>TAJON</t>
  </si>
  <si>
    <t>JUBELAG</t>
  </si>
  <si>
    <t>VERONICA</t>
  </si>
  <si>
    <t>QUILIZA</t>
  </si>
  <si>
    <t>0910-0501051</t>
  </si>
  <si>
    <t>CAGUITE</t>
  </si>
  <si>
    <t>JOHN REX</t>
  </si>
  <si>
    <t>ALIDO</t>
  </si>
  <si>
    <t>BACALTOS</t>
  </si>
  <si>
    <t>JAYOMA*</t>
  </si>
  <si>
    <t>BREIZEL</t>
  </si>
  <si>
    <t>MENORCA</t>
  </si>
  <si>
    <t>0928-2955958</t>
  </si>
  <si>
    <t>0918-2916850</t>
  </si>
  <si>
    <t>ERSAN</t>
  </si>
  <si>
    <t>GIOVANNI</t>
  </si>
  <si>
    <t>PACIFICO</t>
  </si>
  <si>
    <t>0917-5183567</t>
  </si>
  <si>
    <t>0910-8989624</t>
  </si>
  <si>
    <t>CAÑETE</t>
  </si>
  <si>
    <t>CALAPANO</t>
  </si>
  <si>
    <t>CABATIN</t>
  </si>
  <si>
    <t>CAPURAS</t>
  </si>
  <si>
    <t>ROGEL VERGEL</t>
  </si>
  <si>
    <t>Chief Clerk/Duty PNCO</t>
  </si>
  <si>
    <t>0906-1625865</t>
  </si>
  <si>
    <t>TAASINE</t>
  </si>
  <si>
    <t>0932-2461634</t>
  </si>
  <si>
    <t>JOHN RAY</t>
  </si>
  <si>
    <t>PATRON</t>
  </si>
  <si>
    <t>0955-1779563</t>
  </si>
  <si>
    <t>CRISTINA JOY</t>
  </si>
  <si>
    <t>0912-3299695</t>
  </si>
  <si>
    <t>CALENDAS</t>
  </si>
  <si>
    <t>RYAN ALEXANDER</t>
  </si>
  <si>
    <t>Action PCO</t>
  </si>
  <si>
    <t>0945-5295643</t>
  </si>
  <si>
    <t>CAMFOLI</t>
  </si>
  <si>
    <t>Duty PNCO/IT PNCO</t>
  </si>
  <si>
    <t>0915-4411911</t>
  </si>
  <si>
    <t>LOPEZ</t>
  </si>
  <si>
    <t>SEPTIMO</t>
  </si>
  <si>
    <t>MORATALLA</t>
  </si>
  <si>
    <t>LEO</t>
  </si>
  <si>
    <t>CACA</t>
  </si>
  <si>
    <t>0948-4172607</t>
  </si>
  <si>
    <t>PELIÑO</t>
  </si>
  <si>
    <t>JOHN RAYMOND</t>
  </si>
  <si>
    <t>DUMPANG</t>
  </si>
  <si>
    <t>09956321798</t>
  </si>
  <si>
    <t>QUIDEZ</t>
  </si>
  <si>
    <t>BRYAN MARK</t>
  </si>
  <si>
    <t>0953-1144507</t>
  </si>
  <si>
    <t>0951-9301962</t>
  </si>
  <si>
    <t>SIA</t>
  </si>
  <si>
    <t>ENARD</t>
  </si>
  <si>
    <t>ANDAYA</t>
  </si>
  <si>
    <t>0928-3948965</t>
  </si>
  <si>
    <t>0936-2510010</t>
  </si>
  <si>
    <t>MARTINEZ</t>
  </si>
  <si>
    <t>VIRAY</t>
  </si>
  <si>
    <t>HADJIMUDDIN</t>
  </si>
  <si>
    <t>JULMONER</t>
  </si>
  <si>
    <t>PASLANGAN</t>
  </si>
  <si>
    <t>0967-4253706</t>
  </si>
  <si>
    <t>0916-6169275</t>
  </si>
  <si>
    <t>MARK JAYSON</t>
  </si>
  <si>
    <t>IQBAR</t>
  </si>
  <si>
    <t>AMI</t>
  </si>
  <si>
    <t>IMLANI</t>
  </si>
  <si>
    <t>BS Offcie Admin</t>
  </si>
  <si>
    <t>0995-8604167</t>
  </si>
  <si>
    <t>0916-1364039</t>
  </si>
  <si>
    <t>0906-5467212</t>
  </si>
  <si>
    <t>0906-49486278</t>
  </si>
  <si>
    <t>0936-1670076</t>
  </si>
  <si>
    <t>0926-1545425</t>
  </si>
  <si>
    <t>CANJA</t>
  </si>
  <si>
    <t>NERI</t>
  </si>
  <si>
    <t>FREDIMAR</t>
  </si>
  <si>
    <t>SIMON</t>
  </si>
  <si>
    <t>Duty PNCO/OIC, C, Clerk, ARMD</t>
  </si>
  <si>
    <t>0961-5477766</t>
  </si>
  <si>
    <t>PHAS-PNPA</t>
  </si>
  <si>
    <t>TAGID-ID</t>
  </si>
  <si>
    <t>NORIYAM</t>
  </si>
  <si>
    <t>PATTA</t>
  </si>
  <si>
    <t>0963-9511458</t>
  </si>
  <si>
    <t>PINAGOD</t>
  </si>
  <si>
    <t>ANALYN</t>
  </si>
  <si>
    <t>BINGWAOEL</t>
  </si>
  <si>
    <t>0917-3066912</t>
  </si>
  <si>
    <t>ORENSE</t>
  </si>
  <si>
    <t>ANDREW</t>
  </si>
  <si>
    <t>AYALIN</t>
  </si>
  <si>
    <t>0927-9862030</t>
  </si>
  <si>
    <t>0936-3228989</t>
  </si>
  <si>
    <t>ROBIN</t>
  </si>
  <si>
    <t>DATUL</t>
  </si>
  <si>
    <t>Asst Chief, RICTMD/ITPO IAS</t>
  </si>
  <si>
    <t>0928-7299184</t>
  </si>
  <si>
    <t>0935-3441417</t>
  </si>
  <si>
    <t>MACAPILIT</t>
  </si>
  <si>
    <t>MARYLAND</t>
  </si>
  <si>
    <t>SEPLON</t>
  </si>
  <si>
    <t>PO NAP Exam</t>
  </si>
  <si>
    <t>0950-5999327</t>
  </si>
  <si>
    <t>POBLETE</t>
  </si>
  <si>
    <t>PADAYOGDOG</t>
  </si>
  <si>
    <t>FRANCISCO</t>
  </si>
  <si>
    <t>0929-6990673</t>
  </si>
  <si>
    <t>EMPINADO</t>
  </si>
  <si>
    <t>0995-0079322</t>
  </si>
  <si>
    <t>PHAS-RICTM PRO3</t>
  </si>
  <si>
    <t>CARIAGA</t>
  </si>
  <si>
    <t>GERMONO</t>
  </si>
  <si>
    <t>LUMIBAO</t>
  </si>
  <si>
    <t>RENE JASPER</t>
  </si>
  <si>
    <t>CUNANAN</t>
  </si>
  <si>
    <t>Asst Chief, RICTMD/ITPO</t>
  </si>
  <si>
    <t>0922-4691316</t>
  </si>
  <si>
    <t>JAY WALTER</t>
  </si>
  <si>
    <t>0922-8528309</t>
  </si>
  <si>
    <t>0906-6983867</t>
  </si>
  <si>
    <t>LABIAGA</t>
  </si>
  <si>
    <t>PERLIE</t>
  </si>
  <si>
    <t>CARIAS</t>
  </si>
  <si>
    <t>NEIL</t>
  </si>
  <si>
    <t>CARLOS</t>
  </si>
  <si>
    <t>Asst. Chief, RICTMD</t>
  </si>
  <si>
    <t>09169473187</t>
  </si>
  <si>
    <t>0995-3371207</t>
  </si>
  <si>
    <t>0917-5662652</t>
  </si>
  <si>
    <t>09151212105</t>
  </si>
  <si>
    <t>JAYVEE</t>
  </si>
  <si>
    <t>POCDOL</t>
  </si>
  <si>
    <t>0981-7013521</t>
  </si>
  <si>
    <t>SALDIVAR</t>
  </si>
  <si>
    <t>ROMMEL JOHN</t>
  </si>
  <si>
    <t>GICANA</t>
  </si>
  <si>
    <t>0906-5853900</t>
  </si>
  <si>
    <t>CHIDROME*</t>
  </si>
  <si>
    <t>JAYOMA</t>
  </si>
  <si>
    <t>Micro Computer Operation Course</t>
  </si>
  <si>
    <t>0927-7627827</t>
  </si>
  <si>
    <t>DECENA</t>
  </si>
  <si>
    <t>LUCIO</t>
  </si>
  <si>
    <t>Asst Chief, RICTMD/ ITPO PRO8</t>
  </si>
  <si>
    <t>0908-2150134</t>
  </si>
  <si>
    <t>AQUINO *</t>
  </si>
  <si>
    <r>
      <rPr>
        <sz val="10"/>
        <color theme="1"/>
        <rFont val="Arial Narrow"/>
        <family val="2"/>
      </rPr>
      <t xml:space="preserve">BS ECE/ </t>
    </r>
    <r>
      <rPr>
        <sz val="10"/>
        <color rgb="FF000000"/>
        <rFont val="Arial Narrow"/>
        <family val="2"/>
      </rPr>
      <t>MA in Mgmt</t>
    </r>
  </si>
  <si>
    <t>PESE/CSP/
RA 1080</t>
  </si>
  <si>
    <t>VOLTAIRE</t>
  </si>
  <si>
    <t>LACAYAN</t>
  </si>
  <si>
    <t>09298116536</t>
  </si>
  <si>
    <t>0917-1192399</t>
  </si>
  <si>
    <t>DEITA</t>
  </si>
  <si>
    <t>ANN MARIE</t>
  </si>
  <si>
    <t>SOTOMIL</t>
  </si>
  <si>
    <t>0919-4312533</t>
  </si>
  <si>
    <t>ELANGA</t>
  </si>
  <si>
    <t>STEPHANIE</t>
  </si>
  <si>
    <t>ERESE</t>
  </si>
  <si>
    <t>09106551026</t>
  </si>
  <si>
    <t>RAMA</t>
  </si>
  <si>
    <t>0919-6640640</t>
  </si>
  <si>
    <t>JERALYNE</t>
  </si>
  <si>
    <t>IT PCO/ISA/Comp Proigrammer</t>
  </si>
  <si>
    <t>COMON</t>
  </si>
  <si>
    <t>RAQUIL</t>
  </si>
  <si>
    <t>MANATAD</t>
  </si>
  <si>
    <t>LORAZA</t>
  </si>
  <si>
    <t>0948-3592418</t>
  </si>
  <si>
    <t xml:space="preserve">HAROLD JAY </t>
  </si>
  <si>
    <t>CERDANA</t>
  </si>
  <si>
    <t>0975-1911952</t>
  </si>
  <si>
    <t>NESTOR</t>
  </si>
  <si>
    <t>SEMBRANO</t>
  </si>
  <si>
    <t>VIRTUDAZO</t>
  </si>
  <si>
    <t>TAREPE</t>
  </si>
  <si>
    <t>0917-7262632</t>
  </si>
  <si>
    <t>MARQUEZ</t>
  </si>
  <si>
    <t>MARISOL</t>
  </si>
  <si>
    <t>BALASON</t>
  </si>
  <si>
    <t>0946-1257712</t>
  </si>
  <si>
    <t>SAGGOT</t>
  </si>
  <si>
    <t>0908-7340817</t>
  </si>
  <si>
    <t>FREDA</t>
  </si>
  <si>
    <t>AMMAGAY</t>
  </si>
  <si>
    <t>0948-1901136</t>
  </si>
  <si>
    <t>FONSICA</t>
  </si>
  <si>
    <t>VILMER</t>
  </si>
  <si>
    <t>GUILOAN</t>
  </si>
  <si>
    <t>BS EED</t>
  </si>
  <si>
    <t>0946-6562399</t>
  </si>
  <si>
    <t>PATERNO</t>
  </si>
  <si>
    <t>JEFFREY</t>
  </si>
  <si>
    <t>PAUS</t>
  </si>
  <si>
    <t>0910-6223592</t>
  </si>
  <si>
    <t>0927-8889020</t>
  </si>
  <si>
    <t>PAPIÑA</t>
  </si>
  <si>
    <t>PATRICK LYNDON</t>
  </si>
  <si>
    <t>PARCAREY</t>
  </si>
  <si>
    <t>IT PCO/Computer Programmer</t>
  </si>
  <si>
    <t>0963-3368121</t>
  </si>
  <si>
    <t>PARRE</t>
  </si>
  <si>
    <t>WINSTON</t>
  </si>
  <si>
    <t>SAFLOR</t>
  </si>
  <si>
    <t>PERCY</t>
  </si>
  <si>
    <t>0926-5464961</t>
  </si>
  <si>
    <t>BAG-AYAN</t>
  </si>
  <si>
    <t>0906-9530704</t>
  </si>
  <si>
    <t>0927-7783443</t>
  </si>
  <si>
    <t>0917-1108106</t>
  </si>
  <si>
    <t>BENEDICT</t>
  </si>
  <si>
    <t>BS Commerce</t>
  </si>
  <si>
    <t>0905-4405448</t>
  </si>
  <si>
    <t>0966-7606054</t>
  </si>
  <si>
    <t>SUGUITAN</t>
  </si>
  <si>
    <t>GUIFAYA</t>
  </si>
  <si>
    <t>PATTUNG</t>
  </si>
  <si>
    <t>COPRADA</t>
  </si>
  <si>
    <t>ROMUALDO JULES</t>
  </si>
  <si>
    <t>0915-9869963</t>
  </si>
  <si>
    <t>Action PNCO/Server Administrator</t>
  </si>
  <si>
    <t>DIRINDIGEN</t>
  </si>
  <si>
    <t>MORSI</t>
  </si>
  <si>
    <t>MACABNGKAS</t>
  </si>
  <si>
    <t>0930-2556360</t>
  </si>
  <si>
    <t>ELOPRE</t>
  </si>
  <si>
    <t>GRAJIDO</t>
  </si>
  <si>
    <t>0905-1865513</t>
  </si>
  <si>
    <t>HASANBASA</t>
  </si>
  <si>
    <t>NURMIHAR</t>
  </si>
  <si>
    <t>SABDANI</t>
  </si>
  <si>
    <t>SALAYA</t>
  </si>
  <si>
    <t>MA ANGELA</t>
  </si>
  <si>
    <t>Acting Chief, ISSD</t>
  </si>
  <si>
    <t>0975-4070763</t>
  </si>
  <si>
    <t>0922-8272703</t>
  </si>
  <si>
    <t>TRINIDAD</t>
  </si>
  <si>
    <t>NOHVILENE MAR</t>
  </si>
  <si>
    <t>BELDIA</t>
  </si>
  <si>
    <t>RIMANDO</t>
  </si>
  <si>
    <t>0950-0264200</t>
  </si>
  <si>
    <t>AFOS</t>
  </si>
  <si>
    <t xml:space="preserve">SUCGANG </t>
  </si>
  <si>
    <t>NAPOLCOM INSP EXAM</t>
  </si>
  <si>
    <t>MELCHOR</t>
  </si>
  <si>
    <t>JUNVI</t>
  </si>
  <si>
    <t>OIC, ESPO</t>
  </si>
  <si>
    <t>ONIL</t>
  </si>
  <si>
    <t>PD 1408/
SPO NAP Exam</t>
  </si>
  <si>
    <t>RELLON</t>
  </si>
  <si>
    <t>0965-3367236</t>
  </si>
  <si>
    <t>SUAYAN</t>
  </si>
  <si>
    <t>0938-5892929</t>
  </si>
  <si>
    <t>CRUZAT</t>
  </si>
  <si>
    <t>MARIEL</t>
  </si>
  <si>
    <t>ARELLANO</t>
  </si>
  <si>
    <t>Secretary, ARMD</t>
  </si>
  <si>
    <t>0930-8372612</t>
  </si>
  <si>
    <t>MERQUE</t>
  </si>
  <si>
    <t>JUDE ANN</t>
  </si>
  <si>
    <t>GRIEGO</t>
  </si>
  <si>
    <t>0975-5328212</t>
  </si>
  <si>
    <t>0917-3581689</t>
  </si>
  <si>
    <t>0915-4312246</t>
  </si>
  <si>
    <t>0916-3590111</t>
  </si>
  <si>
    <t>Asst, Chief, Personnel Sec/BMI PCO</t>
  </si>
  <si>
    <t>0917-3756546</t>
  </si>
  <si>
    <t>EDP</t>
  </si>
  <si>
    <t>VALLE</t>
  </si>
  <si>
    <t>MARK LAWRENCE</t>
  </si>
  <si>
    <t>ABENOJAR</t>
  </si>
  <si>
    <t>0933-7788300</t>
  </si>
  <si>
    <t>DICO</t>
  </si>
  <si>
    <t>JOEMAR</t>
  </si>
  <si>
    <t>BS Entrep</t>
  </si>
  <si>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PSBRC</t>
    </r>
  </si>
  <si>
    <t>0999-3125793</t>
  </si>
  <si>
    <t>FRANK</t>
  </si>
  <si>
    <t>JEFF BRIAN</t>
  </si>
  <si>
    <t>DLOS PNCO</t>
  </si>
  <si>
    <t>0931-0620260</t>
  </si>
  <si>
    <t>TAGUINOD</t>
  </si>
  <si>
    <t>DANNY BOY</t>
  </si>
  <si>
    <t>Action PNCO/ BMI Facilitator</t>
  </si>
  <si>
    <t>0998-3166112</t>
  </si>
  <si>
    <t>Fund. Of Networking &amp; Data Comm.</t>
  </si>
  <si>
    <t>0917-7169233</t>
  </si>
  <si>
    <t>0943-3439211</t>
  </si>
  <si>
    <t>Dip in Comp Eng and Tech</t>
  </si>
  <si>
    <t xml:space="preserve">EDUARDO </t>
  </si>
  <si>
    <t>09059778524</t>
  </si>
  <si>
    <t>RETAZO</t>
  </si>
  <si>
    <t>0927-2015409</t>
  </si>
  <si>
    <t>CORTEZ</t>
  </si>
  <si>
    <t>JERWIN</t>
  </si>
  <si>
    <t>AB in Psychology</t>
  </si>
  <si>
    <t>RA 1080
(Psychometrician)</t>
  </si>
  <si>
    <t>BCEC/CHMTC</t>
  </si>
  <si>
    <t>0916-473-4113</t>
  </si>
  <si>
    <t>BHBT (Psychology)</t>
  </si>
  <si>
    <t>Office Productivity Course/Multi-Media Course</t>
  </si>
  <si>
    <t>0922-6760201</t>
  </si>
  <si>
    <t>Basic Web Design</t>
  </si>
  <si>
    <t>0920-6647637</t>
  </si>
  <si>
    <t>AB Psychology</t>
  </si>
  <si>
    <t xml:space="preserve">PD 907/
RA 1080
</t>
  </si>
  <si>
    <t>0956-4326080</t>
  </si>
  <si>
    <t>BS Accounting Tech</t>
  </si>
  <si>
    <t>BCEC/CHMTC/HRMCS</t>
  </si>
  <si>
    <t>BCEC,CHMTC</t>
  </si>
  <si>
    <t>0917-6439469</t>
  </si>
  <si>
    <t>COSISI</t>
  </si>
  <si>
    <t>FREDERICK</t>
  </si>
  <si>
    <t>BAON</t>
  </si>
  <si>
    <t>VALLEJOS</t>
  </si>
  <si>
    <t>DRANREB</t>
  </si>
  <si>
    <t>GAPAL</t>
  </si>
  <si>
    <t>ICRMS Staff/Retirement Action PNCO</t>
  </si>
  <si>
    <t>0910-2194881</t>
  </si>
  <si>
    <t>BS Commerce 
(Undergraduate)</t>
  </si>
  <si>
    <t>0939-1181635</t>
  </si>
  <si>
    <t>0920-4548381</t>
  </si>
  <si>
    <t>LAPURGA</t>
  </si>
  <si>
    <t>0968-2974184</t>
  </si>
  <si>
    <t xml:space="preserve">PMAJ </t>
  </si>
  <si>
    <t>BS Commerce
 (Major in Management)</t>
  </si>
  <si>
    <t xml:space="preserve">Program Logic Formulation Course </t>
  </si>
  <si>
    <t>09231981430</t>
  </si>
  <si>
    <t>Multi-Media Course</t>
  </si>
  <si>
    <t>0927-5976794</t>
  </si>
  <si>
    <t xml:space="preserve">BALMACEDA </t>
  </si>
  <si>
    <r>
      <rPr>
        <sz val="10"/>
        <color theme="1"/>
        <rFont val="Arial Narrow"/>
        <family val="2"/>
      </rPr>
      <t>BS ECE/</t>
    </r>
    <r>
      <rPr>
        <sz val="10"/>
        <color rgb="FF000000"/>
        <rFont val="Arial Narrow"/>
        <family val="2"/>
      </rPr>
      <t xml:space="preserve"> MA in Mgmt</t>
    </r>
  </si>
  <si>
    <t>PESE/RA 1080/
RA 6506</t>
  </si>
  <si>
    <t>PREMIER HAROLD</t>
  </si>
  <si>
    <t>TABUÑAR</t>
  </si>
  <si>
    <t>Finance PNCO</t>
  </si>
  <si>
    <t>BS Com</t>
  </si>
  <si>
    <t>0916-4573308</t>
  </si>
  <si>
    <t>DOMINICK EZRA</t>
  </si>
  <si>
    <t>09568213033</t>
  </si>
  <si>
    <t>BS Elem. Educ.</t>
  </si>
  <si>
    <t>0966-6847369</t>
  </si>
  <si>
    <t>Visual Basic Prog. Course</t>
  </si>
  <si>
    <t>0916-3772647</t>
  </si>
  <si>
    <t>BS Mathematics</t>
  </si>
  <si>
    <t>0927-835-7509</t>
  </si>
  <si>
    <t>Office Automation Training Course</t>
  </si>
  <si>
    <t>0939-7737516</t>
  </si>
  <si>
    <t>BE Educ.</t>
  </si>
  <si>
    <t>0926-4796220</t>
  </si>
  <si>
    <t xml:space="preserve">BS Math </t>
  </si>
  <si>
    <t>Basic Computer Training</t>
  </si>
  <si>
    <t>0933-8120721/
0916-4212316</t>
  </si>
  <si>
    <t>EDP Specialist/
SPO Exam</t>
  </si>
  <si>
    <t>09269027975</t>
  </si>
  <si>
    <t>MINA</t>
  </si>
  <si>
    <t>EDGAR</t>
  </si>
  <si>
    <t>LABIAO</t>
  </si>
  <si>
    <t>BS EE</t>
  </si>
  <si>
    <t>0917-7717051</t>
  </si>
  <si>
    <t>RESPICIO</t>
  </si>
  <si>
    <t>VIC BASKAR</t>
  </si>
  <si>
    <t>MADDARA</t>
  </si>
  <si>
    <t>Action PNCO/Duty Driver</t>
  </si>
  <si>
    <t>0917-6899597</t>
  </si>
  <si>
    <t>Chief, DWBIS/C, SRS, PSMU</t>
  </si>
  <si>
    <t>0917-1169614</t>
  </si>
  <si>
    <t>BS Secondary Educ</t>
  </si>
  <si>
    <t>0915-1388428</t>
  </si>
  <si>
    <t xml:space="preserve">Pat </t>
  </si>
  <si>
    <t>MICAELA</t>
  </si>
  <si>
    <t>TAMANIO</t>
  </si>
  <si>
    <t>JUANATA</t>
  </si>
  <si>
    <t>ANTHONY ELKING</t>
  </si>
  <si>
    <t>0955-2179441</t>
  </si>
  <si>
    <t>0961-2356019</t>
  </si>
  <si>
    <t>BLC</t>
  </si>
  <si>
    <t>0927-0695166</t>
  </si>
  <si>
    <t>BS Secondary 
Education
(Major TLE)</t>
  </si>
  <si>
    <t>09505118397</t>
  </si>
  <si>
    <t>BS Mass Comm.
(Undergraduate)</t>
  </si>
  <si>
    <t>0916-4570094</t>
  </si>
  <si>
    <t>SANTIAGO*</t>
  </si>
  <si>
    <t>BS IT/ BS Comp. Sci</t>
  </si>
  <si>
    <t>PD 907/
 EDP (Java Prog)</t>
  </si>
  <si>
    <t>FRONDA</t>
  </si>
  <si>
    <t>JIMMSON</t>
  </si>
  <si>
    <t>CILOCILO</t>
  </si>
  <si>
    <t>Bach. of Arts</t>
  </si>
  <si>
    <t>PSFTP</t>
  </si>
  <si>
    <t>0908-1092800</t>
  </si>
  <si>
    <t>PATINO</t>
  </si>
  <si>
    <t>High School Graduate</t>
  </si>
  <si>
    <t>None required</t>
  </si>
  <si>
    <t>0921-4916594</t>
  </si>
  <si>
    <t>BS in Industrial Technology</t>
  </si>
  <si>
    <t>0995-937-2995</t>
  </si>
  <si>
    <t>0922-6304131</t>
  </si>
  <si>
    <t>NC II</t>
  </si>
  <si>
    <t>0956-9134037</t>
  </si>
  <si>
    <t>BS Electrical Tech.</t>
  </si>
  <si>
    <t>0928-9424289</t>
  </si>
  <si>
    <t>BRIGGS</t>
  </si>
  <si>
    <t>TABORA</t>
  </si>
  <si>
    <t>Vocational</t>
  </si>
  <si>
    <t>0977-4863678</t>
  </si>
  <si>
    <t>Con Rac (Vocational)</t>
  </si>
  <si>
    <t>Domestic  Refrigeration</t>
  </si>
  <si>
    <t>0906-4182031</t>
  </si>
  <si>
    <t>BS Management
(undergraduate)</t>
  </si>
  <si>
    <t>0936-6220331</t>
  </si>
  <si>
    <t xml:space="preserve">BORRES </t>
  </si>
  <si>
    <t>BS CoE/MPA/MICE</t>
  </si>
  <si>
    <t>CESE/CSP</t>
  </si>
  <si>
    <t>MDM/ BS CRIM/BS CoE</t>
  </si>
  <si>
    <t>EDP Specialis/RA 6506/CSP</t>
  </si>
  <si>
    <t xml:space="preserve">CORPUZ </t>
  </si>
  <si>
    <t>Chief, ARMD</t>
  </si>
  <si>
    <t>0917-5080381</t>
  </si>
  <si>
    <t>MPSA/BS CS</t>
  </si>
  <si>
    <t>BS CoE/MA in Mgmt</t>
  </si>
  <si>
    <t>BS CoE/ BS EE</t>
  </si>
  <si>
    <t>SANTOS, NHARCISO JHOEL  SULIT</t>
  </si>
  <si>
    <t>PIZARRA</t>
  </si>
  <si>
    <t>BSIS/LLB</t>
  </si>
  <si>
    <t>0921-8259844/ 
0939-1256685</t>
  </si>
  <si>
    <t>Action PNCO/Focal Center, Message Center</t>
  </si>
  <si>
    <t>EDP Specialist/
PO Exam</t>
  </si>
  <si>
    <t>0933-8679807/ 
0922-8084781</t>
  </si>
  <si>
    <t>SABIO</t>
  </si>
  <si>
    <t>SHERWIN</t>
  </si>
  <si>
    <t>INTONG</t>
  </si>
  <si>
    <t>0916-7479918</t>
  </si>
  <si>
    <t>ECHEGOYEN</t>
  </si>
  <si>
    <t>MOJICA</t>
  </si>
  <si>
    <t>CSP/SPO Exam</t>
  </si>
  <si>
    <t>0916-8490658</t>
  </si>
  <si>
    <t>SIGGAYO</t>
  </si>
  <si>
    <t>WILLARD</t>
  </si>
  <si>
    <t>MALABAD</t>
  </si>
  <si>
    <t>BS Industrial Tech.</t>
  </si>
  <si>
    <t>0905-1351293</t>
  </si>
  <si>
    <t>NEPTHALIE</t>
  </si>
  <si>
    <t>0915-9081725</t>
  </si>
  <si>
    <t>TABUYO</t>
  </si>
  <si>
    <t>POLA</t>
  </si>
  <si>
    <t>0917-4001686</t>
  </si>
  <si>
    <t>GOMEZ</t>
  </si>
  <si>
    <t>RICH MICHAEL</t>
  </si>
  <si>
    <t>LIBU</t>
  </si>
  <si>
    <t>0917-9726178</t>
  </si>
  <si>
    <t>0950-3214480</t>
  </si>
  <si>
    <t>0948-9443349</t>
  </si>
  <si>
    <t>DIONEDA</t>
  </si>
  <si>
    <t>KARL JOHN</t>
  </si>
  <si>
    <t>QUIRANTE</t>
  </si>
  <si>
    <t>0930-7937379</t>
  </si>
  <si>
    <t>0918-9169623</t>
  </si>
  <si>
    <t>GUINAOWA</t>
  </si>
  <si>
    <t>JAYMAR</t>
  </si>
  <si>
    <t>GUDAREN</t>
  </si>
  <si>
    <t>0945-8236210</t>
  </si>
  <si>
    <t>MELGAR</t>
  </si>
  <si>
    <t>0935-8583114</t>
  </si>
  <si>
    <t>PAPA</t>
  </si>
  <si>
    <t>MARIZ NICOLE</t>
  </si>
  <si>
    <t>ENGALAN</t>
  </si>
  <si>
    <t>BSEd</t>
  </si>
  <si>
    <t>NAP Ent./PRC</t>
  </si>
  <si>
    <t>0956-3393345</t>
  </si>
  <si>
    <t>ALFONSO*</t>
  </si>
  <si>
    <t>BAPSS</t>
  </si>
  <si>
    <t>09778425218</t>
  </si>
  <si>
    <r>
      <rPr>
        <sz val="10"/>
        <color theme="1"/>
        <rFont val="Arial Narrow"/>
        <family val="2"/>
      </rPr>
      <t xml:space="preserve">BS </t>
    </r>
    <r>
      <rPr>
        <sz val="11"/>
        <color rgb="FF000000"/>
        <rFont val="Arial Narrow"/>
        <family val="2"/>
      </rPr>
      <t>Criminology</t>
    </r>
  </si>
  <si>
    <t>09388572617</t>
  </si>
  <si>
    <t>BCEC, MMC, BDCNC, CHMTC</t>
  </si>
  <si>
    <t>0923-4703741</t>
  </si>
  <si>
    <t>BS Industrial Management</t>
  </si>
  <si>
    <t>Funds of Magic Developer Programming</t>
  </si>
  <si>
    <t>0918-3410734</t>
  </si>
  <si>
    <t>VASQUEZ*</t>
  </si>
  <si>
    <t>MPA/Bach. Of Arts</t>
  </si>
  <si>
    <t>Supervisory Course; HRMOC</t>
  </si>
  <si>
    <t>0905-2673605</t>
  </si>
  <si>
    <t>0945-1855015</t>
  </si>
  <si>
    <t>MARC</t>
  </si>
  <si>
    <t>0908-7370326</t>
  </si>
  <si>
    <t>0928-4972867</t>
  </si>
  <si>
    <t>LAYACAN</t>
  </si>
  <si>
    <t>09207985964</t>
  </si>
  <si>
    <t>EDGARDO</t>
  </si>
  <si>
    <t>0956-0398002</t>
  </si>
  <si>
    <t>MONTIGO</t>
  </si>
  <si>
    <t>MARKIN</t>
  </si>
  <si>
    <t>0997-2958640</t>
  </si>
  <si>
    <t>ALEXIS</t>
  </si>
  <si>
    <t>YONG</t>
  </si>
  <si>
    <t>Computer Programmer/ISR</t>
  </si>
  <si>
    <t>0999-46529160</t>
  </si>
  <si>
    <t>MBA/ BS BA
 (Major n Market)</t>
  </si>
  <si>
    <t>Computer Troubleshooting</t>
  </si>
  <si>
    <t>0948-6649152</t>
  </si>
  <si>
    <t>0915-8934688</t>
  </si>
  <si>
    <t>BS CT</t>
  </si>
  <si>
    <t>0996-7909079</t>
  </si>
  <si>
    <t>BS CS/MPA
 (15 Units)</t>
  </si>
  <si>
    <t>Multi Media Course</t>
  </si>
  <si>
    <t>0920-5602461</t>
  </si>
  <si>
    <t>BS CS/LLB/MBA</t>
  </si>
  <si>
    <t>PINAGOD*</t>
  </si>
  <si>
    <t>BS ECE/MA in IT</t>
  </si>
  <si>
    <t>0951-7088716</t>
  </si>
  <si>
    <t>0929-7789300</t>
  </si>
  <si>
    <t>MACAPUNO</t>
  </si>
  <si>
    <t>DE SAGUN</t>
  </si>
  <si>
    <t>0919-5679150</t>
  </si>
  <si>
    <t>PHAS-RICTMD PRO1</t>
  </si>
  <si>
    <t>0917-9194574/
0999-8814104</t>
  </si>
  <si>
    <t>PHAS-RICTMD PRO4A</t>
  </si>
  <si>
    <t>C, SMID</t>
  </si>
  <si>
    <t>DECENA *</t>
  </si>
  <si>
    <t>ESTACIO</t>
  </si>
  <si>
    <t>NEIL BRYAN</t>
  </si>
  <si>
    <t>ALARIN</t>
  </si>
  <si>
    <t>MUKTAJAR</t>
  </si>
  <si>
    <t>GAJIR</t>
  </si>
  <si>
    <t>MUHARRANI</t>
  </si>
  <si>
    <t>0916-5590448</t>
  </si>
  <si>
    <t xml:space="preserve">FAJARDO </t>
  </si>
  <si>
    <t>SANTILLANA *</t>
  </si>
  <si>
    <t>0929-1643111</t>
  </si>
  <si>
    <t>PD 1408</t>
  </si>
  <si>
    <t>RIMANDO*</t>
  </si>
  <si>
    <t>0917-3086899</t>
  </si>
  <si>
    <t>TOLENTINO</t>
  </si>
  <si>
    <t>NATHANIEL</t>
  </si>
  <si>
    <t>MELEGRITO</t>
  </si>
  <si>
    <t>0977-2653783</t>
  </si>
  <si>
    <t>0906-0311401</t>
  </si>
  <si>
    <t>MARK RHOMMEL</t>
  </si>
  <si>
    <t>MADRIAGA</t>
  </si>
  <si>
    <t>09279440577</t>
  </si>
  <si>
    <t>CHARLES BRYAN</t>
  </si>
  <si>
    <t>0976-3686246</t>
  </si>
  <si>
    <t>PAQUIZ</t>
  </si>
  <si>
    <t>JOHN ANTHONY</t>
  </si>
  <si>
    <t>BATO</t>
  </si>
  <si>
    <t>0956-1225539</t>
  </si>
  <si>
    <t>BS Information Mgmt</t>
  </si>
  <si>
    <t>SADC</t>
  </si>
  <si>
    <t>0946-2046773</t>
  </si>
  <si>
    <t>Asst. IT Project Officer</t>
  </si>
  <si>
    <t>Information 
Technology</t>
  </si>
  <si>
    <t>0949-3349525</t>
  </si>
  <si>
    <t>Phil Youth Cong in Info Technology</t>
  </si>
  <si>
    <t>0915-8052292</t>
  </si>
  <si>
    <t>BA in Journalism;
Adult Psychology;
BA  Mass Com. 
(146 units)</t>
  </si>
  <si>
    <t>OPC/SADC</t>
  </si>
  <si>
    <t>0995-6849007</t>
  </si>
  <si>
    <t>0915-5999240</t>
  </si>
  <si>
    <t>09551095188</t>
  </si>
  <si>
    <t>BS Statistics</t>
  </si>
  <si>
    <t>CSP/PD 907</t>
  </si>
  <si>
    <t>OPC/WDC/Comp. Prog/
SADC</t>
  </si>
  <si>
    <t>0912-9455240</t>
  </si>
  <si>
    <t>0906-3225407</t>
  </si>
  <si>
    <t>Comp Prog./WDC/
CHMTC</t>
  </si>
  <si>
    <t>0928-4418620</t>
  </si>
  <si>
    <t>09544261307</t>
  </si>
  <si>
    <t>JAVA Prog. Course</t>
  </si>
  <si>
    <t>0927-9810192</t>
  </si>
  <si>
    <t>PD907</t>
  </si>
  <si>
    <t>0977-0919259</t>
  </si>
  <si>
    <t>BS Applied Mathematics</t>
  </si>
  <si>
    <t>ASP. Net Workshop/SADC</t>
  </si>
  <si>
    <t>0905-3346682</t>
  </si>
  <si>
    <t>Web Page Dev't using PHP</t>
  </si>
  <si>
    <t>0916-1439030</t>
  </si>
  <si>
    <t>IT Project Officer/IT Officer</t>
  </si>
  <si>
    <t>Comp. Software Technology</t>
  </si>
  <si>
    <t>0923-5528772</t>
  </si>
  <si>
    <t>Supervisory Track 1-3</t>
  </si>
  <si>
    <t>0917-8158558</t>
  </si>
  <si>
    <t>WDC</t>
  </si>
  <si>
    <t>0929-8147819</t>
  </si>
  <si>
    <t>EDP- Comp Prog</t>
  </si>
  <si>
    <t>System Dev't Life Cycle</t>
  </si>
  <si>
    <t>0905-5376825</t>
  </si>
  <si>
    <t>MS Info Tech</t>
  </si>
  <si>
    <t>Programming using MS Acces</t>
  </si>
  <si>
    <t>0933-9882538</t>
  </si>
  <si>
    <t xml:space="preserve">IT Project PNCO </t>
  </si>
  <si>
    <t>Systems Analysis &amp; Design</t>
  </si>
  <si>
    <t>0929-6155066</t>
  </si>
  <si>
    <t>BS  CoE</t>
  </si>
  <si>
    <t>Micro Comp Hardware Servicing/SADC/WDC</t>
  </si>
  <si>
    <t>0942-0003070</t>
  </si>
  <si>
    <t>MMC/SADC</t>
  </si>
  <si>
    <t>0905-3536685</t>
  </si>
  <si>
    <t xml:space="preserve"> BS Computer Mgmt</t>
  </si>
  <si>
    <t>0999-9933890</t>
  </si>
  <si>
    <t>0948-3142530</t>
  </si>
  <si>
    <t>Nat'l Cyber Drill (DICT)</t>
  </si>
  <si>
    <t>0921-5656125</t>
  </si>
  <si>
    <t xml:space="preserve"> BS Mass 
Communication</t>
  </si>
  <si>
    <t>0917-5302662</t>
  </si>
  <si>
    <t>RUMBAOA*</t>
  </si>
  <si>
    <t xml:space="preserve"> BS EEduc</t>
  </si>
  <si>
    <t>PD 907/ LET</t>
  </si>
  <si>
    <t>Programming Using MS Acces</t>
  </si>
  <si>
    <t>0919-7625467</t>
  </si>
  <si>
    <t xml:space="preserve"> BS Commerce</t>
  </si>
  <si>
    <t>Supervisory Dev't  II &amp; III</t>
  </si>
  <si>
    <t>0927-4799650</t>
  </si>
  <si>
    <t>Micro Maintenance &amp; Trouble Shooting Course</t>
  </si>
  <si>
    <t>0917-5386219</t>
  </si>
  <si>
    <t xml:space="preserve"> BSC Data Processing</t>
  </si>
  <si>
    <t>PHP &amp; MySQL Basics</t>
  </si>
  <si>
    <t>0920-9032137</t>
  </si>
  <si>
    <t>Supervisory Course Track 1,2,3</t>
  </si>
  <si>
    <t>0925-5290570</t>
  </si>
  <si>
    <t>GOYENA</t>
  </si>
  <si>
    <t>ARGENIO</t>
  </si>
  <si>
    <t>0929-1418012</t>
  </si>
  <si>
    <t>ERVIN</t>
  </si>
  <si>
    <t>TELAFER</t>
  </si>
  <si>
    <t>FRIAS</t>
  </si>
  <si>
    <t>KIM ANTHONY</t>
  </si>
  <si>
    <t>0921-6062494</t>
  </si>
  <si>
    <t>0995-1984885</t>
  </si>
  <si>
    <t>ALMONTE</t>
  </si>
  <si>
    <t>09927610257</t>
  </si>
  <si>
    <t>0977-3618665</t>
  </si>
  <si>
    <t>09101247667</t>
  </si>
  <si>
    <t>BS IND ENGR</t>
  </si>
  <si>
    <t>0951-7304304</t>
  </si>
  <si>
    <t>09453317840</t>
  </si>
  <si>
    <t>BS Ind. Engr.</t>
  </si>
  <si>
    <t>0948-4823031</t>
  </si>
  <si>
    <t xml:space="preserve">GALAMGAM                                                                                                                                                                               </t>
  </si>
  <si>
    <t>PARANE</t>
  </si>
  <si>
    <t>DETANIL</t>
  </si>
  <si>
    <t>COROCOTO</t>
  </si>
  <si>
    <t>0930-2388175</t>
  </si>
  <si>
    <t>AVELINO</t>
  </si>
  <si>
    <t>MORO</t>
  </si>
  <si>
    <t>0967-6218602</t>
  </si>
  <si>
    <t>ROVIRA</t>
  </si>
  <si>
    <t>CRISMUNDO</t>
  </si>
  <si>
    <t>PADULLO</t>
  </si>
  <si>
    <t>0947-9510123</t>
  </si>
  <si>
    <t>TAGPAO</t>
  </si>
  <si>
    <t>RAFAEL</t>
  </si>
  <si>
    <t>ALUNDAY</t>
  </si>
  <si>
    <t>0977-0321845</t>
  </si>
  <si>
    <t>Fundamentalls of Networking</t>
  </si>
  <si>
    <t>0933-3216624</t>
  </si>
  <si>
    <t>09554485963</t>
  </si>
  <si>
    <t>Networking Fund. Course</t>
  </si>
  <si>
    <t>0999-5552960</t>
  </si>
  <si>
    <t>DE LA CRUZ</t>
  </si>
  <si>
    <t>0920-4656074</t>
  </si>
  <si>
    <t>0917-8428026</t>
  </si>
  <si>
    <t>0909-5303195</t>
  </si>
  <si>
    <t>(LAN) Adv. Win2000</t>
  </si>
  <si>
    <t>0928-8625656</t>
  </si>
  <si>
    <t>BS Civil Eng.</t>
  </si>
  <si>
    <t>CSP/RA 7836</t>
  </si>
  <si>
    <t>MARK ROMMEL</t>
  </si>
  <si>
    <t>0917-8554770</t>
  </si>
  <si>
    <t>BS TM
(Undergraduate)</t>
  </si>
  <si>
    <t>09567937301</t>
  </si>
  <si>
    <t>BS Commerce (Major in Bank &amp; Finance)</t>
  </si>
  <si>
    <t>0917-9451966</t>
  </si>
  <si>
    <t>Data Trans.</t>
  </si>
  <si>
    <t>Basic Micro Computer Operation Course</t>
  </si>
  <si>
    <t>0917-6991660</t>
  </si>
  <si>
    <t>Bachelor of PE</t>
  </si>
  <si>
    <t>0923-3124333</t>
  </si>
  <si>
    <t>0915-6735727</t>
  </si>
  <si>
    <t>Microsoft Access 2000</t>
  </si>
  <si>
    <t>0998-3504552</t>
  </si>
  <si>
    <t>College Undergrad.</t>
  </si>
  <si>
    <t>CSC-Data Encoder</t>
  </si>
  <si>
    <t>Computer Maintenance</t>
  </si>
  <si>
    <t>0927-3924777</t>
  </si>
  <si>
    <t>BS Education
(Major in Math)</t>
  </si>
  <si>
    <t>CSC MC
#1 Category 1</t>
  </si>
  <si>
    <t>09463291551</t>
  </si>
  <si>
    <t>0936-9295684</t>
  </si>
  <si>
    <t xml:space="preserve">BE ED </t>
  </si>
  <si>
    <r>
      <rPr>
        <sz val="10"/>
        <color theme="1"/>
        <rFont val="Arial Narrow"/>
        <family val="2"/>
      </rPr>
      <t>RA 1080 (</t>
    </r>
    <r>
      <rPr>
        <sz val="11"/>
        <color rgb="FF000000"/>
        <rFont val="Arial Narrow"/>
        <family val="2"/>
      </rPr>
      <t>LET)</t>
    </r>
  </si>
  <si>
    <t>Intro to Programming Using MS Access</t>
  </si>
  <si>
    <t>0998-4269884</t>
  </si>
  <si>
    <t>0961-0531327</t>
  </si>
  <si>
    <t>Elec Tech 
(Undergraduate)</t>
  </si>
  <si>
    <t>Testimonial</t>
  </si>
  <si>
    <t>BRACOC Windows</t>
  </si>
  <si>
    <t>0919-2528640</t>
  </si>
  <si>
    <t>MANIQUIZ</t>
  </si>
  <si>
    <t>BINUYA</t>
  </si>
  <si>
    <t>0909-6575574</t>
  </si>
  <si>
    <t>0956-2364729</t>
  </si>
  <si>
    <t>Comp Hardware Servicing NC II</t>
  </si>
  <si>
    <t>0917-8825276</t>
  </si>
  <si>
    <t>BS MIT/MA in IT/
BSE Educ.</t>
  </si>
  <si>
    <t>LET/CSP</t>
  </si>
  <si>
    <t>CISCO</t>
  </si>
  <si>
    <t>0917-5925900</t>
  </si>
  <si>
    <t>0966-3203184</t>
  </si>
  <si>
    <t>Basic Micro Operation Course (Win Base)</t>
  </si>
  <si>
    <t>0919-5144237</t>
  </si>
  <si>
    <t>0951-6685697</t>
  </si>
  <si>
    <t>CHMTC/MMC/WDC</t>
  </si>
  <si>
    <t>0909-1546665</t>
  </si>
  <si>
    <t>GUAVINO</t>
  </si>
  <si>
    <t>BS Agriculture  Engr.</t>
  </si>
  <si>
    <t>09232476835</t>
  </si>
  <si>
    <t>BS Mathimatics</t>
  </si>
  <si>
    <t>BDCNC/WDC/
CHMTC/BCEC</t>
  </si>
  <si>
    <t>0927-5834033</t>
  </si>
  <si>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Arial Narrow"/>
        <family val="2"/>
      </rPr>
      <t>RA1080</t>
    </r>
  </si>
  <si>
    <r>
      <rPr>
        <sz val="10"/>
        <color theme="1"/>
        <rFont val="Arial Narrow"/>
        <family val="2"/>
      </rPr>
      <t>Computer Programming,</t>
    </r>
    <r>
      <rPr>
        <sz val="10"/>
        <color theme="1"/>
        <rFont val="Arial Narrow"/>
        <family val="2"/>
      </rPr>
      <t xml:space="preserve">
</t>
    </r>
    <r>
      <rPr>
        <sz val="10"/>
        <color theme="1"/>
        <rFont val="Arial Narrow"/>
        <family val="2"/>
      </rPr>
      <t>WDC/MMC</t>
    </r>
  </si>
  <si>
    <t>0928-3613862</t>
  </si>
  <si>
    <t>BAPPS</t>
  </si>
  <si>
    <t>Basic Computer Literacy Course for NUP/BCEC</t>
  </si>
  <si>
    <t>0917-5185068</t>
  </si>
  <si>
    <t>Bachelor of Public
Administration</t>
  </si>
  <si>
    <t>0930-3841707</t>
  </si>
  <si>
    <t>PHD PHILO/MBA/
MDM/BS CRIM/
BS CDPM</t>
  </si>
  <si>
    <t>RA 6506/CSP</t>
  </si>
  <si>
    <t>Asst. Chief, ISSD</t>
  </si>
  <si>
    <t>0966-5888006</t>
  </si>
  <si>
    <t>RA 1080/
NAP SPO Exam</t>
  </si>
  <si>
    <t>0915-4956592</t>
  </si>
  <si>
    <t>ITSS PNCO Support Staff</t>
  </si>
  <si>
    <t>09100091545</t>
  </si>
  <si>
    <t>GUNNACAO</t>
  </si>
  <si>
    <t>LOVELYN KATE</t>
  </si>
  <si>
    <t>LEGMAN</t>
  </si>
  <si>
    <t>PANSOY</t>
  </si>
  <si>
    <t>LEX LEVIN</t>
  </si>
  <si>
    <t>Action PNCO/Planning Officer</t>
  </si>
  <si>
    <t>JUEGOS</t>
  </si>
  <si>
    <t>0930-0972268</t>
  </si>
  <si>
    <t>OPC/CHMTC/WDC</t>
  </si>
  <si>
    <t>0917-7037934</t>
  </si>
  <si>
    <t>Food Technology</t>
  </si>
  <si>
    <t>BCEC,/WDC/BDCNC</t>
  </si>
  <si>
    <t>09178619090</t>
  </si>
  <si>
    <t>0966-3402034</t>
  </si>
  <si>
    <t>0919-8172315</t>
  </si>
  <si>
    <t>BS in Entertainment and Multimedia Computing</t>
  </si>
  <si>
    <t>09158255950</t>
  </si>
  <si>
    <t xml:space="preserve">DIMACULANGAN </t>
  </si>
  <si>
    <t>Comp Engineering 
Technology</t>
  </si>
  <si>
    <t>0915-7114475</t>
  </si>
  <si>
    <t>Fund. of Networking and Data Communication</t>
  </si>
  <si>
    <t>0942-0159624</t>
  </si>
  <si>
    <t>0918-4177959</t>
  </si>
  <si>
    <t>BS BA
(Entrep. Mkting.)</t>
  </si>
  <si>
    <t>0956-3170473</t>
  </si>
  <si>
    <t>0916-2523305</t>
  </si>
  <si>
    <t>CHMTC/WDC</t>
  </si>
  <si>
    <t>0915-8128302</t>
  </si>
  <si>
    <t>CSP/PESE</t>
  </si>
  <si>
    <t xml:space="preserve">VALLE </t>
  </si>
  <si>
    <t>C, PRS</t>
  </si>
  <si>
    <t>MIT/BS IT</t>
  </si>
  <si>
    <t>09053378591</t>
  </si>
  <si>
    <t>OLOJAN</t>
  </si>
  <si>
    <t>CHRISTOPHER BRIAN</t>
  </si>
  <si>
    <t>ASTUDILLO</t>
  </si>
  <si>
    <t>MPA/BS Crim</t>
  </si>
  <si>
    <t>0909-6776528</t>
  </si>
  <si>
    <t>MARASIGAN</t>
  </si>
  <si>
    <t>MIA ANGELA</t>
  </si>
  <si>
    <t>CORNEJO</t>
  </si>
  <si>
    <t>0930-9797323</t>
  </si>
  <si>
    <t>YAGO</t>
  </si>
  <si>
    <t>SHARMEN</t>
  </si>
  <si>
    <t>BALLEBAR</t>
  </si>
  <si>
    <t>0938-549601</t>
  </si>
  <si>
    <t>Oracle Data Integrator Course</t>
  </si>
  <si>
    <t>0922-7743988</t>
  </si>
  <si>
    <t>BS in Education- Mathematics</t>
  </si>
  <si>
    <t>BCEC/CHMTC/MMC</t>
  </si>
  <si>
    <t>0905-909-8369</t>
  </si>
  <si>
    <t xml:space="preserve">HERRERA </t>
  </si>
  <si>
    <t>Supervisory Course Track 1,2,3; HRMOC</t>
  </si>
  <si>
    <t>0920-9759872</t>
  </si>
  <si>
    <t>CSP/LET</t>
  </si>
  <si>
    <t>0927-6229967</t>
  </si>
  <si>
    <t>0905-4214234</t>
  </si>
  <si>
    <t>Schooling (PSOAC)</t>
  </si>
  <si>
    <t>OATC/OPC/CHMTC/
MMC/TOT-READ</t>
  </si>
  <si>
    <t>0915-6639858</t>
  </si>
  <si>
    <t>0912-8184403</t>
  </si>
  <si>
    <t>Into to Access Prog/JOOMLA</t>
  </si>
  <si>
    <t>0908-7840550</t>
  </si>
  <si>
    <t>Computer Programming/
SADC</t>
  </si>
  <si>
    <t>0977-7834306</t>
  </si>
  <si>
    <t xml:space="preserve"> BS Eed</t>
  </si>
  <si>
    <t>CHMTC/MMC/WDC/
SADC/Comp Prog.</t>
  </si>
  <si>
    <t>0908-1104622</t>
  </si>
  <si>
    <t>Electronics &amp; Comp.
Technology</t>
  </si>
  <si>
    <t>WDC/BDCNC/BCEC</t>
  </si>
  <si>
    <t>0943-3908588</t>
  </si>
  <si>
    <t>BS Elementary Ed.</t>
  </si>
  <si>
    <t>0948-1543582</t>
  </si>
  <si>
    <t>BS Education
(Major in Social Studies)</t>
  </si>
  <si>
    <t>0962-2942796</t>
  </si>
  <si>
    <t>OIC, DMD</t>
  </si>
  <si>
    <t>BS CS/MPA</t>
  </si>
  <si>
    <t>PESE/PD 907/
PD 1408</t>
  </si>
  <si>
    <t>INALVEZ</t>
  </si>
  <si>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PSBRC</t>
    </r>
  </si>
  <si>
    <t>0948-4031560</t>
  </si>
  <si>
    <t>0906-1490523</t>
  </si>
  <si>
    <t>BA Computer Major
(Undergraduate)</t>
  </si>
  <si>
    <t>Gov't Info System &amp; Planning/WDC</t>
  </si>
  <si>
    <t>0927-7321269</t>
  </si>
  <si>
    <t>Workshop on Strategic Mgmt/MMC</t>
  </si>
  <si>
    <t>0917-8758883</t>
  </si>
  <si>
    <t>CSP/ NAPOLCOM</t>
  </si>
  <si>
    <t>BS Secondary 
Education
(Major in English)</t>
  </si>
  <si>
    <t>09603132681</t>
  </si>
  <si>
    <t>Secretarial Science</t>
  </si>
  <si>
    <t>Intro.to Database using MS Access</t>
  </si>
  <si>
    <t>0916-6468097</t>
  </si>
  <si>
    <t>BS Commerce/MBA</t>
  </si>
  <si>
    <t>BDCNC/WDC/CHMTC/
MMC/OPC</t>
  </si>
  <si>
    <t>0915-3786843</t>
  </si>
  <si>
    <t xml:space="preserve">MA VICTORIA </t>
  </si>
  <si>
    <t>Prog Logic Formulation Course 01-2001</t>
  </si>
  <si>
    <t>0915-3161511</t>
  </si>
  <si>
    <t>DURATION</t>
  </si>
  <si>
    <t>GO</t>
  </si>
  <si>
    <t>0995-3003084</t>
  </si>
  <si>
    <t>0926-6194723</t>
  </si>
  <si>
    <t>ISSD</t>
  </si>
  <si>
    <t>Supervisory Course Track 1</t>
  </si>
  <si>
    <t>0917-3176655</t>
  </si>
  <si>
    <t>AB Filipinology</t>
  </si>
  <si>
    <t>09284457853</t>
  </si>
  <si>
    <t>BS Ed</t>
  </si>
  <si>
    <t>09453384060</t>
  </si>
  <si>
    <t>09661427772</t>
  </si>
  <si>
    <t>09952180449</t>
  </si>
  <si>
    <t>BS Comp. 
Technology</t>
  </si>
  <si>
    <t>Compute. Programming</t>
  </si>
  <si>
    <t>0915-2947389</t>
  </si>
  <si>
    <t>BS IE</t>
  </si>
  <si>
    <t>Human Resource Mgmt. Staff Course</t>
  </si>
  <si>
    <t>0906-3299398</t>
  </si>
  <si>
    <t>ITMS GO-DES-2020-219 dated September 28, 2020</t>
  </si>
  <si>
    <t>0950-8103510</t>
  </si>
  <si>
    <t xml:space="preserve">BS EE </t>
  </si>
  <si>
    <t>ITMS GO-DES-2021-177 dated May 10, 2021</t>
  </si>
  <si>
    <t>Computer Programming Course</t>
  </si>
  <si>
    <t>0929-8999126</t>
  </si>
  <si>
    <t xml:space="preserve">CSP </t>
  </si>
  <si>
    <t>Introduction to Database Administration</t>
  </si>
  <si>
    <t>ITMPD-PRO4B</t>
  </si>
  <si>
    <t>0906-4308124</t>
  </si>
  <si>
    <t>ITMS GO# 2021-17 dated February 11, 2021</t>
  </si>
  <si>
    <t>Fox Base Programming Course</t>
  </si>
  <si>
    <t>0908-1172342</t>
  </si>
  <si>
    <t>ITPMD-PRO 12/DPCR</t>
  </si>
  <si>
    <t>ITMS GO# 2019-94 dated July 1, 2019/
ITMS GO-DES-2021-307 dated September 2, 2021</t>
  </si>
  <si>
    <t xml:space="preserve"> BS BA 
(Undergraduate)</t>
  </si>
  <si>
    <t>Multimedia Course on Photo editing &amp;Animation</t>
  </si>
  <si>
    <t>ITPMD/OCS/PSMU</t>
  </si>
  <si>
    <t>Asst. Chief ITPMD/
SDS, OCS/AC, PSMU</t>
  </si>
  <si>
    <t>0919-3732700</t>
  </si>
  <si>
    <t>ITMS GO-DES-2021-320 dtd Oct 1, 2021/ITMS GO# 2021-10 dtd Feb 8, 2021/ ITMS GO-DES-2021-117 dtd April 16, 2021</t>
  </si>
  <si>
    <t>BEREDO</t>
  </si>
  <si>
    <t xml:space="preserve">JAYB </t>
  </si>
  <si>
    <t>YTIENZA</t>
  </si>
  <si>
    <t>Detailed IT PCO</t>
  </si>
  <si>
    <t>BS BA Management</t>
  </si>
  <si>
    <t>ITMS SO# 2021-08 dated January 18, 2021</t>
  </si>
  <si>
    <t>09166933528</t>
  </si>
  <si>
    <t>ITMS SO# 2021-48 dated March 17, 2021</t>
  </si>
  <si>
    <t>09067665459</t>
  </si>
  <si>
    <t>BURDEOS</t>
  </si>
  <si>
    <t>ENRIQUE</t>
  </si>
  <si>
    <t>COSICOL</t>
  </si>
  <si>
    <t>ITPMD-PRO5/ DI</t>
  </si>
  <si>
    <t>ITMS GO# 2021-13 dated February 8, 2021/ ITMS GO-DES-2021-253 dated July 26, 2021</t>
  </si>
  <si>
    <t>CAPISPISAN</t>
  </si>
  <si>
    <t>RONILO</t>
  </si>
  <si>
    <t>RAPSING</t>
  </si>
  <si>
    <t>ARMD-PHAS, RICTMD PRO5</t>
  </si>
  <si>
    <t>Asst Chief, ARMD</t>
  </si>
  <si>
    <t>ITMS GO# 2021-16 dated February 8, 2021</t>
  </si>
  <si>
    <t>Secretary to the Chief of Staff</t>
  </si>
  <si>
    <t>ITPMD-PRO 8</t>
  </si>
  <si>
    <t>OIC, OPCR</t>
  </si>
  <si>
    <t>ITMS GO# 2019-94 dated July 1, 2019</t>
  </si>
  <si>
    <t>ITMS GO-DES-2021-2 dated January 4, 2021</t>
  </si>
  <si>
    <t xml:space="preserve">MARIBEL </t>
  </si>
  <si>
    <t>ITMS GO-DES-2021-320 dated October 1, 2021</t>
  </si>
  <si>
    <t>ITPMD-DL/PRO BAR</t>
  </si>
  <si>
    <t>ITMS GO-DES-2021-310 dated September 6, 2021/
ITMS GO# 2021-48 dated October 18, 2021</t>
  </si>
  <si>
    <t>DOFILES</t>
  </si>
  <si>
    <t>SHIROMA</t>
  </si>
  <si>
    <t>PHAS, RICTMD PRO12</t>
  </si>
  <si>
    <t>Assistant Chief, RICTMD</t>
  </si>
  <si>
    <t>ITMS GO# 2021-14 dated February 8, 2021</t>
  </si>
  <si>
    <t>EUBRA</t>
  </si>
  <si>
    <t>FELIZARDO</t>
  </si>
  <si>
    <t>OIC, PTD</t>
  </si>
  <si>
    <t>ITMS GO-DES-2021-321 dated October 12, 2021</t>
  </si>
  <si>
    <t>ARMD (RICTMD PRO 9)</t>
  </si>
  <si>
    <t>ITMS GO-DES-2021-336 dated October 18, 2021</t>
  </si>
  <si>
    <t>PHAS-RICTMD PRO 10</t>
  </si>
  <si>
    <t>ITMS GO# 2021-10 dated February 8, 2021</t>
  </si>
  <si>
    <t>ITPMD-RICTMD BAR/ 
ACG</t>
  </si>
  <si>
    <t>ITMS GO#2021-10 dated Feb 8, 2021/
ITMS GO-DES-2021-191 dated May 20, 2021</t>
  </si>
  <si>
    <t>FIDER</t>
  </si>
  <si>
    <t>MARIA REGINA</t>
  </si>
  <si>
    <t>SAVINO</t>
  </si>
  <si>
    <t>ARMD-PHAS OUSPO</t>
  </si>
  <si>
    <t>Detailed PCO</t>
  </si>
  <si>
    <t>DPRM SO-DOX-2021-1239 dated March 9, 2021</t>
  </si>
  <si>
    <t>LECAROS</t>
  </si>
  <si>
    <t>MARIVIC</t>
  </si>
  <si>
    <t>MONTEAGUDO</t>
  </si>
  <si>
    <t>LOZADA</t>
  </si>
  <si>
    <t>AIDEE</t>
  </si>
  <si>
    <t>GARCES</t>
  </si>
  <si>
    <t>ITPMD-PRO3/DL</t>
  </si>
  <si>
    <t>ITMS GO# 2021-13 dated February 8, 2021/
ITMS GO# 2021-193 dated May 21, 2021</t>
  </si>
  <si>
    <t>LEVY</t>
  </si>
  <si>
    <t>BIÑAS</t>
  </si>
  <si>
    <t>ARMD-PHAS</t>
  </si>
  <si>
    <t>ITMS SO# 2021-63 dated August 10, 2021</t>
  </si>
  <si>
    <t>ITPMD-PRO COR</t>
  </si>
  <si>
    <t>ITMS GO -DES-2020-140 dated July 24, 2020</t>
  </si>
  <si>
    <t>MALAGUIT</t>
  </si>
  <si>
    <t>MANZANILLA</t>
  </si>
  <si>
    <t>PHAS-PNPTI/
ITPMD PRO9</t>
  </si>
  <si>
    <t>ITMS GO-DES-2021-212 dated July 1, 2021/
ITMS GO# 2021-44 dated August 2, 2021</t>
  </si>
  <si>
    <t>ARMD-PHAS, RICTMD PRO2</t>
  </si>
  <si>
    <t>MONDOÑEDO</t>
  </si>
  <si>
    <t>ROMENITO</t>
  </si>
  <si>
    <t>MAYORDO</t>
  </si>
  <si>
    <t>ITPMD-PRO 11</t>
  </si>
  <si>
    <t>ITMS GO# 2021-13 dated February 8, 2021</t>
  </si>
  <si>
    <t>PHAS-PRO COR</t>
  </si>
  <si>
    <t>Detailed Officer</t>
  </si>
  <si>
    <t>ITMS GO# 2021-18 dated February 8, 2021</t>
  </si>
  <si>
    <t>ARMD-RICTMD, PRO6/
ITPMD-PRO6</t>
  </si>
  <si>
    <t>ITMS GO# 2021-16 dated February 8, 2021/
ITMS GO-DES-2021-336 dated October 18, 2021</t>
  </si>
  <si>
    <t>BINGWACEL</t>
  </si>
  <si>
    <t>ITPMD-PRO 4A</t>
  </si>
  <si>
    <t>ARMD-PHAS, NCRPO</t>
  </si>
  <si>
    <t>ITPMD-CPSM/PRO10</t>
  </si>
  <si>
    <t>SANTILLAN</t>
  </si>
  <si>
    <t>ITPMD-DIDM/ PRO2</t>
  </si>
  <si>
    <t>ITMS GO# 2018-010 dated January 12, 2018/ ITMS GO# 2021-10 dated Febraury 8, 2021</t>
  </si>
  <si>
    <t>ITPMD-PRO1/ LS, ARMD</t>
  </si>
  <si>
    <t>IT Project Officer/ C, LS ARMD</t>
  </si>
  <si>
    <t>ITMS GO# 2021-12 dated February 8, 2021</t>
  </si>
  <si>
    <t>Asst. Chief, ARMD</t>
  </si>
  <si>
    <t>UMALI</t>
  </si>
  <si>
    <t>IGNACIO JOSE</t>
  </si>
  <si>
    <t>LICUD</t>
  </si>
  <si>
    <t>PHAS-RICTMD PRO 11</t>
  </si>
  <si>
    <t>PHAS-RICTMD 13</t>
  </si>
  <si>
    <t>ITMS GO# 2021-13 dated February 8, 2021/
ITMS GO# 2021-22 dated February 19, 2021</t>
  </si>
  <si>
    <t>ITMS SO# 2018-110 dated June 6, 2018</t>
  </si>
  <si>
    <t>ALABADO</t>
  </si>
  <si>
    <t>AURELIO</t>
  </si>
  <si>
    <t>PERITO</t>
  </si>
  <si>
    <t>ITPMD-OSS/SOSIA, CSG</t>
  </si>
  <si>
    <t>ITMS SO# 2021-12 dated January 19, 2021</t>
  </si>
  <si>
    <t>PHAS, RICTMD PRO8</t>
  </si>
  <si>
    <t>ITMS GO# 2021-41 dated June 14, 2021</t>
  </si>
  <si>
    <t>ARBASTO</t>
  </si>
  <si>
    <t xml:space="preserve">FLAV </t>
  </si>
  <si>
    <t>ANDAM</t>
  </si>
  <si>
    <t>C, Plans and Research Section(PRS)</t>
  </si>
  <si>
    <t>ITMS GO# 2021-11 dated February 8, 2021</t>
  </si>
  <si>
    <t>ITMS GO-DES-2021-183 dated May 12, 2021</t>
  </si>
  <si>
    <t>ARMD-PHAS (NAP)</t>
  </si>
  <si>
    <t>DPRM NHQ-SO-DO-2021-1644 dated March 29, 2021</t>
  </si>
  <si>
    <t>MEL JOHN</t>
  </si>
  <si>
    <t>OLIVA</t>
  </si>
  <si>
    <t>ITPMD-PRO13/ HPG</t>
  </si>
  <si>
    <t>ITMS GO# 2021-4 dated January 13, 2021/ ITMS GO# 2021-18 dated February 8, 2021</t>
  </si>
  <si>
    <t>ITPMD-CIDG/HSS</t>
  </si>
  <si>
    <t>ITMS GO-DES-2021-336 dated Oct 18, 2021/
ITMS GO-DES-2021-337 dated Oct 18, 2021</t>
  </si>
  <si>
    <t>ITMS GO# 2018-177 dated September 12, 2018</t>
  </si>
  <si>
    <t>MURILLO</t>
  </si>
  <si>
    <t>SUAREZ</t>
  </si>
  <si>
    <t>ARMD-BFS</t>
  </si>
  <si>
    <t>Chief, Budget and Fiscal Section</t>
  </si>
  <si>
    <t>ITMS GO-DES-2020-202 dated September 15, 2020</t>
  </si>
  <si>
    <t>ITMS SO# 2021-40 dated March 1, 2021</t>
  </si>
  <si>
    <t>ITMS GO# 2018-217 dated November 15, 2018</t>
  </si>
  <si>
    <t>VALLEDO</t>
  </si>
  <si>
    <t>ARAMAN</t>
  </si>
  <si>
    <t>ITMS GO# 2018-024 dated January 19, 2018</t>
  </si>
  <si>
    <t>YU</t>
  </si>
  <si>
    <t>JOSE PEPITO</t>
  </si>
  <si>
    <t>QUILANG</t>
  </si>
  <si>
    <t>ITPMD-DHRDD</t>
  </si>
  <si>
    <t xml:space="preserve">ITMS GO# 2019-103 dated November 15, 2019 </t>
  </si>
  <si>
    <t>ITMS GO-RA-2021-305 dated August 27, 2021</t>
  </si>
  <si>
    <t>PAUL DWIGHT</t>
  </si>
  <si>
    <t>ITSD/ARMD-IHSS</t>
  </si>
  <si>
    <t>Chief, NAS/C, IHSS</t>
  </si>
  <si>
    <t>ITMS GO# 2021-37 dated April 12, 2021</t>
  </si>
  <si>
    <t>ITMS GO-DES-2021-193 dated May 21, 2021</t>
  </si>
  <si>
    <t>ITMS OO# 2021-09 dated March 1, 2021</t>
  </si>
  <si>
    <t>ITPMD-HS</t>
  </si>
  <si>
    <t>ITMS GO-DES-2020-18 dated January 28, 2020</t>
  </si>
  <si>
    <t xml:space="preserve">ADRIAN  </t>
  </si>
  <si>
    <t>ITPMD-IMEG/ DPCR</t>
  </si>
  <si>
    <t>ITMS GO-DES-2021-218 dated July 12, 2021/ ITMS GO-DES-2021-265 dated August 9, 2021</t>
  </si>
  <si>
    <t>IT Project Officer (DRDIGS)</t>
  </si>
  <si>
    <t>ITMS GO# DES 2020-31 dated January 28, 2020</t>
  </si>
  <si>
    <t xml:space="preserve">
ITMS LO# 2021-192 dated April 30, 2021</t>
  </si>
  <si>
    <t>ITMS GO-DES # 2020-124 dated July 3, 2020</t>
  </si>
  <si>
    <t>ITMS GO-DES-2020-213 dated September 25, 2020</t>
  </si>
  <si>
    <t>ITMS GO-DES-2020-271 dated November 11, 2020</t>
  </si>
  <si>
    <t>ITMS GO# 2021-42 dated June 23, 2021</t>
  </si>
  <si>
    <t>ITMPD-PRO BAR</t>
  </si>
  <si>
    <t>ITMS GO-TDS-2021-198 dated June 9, 2021</t>
  </si>
  <si>
    <t>ITPMD-CSG (FEO)</t>
  </si>
  <si>
    <t>ITMS GO-DES-2021-304 dated August 27, 2021</t>
  </si>
  <si>
    <t>ITPMD-LS/HRAO</t>
  </si>
  <si>
    <t>ITMS GO# DES-2020-24 dated January 24, 2020/
ITMS GO# 2021-30 dated March 10, 2021</t>
  </si>
  <si>
    <t>ITPMD-PNPTS/DI</t>
  </si>
  <si>
    <t>ITMS GO-DES-2021-255 dated July 26, 2021</t>
  </si>
  <si>
    <t>EIFEL</t>
  </si>
  <si>
    <t>BELEY</t>
  </si>
  <si>
    <t>OPCR</t>
  </si>
  <si>
    <t xml:space="preserve">ITMS GO-DES# 2020-50 dated March 5, 2020 </t>
  </si>
  <si>
    <t>IT Officer, JTF CV Shield</t>
  </si>
  <si>
    <t>ITMS GO# 2020-24 dated November 3, 2020</t>
  </si>
  <si>
    <t>ITMS GO# 2021-35 dated March 28, 2021</t>
  </si>
  <si>
    <t>OIC, Data Warehouse and BI Section</t>
  </si>
  <si>
    <t>ITPMD-PCADG/PIO</t>
  </si>
  <si>
    <t>GATAB</t>
  </si>
  <si>
    <t>REXGUY</t>
  </si>
  <si>
    <t>LAPUT</t>
  </si>
  <si>
    <t>ITMS GO# 2020-19 dated October 5, 2020</t>
  </si>
  <si>
    <t xml:space="preserve">JOSE </t>
  </si>
  <si>
    <t>ITPMD-CL</t>
  </si>
  <si>
    <t>ITMS GO# 2020-20 dated October 6, 2020</t>
  </si>
  <si>
    <t>MARLY</t>
  </si>
  <si>
    <t>ARMD-Personnel Section</t>
  </si>
  <si>
    <t>Chief, Personnel Section</t>
  </si>
  <si>
    <t>ITMS-ARMD Div Order# 2021-01 dated Feb 2, 2021</t>
  </si>
  <si>
    <t>ITMS GO-DES-2020-215 dated September 25, 2020</t>
  </si>
  <si>
    <t>ITMS GO# 2020-14 dated September 25, 2020</t>
  </si>
  <si>
    <t>RAMIREZ</t>
  </si>
  <si>
    <t>MA CRISTINA</t>
  </si>
  <si>
    <t>GRAZA</t>
  </si>
  <si>
    <t>ITPMD-DO/ DI</t>
  </si>
  <si>
    <t>IT Officer, JTF CV Shield/ IT Officer, DI</t>
  </si>
  <si>
    <t>ITMS GO# 2020-24 dated November 3, 2020/ ITMS GO-DES-2021-255 dated July 26, 2021</t>
  </si>
  <si>
    <t>Section Chief</t>
  </si>
  <si>
    <t>RAYMUND 
CHRISTOPHER</t>
  </si>
  <si>
    <t>ITMS GO-DES-2021-258 dated July 28, 2021</t>
  </si>
  <si>
    <t>ITSD-NMS</t>
  </si>
  <si>
    <t>Chief, NMS</t>
  </si>
  <si>
    <t>SMD/ PNP Provident Fund</t>
  </si>
  <si>
    <t>IT Project Officer/ Info System Analyst, ComProg</t>
  </si>
  <si>
    <t>ITMS GO# 2020-14 dated September 25, 2020/ DPRM LO# NHQ-LO-DLO-2021-2748 dated July 25, 221</t>
  </si>
  <si>
    <t>ITMS GO-RA-2021-266 dated August 9, 2021</t>
  </si>
  <si>
    <t xml:space="preserve">ACHILES </t>
  </si>
  <si>
    <t>ARMD-ICRMS</t>
  </si>
  <si>
    <t>Chief, ICRMS</t>
  </si>
  <si>
    <t>ITMS GO# 2021-7 dated January 20, 2021</t>
  </si>
  <si>
    <t>RANK PROFILE</t>
  </si>
  <si>
    <t>By Gender</t>
  </si>
  <si>
    <t>(As of  May 31, 2021)</t>
  </si>
  <si>
    <t>AUTHORIZED STRENGTH</t>
  </si>
  <si>
    <t>ACTUAL STRENGTH</t>
  </si>
  <si>
    <t>MALE</t>
  </si>
  <si>
    <t>FEMALE</t>
  </si>
  <si>
    <t>TOTAL</t>
  </si>
  <si>
    <t>Police Brigadier General</t>
  </si>
  <si>
    <t>Police Colonel</t>
  </si>
  <si>
    <t>PLTCOL QUERIJERO IS NOT INCLUDED TO THE 30</t>
  </si>
  <si>
    <t>Police Major</t>
  </si>
  <si>
    <t>Police Captain</t>
  </si>
  <si>
    <t xml:space="preserve">Police Lieutenant </t>
  </si>
  <si>
    <t>TOTAL NO. OF PCOs</t>
  </si>
  <si>
    <t>Police Executive Master Sergeant</t>
  </si>
  <si>
    <t>Police Chief Master Sergeant</t>
  </si>
  <si>
    <t xml:space="preserve">Police Senior Master Sergeant </t>
  </si>
  <si>
    <t xml:space="preserve">  </t>
  </si>
  <si>
    <t>Police Master Sergeant</t>
  </si>
  <si>
    <t>Police Staff Sergeant</t>
  </si>
  <si>
    <t>Police Corporal</t>
  </si>
  <si>
    <t>Patrolman</t>
  </si>
  <si>
    <t>TOTAL NO. OF PNCOs</t>
  </si>
  <si>
    <t>TOTAL NO. OF NUPs</t>
  </si>
  <si>
    <t>NUP DALLEGO IS NOT INCLUDED TO THE 183</t>
  </si>
  <si>
    <t>James A Sytico</t>
  </si>
  <si>
    <t>FROILAN GENN G TANGO II</t>
  </si>
  <si>
    <t xml:space="preserve">Police Lieutenant Colonel </t>
  </si>
  <si>
    <t>Acting Chief, ARMD</t>
  </si>
  <si>
    <t>P C O</t>
  </si>
  <si>
    <t>P N C O</t>
  </si>
  <si>
    <t>N U P</t>
  </si>
  <si>
    <t>IT Project Officer/ Asst. Chief, RICTMD NCRPO</t>
  </si>
  <si>
    <t>Action PCO/ IT Project Officer</t>
  </si>
  <si>
    <t>Action PNCO/PAIS Encoder/Focal Person, Message Center/BMI Facilitator/OJT Coordinator/Alternate Secretary</t>
  </si>
  <si>
    <t xml:space="preserve">AQUINO </t>
  </si>
  <si>
    <t>Comp. Programmer (SG11)</t>
  </si>
  <si>
    <t>Information Systems Researcher I (SG10)</t>
  </si>
  <si>
    <t>Administrative Asst I/Training Staff (SG7)</t>
  </si>
  <si>
    <t>Computer Programmer(SG7)</t>
  </si>
  <si>
    <t>DISPOSITION</t>
  </si>
  <si>
    <t>STATIONLIST</t>
  </si>
  <si>
    <t>ALPHALIST</t>
  </si>
  <si>
    <t>Division</t>
  </si>
  <si>
    <t>UNIFORMED PERSONNEL</t>
  </si>
  <si>
    <t>ABANILLA, FREDDIE  BAUTISTA</t>
  </si>
  <si>
    <t>Schooling PSOAC</t>
  </si>
  <si>
    <t>ABDUHARI, AL-MITRA  PUNGUTAN</t>
  </si>
  <si>
    <t>Schooling (PSSLC)</t>
  </si>
  <si>
    <t>ABO, MARK JESSIE  MELITANTE</t>
  </si>
  <si>
    <t>ABONG, MARK CLENTON  (NO MIDDLE NAME)</t>
  </si>
  <si>
    <t>Admin Aide VI (SG6)/Staff, SRS, PSMU</t>
  </si>
  <si>
    <t>ABRIAM, ANNETH VALERIE  MALNAT</t>
  </si>
  <si>
    <t>ABUAN, DICKSON  CLEMENTE</t>
  </si>
  <si>
    <t>AGGARAO, ALBERTO  CALLANGAN</t>
  </si>
  <si>
    <t>C, ITPMD/PCC Overall Supervisor</t>
  </si>
  <si>
    <t>Dispo- Designation</t>
  </si>
  <si>
    <t>AGON, JONATHAN  AGUILAR</t>
  </si>
  <si>
    <t>AGUILANDO, ADAMSON  BANDONG</t>
  </si>
  <si>
    <t>AGUILAR, JAMES BENEDICT  GALVEZ</t>
  </si>
  <si>
    <t>AGUS, CARCIOLO JR CAJANDAB</t>
  </si>
  <si>
    <t>AGUSTIN, RIZELLE  INALDO</t>
  </si>
  <si>
    <t>ALABA, NIEL  CAGAMPANG</t>
  </si>
  <si>
    <t>ALABADO, AURELIO  PERITO</t>
  </si>
  <si>
    <t>IT PCO/Comp. Programmer</t>
  </si>
  <si>
    <t>ALARCIO, NEVI  DOMONDON</t>
  </si>
  <si>
    <t>ALAWI, NABIL  HAJINULLA</t>
  </si>
  <si>
    <t>Schooling (PSJLC)</t>
  </si>
  <si>
    <t>ALI, AMIR HASSAN  RAMOS</t>
  </si>
  <si>
    <t>TABLE OF CONTENTS</t>
  </si>
  <si>
    <t>Tabs</t>
  </si>
  <si>
    <t>A</t>
  </si>
  <si>
    <t>OIC, CSIRS</t>
  </si>
  <si>
    <t>ALI, SHIRLEY MAE  SALVADOR</t>
  </si>
  <si>
    <t>OIC, ITSD/IT Project Officer</t>
  </si>
  <si>
    <t>B</t>
  </si>
  <si>
    <t>C</t>
  </si>
  <si>
    <t>D</t>
  </si>
  <si>
    <t>E</t>
  </si>
  <si>
    <t>ALIMAMBO, JICK  BONUAN</t>
  </si>
  <si>
    <t>F</t>
  </si>
  <si>
    <t>G</t>
  </si>
  <si>
    <t>H</t>
  </si>
  <si>
    <t>IT PROJECT OFFICER/Non-Duty Status</t>
  </si>
  <si>
    <t>AMIT, ARIEL  DE GUZMAN</t>
  </si>
  <si>
    <t>DALLEGO</t>
  </si>
  <si>
    <t>RHIZA</t>
  </si>
  <si>
    <t>AN, SANTI RAYMUND  NEVADO</t>
  </si>
  <si>
    <t>Supply Accountable Officer</t>
  </si>
  <si>
    <t>ANABON, LEVI  ABAGGUE</t>
  </si>
  <si>
    <t>ANCHOVAS, ESHIER  QUIÑONES</t>
  </si>
  <si>
    <t>MELANIA</t>
  </si>
  <si>
    <t>BACULAD</t>
  </si>
  <si>
    <t>Administrative Assistant  (SG7)</t>
  </si>
  <si>
    <t>ANDANAR, JON JASON  GORGOLON</t>
  </si>
  <si>
    <t>Administrative Asst III (SG9)</t>
  </si>
  <si>
    <t>LEILA</t>
  </si>
  <si>
    <t>URTOLA</t>
  </si>
  <si>
    <t>ANDRES, JOSE WILSON  HACIÑAS</t>
  </si>
  <si>
    <t>Data Controller (SG6)</t>
  </si>
  <si>
    <t>ANGELES, MARK DANIEL  MAMITAG</t>
  </si>
  <si>
    <t>ANGLIGEN, MARLON  PINANGI</t>
  </si>
  <si>
    <t>ANISCO, ARCHIE  STO. DOMINGO</t>
  </si>
  <si>
    <t>CRISHELLE</t>
  </si>
  <si>
    <t>Senior Admin Asst.  (SG13)</t>
  </si>
  <si>
    <t>ANUNCIO, ALEJANDER  TALAMPAS</t>
  </si>
  <si>
    <t>ANURAN, ADRIAN  MIRASOL</t>
  </si>
  <si>
    <t>APACIBLE, KIM SANDELL  CAMO</t>
  </si>
  <si>
    <t>Duty PCO/IT PCO</t>
  </si>
  <si>
    <t>APALLA, RUEL  AMPIS</t>
  </si>
  <si>
    <t>AQUINO, JOHANNES GOLD  LUCERO</t>
  </si>
  <si>
    <t>ARBASTO, FLAV  ANDAM</t>
  </si>
  <si>
    <t>Asst. Chief, ITPMD/OIC, PIO/Asst. Chief, PSMU</t>
  </si>
  <si>
    <t xml:space="preserve">Action NUP/Attendace Monitoring Officer/Focal Person, Message Center (SG6) </t>
  </si>
  <si>
    <t>ARCANGEL, OLIVER  GARCIA</t>
  </si>
  <si>
    <t>AREOLA, MARJORIE  BLANZA</t>
  </si>
  <si>
    <t>AREVALO, RALPH LYNDON  RESUELLO</t>
  </si>
  <si>
    <t>ARGAWANON, JUNREY  BOOC</t>
  </si>
  <si>
    <t>ARLES, VINZELL  ROMANO</t>
  </si>
  <si>
    <t>C, CMD</t>
  </si>
  <si>
    <t xml:space="preserve">GALBAN </t>
  </si>
  <si>
    <t>ARRE, EDWARD  CATALAN</t>
  </si>
  <si>
    <t>ARROYO, REYNALDO JR PASCO</t>
  </si>
  <si>
    <t>ASIRI, DELFAIZA  SARAJAN</t>
  </si>
  <si>
    <t>AVILA, CHRISTOPHER  BALEÑA</t>
  </si>
  <si>
    <t>AYUPAN, LAURENCE  NOBLEZA</t>
  </si>
  <si>
    <t>BABATE, JAN NOEL  ADUCA</t>
  </si>
  <si>
    <t>Section Chief (SG17)</t>
  </si>
  <si>
    <t>BACATAN, FERDINAND JR JALOVA</t>
  </si>
  <si>
    <t>Acting Asst. Chief/TPO</t>
  </si>
  <si>
    <t>Chief, DAS (SG19)</t>
  </si>
  <si>
    <t>Administrative Assistant (SG7)</t>
  </si>
  <si>
    <t>BACCAY, PEDRO  IQUIN</t>
  </si>
  <si>
    <t>IT NUP (SG8)</t>
  </si>
  <si>
    <t>C, DMD</t>
  </si>
  <si>
    <t>BAG-AYAN, PERCY  WA-IL</t>
  </si>
  <si>
    <t>Personnel Staff/Admin Service Clerk (SG7)</t>
  </si>
  <si>
    <t>BALDERAMA, HARLEY  GALANG</t>
  </si>
  <si>
    <t>BALDOS, MARK ANTHONY  BUNGAG</t>
  </si>
  <si>
    <t>C, SMAS/IT Officer</t>
  </si>
  <si>
    <t>BALICAG, JOSE JR DAKETAN</t>
  </si>
  <si>
    <t>BALINGIT, JOSE JEFFERSON II LACSAM</t>
  </si>
  <si>
    <t>Database Admin (SG7)/Staff, SMAS, PSMU</t>
  </si>
  <si>
    <t>BALLENAS, ROBERTO JR ALPAS</t>
  </si>
  <si>
    <t>Asst. Chief,ARMD/C,Personnel Section</t>
  </si>
  <si>
    <t>IT NUP (SG17)</t>
  </si>
  <si>
    <t>BALLESTEROS, MHARK  VISTA</t>
  </si>
  <si>
    <t>MAMENTA</t>
  </si>
  <si>
    <t>CRISTOPHER</t>
  </si>
  <si>
    <t>AWOL</t>
  </si>
  <si>
    <t>BALMACEDA, ROMMEL  BANGUILAN</t>
  </si>
  <si>
    <t>BALON, PHIL JEURGEN  ILAN</t>
  </si>
  <si>
    <t>BALONTONG, JEMAR  PANDACAN</t>
  </si>
  <si>
    <t>BANDULA, MARIA GERLYINES  CABRERA</t>
  </si>
  <si>
    <t>BANTIC, JUVENAL  PULINNEK</t>
  </si>
  <si>
    <t>BARQUIN, CHRISTIAN PAUL  SAN VICENTE</t>
  </si>
  <si>
    <t>Secretary, ARMD/Attendance Monitoring Officer/Focal Person, Message Center</t>
  </si>
  <si>
    <t>Admin Assistant (SG6)</t>
  </si>
  <si>
    <t>BATALLER, SHERWIN SOLOMON III BELLEN</t>
  </si>
  <si>
    <t>BATBAT, MATT KYNNPEARL  CABURATAN</t>
  </si>
  <si>
    <t>BAUSA, RIQUE  ARCOS</t>
  </si>
  <si>
    <t>BAUTISTA, CESAR  ESCARZA</t>
  </si>
  <si>
    <t>Staff, Change Mgmt and Best Practices, SRS  (SG6) / Admin Assistant (SG6)</t>
  </si>
  <si>
    <t>NADORA</t>
  </si>
  <si>
    <t>ADRIAN JOSE</t>
  </si>
  <si>
    <t>POSADAS</t>
  </si>
  <si>
    <t>ISR (SG19)</t>
  </si>
  <si>
    <t>BAY, JOHN KENNETH BADIOLA</t>
  </si>
  <si>
    <t>BAYAUA, ANGELO  ZALUN</t>
  </si>
  <si>
    <t>OIC, Asst. Chief/ITPO</t>
  </si>
  <si>
    <t>BEJARIN, GERALD  DADIRO</t>
  </si>
  <si>
    <t>OIC, ITSS / OIC, ISCS</t>
  </si>
  <si>
    <t>BELLY, JOCELYN  DEL BARRIO</t>
  </si>
  <si>
    <t>BELOYA, GENESON  DORIENDES</t>
  </si>
  <si>
    <t>BERMUDEZ, PAUL ARNIE VIC  DINEROS</t>
  </si>
  <si>
    <t>BILLOSO, AL ANTHONY  CONSOLACION</t>
  </si>
  <si>
    <t>BILLOTE, KYLE BENEDICT  SORIANO</t>
  </si>
  <si>
    <t>CSIRS PNCO Support Staff</t>
  </si>
  <si>
    <t>BIRUNG, PABLO JR LIGUTAN</t>
  </si>
  <si>
    <t>BLANCAD, ALVIN  MACARUBBO</t>
  </si>
  <si>
    <t>Chief of Staff/OIC, ODDA/Chief, PSMU</t>
  </si>
  <si>
    <t>BOLISLIS, JIMMY JR BANG-AS</t>
  </si>
  <si>
    <t>BONTIA, ISAAC MEDEL  AMAD</t>
  </si>
  <si>
    <t>BORJA, BRIAN THEO  PANGANIBAN</t>
  </si>
  <si>
    <t>Asst. Chief, RICTMD/ITPO</t>
  </si>
  <si>
    <t>BORRES, RUBEN  BROSAS</t>
  </si>
  <si>
    <t>Database Administrator (SG6)</t>
  </si>
  <si>
    <t>Section Chief, OISS (SG19)</t>
  </si>
  <si>
    <t>BRONZAL, BRUCE KELLY  LOZANO</t>
  </si>
  <si>
    <t>BUCAG, JAMES  TAGUBA</t>
  </si>
  <si>
    <t>Action PNCO,Training Support Section</t>
  </si>
  <si>
    <t>MA. CRISTINA</t>
  </si>
  <si>
    <t>BUENO, CHIER BRYAN  MARCOS</t>
  </si>
  <si>
    <t>ISR 1 (SG10)</t>
  </si>
  <si>
    <t>BUEZA, JAMES VINCENT  LLIDO</t>
  </si>
  <si>
    <t>Assistant. Chief (SG22)</t>
  </si>
  <si>
    <t>BUHAIN, DOROTHY  VILLALOBOS</t>
  </si>
  <si>
    <t>Encoder/Verifier/Records Custodian (SG11)</t>
  </si>
  <si>
    <t>BUMAL-O, RYAN  BALDO</t>
  </si>
  <si>
    <t>Section Chief, ASCS (SG19)</t>
  </si>
  <si>
    <t>BURDEOS, ENRIQUE  COSICOL</t>
  </si>
  <si>
    <t>Asst. C, ISSD/OIC, SMD/Asst. Chief, RICTMD</t>
  </si>
  <si>
    <t>BURIGSAY, MARC IVOR JAN  SABAYLE</t>
  </si>
  <si>
    <t>CABADING, ELIJAH VINCENT  SERANDON</t>
  </si>
  <si>
    <t>CABAÑEROS, JULIUS STEVE  SABELLA</t>
  </si>
  <si>
    <t>Budget NUP (SG10)</t>
  </si>
  <si>
    <t>CABATIN, ROGEL VERGEL JR GUEVARRA</t>
  </si>
  <si>
    <t>OIC, ISSD</t>
  </si>
  <si>
    <t>CABELIS, CHRISTOPHER  ADENA</t>
  </si>
  <si>
    <t>CABILES, FIDEL  VALEROS</t>
  </si>
  <si>
    <t>CABILOS, ROBERT  MONTALBAN</t>
  </si>
  <si>
    <t>Asst. Chief, PSMU/ Asst. Chief, DPD</t>
  </si>
  <si>
    <t>CAGUITE, JOHN REX  ALIDO</t>
  </si>
  <si>
    <t>Administrative Asst VI (SG 11)</t>
  </si>
  <si>
    <t>CALAPANO, MELVIN  AVILA</t>
  </si>
  <si>
    <t>CAMAY, ULDARICO  MASONG</t>
  </si>
  <si>
    <t>CAMFOLI, GLENMORE  ONNAN</t>
  </si>
  <si>
    <t>NAGESNES -SUAYA</t>
  </si>
  <si>
    <t>CANAPI, CHARLIE  MEMAN</t>
  </si>
  <si>
    <t>CANAPI, RODALYN  ARGUELLES</t>
  </si>
  <si>
    <t>CAÑETE, JR  CAPURAS</t>
  </si>
  <si>
    <t>CANJA, ROBERTO JR GINETA</t>
  </si>
  <si>
    <t>Administrative Assistant I (SG6)</t>
  </si>
  <si>
    <t>CANUDAY, JACKERON  TING</t>
  </si>
  <si>
    <t>CARANDANG, RUTHER BONSOL</t>
  </si>
  <si>
    <t>CARBONELL, JAKE  GASPAR</t>
  </si>
  <si>
    <t>ITO I (SG19)</t>
  </si>
  <si>
    <t>CARIAGA, ROBERTO JR GERMONO</t>
  </si>
  <si>
    <t>NUP-In-Charge (System
Analyst II (SG16)</t>
  </si>
  <si>
    <t>CARIAS, NEIL  CARLOS</t>
  </si>
  <si>
    <t>CAROLINO, JERALYNE  RAMOS</t>
  </si>
  <si>
    <t>CARPIO, MARIANITO JR RIVERA</t>
  </si>
  <si>
    <t>CASTRO, MARYJANE  DIZON</t>
  </si>
  <si>
    <t>CASTRO, VOLTAIRE  LAYACAN</t>
  </si>
  <si>
    <t>CEDENO, ZAYRA JANE  MAUR</t>
  </si>
  <si>
    <t>CELARIO, RUBY ROSE  BUEZA</t>
  </si>
  <si>
    <t>CERDANA, NESTOR JR SEMBRANO</t>
  </si>
  <si>
    <t>CHAN, JOSE III ONG</t>
  </si>
  <si>
    <t>CLAOR, MICHELLE  DUGAM</t>
  </si>
  <si>
    <t>CODIMO, SOLOMON  MADLAENG</t>
  </si>
  <si>
    <t>COMON, RAQUIL  MANATAD</t>
  </si>
  <si>
    <t>CONDES, MARY ROSE  DEL CASTILLO</t>
  </si>
  <si>
    <t>CORDERO, EARLBON  JIMENEZ</t>
  </si>
  <si>
    <t>CORDERO, GEMINIANO JR MATINING</t>
  </si>
  <si>
    <t>CORDON, ANDREO  BISIN</t>
  </si>
  <si>
    <t>CORPUZ, ALLAN ROY  AGANG</t>
  </si>
  <si>
    <t>CORTEZ, JERWIN  AQUINO</t>
  </si>
  <si>
    <t>COSISI, FREDERICK  BAON</t>
  </si>
  <si>
    <t>CRUZ, CRISTINA JOY  VICENTE</t>
  </si>
  <si>
    <t>CRUZ, EIFEL  BELEY</t>
  </si>
  <si>
    <t>CRUZ, MARICON  TAYAMEN</t>
  </si>
  <si>
    <t>CRUZAT, MARIEL  ARELLANO</t>
  </si>
  <si>
    <t>DAMASO, MARIBEL  MONES</t>
  </si>
  <si>
    <t>DAVID, ROMMEL  CARRO</t>
  </si>
  <si>
    <t>DE LEON, CHRISTOPHER  PEREZ</t>
  </si>
  <si>
    <t>DECENA, RONALD  LUCIO</t>
  </si>
  <si>
    <t>DEITA, ANN MARIE  SOTOMIL</t>
  </si>
  <si>
    <t>DEL ROSARIO, BRIGGS  TABORA</t>
  </si>
  <si>
    <t>DELA CRUZ, ALVIN  ORUA</t>
  </si>
  <si>
    <t>DELA CRUZ, ASHTER  TIBURCIO</t>
  </si>
  <si>
    <t>DELA PEÑA, VICTORIO JR MENDIOLA</t>
  </si>
  <si>
    <t>DELEÑA, CHRISTIAN  CUELA</t>
  </si>
  <si>
    <t>DESEO, REYNANTE  NUYDA</t>
  </si>
  <si>
    <t>DIAZ, STEPHEN PAUL  BAUZON</t>
  </si>
  <si>
    <t>DICO, JOEMAR  RODRIGUEZ</t>
  </si>
  <si>
    <t>DIÑA, JEREMY  DOMALAON</t>
  </si>
  <si>
    <t>DIONEDA, KARL JOHN  QUIRANTE</t>
  </si>
  <si>
    <t>DIRINDIGEN, MORSI  MACABNGKAS</t>
  </si>
  <si>
    <t>DOCTOLERO, JOHN NICK  DE GUZMAN</t>
  </si>
  <si>
    <t>DOCTOLERO, REGGIEMAR  NAZA</t>
  </si>
  <si>
    <t>DOFILES, LEO  SHIROMA</t>
  </si>
  <si>
    <t>DOMINGUIANO, JAY  ESTOYA</t>
  </si>
  <si>
    <t>DULA, JOEL  MANALANSAN</t>
  </si>
  <si>
    <t>DULIN, JOEY  BINARAO</t>
  </si>
  <si>
    <t>Promotional Orders</t>
  </si>
  <si>
    <t>RESOLUTIONS</t>
  </si>
  <si>
    <t xml:space="preserve">       ( Res. No. 2020-07; Res. No. 2020-08; 
         Res. No. 2020-09)</t>
  </si>
  <si>
    <t>Worksheets</t>
  </si>
  <si>
    <t>Work Behavior and Performance 
Appraisal (WBPA) Results</t>
  </si>
  <si>
    <t>Drug Test Results</t>
  </si>
  <si>
    <t>BMI Results</t>
  </si>
  <si>
    <t xml:space="preserve">       ( Res. No. 2020-12; Res. No. 2020-13)</t>
  </si>
  <si>
    <t xml:space="preserve">Due Diligence </t>
  </si>
  <si>
    <t>CD Copy</t>
  </si>
  <si>
    <t>DULNUAN, RAMON JR CUYANGO</t>
  </si>
  <si>
    <t>ECHANO, KERWIN  RUFON</t>
  </si>
  <si>
    <t>ECHEGOYEN, RYAN  MOJICA</t>
  </si>
  <si>
    <t>ELANGA, STEPHANIE ERESE</t>
  </si>
  <si>
    <t>ELECCION, CHRISTOFFERSON  CURAMING</t>
  </si>
  <si>
    <t>ELOPRE, JOHN PAUL  GRAJIDO</t>
  </si>
  <si>
    <t>EREBETE, MICHAEL  ROSERO</t>
  </si>
  <si>
    <t>ERSAN, GIOVANNI  PACIFICO</t>
  </si>
  <si>
    <t>ESCABOSA, GEROGIL  SALAZAR</t>
  </si>
  <si>
    <t>ESCALONA, JERLY  JUBELAG</t>
  </si>
  <si>
    <t>ESPEDIDO, IBON GAY  DACUMOS</t>
  </si>
  <si>
    <t>ESTRADA, MICAELLA ALLYSSA  MONTES</t>
  </si>
  <si>
    <t>EUBRA, FELIZARDO JR SANCHEZ</t>
  </si>
  <si>
    <t>EVANGELISTA, RHEA  TADURAN</t>
  </si>
  <si>
    <t>DIMASANGKAY, SORAIYA  MUSAID</t>
  </si>
  <si>
    <t>FAJARDO, ROY  RAMA</t>
  </si>
  <si>
    <t>FAMINIANO, LAURENCE ANTHONY  MARABE</t>
  </si>
  <si>
    <t>FERMANTEZ, DINA  SUNIEGA</t>
  </si>
  <si>
    <t>FERNANDEZ, ERIC  MOLINA</t>
  </si>
  <si>
    <t>FERRANCULLO, JOHN PAUL  PAZ</t>
  </si>
  <si>
    <t>FIDER, MARIA REGINA  SAVINO</t>
  </si>
  <si>
    <t>FONCARDAS, MARK  REYES</t>
  </si>
  <si>
    <t>FONSICA, VILMER  GUILOAN</t>
  </si>
  <si>
    <t>FONTANILLA, JASON PATRICK  DELA CRUZ</t>
  </si>
  <si>
    <t>FRANCISCO, MEL JOHN  OLIVA</t>
  </si>
  <si>
    <t>FRANK, JEFF BRIAN  RUIZ</t>
  </si>
  <si>
    <t>FREDELUCES, MARK ANTHONY  RECLA</t>
  </si>
  <si>
    <t>FRIAS, KIM ANTHONY  NICOLAS</t>
  </si>
  <si>
    <t>FRONDA, JIMMSON  CILOCILO</t>
  </si>
  <si>
    <t>FUENTES, WENECO  DONOR</t>
  </si>
  <si>
    <t>GABAO, JOE VEN  MANDAR</t>
  </si>
  <si>
    <t>GALLARDE, SUNNY BOY  GALUYO</t>
  </si>
  <si>
    <t>Dispo- Designation &amp; Division</t>
  </si>
  <si>
    <t>GALOS, MARK CHRISTIAN  MALICSE</t>
  </si>
  <si>
    <t>GALPO, NICOLAS  BERMUDO</t>
  </si>
  <si>
    <t>GARMA, CHARLES  MARZAN</t>
  </si>
  <si>
    <t>GASCON, MARIA LUZ  BUMAGAT</t>
  </si>
  <si>
    <t>GILL, AJIT JR MENOR</t>
  </si>
  <si>
    <t>GOMEZ, RICH MICHAEL  LIBU</t>
  </si>
  <si>
    <t>GOYENA, MARLON  ARGENIO</t>
  </si>
  <si>
    <t>GOZE, JONATHAN  SISON</t>
  </si>
  <si>
    <t>GRAGASIN, JOEVEN  TABAGO</t>
  </si>
  <si>
    <t>GUAVINO, CHE-YENNE  LAZARITO</t>
  </si>
  <si>
    <t>GUEVARRA, JAYSON  GALANG</t>
  </si>
  <si>
    <t>GUINAOWA, JAYMAR  GUDAREN</t>
  </si>
  <si>
    <t>GUINTO, EDITHA  ANICIETE</t>
  </si>
  <si>
    <t>GUNNACAO, LOVELYN KATE  LEGMAN</t>
  </si>
  <si>
    <t>GUSTILO, THOBORNE THER  SANTOS</t>
  </si>
  <si>
    <t>GUZMAN, EMILIO JR TUMOLVA</t>
  </si>
  <si>
    <t>HADJI OSOPH, SOLAIMAN  MONESIT</t>
  </si>
  <si>
    <t>HADJIMUDDIN, JULMONER  PASLANGAN</t>
  </si>
  <si>
    <t>HASANBASA, NURMIHAR  SABDANI</t>
  </si>
  <si>
    <t>HERRERA, EDGARDO JR CASTRO</t>
  </si>
  <si>
    <t>HICBAN, DIONISIO III SANTOS</t>
  </si>
  <si>
    <t>HUSSEIN, IQBAR  IMLANI</t>
  </si>
  <si>
    <t>IGNACIO, MICHAEL  TINTE</t>
  </si>
  <si>
    <t>INALVEZ, NEIL ADRIAN  NUCOM</t>
  </si>
  <si>
    <t>INFANTE, BEVERLY  PASAMBA</t>
  </si>
  <si>
    <t>JARANILLA, MA. ANNIE  CAABAS</t>
  </si>
  <si>
    <t>JAVIER, JAMES RYAN  GAMINO</t>
  </si>
  <si>
    <t>JAVIER, ROGINA  TANGLAO</t>
  </si>
  <si>
    <t>JAYOMA, BREIZEL  MENORCA</t>
  </si>
  <si>
    <t>JOAQUIN, ROMEO  LISING</t>
  </si>
  <si>
    <t>KARIM, BENSAR ALI  ABDULGANI</t>
  </si>
  <si>
    <t>KELLY, CARTNER RHYSE  PASCUAL</t>
  </si>
  <si>
    <t>LABANG, MARY JOY  ZIPAGAN</t>
  </si>
  <si>
    <t>LACSON, VINEAH  DIMO</t>
  </si>
  <si>
    <t>LAMES, MAYJEAN  GAGET</t>
  </si>
  <si>
    <t>LAOYAN, SILVER MARK  TALLASE</t>
  </si>
  <si>
    <t>LAXAMANA, JOSE II DELA CRUZ</t>
  </si>
  <si>
    <t>LIM, BENEDICT  LEE</t>
  </si>
  <si>
    <t>LLANEZA, MARC  LEE</t>
  </si>
  <si>
    <t>LOCOP, HERRAEL KARL  GIDOR</t>
  </si>
  <si>
    <t>LOPEZ, JAYVEE  POCDOL</t>
  </si>
  <si>
    <t>LOPEZ, JOEL JR MORATALLA</t>
  </si>
  <si>
    <t>LOZADA, AIDEE  GARCES</t>
  </si>
  <si>
    <t>LOZADA, LEVY  BINAS</t>
  </si>
  <si>
    <t>LOZANO, CHRISTIAN  MARQUEZ</t>
  </si>
  <si>
    <t>LUALHATI, PAULO ANDREW  PUNZALAN</t>
  </si>
  <si>
    <t>LUMIBAO, RENE JASPER  CUNANAN</t>
  </si>
  <si>
    <t>MACAPILIT, MARYLAND  SEPLON</t>
  </si>
  <si>
    <t>MACAPUNO, JAMES RYAN  DE SAGUN</t>
  </si>
  <si>
    <t>MACATOL, GEORGE  GALITO</t>
  </si>
  <si>
    <t>MACAWILE, ROMY JR INCISO</t>
  </si>
  <si>
    <t>MAGALONG, DAREN  NATIVIDAD</t>
  </si>
  <si>
    <t>MALAKI, ROFEL GEN  TIMBAL</t>
  </si>
  <si>
    <t>MALANI, JOAN  MAT-AN</t>
  </si>
  <si>
    <t>MAMENTA, CRISTOPHER  ALLAS</t>
  </si>
  <si>
    <t>MANABAN, MARY ANN LUISA  CAYABYAB</t>
  </si>
  <si>
    <t>MANALO, CZARMAINE JOYCE  RAMOS</t>
  </si>
  <si>
    <t>MANAOG, RODNIE  CASTILLO</t>
  </si>
  <si>
    <t>MANCERA, JOSHUA  ARMENTA</t>
  </si>
  <si>
    <t>MANGOBA, ROMMEL  JAZMIN</t>
  </si>
  <si>
    <t>MANIQUIZ, JEREMY  BINUYA</t>
  </si>
  <si>
    <t>MARAMAG, MARCIANA  DELA CRUZ</t>
  </si>
  <si>
    <t>MARAÑON, CHRIS JOHN  CATALOGO</t>
  </si>
  <si>
    <t>MARASIGAN, MIA ANGELA  CORNEJO</t>
  </si>
  <si>
    <t>MARQUEZ, MARISOL  BALASON</t>
  </si>
  <si>
    <t>MARTINEZ, ANGELICA  VIRAY</t>
  </si>
  <si>
    <t>MATTA, ELEAZAR  PEPITO</t>
  </si>
  <si>
    <t>MELCHOR, JUNVI  PASCUAL</t>
  </si>
  <si>
    <t>MELGAR, CATHERINE  MANUEL</t>
  </si>
  <si>
    <t>MENDOZA, FLOMARIE JOHN  GAVERIA</t>
  </si>
  <si>
    <t>MERQUE, JUDE ANN  GRIEGO</t>
  </si>
  <si>
    <t>MIGUEL, GERALD  POBLETE</t>
  </si>
  <si>
    <t>MILLARE, OLIVIA  ANTONIO</t>
  </si>
  <si>
    <t>MINA, EDGAR  LABIAO</t>
  </si>
  <si>
    <t>MIONES, PEJIE  HORTALEZA</t>
  </si>
  <si>
    <t>MOLINA, DOMINICK EZRA  GACES</t>
  </si>
  <si>
    <t>MONDOÑEDO, ROMENITO  MAYORDO</t>
  </si>
  <si>
    <t>MONTIGO, MARKIN  GUTIERREZ</t>
  </si>
  <si>
    <t>MORA, CHARMAINE JOY  TAMAYO</t>
  </si>
  <si>
    <t>MORI, LYNDON  ACOSTA</t>
  </si>
  <si>
    <t>MORTEL, ALWYN  ALBUFERA</t>
  </si>
  <si>
    <t>MOSLARES, CHARLES BRYAN  MOLINA</t>
  </si>
  <si>
    <t>MOSLARES, MARLY  MOLINA</t>
  </si>
  <si>
    <t>MUKTAJAR, GAJIR  MUHARRANI</t>
  </si>
  <si>
    <t>MUÑOZ, RANZ NIKKO  BIEN</t>
  </si>
  <si>
    <t>NADERA, JOSHUA  SABATE</t>
  </si>
  <si>
    <t>NAPOD, GILBERT  OLIQUINO</t>
  </si>
  <si>
    <t>NAVARRO, LOURDES  REMEDIO</t>
  </si>
  <si>
    <t>NAZA, CLAUDINE  PALATTAO</t>
  </si>
  <si>
    <t>NERI, FREDIMAR  SIMON</t>
  </si>
  <si>
    <t>NICOLAS, JAY-R  TADEO</t>
  </si>
  <si>
    <t>NIEZ, JORDAN JR ESTRELLA</t>
  </si>
  <si>
    <t>NOBRES, ROY  DANGSI</t>
  </si>
  <si>
    <t>NOROÑA, GINNEVA LUZ  LAGBO</t>
  </si>
  <si>
    <t>OBOG, JOHN MARLO  MAGRAMO</t>
  </si>
  <si>
    <t>OBORDO, JOEDHEL LLOYD  EYAO</t>
  </si>
  <si>
    <t>OCAMPO, AMADO JR BISCAYDA</t>
  </si>
  <si>
    <t>OCHAVILLO, LLOYD CHARLES  TORRES</t>
  </si>
  <si>
    <t>OLOJAN, CHRISTOPHER BRIAN  ASTUDILLO</t>
  </si>
  <si>
    <t>ONDONA, JOHN HOPE  MILLAN</t>
  </si>
  <si>
    <t>ONIL, RELLON  SUAYAN</t>
  </si>
  <si>
    <t>ORANTE, JOHN MICHAEL  CEPRIA</t>
  </si>
  <si>
    <t>ORENSE, ANDREW  AYALIN</t>
  </si>
  <si>
    <t>ORLANDA, BERNABE JR MACADANGDANG</t>
  </si>
  <si>
    <t>ORNIDO, JAN MICHAEL  PONTILA</t>
  </si>
  <si>
    <t>ORTIZ, JULIUS  SEMITARA</t>
  </si>
  <si>
    <t>PACIENCIA, METALLICA LYH  OCTAVIANO</t>
  </si>
  <si>
    <t>PACULAN, MARK ANTHONY  NIDUAZA</t>
  </si>
  <si>
    <t>PADAYOGDOG, FRANCISCO JR EMPINADO</t>
  </si>
  <si>
    <t>PADILLA, KEM EDNYLL  MACARINE</t>
  </si>
  <si>
    <t>PAISTE, MARL JAYSON  JOVES</t>
  </si>
  <si>
    <t>PALATTAO, ALDRIN  RACELIS</t>
  </si>
  <si>
    <t>PALATTAO, JOHNY FER  MABBORANG</t>
  </si>
  <si>
    <t>PALISOC, PREMIER HAROLD  TABUÑAR</t>
  </si>
  <si>
    <t>PALPARA, RANDY  TAMBANILLO</t>
  </si>
  <si>
    <t>PANAGA, MOHAMED  TALAUE</t>
  </si>
  <si>
    <t>PANER, ED RYANN  VALENCIANO</t>
  </si>
  <si>
    <t>PANSOY, LEX LEVIN  JUEGOS</t>
  </si>
  <si>
    <t>PAPA, MARIZ NICOLE  ENGALAN</t>
  </si>
  <si>
    <t>PAPIÑA, PATRICK LYNDON  PARCAREY</t>
  </si>
  <si>
    <t>PAQUIZ, JOHN ANTHONY  BATO</t>
  </si>
  <si>
    <t>PARALLAG, MAX CASSANDER  SINIGUIAN</t>
  </si>
  <si>
    <t>PARANE, DETANIL  COROCOTO</t>
  </si>
  <si>
    <t>PARRE, WINSTON  SAFLOR</t>
  </si>
  <si>
    <t>PATERNO, JEFFREY  PAUS</t>
  </si>
  <si>
    <t>PATIÑO, RANDI  MANZANO</t>
  </si>
  <si>
    <t>PEÑAVERDE, PHILIP JAMES  RODRIGUEZ</t>
  </si>
  <si>
    <t>PEÑON, JAYSON  CABRAL</t>
  </si>
  <si>
    <t>PEREZ, RUSSELL  NUERA</t>
  </si>
  <si>
    <t>PILASPILAS, MARK JAYSON  AMI</t>
  </si>
  <si>
    <t>PINAGOD, ANALYN  BINGWAOEL</t>
  </si>
  <si>
    <t>PINEDA, PAUL DWIGHT  SANTOS</t>
  </si>
  <si>
    <t>PIZARRA, KAYCEE  PINEDA</t>
  </si>
  <si>
    <t>PLAZA, ERVIN  TELAFER</t>
  </si>
  <si>
    <t>PONTANAR, MARK ALLAN  TUALA</t>
  </si>
  <si>
    <t>PRUGALIDAD, GERALIE  LOMILLO</t>
  </si>
  <si>
    <t>QUERIJERO, JUDITH ERNA  LUMABAN</t>
  </si>
  <si>
    <t>QUIAÑO, CRYSTAL JEZZELLE  CARIASO</t>
  </si>
  <si>
    <t>Non- Organic</t>
  </si>
  <si>
    <t>QUIDEZ, BRYAN MARK  SORIANO</t>
  </si>
  <si>
    <t>QUILATES, EDWIN AGUILAN</t>
  </si>
  <si>
    <t>OFFICE THE DIRECTOR</t>
  </si>
  <si>
    <t>QUINDO, IRA  BANGGA</t>
  </si>
  <si>
    <t>QUINTOS, ANGELICA  AGOR</t>
  </si>
  <si>
    <t>RADA, KRIZTELA FEY  LIM</t>
  </si>
  <si>
    <t>RAMIREZ, MA. CRISTINA  GRAZA</t>
  </si>
  <si>
    <t>RANCE, LEONARDO  ESPINOSA</t>
  </si>
  <si>
    <t>RECTO, C.J. KLARK  URETA</t>
  </si>
  <si>
    <t>RESPICIO, VIC BASKAR  MADDARA</t>
  </si>
  <si>
    <t>REVALE, EDELLENE  BABAGAY</t>
  </si>
  <si>
    <t>REYES, AVELINO  MORO</t>
  </si>
  <si>
    <t>REYES, ROBERT  ANDAL</t>
  </si>
  <si>
    <t>RIMANDO, JUVENAL  AFOS</t>
  </si>
  <si>
    <t>RIVERA, ROBIN  DATUL</t>
  </si>
  <si>
    <t>RIVERA, RONALD  BATIS</t>
  </si>
  <si>
    <t>ROVIRA, CRISMUNDO  PADULLO</t>
  </si>
  <si>
    <t>ROYALES, JERICH  TAN</t>
  </si>
  <si>
    <t>RUIZ, RONIE  BATARA</t>
  </si>
  <si>
    <t>SABIO, SHERWIN  INTONG</t>
  </si>
  <si>
    <t>SAET, MITZI ANNE  BESA</t>
  </si>
  <si>
    <t>SAGGOT, FREDA  AMMAGAY</t>
  </si>
  <si>
    <t>SALAS, EUNILAINE  SALVADOR</t>
  </si>
  <si>
    <t>SALAZAR, ANN JENETH  INAO</t>
  </si>
  <si>
    <t>SALDIVAR, ROMMEL JOHN  GICANA</t>
  </si>
  <si>
    <t>SALES, JAFET  ANINAO</t>
  </si>
  <si>
    <t>SANG-AN, CATHERINE  VALDESTAMON</t>
  </si>
  <si>
    <t>SANTILLAN, CHRISTIAN  DELA CRUZ</t>
  </si>
  <si>
    <t>SANTILLANA, JULIUS  PASCUA</t>
  </si>
  <si>
    <t>SANTOS, JAY WALTER  SANTIAGO</t>
  </si>
  <si>
    <t>SARMIENTO, ERIC  BUDY</t>
  </si>
  <si>
    <t>SEPTIMO, LEO JR CACA</t>
  </si>
  <si>
    <t>SEVILLA, JERALD  MANUZON</t>
  </si>
  <si>
    <t>SIA, ENARD  ANDAYA</t>
  </si>
  <si>
    <t>SIBAYAN, REYGIE  PIAGAN</t>
  </si>
  <si>
    <t>SIBUNGA, JOSEPH  TAMAYO</t>
  </si>
  <si>
    <t>SIGGAYO, WILLARD  MALABAD</t>
  </si>
  <si>
    <t>SOBREVILLA, RAYMUND CHRISTOPHER  DECIPULO</t>
  </si>
  <si>
    <t>SORIANO, ENGELBERT  ZIPAGAN</t>
  </si>
  <si>
    <t>SORIANO, NEPTHALIE  ADONA</t>
  </si>
  <si>
    <t>SOSA, GIBSON JOHN  ARAOS</t>
  </si>
  <si>
    <t>STA INES, ERROL  MOLINA</t>
  </si>
  <si>
    <t>SUAYA, RAFFY JANE  ALIDAO</t>
  </si>
  <si>
    <t>SUCGANG, ROSE ANNE  ROXAS</t>
  </si>
  <si>
    <t>SUGUITAN, FREDIMAR  PATTUNG</t>
  </si>
  <si>
    <t>SULIT, REYNALD LOUIE  SAN MIGUEL</t>
  </si>
  <si>
    <t>SUPIL, HARLIE  MUTIA</t>
  </si>
  <si>
    <t>SY, CHRISTIAN  ONG</t>
  </si>
  <si>
    <t>SYTICO, JAMES  ALCERA</t>
  </si>
  <si>
    <t>TAASINE, JOHN RAY  PATRON</t>
  </si>
  <si>
    <t>TABAFUNDA, RONNEL  NACIS</t>
  </si>
  <si>
    <t>TABUYO, GILBERT  POLA</t>
  </si>
  <si>
    <t>TACTAC, ERNIE  GALLETO</t>
  </si>
  <si>
    <t>TACTAY, HENRY  GOLINO</t>
  </si>
  <si>
    <t>TAEZA, ERIKSON  TE</t>
  </si>
  <si>
    <t>TAGID-ID, NORIYAM  PATTA</t>
  </si>
  <si>
    <t>TAGPAO, RAFAEL  ALUNDAY</t>
  </si>
  <si>
    <t>TAGUINOD, DANNY BOY  ONG</t>
  </si>
  <si>
    <t>TAJON, VERONICA  QUILIZA</t>
  </si>
  <si>
    <t>TAMANIO, ANTHONY ELKING  SALVADOR</t>
  </si>
  <si>
    <t>TAMONDONG, ALEXIS  YONG</t>
  </si>
  <si>
    <t>TAN, ACHILES  YABUT</t>
  </si>
  <si>
    <t>TAN, ROBERT  BACALTOS</t>
  </si>
  <si>
    <t>TANGO, FROILAN GENN II GELACIO</t>
  </si>
  <si>
    <t>TARUN, CHRISTIAN  BELTRAN</t>
  </si>
  <si>
    <t>TOLENTINO, NATHANIEL  MELEGRITO</t>
  </si>
  <si>
    <t>TRINIDAD, NOHVILENE MAR  BELDIA</t>
  </si>
  <si>
    <t>TRINIDAD, PAUL RYAN RUEL  CASTRO</t>
  </si>
  <si>
    <t>TUBA, GLORELYN  GADIANE</t>
  </si>
  <si>
    <t>TUBELLEZA, JOHN CARLO  VILLARINO</t>
  </si>
  <si>
    <t>TUGAOEN, ALVIN REY  ENGHUG</t>
  </si>
  <si>
    <t>TUMBALI, JAYANN  PASICOLAN</t>
  </si>
  <si>
    <t>ULPINDO, KRISANTO  TAPIA</t>
  </si>
  <si>
    <t>UMALI, IGNACIO JOSE  LICUD</t>
  </si>
  <si>
    <t>VALLEJOS, DRANREB  GAPAL</t>
  </si>
  <si>
    <t>VELASCO, ACE  PAGADUAN</t>
  </si>
  <si>
    <t>VELASCO, EDGAR SEBASTIAN  GALANG</t>
  </si>
  <si>
    <t>VENTURA, JOSEPH  SAMONTE</t>
  </si>
  <si>
    <t>VILLABRIGA, TIMOTHY  HORNOZ</t>
  </si>
  <si>
    <t>VILLAGONZALO, RYAN  VILLARIN</t>
  </si>
  <si>
    <t>VILLEGAS, NAIF  STA ANA</t>
  </si>
  <si>
    <t>VIRTUDAZO, MICHAEL  TAREPE</t>
  </si>
  <si>
    <t>WALIS, GILBERT  JACKSON</t>
  </si>
  <si>
    <t>YAGO, SHARMEN  BALLEBAR</t>
  </si>
  <si>
    <t>YU, JOSE PEPITO  QUILANG</t>
  </si>
  <si>
    <t>ZAMORA, MELVIN  PANGANIBAN</t>
  </si>
  <si>
    <t>No record in Station list and Alphalist</t>
  </si>
  <si>
    <t>NON-UNIFORMED PERSONNEL</t>
  </si>
  <si>
    <t>ACORDA, ELPIDIO  PALARCA</t>
  </si>
  <si>
    <t>ACUESTA, ANA JUNE  FORRO</t>
  </si>
  <si>
    <t>ADULTA, ARREN LEE  CHACON</t>
  </si>
  <si>
    <t>AGOS, CELSO JR TAPONG</t>
  </si>
  <si>
    <t>AGUHO, MARK ANTHONY  CAMBA</t>
  </si>
  <si>
    <t>AGUILAR, BERNARDINO  SANTOS</t>
  </si>
  <si>
    <t>ALCANTARA, JHINNA-LOU  SAN ESTEBAN</t>
  </si>
  <si>
    <t>ALEGRE, JAYBEE  BALASE</t>
  </si>
  <si>
    <t>ALFABETO, LOUIE VAN  ANASTACIO</t>
  </si>
  <si>
    <t>ALFONSO, IRANIE  EMPEÑO</t>
  </si>
  <si>
    <t>ALI, HUSSEIN  RAMOS</t>
  </si>
  <si>
    <t>ALFONSO, IRANIE  EMPENO</t>
  </si>
  <si>
    <t>ALMACHAR, ARLENE  ACIERTO</t>
  </si>
  <si>
    <t>ALMADEN, GILBERT  CABACANG</t>
  </si>
  <si>
    <t>ALVAREZ, PAMELA  CEREZO</t>
  </si>
  <si>
    <t>ANARNA, DARIA  CALAMAYA</t>
  </si>
  <si>
    <t>AQUINO, ROGELIO  PATINO</t>
  </si>
  <si>
    <t>ARAC, TIERRE DAPHNE  UNARSE</t>
  </si>
  <si>
    <t>AQUINO , ROGELIO  PATIÑO</t>
  </si>
  <si>
    <t>ARCE, MARIE FRANCISSE THERESE  ARMAMENTO</t>
  </si>
  <si>
    <t>ARGETE, GRACIANO  ROSILLO</t>
  </si>
  <si>
    <t>ARROYO, CHRISTIAN  REMOLADO</t>
  </si>
  <si>
    <t>AVENDAÑO, MA. FRELIE JOY  (no middle name)</t>
  </si>
  <si>
    <t>BACLIG, MICHAEL  DE LA CRUZ</t>
  </si>
  <si>
    <t>BACLIG, NEILJANE  ADONA</t>
  </si>
  <si>
    <t>BACLIG, MICHAEL  DELA CRUZ</t>
  </si>
  <si>
    <t>BAGO, REBECCA  LLANEZA</t>
  </si>
  <si>
    <t>BALCITA, MARIBEL  CABRERA</t>
  </si>
  <si>
    <t>BALONGOY, RONALYN  SOLDEVILLA</t>
  </si>
  <si>
    <t>BALUCANAG, GRACE  EBARSABAL</t>
  </si>
  <si>
    <t>BATICADOS, IVY  ELEGARLE</t>
  </si>
  <si>
    <t>BERENGUEL, LUCHIE  RELOYA</t>
  </si>
  <si>
    <t>BINARAO, SUNSHINE  GARCIA</t>
  </si>
  <si>
    <t>BERNARDO, KRISTEN CHASTE  GONONG</t>
  </si>
  <si>
    <t>BORLAZA, RITCHELLE RHIA  PORTUGAL</t>
  </si>
  <si>
    <t>BUITRE, TIMOTHY JOSEPH  SIPIN</t>
  </si>
  <si>
    <t>BUSTARDE, MA GOUDELIA  MIRABEL</t>
  </si>
  <si>
    <t>CABAÑAS, MARY JOY  DUTERTE</t>
  </si>
  <si>
    <t>CASIMIRO, CECILIA HAIZEL  NONATO</t>
  </si>
  <si>
    <t>CATANEO, RYAN  VINLUAN</t>
  </si>
  <si>
    <t>CATIPAY, GRACE NOSHAR  PEÑALBER</t>
  </si>
  <si>
    <t>CELADIÑA, TEODORO  CUISON</t>
  </si>
  <si>
    <t>CHIDROME, JAES ALLAN  CHANTENGCO</t>
  </si>
  <si>
    <t>CUETO, NOEME  MAMON</t>
  </si>
  <si>
    <t>CRUZ, MERIDIAN  CARPO</t>
  </si>
  <si>
    <t>DAEP, EDITHA  TORRES</t>
  </si>
  <si>
    <t>DAGTA, MARY ANN  YAP</t>
  </si>
  <si>
    <t>DAEP, EDITHA   TORRES</t>
  </si>
  <si>
    <t>DALISAY, MARIETTO  CASPE</t>
  </si>
  <si>
    <t>DALLEGO, RHIZA  ARROYO</t>
  </si>
  <si>
    <t>DE LANA, XZYRON  AGNE</t>
  </si>
  <si>
    <t>Non Organic</t>
  </si>
  <si>
    <t>DE LEON, YVETTE  VILLAVERDE</t>
  </si>
  <si>
    <t>DELA CRUZ, CHARLES ISAAK  DELA CRUZ</t>
  </si>
  <si>
    <t>DELA CRUZ, MARIA CRISTINA  DOMONDON</t>
  </si>
  <si>
    <t>DELA CRUZ, MELANIA  BACULAD</t>
  </si>
  <si>
    <t>DELA CRUZ, ROSELYN  CARTAGENA</t>
  </si>
  <si>
    <t>DIAZ, LEILA  URTOLA</t>
  </si>
  <si>
    <t>DIMACULANGAN, JOHN VINCENT  VENTURA</t>
  </si>
  <si>
    <t>DIMACULANGAN, MARLYN  LAGULA</t>
  </si>
  <si>
    <t>DIÑO, ELVIN ELDEN  SEBASTIAN</t>
  </si>
  <si>
    <t>DOMINGO, KARL LOUIE  CARDENAS</t>
  </si>
  <si>
    <t>DOMINGO, MISCHELL  ALOR</t>
  </si>
  <si>
    <t>ENRIQUEZ, MA VICTORIA  DONES</t>
  </si>
  <si>
    <t>ERIBAL, JOZEL JOY  FALAGNE</t>
  </si>
  <si>
    <t>ENRIQUEZ, MA VICTORIA   DONES</t>
  </si>
  <si>
    <t>ESMERO, VICENTE  NEQUIA</t>
  </si>
  <si>
    <t>ESTEVES, MARICEL  FRESNOZA</t>
  </si>
  <si>
    <t>ESTIPONA, MICHAEL GERARD  PEDRO</t>
  </si>
  <si>
    <t>ESTEVES, MARICEL   FRESNOZA</t>
  </si>
  <si>
    <t>FAJOTINA, FROILAN  LABRADOR</t>
  </si>
  <si>
    <t>FERNANDEZ, ROWEN  BON</t>
  </si>
  <si>
    <t>FLORO, JOVENCIO  FARINAS</t>
  </si>
  <si>
    <t>GABRIEL, ROSALYN  ALFONSO</t>
  </si>
  <si>
    <t>FLORO, JOVENCIO  FARIÑAS</t>
  </si>
  <si>
    <t>GAJO, ELMAN  ABAJA</t>
  </si>
  <si>
    <t>GONZALES, NECILDA  JAVINIAR</t>
  </si>
  <si>
    <t>GUALVEZ, ANABELLE  BAYONA</t>
  </si>
  <si>
    <t>GUMBA, ROSALIE  SEVILLA</t>
  </si>
  <si>
    <t>HAPAN, IAN CARLO  VILLANUEVA</t>
  </si>
  <si>
    <t>HERRERA, PACIVICA  BAYHON</t>
  </si>
  <si>
    <t>HUERNO, JOHN ELMAR  ALLAS</t>
  </si>
  <si>
    <t>INCISO, MAY ANN  CABARDO</t>
  </si>
  <si>
    <t>INFANTE, CHLOE ANN  REBADAJO</t>
  </si>
  <si>
    <t>JEPOLLO, JOCELYN  TAMONDONG</t>
  </si>
  <si>
    <t>JORDA, ROUMELLIA  ROBLES</t>
  </si>
  <si>
    <t>LACHICA, LOLITA  BORRES</t>
  </si>
  <si>
    <t>LAGGUI, DANIELLA MARIE  ALLAUIGAN</t>
  </si>
  <si>
    <t>LAMPA, ENGELBERT  VALERA</t>
  </si>
  <si>
    <t>LANUZA, ARNOLD  ZABATE</t>
  </si>
  <si>
    <t>LEE, MARIA ELISA  SUERO</t>
  </si>
  <si>
    <t>LANUZA, ARNOLD   ZABATE</t>
  </si>
  <si>
    <t>LUANSING, DIANALYN  MAGLIPON</t>
  </si>
  <si>
    <t>LUMABI, GINA  TINGALA</t>
  </si>
  <si>
    <t>LUZARA, JEAN  GRATUITO</t>
  </si>
  <si>
    <t>MADAYAG, ROY  IBARRA</t>
  </si>
  <si>
    <t>MAGBANUA, RACHELLE  CASTRO</t>
  </si>
  <si>
    <t>MAGTIBAY, GERTRUDES  ALTERADO</t>
  </si>
  <si>
    <t>MAISO, PRISCILLA  DAMO</t>
  </si>
  <si>
    <t>MALLILLIN, MARICAR  CABIGAS</t>
  </si>
  <si>
    <t>MALLILLIN, MARVIN  SALINAS</t>
  </si>
  <si>
    <t>MANANON, ALBERT  VILLEGAS</t>
  </si>
  <si>
    <t>MANDAL, BIBIANA  LUMBANG</t>
  </si>
  <si>
    <t>MARINTES, JOEY  MANUGUID</t>
  </si>
  <si>
    <t>MASAGANDA, AARON  BANAG</t>
  </si>
  <si>
    <t>MATEO, MARIAN AILEEN  R'JOSE</t>
  </si>
  <si>
    <t>MATILLANO, MINA HAYDEE  BECERA</t>
  </si>
  <si>
    <t>MEJIA, GIRLIE  CRUZ</t>
  </si>
  <si>
    <t>MENDOZA, GENESIS  TEODORO</t>
  </si>
  <si>
    <t>MENDOZA, RONILO JR BERNARDINO</t>
  </si>
  <si>
    <t>MIRALLES, RHEA ROSE  OLIVAR</t>
  </si>
  <si>
    <t>MIRANDA, DONNAH  ABRERA</t>
  </si>
  <si>
    <t>MISTICA, MA FELIRITA  SUBIDO</t>
  </si>
  <si>
    <t>MONAR, CHRISTIAN MEL  OLOR</t>
  </si>
  <si>
    <t>MORALES, MARIA MARGARITA ROSARIO  GARCIA</t>
  </si>
  <si>
    <t>MOSLARES, ALPHA RIZZA  ZARSATA</t>
  </si>
  <si>
    <t>NADORA, ADRIAN JOSE  POSADAS</t>
  </si>
  <si>
    <t>NAVARRO, ERIC  BARCELONA</t>
  </si>
  <si>
    <t>NIEVA, AILEEN  SABELA</t>
  </si>
  <si>
    <t>NOVIDA, MARILOU  FERNANDEZ</t>
  </si>
  <si>
    <t>OÑA, ERNANI  WILSON</t>
  </si>
  <si>
    <t>ORBASE, CARLOS  MECAYER</t>
  </si>
  <si>
    <t>OREVILLO, CARLO JOHN  GUEVARRA</t>
  </si>
  <si>
    <t>PACOL, JEPHTE  TENORIA</t>
  </si>
  <si>
    <t>PALENTINOS, JOEFFREY  LAGUSTAN</t>
  </si>
  <si>
    <t>PALISOC, ALYSSA ALEXANDRIA  SOSA</t>
  </si>
  <si>
    <t>PALENTINOS, JEOFFREY  LAGUSTAN</t>
  </si>
  <si>
    <t>PANIZA, ADELWISA  FERRER</t>
  </si>
  <si>
    <t>PANTE, MARIA JIA  SINAPUELAS</t>
  </si>
  <si>
    <t>PARANADA, DIANA  VALMIDIANO</t>
  </si>
  <si>
    <t>PAREDES, CONNIE  VALDEZ</t>
  </si>
  <si>
    <t>PAZ, VIRGINIA  SUERO</t>
  </si>
  <si>
    <t>PEÑAVERDE, SHARMAINE  RODRIGUEZ</t>
  </si>
  <si>
    <t>PEREZ, FATHIMA  ALI</t>
  </si>
  <si>
    <t>PILAR, JESSA KRIS  CORDOVA</t>
  </si>
  <si>
    <t>PIMENTEL, MARGIE  DIAZ</t>
  </si>
  <si>
    <t>PINEDA, PRECIOUS PEARL SALVE  PACTAO</t>
  </si>
  <si>
    <t>PONCE, JASMIN  SEBASTIAN</t>
  </si>
  <si>
    <t>RAMOS, ERNESTO JR POQUIZ</t>
  </si>
  <si>
    <t>RAMOS, JOHN ERICK  MAYORGA</t>
  </si>
  <si>
    <t>RAMOS, PRINCESS SANNY  ABLOG</t>
  </si>
  <si>
    <t>RAMOS, JOHN ERIK  MAYORGA</t>
  </si>
  <si>
    <t>RAMOS, WENCESLAO  AGUILAR</t>
  </si>
  <si>
    <t>RAPOSAS, ELVIRA  MADRIGUERA</t>
  </si>
  <si>
    <t>RARO, EMILIO JR GARADO</t>
  </si>
  <si>
    <t>RAYMUNDO, DANIEL JOSHUA  BALMEO</t>
  </si>
  <si>
    <t>RECLA, SILVINA  LLANTO</t>
  </si>
  <si>
    <t>RECUENCO, GEMMA  CLEOFE</t>
  </si>
  <si>
    <t>RIDULME, ANNA LEA  ARCEO</t>
  </si>
  <si>
    <t>RIVERA, EDMUND  MALBARTINO</t>
  </si>
  <si>
    <t>ROCILI, ELGIN RENZ  TIMBREZA</t>
  </si>
  <si>
    <t>RODRIGUEZ, MARY GRACE  FERNANDEZ</t>
  </si>
  <si>
    <t>ROQUE, ARISTOTLE  GARSIN</t>
  </si>
  <si>
    <t>ROSETE, ROSENA  NICOLAS</t>
  </si>
  <si>
    <t>RUARO, ANN MARGARETH  PERGIS</t>
  </si>
  <si>
    <t>RUIVIVAR, JOSE SALVADOR  DEL ROSARIO</t>
  </si>
  <si>
    <t>RUMBAOA, SHIRLY  CABUSORA</t>
  </si>
  <si>
    <t>SABLAY, HAZEL  DILLOZA</t>
  </si>
  <si>
    <t>SAMPANA, PHILLIP  TUPAS</t>
  </si>
  <si>
    <t>SANCHEZ, SHERYL  PALLONES</t>
  </si>
  <si>
    <t>SANTOS, ALLAN  SASUTA</t>
  </si>
  <si>
    <t>SANTOS, NATHANELLE  SEMINIANO</t>
  </si>
  <si>
    <t>SECULLES, LILIBETH  VERANO</t>
  </si>
  <si>
    <t>SEMILLA, FLORITES  SARIO</t>
  </si>
  <si>
    <t>SOCORRO, GIBSON  TOBIAS</t>
  </si>
  <si>
    <t>SOLON, RENA ELENA  OCCIANO</t>
  </si>
  <si>
    <t>TACORDA, JASON ABRAHAM  ABION</t>
  </si>
  <si>
    <t>TABIO, HONEY LETH  PALOMO</t>
  </si>
  <si>
    <t>TAEZA, MARY GRACE  MERALLES</t>
  </si>
  <si>
    <t>TAMONDONG, MELANIE JANE  OBRA</t>
  </si>
  <si>
    <t>TAYAG, RICHIE  ACUIN</t>
  </si>
  <si>
    <t>TODA, MARIA CRISTINA  TAMONDONG</t>
  </si>
  <si>
    <t>TURALBA, KIMBERLY JOYCE  FONTANILLA</t>
  </si>
  <si>
    <t>TODA, MA CRISTINA  TAMONDONG</t>
  </si>
  <si>
    <t>UBANDO, MARY ANN  OBENA</t>
  </si>
  <si>
    <t>UNTALAN, RACHEL  GUTIERREZ</t>
  </si>
  <si>
    <t>HUERNO, CLARISS ANN  VALLESFINO</t>
  </si>
  <si>
    <t>VALORIA, RUDIE III SAN GABRIEL</t>
  </si>
  <si>
    <t>VALLESFINO, CLARISS ANN  GARCIA</t>
  </si>
  <si>
    <t>VASQUEZ, ANNIE  RELLES</t>
  </si>
  <si>
    <t>VER, MARIE LOUISE ROVIAN  RAMOS</t>
  </si>
  <si>
    <t>VIGILANCIA, SIXTO  KATALBAS</t>
  </si>
  <si>
    <t>VILLAMIN, DOÑA WENNIE  TOMAS</t>
  </si>
  <si>
    <t>VILLAVICENCIO, JOYLYN  VASQUEZ</t>
  </si>
  <si>
    <t>PNCO</t>
  </si>
  <si>
    <t>PCO</t>
  </si>
  <si>
    <t>EDP Specialist/
SPO EXAM</t>
  </si>
  <si>
    <t>MEREZ</t>
  </si>
  <si>
    <t>ABIL</t>
  </si>
  <si>
    <t>FERNALYN</t>
  </si>
  <si>
    <t>JAIDDIN</t>
  </si>
  <si>
    <t>CABRIDO</t>
  </si>
  <si>
    <t>VINCENT</t>
  </si>
  <si>
    <t>INOJALES</t>
  </si>
  <si>
    <t>CHARLES CHRISTIAN</t>
  </si>
  <si>
    <t>MARIFE</t>
  </si>
  <si>
    <t>BARTILET</t>
  </si>
  <si>
    <t>JERICA</t>
  </si>
  <si>
    <t>DUMAWOL</t>
  </si>
  <si>
    <t>GAVIÑO</t>
  </si>
  <si>
    <t>MIKE WINDELLE</t>
  </si>
  <si>
    <t>ELLA</t>
  </si>
  <si>
    <t>GOSIMAT</t>
  </si>
  <si>
    <t>BRADLEY</t>
  </si>
  <si>
    <t>NAGYASAN</t>
  </si>
  <si>
    <t>GUERRERO</t>
  </si>
  <si>
    <t>RANDOLF</t>
  </si>
  <si>
    <t>BERGONIA</t>
  </si>
  <si>
    <t>MACATANGAY</t>
  </si>
  <si>
    <t>MAYOR</t>
  </si>
  <si>
    <t>FERNANDO</t>
  </si>
  <si>
    <t>MARC ANDREY</t>
  </si>
  <si>
    <t>MACARANAS</t>
  </si>
  <si>
    <t>ROTAIRO</t>
  </si>
  <si>
    <t>ALLEN CARL</t>
  </si>
  <si>
    <t>TALUSIG</t>
  </si>
  <si>
    <t>SIY</t>
  </si>
  <si>
    <t>CARL DANIELLE</t>
  </si>
  <si>
    <t xml:space="preserve">FONCARDAS </t>
  </si>
  <si>
    <t>BELOYA*</t>
  </si>
  <si>
    <t>BS Applied Math
(IT Track)</t>
  </si>
  <si>
    <t>09616929160/
09994813150</t>
  </si>
  <si>
    <t>RUARO*</t>
  </si>
  <si>
    <t>MPA/MPMG</t>
  </si>
  <si>
    <t>BS IN Avionics Tech</t>
  </si>
  <si>
    <t>wait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</si>
</sst>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3409]dd\-mmm\-yy"/>
    <numFmt numFmtId="165" formatCode="[$-3409]dd/mmm/yy"/>
    <numFmt numFmtId="167" formatCode="0.0"/>
    <numFmt numFmtId="170" formatCode="[$-3409]mmmm\ dd&quot;, &quot;yyyy"/>
    <numFmt numFmtId="171" formatCode="m/d/yyyy"/>
    <numFmt numFmtId="175" formatCode="_-* #,##0.00_-;\-* #,##0.00_-;_-* \-??_-;_-@"/>
    <numFmt numFmtId="176" formatCode="d\-mmm\-yy"/>
  </numFmts>
  <fonts count="36" x14ac:knownFonts="1">
    <font>
      <sz val="10"/>
      <color rgb="FF000000"/>
      <name val="Arial"/>
      <scheme val="minor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b/>
      <i/>
      <sz val="10"/>
      <color theme="1"/>
      <name val="Arial Narrow"/>
      <family val="2"/>
    </font>
    <font>
      <sz val="10"/>
      <color rgb="FF000000"/>
      <name val="Arial"/>
      <family val="2"/>
    </font>
    <font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rgb="FF333333"/>
      <name val="Arial Narrow"/>
      <family val="2"/>
    </font>
    <font>
      <sz val="9"/>
      <color rgb="FF000000"/>
      <name val="Arial Narrow"/>
      <family val="2"/>
    </font>
    <font>
      <sz val="10"/>
      <color rgb="FF000000"/>
      <name val="Arial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 Narrow"/>
      <family val="2"/>
    </font>
    <font>
      <sz val="7"/>
      <color theme="1"/>
      <name val="Arial Narrow"/>
      <family val="2"/>
    </font>
    <font>
      <sz val="6"/>
      <color theme="1"/>
      <name val="Arial Narrow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0"/>
      <color theme="1"/>
      <name val="Tahoma"/>
      <family val="2"/>
    </font>
    <font>
      <b/>
      <i/>
      <sz val="10"/>
      <color theme="1"/>
      <name val="Tahoma"/>
      <family val="2"/>
    </font>
    <font>
      <b/>
      <i/>
      <sz val="10"/>
      <color theme="1"/>
      <name val="Arial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20"/>
      <color theme="1"/>
      <name val="Arial"/>
      <family val="2"/>
    </font>
    <font>
      <b/>
      <sz val="20"/>
      <color theme="1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sz val="11"/>
      <color rgb="FF000000"/>
      <name val="Arial Narrow"/>
      <family val="2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"/>
      <family val="2"/>
      <scheme val="minor"/>
    </font>
    <font>
      <sz val="9"/>
      <color rgb="FF00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EEECE1"/>
        <bgColor rgb="FFEEECE1"/>
      </patternFill>
    </fill>
    <fill>
      <patternFill patternType="solid">
        <fgColor rgb="FFB8CCE4"/>
        <bgColor rgb="FFB8CCE4"/>
      </patternFill>
    </fill>
    <fill>
      <patternFill patternType="solid">
        <fgColor rgb="FFB6DDE8"/>
        <bgColor rgb="FFB6DDE8"/>
      </patternFill>
    </fill>
    <fill>
      <patternFill patternType="solid">
        <fgColor rgb="FFD6E3BC"/>
        <bgColor rgb="FFD6E3BC"/>
      </patternFill>
    </fill>
    <fill>
      <patternFill patternType="solid">
        <fgColor rgb="FFE5DFEC"/>
        <bgColor rgb="FFE5DFEC"/>
      </patternFill>
    </fill>
    <fill>
      <patternFill patternType="solid">
        <fgColor rgb="FFFF0000"/>
        <bgColor rgb="FFFF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15" fontId="2" fillId="0" borderId="6" xfId="0" applyNumberFormat="1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vertical="center" shrinkToFit="1"/>
    </xf>
    <xf numFmtId="0" fontId="2" fillId="0" borderId="6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165" fontId="2" fillId="0" borderId="6" xfId="0" applyNumberFormat="1" applyFont="1" applyBorder="1" applyAlignment="1">
      <alignment horizontal="center" vertical="center" shrinkToFit="1"/>
    </xf>
    <xf numFmtId="0" fontId="13" fillId="0" borderId="0" xfId="0" applyFont="1" applyAlignment="1">
      <alignment vertical="center"/>
    </xf>
    <xf numFmtId="1" fontId="2" fillId="0" borderId="6" xfId="0" applyNumberFormat="1" applyFont="1" applyBorder="1" applyAlignment="1">
      <alignment horizontal="left" vertical="center"/>
    </xf>
    <xf numFmtId="15" fontId="2" fillId="0" borderId="6" xfId="0" applyNumberFormat="1" applyFont="1" applyBorder="1" applyAlignment="1">
      <alignment horizontal="center" vertical="center" wrapText="1"/>
    </xf>
    <xf numFmtId="0" fontId="13" fillId="0" borderId="0" xfId="0" applyFont="1"/>
    <xf numFmtId="0" fontId="2" fillId="0" borderId="6" xfId="0" applyFont="1" applyBorder="1"/>
    <xf numFmtId="0" fontId="13" fillId="0" borderId="6" xfId="0" applyFont="1" applyBorder="1"/>
    <xf numFmtId="1" fontId="2" fillId="0" borderId="6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top" wrapText="1"/>
    </xf>
    <xf numFmtId="0" fontId="2" fillId="0" borderId="6" xfId="0" applyFont="1" applyBorder="1" applyAlignment="1">
      <alignment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shrinkToFit="1"/>
    </xf>
    <xf numFmtId="0" fontId="3" fillId="0" borderId="0" xfId="0" applyFont="1" applyAlignment="1">
      <alignment horizontal="left" vertical="center"/>
    </xf>
    <xf numFmtId="1" fontId="2" fillId="0" borderId="6" xfId="0" applyNumberFormat="1" applyFont="1" applyBorder="1" applyAlignment="1">
      <alignment horizontal="center" vertical="center" shrinkToFit="1"/>
    </xf>
    <xf numFmtId="1" fontId="6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shrinkToFit="1"/>
    </xf>
    <xf numFmtId="165" fontId="2" fillId="0" borderId="0" xfId="0" applyNumberFormat="1" applyFont="1" applyAlignment="1">
      <alignment horizontal="center" vertical="center" shrinkToFit="1"/>
    </xf>
    <xf numFmtId="170" fontId="8" fillId="0" borderId="6" xfId="0" applyNumberFormat="1" applyFont="1" applyBorder="1" applyAlignment="1">
      <alignment vertical="center" shrinkToFit="1"/>
    </xf>
    <xf numFmtId="0" fontId="16" fillId="0" borderId="6" xfId="0" applyFont="1" applyBorder="1" applyAlignment="1">
      <alignment vertical="center" shrinkToFit="1"/>
    </xf>
    <xf numFmtId="175" fontId="2" fillId="0" borderId="6" xfId="0" applyNumberFormat="1" applyFont="1" applyBorder="1" applyAlignment="1">
      <alignment vertical="center"/>
    </xf>
    <xf numFmtId="175" fontId="2" fillId="0" borderId="6" xfId="0" applyNumberFormat="1" applyFont="1" applyBorder="1" applyAlignment="1">
      <alignment horizontal="center" vertical="center"/>
    </xf>
    <xf numFmtId="175" fontId="2" fillId="0" borderId="6" xfId="0" applyNumberFormat="1" applyFont="1" applyBorder="1" applyAlignment="1">
      <alignment horizontal="left" vertical="center"/>
    </xf>
    <xf numFmtId="175" fontId="16" fillId="0" borderId="6" xfId="0" applyNumberFormat="1" applyFont="1" applyBorder="1" applyAlignment="1">
      <alignment vertical="center"/>
    </xf>
    <xf numFmtId="0" fontId="13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22" fillId="0" borderId="6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4" fillId="0" borderId="11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3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/>
    </xf>
    <xf numFmtId="0" fontId="14" fillId="0" borderId="0" xfId="0" applyFont="1"/>
    <xf numFmtId="0" fontId="9" fillId="0" borderId="0" xfId="0" applyFont="1" applyAlignment="1">
      <alignment horizontal="left"/>
    </xf>
    <xf numFmtId="0" fontId="2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12" fillId="0" borderId="0" xfId="0" applyFont="1"/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67" fontId="2" fillId="0" borderId="0" xfId="0" applyNumberFormat="1" applyFont="1" applyAlignment="1">
      <alignment horizontal="left" vertical="center" shrinkToFit="1"/>
    </xf>
    <xf numFmtId="0" fontId="2" fillId="4" borderId="6" xfId="0" applyFont="1" applyFill="1" applyBorder="1" applyAlignment="1">
      <alignment horizontal="left"/>
    </xf>
    <xf numFmtId="0" fontId="2" fillId="0" borderId="0" xfId="0" applyFont="1" applyAlignment="1">
      <alignment horizontal="center" vertical="center" shrinkToFit="1"/>
    </xf>
    <xf numFmtId="0" fontId="2" fillId="0" borderId="6" xfId="0" quotePrefix="1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6" xfId="0" applyFont="1" applyBorder="1"/>
    <xf numFmtId="0" fontId="26" fillId="0" borderId="6" xfId="0" applyFont="1" applyBorder="1"/>
    <xf numFmtId="0" fontId="13" fillId="0" borderId="1" xfId="0" applyFont="1" applyBorder="1"/>
    <xf numFmtId="0" fontId="27" fillId="0" borderId="0" xfId="0" applyFont="1" applyAlignment="1">
      <alignment horizontal="center"/>
    </xf>
    <xf numFmtId="0" fontId="27" fillId="0" borderId="0" xfId="0" applyFont="1"/>
    <xf numFmtId="0" fontId="28" fillId="0" borderId="0" xfId="0" applyFont="1" applyAlignment="1">
      <alignment horizontal="center"/>
    </xf>
    <xf numFmtId="0" fontId="13" fillId="0" borderId="6" xfId="0" applyFont="1" applyBorder="1" applyAlignment="1">
      <alignment wrapText="1"/>
    </xf>
    <xf numFmtId="0" fontId="3" fillId="0" borderId="6" xfId="0" applyFont="1" applyBorder="1" applyAlignment="1">
      <alignment horizontal="left" vertical="center" wrapText="1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/>
    <xf numFmtId="0" fontId="30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2" fillId="8" borderId="8" xfId="0" applyFont="1" applyFill="1" applyBorder="1" applyAlignment="1">
      <alignment vertical="center"/>
    </xf>
    <xf numFmtId="0" fontId="2" fillId="0" borderId="6" xfId="0" applyFont="1" applyBorder="1" applyAlignment="1">
      <alignment horizontal="left" vertical="top"/>
    </xf>
    <xf numFmtId="0" fontId="2" fillId="0" borderId="0" xfId="0" applyFont="1"/>
    <xf numFmtId="15" fontId="13" fillId="0" borderId="6" xfId="0" applyNumberFormat="1" applyFont="1" applyBorder="1"/>
    <xf numFmtId="1" fontId="2" fillId="0" borderId="0" xfId="0" applyNumberFormat="1" applyFont="1" applyAlignment="1">
      <alignment horizontal="left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167" fontId="2" fillId="0" borderId="6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26" fillId="0" borderId="0" xfId="0" applyFont="1"/>
    <xf numFmtId="0" fontId="29" fillId="0" borderId="0" xfId="0" applyFont="1" applyAlignment="1">
      <alignment wrapText="1"/>
    </xf>
    <xf numFmtId="0" fontId="30" fillId="0" borderId="0" xfId="0" applyFont="1" applyAlignment="1">
      <alignment wrapText="1"/>
    </xf>
    <xf numFmtId="175" fontId="13" fillId="0" borderId="6" xfId="0" applyNumberFormat="1" applyFont="1" applyBorder="1"/>
    <xf numFmtId="0" fontId="13" fillId="9" borderId="6" xfId="0" applyFont="1" applyFill="1" applyBorder="1"/>
    <xf numFmtId="1" fontId="13" fillId="0" borderId="6" xfId="0" applyNumberFormat="1" applyFont="1" applyBorder="1"/>
    <xf numFmtId="167" fontId="13" fillId="0" borderId="6" xfId="0" applyNumberFormat="1" applyFont="1" applyBorder="1"/>
    <xf numFmtId="0" fontId="13" fillId="0" borderId="2" xfId="0" applyFont="1" applyBorder="1"/>
    <xf numFmtId="0" fontId="13" fillId="0" borderId="14" xfId="0" applyFont="1" applyBorder="1"/>
    <xf numFmtId="0" fontId="13" fillId="0" borderId="15" xfId="0" applyFont="1" applyBorder="1"/>
    <xf numFmtId="0" fontId="13" fillId="0" borderId="7" xfId="0" applyFont="1" applyBorder="1"/>
    <xf numFmtId="0" fontId="13" fillId="0" borderId="4" xfId="0" applyFont="1" applyBorder="1"/>
    <xf numFmtId="0" fontId="13" fillId="0" borderId="13" xfId="0" applyFont="1" applyBorder="1"/>
    <xf numFmtId="0" fontId="13" fillId="0" borderId="10" xfId="0" applyFont="1" applyBorder="1"/>
    <xf numFmtId="0" fontId="13" fillId="0" borderId="3" xfId="0" applyFont="1" applyBorder="1"/>
    <xf numFmtId="0" fontId="13" fillId="0" borderId="16" xfId="0" applyFont="1" applyBorder="1"/>
    <xf numFmtId="0" fontId="13" fillId="0" borderId="17" xfId="0" applyFont="1" applyBorder="1"/>
    <xf numFmtId="0" fontId="13" fillId="0" borderId="12" xfId="0" applyFont="1" applyBorder="1"/>
    <xf numFmtId="0" fontId="13" fillId="0" borderId="5" xfId="0" applyFont="1" applyBorder="1"/>
    <xf numFmtId="0" fontId="0" fillId="0" borderId="0" xfId="0" applyAlignment="1">
      <alignment vertical="center"/>
    </xf>
    <xf numFmtId="0" fontId="34" fillId="0" borderId="0" xfId="0" applyFont="1" applyAlignment="1">
      <alignment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164" fontId="2" fillId="0" borderId="18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15" fontId="2" fillId="0" borderId="18" xfId="0" applyNumberFormat="1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shrinkToFit="1"/>
    </xf>
    <xf numFmtId="0" fontId="2" fillId="0" borderId="18" xfId="0" applyFont="1" applyBorder="1" applyAlignment="1">
      <alignment horizontal="center" vertical="center" shrinkToFit="1"/>
    </xf>
    <xf numFmtId="14" fontId="2" fillId="0" borderId="18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shrinkToFit="1"/>
    </xf>
    <xf numFmtId="0" fontId="2" fillId="0" borderId="18" xfId="0" quotePrefix="1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 wrapText="1"/>
    </xf>
    <xf numFmtId="0" fontId="33" fillId="0" borderId="18" xfId="0" applyFont="1" applyBorder="1" applyAlignment="1">
      <alignment horizontal="center" vertical="center" wrapText="1" shrinkToFit="1"/>
    </xf>
    <xf numFmtId="14" fontId="2" fillId="0" borderId="18" xfId="0" applyNumberFormat="1" applyFont="1" applyBorder="1" applyAlignment="1">
      <alignment horizontal="center" vertical="center"/>
    </xf>
    <xf numFmtId="49" fontId="10" fillId="0" borderId="18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176" fontId="2" fillId="0" borderId="18" xfId="0" applyNumberFormat="1" applyFont="1" applyBorder="1" applyAlignment="1">
      <alignment horizontal="center" vertical="center" shrinkToFit="1"/>
    </xf>
    <xf numFmtId="49" fontId="2" fillId="0" borderId="18" xfId="0" applyNumberFormat="1" applyFont="1" applyBorder="1" applyAlignment="1">
      <alignment horizontal="center" vertical="center" shrinkToFit="1"/>
    </xf>
    <xf numFmtId="165" fontId="2" fillId="0" borderId="18" xfId="0" applyNumberFormat="1" applyFont="1" applyBorder="1" applyAlignment="1">
      <alignment horizontal="center" vertical="center" shrinkToFit="1"/>
    </xf>
    <xf numFmtId="0" fontId="13" fillId="0" borderId="18" xfId="0" applyFont="1" applyBorder="1" applyAlignment="1">
      <alignment vertical="center"/>
    </xf>
    <xf numFmtId="15" fontId="2" fillId="0" borderId="18" xfId="0" applyNumberFormat="1" applyFont="1" applyBorder="1" applyAlignment="1">
      <alignment horizontal="center" vertical="center"/>
    </xf>
    <xf numFmtId="165" fontId="2" fillId="0" borderId="18" xfId="0" applyNumberFormat="1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171" fontId="2" fillId="0" borderId="18" xfId="0" applyNumberFormat="1" applyFont="1" applyBorder="1" applyAlignment="1">
      <alignment horizontal="center" vertical="center" wrapText="1"/>
    </xf>
    <xf numFmtId="1" fontId="2" fillId="0" borderId="18" xfId="0" applyNumberFormat="1" applyFont="1" applyBorder="1" applyAlignment="1">
      <alignment vertical="center"/>
    </xf>
    <xf numFmtId="1" fontId="2" fillId="0" borderId="18" xfId="0" applyNumberFormat="1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left" vertical="center"/>
    </xf>
    <xf numFmtId="0" fontId="2" fillId="2" borderId="18" xfId="0" applyFont="1" applyFill="1" applyBorder="1" applyAlignment="1">
      <alignment vertical="center"/>
    </xf>
    <xf numFmtId="0" fontId="0" fillId="0" borderId="18" xfId="0" applyBorder="1" applyAlignment="1">
      <alignment vertical="center"/>
    </xf>
    <xf numFmtId="0" fontId="15" fillId="0" borderId="18" xfId="0" applyFont="1" applyBorder="1" applyAlignment="1">
      <alignment horizontal="left" vertical="center"/>
    </xf>
    <xf numFmtId="171" fontId="12" fillId="0" borderId="18" xfId="0" applyNumberFormat="1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horizontal="left" vertical="center" wrapText="1"/>
    </xf>
    <xf numFmtId="0" fontId="12" fillId="0" borderId="18" xfId="0" applyFont="1" applyBorder="1" applyAlignment="1">
      <alignment vertical="center"/>
    </xf>
    <xf numFmtId="2" fontId="2" fillId="0" borderId="18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0" fillId="0" borderId="0" xfId="0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5" borderId="2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8" xfId="0" applyFont="1" applyBorder="1" applyAlignment="1">
      <alignment vertical="center" wrapText="1"/>
    </xf>
    <xf numFmtId="0" fontId="2" fillId="0" borderId="6" xfId="0" applyFont="1" applyBorder="1" applyAlignment="1">
      <alignment wrapText="1"/>
    </xf>
    <xf numFmtId="0" fontId="2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-19050</xdr:colOff>
      <xdr:row>0</xdr:row>
      <xdr:rowOff>0</xdr:rowOff>
    </xdr:from>
    <xdr:ext cx="57150" cy="1809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-19050</xdr:colOff>
      <xdr:row>0</xdr:row>
      <xdr:rowOff>0</xdr:rowOff>
    </xdr:from>
    <xdr:ext cx="57150" cy="1809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-19050</xdr:colOff>
      <xdr:row>0</xdr:row>
      <xdr:rowOff>0</xdr:rowOff>
    </xdr:from>
    <xdr:ext cx="57150" cy="1809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-19050</xdr:colOff>
      <xdr:row>0</xdr:row>
      <xdr:rowOff>0</xdr:rowOff>
    </xdr:from>
    <xdr:ext cx="57150" cy="1809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-19050</xdr:colOff>
      <xdr:row>0</xdr:row>
      <xdr:rowOff>0</xdr:rowOff>
    </xdr:from>
    <xdr:ext cx="57150" cy="18097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-19050</xdr:colOff>
      <xdr:row>0</xdr:row>
      <xdr:rowOff>0</xdr:rowOff>
    </xdr:from>
    <xdr:ext cx="57150" cy="18097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-19050</xdr:colOff>
      <xdr:row>0</xdr:row>
      <xdr:rowOff>0</xdr:rowOff>
    </xdr:from>
    <xdr:ext cx="57150" cy="18097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-19050</xdr:colOff>
      <xdr:row>0</xdr:row>
      <xdr:rowOff>0</xdr:rowOff>
    </xdr:from>
    <xdr:ext cx="57150" cy="18097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-19050</xdr:colOff>
      <xdr:row>0</xdr:row>
      <xdr:rowOff>0</xdr:rowOff>
    </xdr:from>
    <xdr:ext cx="57150" cy="180975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-19050</xdr:colOff>
      <xdr:row>0</xdr:row>
      <xdr:rowOff>0</xdr:rowOff>
    </xdr:from>
    <xdr:ext cx="57150" cy="180975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-19050</xdr:colOff>
      <xdr:row>0</xdr:row>
      <xdr:rowOff>0</xdr:rowOff>
    </xdr:from>
    <xdr:ext cx="57150" cy="180975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-19050</xdr:colOff>
      <xdr:row>0</xdr:row>
      <xdr:rowOff>0</xdr:rowOff>
    </xdr:from>
    <xdr:ext cx="57150" cy="1809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-19050</xdr:colOff>
      <xdr:row>0</xdr:row>
      <xdr:rowOff>0</xdr:rowOff>
    </xdr:from>
    <xdr:ext cx="57150" cy="1809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-19050</xdr:colOff>
      <xdr:row>0</xdr:row>
      <xdr:rowOff>0</xdr:rowOff>
    </xdr:from>
    <xdr:ext cx="57150" cy="180975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-19050</xdr:colOff>
      <xdr:row>0</xdr:row>
      <xdr:rowOff>0</xdr:rowOff>
    </xdr:from>
    <xdr:ext cx="57150" cy="180975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-19050</xdr:colOff>
      <xdr:row>0</xdr:row>
      <xdr:rowOff>0</xdr:rowOff>
    </xdr:from>
    <xdr:ext cx="57150" cy="180975"/>
    <xdr:sp macro="" textlink="">
      <xdr:nvSpPr>
        <xdr:cNvPr id="17" name="Shape 10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-19050</xdr:colOff>
      <xdr:row>0</xdr:row>
      <xdr:rowOff>0</xdr:rowOff>
    </xdr:from>
    <xdr:ext cx="57150" cy="180975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-19050</xdr:colOff>
      <xdr:row>0</xdr:row>
      <xdr:rowOff>0</xdr:rowOff>
    </xdr:from>
    <xdr:ext cx="57150" cy="180975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-19050</xdr:colOff>
      <xdr:row>0</xdr:row>
      <xdr:rowOff>0</xdr:rowOff>
    </xdr:from>
    <xdr:ext cx="57150" cy="180975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-19050</xdr:colOff>
      <xdr:row>0</xdr:row>
      <xdr:rowOff>0</xdr:rowOff>
    </xdr:from>
    <xdr:ext cx="57150" cy="180975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-19050</xdr:colOff>
      <xdr:row>0</xdr:row>
      <xdr:rowOff>0</xdr:rowOff>
    </xdr:from>
    <xdr:ext cx="57150" cy="180975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-19050</xdr:colOff>
      <xdr:row>0</xdr:row>
      <xdr:rowOff>0</xdr:rowOff>
    </xdr:from>
    <xdr:ext cx="57150" cy="180975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-19050</xdr:colOff>
      <xdr:row>0</xdr:row>
      <xdr:rowOff>0</xdr:rowOff>
    </xdr:from>
    <xdr:ext cx="57150" cy="180975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-19050</xdr:colOff>
      <xdr:row>0</xdr:row>
      <xdr:rowOff>0</xdr:rowOff>
    </xdr:from>
    <xdr:ext cx="57150" cy="180975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-19050</xdr:colOff>
      <xdr:row>0</xdr:row>
      <xdr:rowOff>0</xdr:rowOff>
    </xdr:from>
    <xdr:ext cx="57150" cy="180975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-19050</xdr:colOff>
      <xdr:row>0</xdr:row>
      <xdr:rowOff>0</xdr:rowOff>
    </xdr:from>
    <xdr:ext cx="57150" cy="180975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-19050</xdr:colOff>
      <xdr:row>0</xdr:row>
      <xdr:rowOff>0</xdr:rowOff>
    </xdr:from>
    <xdr:ext cx="57150" cy="180975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-19050</xdr:colOff>
      <xdr:row>0</xdr:row>
      <xdr:rowOff>0</xdr:rowOff>
    </xdr:from>
    <xdr:ext cx="57150" cy="180975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-19050</xdr:colOff>
      <xdr:row>0</xdr:row>
      <xdr:rowOff>0</xdr:rowOff>
    </xdr:from>
    <xdr:ext cx="57150" cy="180975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-19050</xdr:colOff>
      <xdr:row>0</xdr:row>
      <xdr:rowOff>0</xdr:rowOff>
    </xdr:from>
    <xdr:ext cx="57150" cy="180975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-19050</xdr:colOff>
      <xdr:row>0</xdr:row>
      <xdr:rowOff>0</xdr:rowOff>
    </xdr:from>
    <xdr:ext cx="57150" cy="180975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-19050</xdr:colOff>
      <xdr:row>0</xdr:row>
      <xdr:rowOff>0</xdr:rowOff>
    </xdr:from>
    <xdr:ext cx="57150" cy="180975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  <pageSetUpPr fitToPage="1"/>
  </sheetPr>
  <dimension ref="A1:X1003"/>
  <sheetViews>
    <sheetView tabSelected="1" view="pageBreakPreview" zoomScale="80" zoomScaleNormal="100" zoomScaleSheetLayoutView="80" workbookViewId="0">
      <pane ySplit="1" topLeftCell="A2" activePane="bottomLeft" state="frozen"/>
      <selection pane="bottomLeft" activeCell="H9" sqref="H9"/>
    </sheetView>
  </sheetViews>
  <sheetFormatPr defaultColWidth="12.5703125" defaultRowHeight="15" customHeight="1" outlineLevelCol="1" x14ac:dyDescent="0.2"/>
  <cols>
    <col min="1" max="2" width="8.28515625" style="128" customWidth="1"/>
    <col min="3" max="5" width="17.28515625" style="128" customWidth="1" outlineLevel="1"/>
    <col min="6" max="6" width="5.85546875" style="128" customWidth="1" outlineLevel="1"/>
    <col min="7" max="11" width="17.28515625" style="128" customWidth="1" outlineLevel="1"/>
    <col min="12" max="24" width="14.42578125" style="128" customWidth="1"/>
    <col min="25" max="16384" width="12.5703125" style="128"/>
  </cols>
  <sheetData>
    <row r="1" spans="1:24" ht="30" customHeight="1" x14ac:dyDescent="0.2">
      <c r="A1" s="187" t="s">
        <v>1</v>
      </c>
      <c r="B1" s="187" t="s">
        <v>2</v>
      </c>
      <c r="C1" s="133" t="s">
        <v>10</v>
      </c>
      <c r="D1" s="133" t="s">
        <v>11</v>
      </c>
      <c r="E1" s="133" t="s">
        <v>12</v>
      </c>
      <c r="F1" s="133" t="s">
        <v>13</v>
      </c>
      <c r="G1" s="188" t="s">
        <v>5</v>
      </c>
      <c r="H1" s="188" t="s">
        <v>6</v>
      </c>
      <c r="I1" s="188" t="s">
        <v>7</v>
      </c>
      <c r="J1" s="188" t="s">
        <v>8</v>
      </c>
      <c r="K1" s="188" t="s">
        <v>9</v>
      </c>
    </row>
    <row r="2" spans="1:24" ht="30" customHeight="1" x14ac:dyDescent="0.2">
      <c r="A2" s="130">
        <v>1</v>
      </c>
      <c r="B2" s="131" t="s">
        <v>127</v>
      </c>
      <c r="C2" s="142" t="s">
        <v>301</v>
      </c>
      <c r="D2" s="142" t="s">
        <v>303</v>
      </c>
      <c r="E2" s="142" t="s">
        <v>304</v>
      </c>
      <c r="F2" s="142"/>
      <c r="G2" s="136" t="s">
        <v>239</v>
      </c>
      <c r="H2" s="136" t="s">
        <v>1202</v>
      </c>
      <c r="I2" s="130" t="s">
        <v>132</v>
      </c>
      <c r="J2" s="135">
        <v>44504</v>
      </c>
      <c r="K2" s="130" t="s">
        <v>1204</v>
      </c>
    </row>
    <row r="3" spans="1:24" ht="23.25" customHeight="1" x14ac:dyDescent="0.2">
      <c r="A3" s="130">
        <v>2</v>
      </c>
      <c r="B3" s="131" t="s">
        <v>134</v>
      </c>
      <c r="C3" s="134" t="s">
        <v>361</v>
      </c>
      <c r="D3" s="134" t="s">
        <v>362</v>
      </c>
      <c r="E3" s="134" t="s">
        <v>363</v>
      </c>
      <c r="F3" s="134"/>
      <c r="G3" s="130" t="s">
        <v>239</v>
      </c>
      <c r="H3" s="130" t="s">
        <v>75</v>
      </c>
      <c r="I3" s="130" t="s">
        <v>30</v>
      </c>
      <c r="J3" s="135">
        <v>42994</v>
      </c>
      <c r="K3" s="130" t="s">
        <v>2008</v>
      </c>
    </row>
    <row r="4" spans="1:24" ht="23.25" customHeight="1" x14ac:dyDescent="0.2">
      <c r="A4" s="130">
        <v>3</v>
      </c>
      <c r="B4" s="134" t="s">
        <v>32</v>
      </c>
      <c r="C4" s="131" t="s">
        <v>3749</v>
      </c>
      <c r="D4" s="131" t="s">
        <v>3750</v>
      </c>
      <c r="E4" s="131" t="s">
        <v>3751</v>
      </c>
      <c r="F4" s="131"/>
      <c r="G4" s="130" t="s">
        <v>2278</v>
      </c>
      <c r="H4" s="130" t="s">
        <v>89</v>
      </c>
      <c r="I4" s="130" t="s">
        <v>90</v>
      </c>
      <c r="J4" s="135">
        <v>46281</v>
      </c>
      <c r="K4" s="130">
        <v>9365987882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ht="27" customHeight="1" x14ac:dyDescent="0.2">
      <c r="A5" s="130">
        <v>4</v>
      </c>
      <c r="B5" s="131" t="s">
        <v>376</v>
      </c>
      <c r="C5" s="142" t="s">
        <v>377</v>
      </c>
      <c r="D5" s="142" t="s">
        <v>378</v>
      </c>
      <c r="E5" s="142" t="s">
        <v>379</v>
      </c>
      <c r="F5" s="134"/>
      <c r="G5" s="130" t="s">
        <v>131</v>
      </c>
      <c r="H5" s="130" t="s">
        <v>47</v>
      </c>
      <c r="I5" s="130" t="s">
        <v>132</v>
      </c>
      <c r="J5" s="135">
        <v>44890</v>
      </c>
      <c r="K5" s="130" t="s">
        <v>432</v>
      </c>
    </row>
    <row r="6" spans="1:24" ht="27.75" customHeight="1" x14ac:dyDescent="0.2">
      <c r="A6" s="130">
        <v>5</v>
      </c>
      <c r="B6" s="131" t="s">
        <v>32</v>
      </c>
      <c r="C6" s="134" t="s">
        <v>391</v>
      </c>
      <c r="D6" s="134" t="s">
        <v>393</v>
      </c>
      <c r="E6" s="164" t="s">
        <v>94</v>
      </c>
      <c r="F6" s="134"/>
      <c r="G6" s="130" t="s">
        <v>28</v>
      </c>
      <c r="H6" s="130" t="s">
        <v>29</v>
      </c>
      <c r="I6" s="130" t="s">
        <v>36</v>
      </c>
      <c r="J6" s="135">
        <v>44922</v>
      </c>
      <c r="K6" s="130" t="s">
        <v>1931</v>
      </c>
    </row>
    <row r="7" spans="1:24" ht="23.25" customHeight="1" x14ac:dyDescent="0.2">
      <c r="A7" s="130">
        <v>6</v>
      </c>
      <c r="B7" s="131" t="s">
        <v>32</v>
      </c>
      <c r="C7" s="134" t="s">
        <v>408</v>
      </c>
      <c r="D7" s="134" t="s">
        <v>409</v>
      </c>
      <c r="E7" s="134" t="s">
        <v>410</v>
      </c>
      <c r="F7" s="137"/>
      <c r="G7" s="130" t="s">
        <v>544</v>
      </c>
      <c r="H7" s="130" t="s">
        <v>545</v>
      </c>
      <c r="I7" s="130" t="s">
        <v>36</v>
      </c>
      <c r="J7" s="135">
        <v>44879</v>
      </c>
      <c r="K7" s="130" t="s">
        <v>546</v>
      </c>
    </row>
    <row r="8" spans="1:24" ht="24.75" customHeight="1" x14ac:dyDescent="0.2">
      <c r="A8" s="130">
        <v>7</v>
      </c>
      <c r="B8" s="131" t="s">
        <v>127</v>
      </c>
      <c r="C8" s="142" t="s">
        <v>1168</v>
      </c>
      <c r="D8" s="142" t="s">
        <v>430</v>
      </c>
      <c r="E8" s="142" t="s">
        <v>431</v>
      </c>
      <c r="F8" s="142"/>
      <c r="G8" s="136" t="s">
        <v>291</v>
      </c>
      <c r="H8" s="136" t="s">
        <v>47</v>
      </c>
      <c r="I8" s="130" t="s">
        <v>132</v>
      </c>
      <c r="J8" s="135">
        <v>44455</v>
      </c>
      <c r="K8" s="130" t="s">
        <v>820</v>
      </c>
    </row>
    <row r="9" spans="1:24" ht="22.5" customHeight="1" x14ac:dyDescent="0.2">
      <c r="A9" s="130">
        <v>8</v>
      </c>
      <c r="B9" s="131" t="s">
        <v>42</v>
      </c>
      <c r="C9" s="134" t="s">
        <v>665</v>
      </c>
      <c r="D9" s="134" t="s">
        <v>667</v>
      </c>
      <c r="E9" s="134" t="s">
        <v>668</v>
      </c>
      <c r="F9" s="134"/>
      <c r="G9" s="136" t="s">
        <v>2257</v>
      </c>
      <c r="H9" s="139" t="s">
        <v>195</v>
      </c>
      <c r="I9" s="144" t="s">
        <v>90</v>
      </c>
      <c r="J9" s="135">
        <v>30076</v>
      </c>
      <c r="K9" s="130" t="s">
        <v>2258</v>
      </c>
    </row>
    <row r="10" spans="1:24" ht="22.5" customHeight="1" x14ac:dyDescent="0.2">
      <c r="A10" s="130">
        <v>9</v>
      </c>
      <c r="B10" s="131" t="s">
        <v>42</v>
      </c>
      <c r="C10" s="134" t="s">
        <v>681</v>
      </c>
      <c r="D10" s="134" t="s">
        <v>682</v>
      </c>
      <c r="E10" s="134" t="s">
        <v>683</v>
      </c>
      <c r="F10" s="134"/>
      <c r="G10" s="138" t="s">
        <v>2486</v>
      </c>
      <c r="H10" s="138" t="s">
        <v>96</v>
      </c>
      <c r="I10" s="139" t="s">
        <v>2487</v>
      </c>
      <c r="J10" s="135">
        <v>40830</v>
      </c>
      <c r="K10" s="138" t="s">
        <v>2488</v>
      </c>
    </row>
    <row r="11" spans="1:24" ht="24.75" customHeight="1" x14ac:dyDescent="0.2">
      <c r="A11" s="130">
        <v>10</v>
      </c>
      <c r="B11" s="131" t="s">
        <v>42</v>
      </c>
      <c r="C11" s="134" t="s">
        <v>689</v>
      </c>
      <c r="D11" s="134" t="s">
        <v>690</v>
      </c>
      <c r="E11" s="134" t="s">
        <v>692</v>
      </c>
      <c r="F11" s="134"/>
      <c r="G11" s="138" t="s">
        <v>131</v>
      </c>
      <c r="H11" s="138" t="s">
        <v>96</v>
      </c>
      <c r="I11" s="139" t="s">
        <v>2593</v>
      </c>
      <c r="J11" s="135">
        <v>41599</v>
      </c>
      <c r="K11" s="138" t="s">
        <v>2594</v>
      </c>
    </row>
    <row r="12" spans="1:24" ht="27.75" customHeight="1" x14ac:dyDescent="0.2">
      <c r="A12" s="130">
        <v>11</v>
      </c>
      <c r="B12" s="131" t="s">
        <v>134</v>
      </c>
      <c r="C12" s="134" t="s">
        <v>135</v>
      </c>
      <c r="D12" s="134" t="s">
        <v>136</v>
      </c>
      <c r="E12" s="134" t="s">
        <v>137</v>
      </c>
      <c r="F12" s="134"/>
      <c r="G12" s="130" t="s">
        <v>28</v>
      </c>
      <c r="H12" s="130" t="s">
        <v>75</v>
      </c>
      <c r="I12" s="130" t="s">
        <v>30</v>
      </c>
      <c r="J12" s="135">
        <v>39995</v>
      </c>
      <c r="K12" s="130" t="s">
        <v>139</v>
      </c>
    </row>
    <row r="13" spans="1:24" ht="29.25" customHeight="1" x14ac:dyDescent="0.2">
      <c r="A13" s="130">
        <v>12</v>
      </c>
      <c r="B13" s="131" t="s">
        <v>32</v>
      </c>
      <c r="C13" s="134" t="s">
        <v>907</v>
      </c>
      <c r="D13" s="134" t="s">
        <v>467</v>
      </c>
      <c r="E13" s="134" t="s">
        <v>468</v>
      </c>
      <c r="F13" s="134" t="s">
        <v>181</v>
      </c>
      <c r="G13" s="147" t="s">
        <v>908</v>
      </c>
      <c r="H13" s="147" t="s">
        <v>909</v>
      </c>
      <c r="I13" s="147" t="s">
        <v>2754</v>
      </c>
      <c r="J13" s="135">
        <v>44935</v>
      </c>
      <c r="K13" s="130" t="s">
        <v>2755</v>
      </c>
    </row>
    <row r="14" spans="1:24" ht="27" customHeight="1" x14ac:dyDescent="0.2">
      <c r="A14" s="130">
        <v>13</v>
      </c>
      <c r="B14" s="131" t="s">
        <v>42</v>
      </c>
      <c r="C14" s="142" t="s">
        <v>697</v>
      </c>
      <c r="D14" s="142" t="s">
        <v>698</v>
      </c>
      <c r="E14" s="142" t="s">
        <v>388</v>
      </c>
      <c r="F14" s="134"/>
      <c r="G14" s="138" t="s">
        <v>2490</v>
      </c>
      <c r="H14" s="138" t="s">
        <v>47</v>
      </c>
      <c r="I14" s="139" t="s">
        <v>569</v>
      </c>
      <c r="J14" s="135">
        <v>46106</v>
      </c>
      <c r="K14" s="138" t="s">
        <v>2491</v>
      </c>
    </row>
    <row r="15" spans="1:24" ht="26.25" customHeight="1" x14ac:dyDescent="0.2">
      <c r="A15" s="130">
        <v>14</v>
      </c>
      <c r="B15" s="131" t="s">
        <v>42</v>
      </c>
      <c r="C15" s="134" t="s">
        <v>700</v>
      </c>
      <c r="D15" s="134" t="s">
        <v>701</v>
      </c>
      <c r="E15" s="134" t="s">
        <v>702</v>
      </c>
      <c r="F15" s="134"/>
      <c r="G15" s="138" t="s">
        <v>239</v>
      </c>
      <c r="H15" s="138" t="s">
        <v>47</v>
      </c>
      <c r="I15" s="139" t="s">
        <v>2492</v>
      </c>
      <c r="J15" s="135">
        <v>41389</v>
      </c>
      <c r="K15" s="138" t="s">
        <v>2493</v>
      </c>
    </row>
    <row r="16" spans="1:24" ht="27.75" customHeight="1" x14ac:dyDescent="0.2">
      <c r="A16" s="130">
        <v>15</v>
      </c>
      <c r="B16" s="131" t="s">
        <v>32</v>
      </c>
      <c r="C16" s="134" t="s">
        <v>482</v>
      </c>
      <c r="D16" s="134" t="s">
        <v>483</v>
      </c>
      <c r="E16" s="134" t="s">
        <v>485</v>
      </c>
      <c r="F16" s="134"/>
      <c r="G16" s="130" t="s">
        <v>131</v>
      </c>
      <c r="H16" s="130" t="s">
        <v>385</v>
      </c>
      <c r="I16" s="130" t="s">
        <v>36</v>
      </c>
      <c r="J16" s="135">
        <v>44922</v>
      </c>
      <c r="K16" s="130" t="s">
        <v>981</v>
      </c>
    </row>
    <row r="17" spans="1:24" ht="24.75" customHeight="1" x14ac:dyDescent="0.2">
      <c r="A17" s="130">
        <v>16</v>
      </c>
      <c r="B17" s="131" t="s">
        <v>42</v>
      </c>
      <c r="C17" s="142" t="s">
        <v>512</v>
      </c>
      <c r="D17" s="142" t="s">
        <v>706</v>
      </c>
      <c r="E17" s="142" t="s">
        <v>707</v>
      </c>
      <c r="F17" s="142"/>
      <c r="G17" s="130" t="s">
        <v>368</v>
      </c>
      <c r="H17" s="130" t="s">
        <v>47</v>
      </c>
      <c r="I17" s="130" t="s">
        <v>90</v>
      </c>
      <c r="J17" s="135">
        <v>43846</v>
      </c>
      <c r="K17" s="136" t="s">
        <v>958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ht="21.75" customHeight="1" x14ac:dyDescent="0.2">
      <c r="A18" s="130">
        <v>17</v>
      </c>
      <c r="B18" s="131" t="s">
        <v>69</v>
      </c>
      <c r="C18" s="134" t="s">
        <v>512</v>
      </c>
      <c r="D18" s="134" t="s">
        <v>513</v>
      </c>
      <c r="E18" s="134" t="s">
        <v>514</v>
      </c>
      <c r="F18" s="134"/>
      <c r="G18" s="130" t="s">
        <v>131</v>
      </c>
      <c r="H18" s="130" t="s">
        <v>401</v>
      </c>
      <c r="I18" s="130" t="s">
        <v>182</v>
      </c>
      <c r="J18" s="135">
        <v>42002</v>
      </c>
      <c r="K18" s="130" t="s">
        <v>2304</v>
      </c>
    </row>
    <row r="19" spans="1:24" ht="24.75" customHeight="1" x14ac:dyDescent="0.2">
      <c r="A19" s="130">
        <v>18</v>
      </c>
      <c r="B19" s="131" t="s">
        <v>62</v>
      </c>
      <c r="C19" s="134" t="s">
        <v>1422</v>
      </c>
      <c r="D19" s="134" t="s">
        <v>521</v>
      </c>
      <c r="E19" s="134" t="s">
        <v>523</v>
      </c>
      <c r="F19" s="134" t="s">
        <v>181</v>
      </c>
      <c r="G19" s="130" t="s">
        <v>239</v>
      </c>
      <c r="H19" s="130" t="s">
        <v>205</v>
      </c>
      <c r="I19" s="130" t="s">
        <v>327</v>
      </c>
      <c r="J19" s="135">
        <v>37757</v>
      </c>
      <c r="K19" s="130" t="s">
        <v>1123</v>
      </c>
    </row>
    <row r="20" spans="1:24" ht="24.75" customHeight="1" x14ac:dyDescent="0.2">
      <c r="A20" s="130">
        <v>19</v>
      </c>
      <c r="B20" s="131" t="s">
        <v>127</v>
      </c>
      <c r="C20" s="142" t="s">
        <v>536</v>
      </c>
      <c r="D20" s="142" t="s">
        <v>537</v>
      </c>
      <c r="E20" s="142" t="s">
        <v>538</v>
      </c>
      <c r="F20" s="134"/>
      <c r="G20" s="136" t="s">
        <v>368</v>
      </c>
      <c r="H20" s="136" t="s">
        <v>1372</v>
      </c>
      <c r="I20" s="130" t="s">
        <v>132</v>
      </c>
      <c r="J20" s="135">
        <v>44504</v>
      </c>
      <c r="K20" s="130" t="s">
        <v>2202</v>
      </c>
    </row>
    <row r="21" spans="1:24" ht="22.5" customHeight="1" x14ac:dyDescent="0.2">
      <c r="A21" s="130">
        <v>20</v>
      </c>
      <c r="B21" s="131" t="s">
        <v>32</v>
      </c>
      <c r="C21" s="142" t="s">
        <v>553</v>
      </c>
      <c r="D21" s="142" t="s">
        <v>555</v>
      </c>
      <c r="E21" s="142" t="s">
        <v>556</v>
      </c>
      <c r="F21" s="142"/>
      <c r="G21" s="130" t="s">
        <v>131</v>
      </c>
      <c r="H21" s="130" t="s">
        <v>47</v>
      </c>
      <c r="I21" s="130" t="s">
        <v>30</v>
      </c>
      <c r="J21" s="135">
        <v>43759</v>
      </c>
      <c r="K21" s="130" t="s">
        <v>2109</v>
      </c>
    </row>
    <row r="22" spans="1:24" ht="27.75" customHeight="1" x14ac:dyDescent="0.2">
      <c r="A22" s="130">
        <v>21</v>
      </c>
      <c r="B22" s="131" t="s">
        <v>32</v>
      </c>
      <c r="C22" s="142" t="s">
        <v>577</v>
      </c>
      <c r="D22" s="142" t="s">
        <v>579</v>
      </c>
      <c r="E22" s="142" t="s">
        <v>580</v>
      </c>
      <c r="F22" s="142"/>
      <c r="G22" s="130" t="s">
        <v>368</v>
      </c>
      <c r="H22" s="130" t="s">
        <v>385</v>
      </c>
      <c r="I22" s="130" t="s">
        <v>30</v>
      </c>
      <c r="J22" s="135">
        <v>43759</v>
      </c>
      <c r="K22" s="130" t="s">
        <v>2009</v>
      </c>
    </row>
    <row r="23" spans="1:24" ht="23.25" customHeight="1" x14ac:dyDescent="0.2">
      <c r="A23" s="130">
        <v>22</v>
      </c>
      <c r="B23" s="131" t="s">
        <v>42</v>
      </c>
      <c r="C23" s="134" t="s">
        <v>713</v>
      </c>
      <c r="D23" s="134" t="s">
        <v>714</v>
      </c>
      <c r="E23" s="134" t="s">
        <v>715</v>
      </c>
      <c r="F23" s="134"/>
      <c r="G23" s="130" t="s">
        <v>2278</v>
      </c>
      <c r="H23" s="130" t="s">
        <v>89</v>
      </c>
      <c r="I23" s="136" t="s">
        <v>81</v>
      </c>
      <c r="J23" s="135">
        <v>44971</v>
      </c>
      <c r="K23" s="130" t="s">
        <v>2279</v>
      </c>
    </row>
    <row r="24" spans="1:24" ht="22.5" customHeight="1" x14ac:dyDescent="0.2">
      <c r="A24" s="130">
        <v>23</v>
      </c>
      <c r="B24" s="131" t="s">
        <v>42</v>
      </c>
      <c r="C24" s="134" t="s">
        <v>719</v>
      </c>
      <c r="D24" s="134" t="s">
        <v>720</v>
      </c>
      <c r="E24" s="134" t="s">
        <v>721</v>
      </c>
      <c r="F24" s="142"/>
      <c r="G24" s="136" t="s">
        <v>239</v>
      </c>
      <c r="H24" s="130" t="s">
        <v>96</v>
      </c>
      <c r="I24" s="144" t="s">
        <v>90</v>
      </c>
      <c r="J24" s="135">
        <v>45733</v>
      </c>
      <c r="K24" s="152" t="s">
        <v>2595</v>
      </c>
    </row>
    <row r="25" spans="1:24" ht="25.5" customHeight="1" x14ac:dyDescent="0.2">
      <c r="A25" s="130">
        <v>24</v>
      </c>
      <c r="B25" s="131" t="s">
        <v>42</v>
      </c>
      <c r="C25" s="134" t="s">
        <v>625</v>
      </c>
      <c r="D25" s="134" t="s">
        <v>364</v>
      </c>
      <c r="E25" s="134" t="s">
        <v>365</v>
      </c>
      <c r="F25" s="134"/>
      <c r="G25" s="147" t="s">
        <v>368</v>
      </c>
      <c r="H25" s="147" t="s">
        <v>369</v>
      </c>
      <c r="I25" s="136" t="s">
        <v>148</v>
      </c>
      <c r="J25" s="135">
        <v>44935</v>
      </c>
      <c r="K25" s="138" t="s">
        <v>370</v>
      </c>
    </row>
    <row r="26" spans="1:24" ht="24" customHeight="1" x14ac:dyDescent="0.2">
      <c r="A26" s="130">
        <v>25</v>
      </c>
      <c r="B26" s="131" t="s">
        <v>42</v>
      </c>
      <c r="C26" s="134" t="s">
        <v>730</v>
      </c>
      <c r="D26" s="134" t="s">
        <v>731</v>
      </c>
      <c r="E26" s="134" t="s">
        <v>735</v>
      </c>
      <c r="F26" s="134"/>
      <c r="G26" s="138" t="s">
        <v>829</v>
      </c>
      <c r="H26" s="138" t="s">
        <v>89</v>
      </c>
      <c r="I26" s="139" t="s">
        <v>2683</v>
      </c>
      <c r="J26" s="135">
        <v>42500</v>
      </c>
      <c r="K26" s="130" t="s">
        <v>2684</v>
      </c>
    </row>
    <row r="27" spans="1:24" ht="24.75" customHeight="1" x14ac:dyDescent="0.2">
      <c r="A27" s="130">
        <v>26</v>
      </c>
      <c r="B27" s="131" t="s">
        <v>42</v>
      </c>
      <c r="C27" s="134" t="s">
        <v>2408</v>
      </c>
      <c r="D27" s="134" t="s">
        <v>742</v>
      </c>
      <c r="E27" s="134" t="s">
        <v>743</v>
      </c>
      <c r="F27" s="134"/>
      <c r="G27" s="138" t="s">
        <v>2409</v>
      </c>
      <c r="H27" s="138" t="s">
        <v>484</v>
      </c>
      <c r="I27" s="139" t="s">
        <v>452</v>
      </c>
      <c r="J27" s="135">
        <v>33604</v>
      </c>
      <c r="K27" s="130" t="s">
        <v>2410</v>
      </c>
    </row>
    <row r="28" spans="1:24" ht="24" customHeight="1" x14ac:dyDescent="0.2">
      <c r="A28" s="130">
        <v>27</v>
      </c>
      <c r="B28" s="131" t="s">
        <v>42</v>
      </c>
      <c r="C28" s="134" t="s">
        <v>590</v>
      </c>
      <c r="D28" s="134" t="s">
        <v>755</v>
      </c>
      <c r="E28" s="134" t="s">
        <v>194</v>
      </c>
      <c r="F28" s="134"/>
      <c r="G28" s="138" t="s">
        <v>66</v>
      </c>
      <c r="H28" s="138" t="s">
        <v>47</v>
      </c>
      <c r="I28" s="139" t="s">
        <v>2596</v>
      </c>
      <c r="J28" s="135">
        <v>40626</v>
      </c>
      <c r="K28" s="138" t="s">
        <v>2597</v>
      </c>
    </row>
    <row r="29" spans="1:24" ht="24" customHeight="1" x14ac:dyDescent="0.2">
      <c r="A29" s="130">
        <v>28</v>
      </c>
      <c r="B29" s="131" t="s">
        <v>57</v>
      </c>
      <c r="C29" s="134" t="s">
        <v>590</v>
      </c>
      <c r="D29" s="134" t="s">
        <v>615</v>
      </c>
      <c r="E29" s="134" t="s">
        <v>367</v>
      </c>
      <c r="F29" s="134"/>
      <c r="G29" s="130" t="s">
        <v>239</v>
      </c>
      <c r="H29" s="130" t="s">
        <v>2703</v>
      </c>
      <c r="I29" s="130" t="s">
        <v>21</v>
      </c>
      <c r="J29" s="135">
        <v>37201</v>
      </c>
      <c r="K29" s="130" t="s">
        <v>2201</v>
      </c>
    </row>
    <row r="30" spans="1:24" ht="24.75" customHeight="1" x14ac:dyDescent="0.2">
      <c r="A30" s="130">
        <v>29</v>
      </c>
      <c r="B30" s="131" t="s">
        <v>57</v>
      </c>
      <c r="C30" s="134" t="s">
        <v>590</v>
      </c>
      <c r="D30" s="134" t="s">
        <v>591</v>
      </c>
      <c r="E30" s="134" t="s">
        <v>194</v>
      </c>
      <c r="F30" s="134"/>
      <c r="G30" s="130" t="s">
        <v>2751</v>
      </c>
      <c r="H30" s="136" t="s">
        <v>2752</v>
      </c>
      <c r="I30" s="130" t="s">
        <v>21</v>
      </c>
      <c r="J30" s="135">
        <v>36857</v>
      </c>
      <c r="K30" s="130" t="s">
        <v>2224</v>
      </c>
    </row>
    <row r="31" spans="1:24" ht="23.25" customHeight="1" x14ac:dyDescent="0.2">
      <c r="A31" s="130">
        <v>30</v>
      </c>
      <c r="B31" s="131" t="s">
        <v>127</v>
      </c>
      <c r="C31" s="142" t="s">
        <v>335</v>
      </c>
      <c r="D31" s="142" t="s">
        <v>336</v>
      </c>
      <c r="E31" s="142" t="s">
        <v>337</v>
      </c>
      <c r="F31" s="142"/>
      <c r="G31" s="136" t="s">
        <v>131</v>
      </c>
      <c r="H31" s="136" t="s">
        <v>47</v>
      </c>
      <c r="I31" s="130" t="s">
        <v>132</v>
      </c>
      <c r="J31" s="135">
        <v>44455</v>
      </c>
      <c r="K31" s="130" t="s">
        <v>339</v>
      </c>
    </row>
    <row r="32" spans="1:24" ht="24" customHeight="1" x14ac:dyDescent="0.2">
      <c r="A32" s="130">
        <v>31</v>
      </c>
      <c r="B32" s="131" t="s">
        <v>42</v>
      </c>
      <c r="C32" s="134" t="s">
        <v>762</v>
      </c>
      <c r="D32" s="134" t="s">
        <v>764</v>
      </c>
      <c r="E32" s="134" t="s">
        <v>765</v>
      </c>
      <c r="F32" s="134"/>
      <c r="G32" s="139" t="s">
        <v>2494</v>
      </c>
      <c r="H32" s="144" t="s">
        <v>47</v>
      </c>
      <c r="I32" s="139" t="s">
        <v>2495</v>
      </c>
      <c r="J32" s="135">
        <v>35869</v>
      </c>
      <c r="K32" s="138" t="s">
        <v>2496</v>
      </c>
    </row>
    <row r="33" spans="1:24" ht="23.25" customHeight="1" x14ac:dyDescent="0.2">
      <c r="A33" s="130">
        <v>32</v>
      </c>
      <c r="B33" s="131" t="s">
        <v>42</v>
      </c>
      <c r="C33" s="134" t="s">
        <v>771</v>
      </c>
      <c r="D33" s="134" t="s">
        <v>599</v>
      </c>
      <c r="E33" s="134" t="s">
        <v>772</v>
      </c>
      <c r="F33" s="134"/>
      <c r="G33" s="143" t="s">
        <v>2757</v>
      </c>
      <c r="H33" s="139" t="s">
        <v>484</v>
      </c>
      <c r="I33" s="139" t="s">
        <v>2758</v>
      </c>
      <c r="J33" s="135">
        <v>42650</v>
      </c>
      <c r="K33" s="138" t="s">
        <v>2759</v>
      </c>
    </row>
    <row r="34" spans="1:24" ht="27.75" customHeight="1" x14ac:dyDescent="0.2">
      <c r="A34" s="130">
        <v>33</v>
      </c>
      <c r="B34" s="131" t="s">
        <v>42</v>
      </c>
      <c r="C34" s="134" t="s">
        <v>164</v>
      </c>
      <c r="D34" s="134" t="s">
        <v>165</v>
      </c>
      <c r="E34" s="134" t="s">
        <v>166</v>
      </c>
      <c r="F34" s="134"/>
      <c r="G34" s="130" t="s">
        <v>167</v>
      </c>
      <c r="H34" s="130" t="s">
        <v>168</v>
      </c>
      <c r="I34" s="139" t="s">
        <v>169</v>
      </c>
      <c r="J34" s="135">
        <v>40876</v>
      </c>
      <c r="K34" s="130" t="s">
        <v>170</v>
      </c>
    </row>
    <row r="35" spans="1:24" ht="24" customHeight="1" x14ac:dyDescent="0.2">
      <c r="A35" s="130">
        <v>34</v>
      </c>
      <c r="B35" s="131" t="s">
        <v>318</v>
      </c>
      <c r="C35" s="134" t="s">
        <v>386</v>
      </c>
      <c r="D35" s="134" t="s">
        <v>387</v>
      </c>
      <c r="E35" s="134" t="s">
        <v>388</v>
      </c>
      <c r="F35" s="134"/>
      <c r="G35" s="130" t="s">
        <v>239</v>
      </c>
      <c r="H35" s="138" t="s">
        <v>411</v>
      </c>
      <c r="I35" s="139" t="s">
        <v>327</v>
      </c>
      <c r="J35" s="135">
        <v>43147</v>
      </c>
      <c r="K35" s="130" t="s">
        <v>392</v>
      </c>
    </row>
    <row r="36" spans="1:24" ht="24" customHeight="1" x14ac:dyDescent="0.2">
      <c r="A36" s="130">
        <v>35</v>
      </c>
      <c r="B36" s="131" t="s">
        <v>62</v>
      </c>
      <c r="C36" s="134" t="s">
        <v>656</v>
      </c>
      <c r="D36" s="134" t="s">
        <v>657</v>
      </c>
      <c r="E36" s="134" t="s">
        <v>659</v>
      </c>
      <c r="F36" s="134"/>
      <c r="G36" s="130" t="s">
        <v>66</v>
      </c>
      <c r="H36" s="130" t="s">
        <v>89</v>
      </c>
      <c r="I36" s="130" t="s">
        <v>21</v>
      </c>
      <c r="J36" s="135">
        <v>38236</v>
      </c>
      <c r="K36" s="136" t="s">
        <v>1839</v>
      </c>
    </row>
    <row r="37" spans="1:24" ht="23.25" customHeight="1" x14ac:dyDescent="0.2">
      <c r="A37" s="130">
        <v>36</v>
      </c>
      <c r="B37" s="131" t="s">
        <v>32</v>
      </c>
      <c r="C37" s="134" t="s">
        <v>677</v>
      </c>
      <c r="D37" s="134" t="s">
        <v>679</v>
      </c>
      <c r="E37" s="134" t="s">
        <v>680</v>
      </c>
      <c r="F37" s="134"/>
      <c r="G37" s="130" t="s">
        <v>28</v>
      </c>
      <c r="H37" s="130" t="s">
        <v>29</v>
      </c>
      <c r="I37" s="130" t="s">
        <v>36</v>
      </c>
      <c r="J37" s="135">
        <v>44922</v>
      </c>
      <c r="K37" s="136" t="s">
        <v>1306</v>
      </c>
    </row>
    <row r="38" spans="1:24" ht="30" customHeight="1" x14ac:dyDescent="0.2">
      <c r="A38" s="130">
        <v>37</v>
      </c>
      <c r="B38" s="131" t="s">
        <v>42</v>
      </c>
      <c r="C38" s="134" t="s">
        <v>788</v>
      </c>
      <c r="D38" s="134" t="s">
        <v>790</v>
      </c>
      <c r="E38" s="134" t="s">
        <v>791</v>
      </c>
      <c r="F38" s="134"/>
      <c r="G38" s="138" t="s">
        <v>829</v>
      </c>
      <c r="H38" s="138" t="s">
        <v>1107</v>
      </c>
      <c r="I38" s="139" t="s">
        <v>2223</v>
      </c>
      <c r="J38" s="135">
        <v>40962</v>
      </c>
      <c r="K38" s="130" t="s">
        <v>2225</v>
      </c>
    </row>
    <row r="39" spans="1:24" ht="24.75" customHeight="1" x14ac:dyDescent="0.2">
      <c r="A39" s="130">
        <v>38</v>
      </c>
      <c r="B39" s="131" t="s">
        <v>32</v>
      </c>
      <c r="C39" s="134" t="s">
        <v>691</v>
      </c>
      <c r="D39" s="134" t="s">
        <v>693</v>
      </c>
      <c r="E39" s="134" t="s">
        <v>695</v>
      </c>
      <c r="F39" s="134"/>
      <c r="G39" s="130" t="s">
        <v>28</v>
      </c>
      <c r="H39" s="130" t="s">
        <v>29</v>
      </c>
      <c r="I39" s="130" t="s">
        <v>36</v>
      </c>
      <c r="J39" s="135">
        <v>44922</v>
      </c>
      <c r="K39" s="130" t="s">
        <v>1987</v>
      </c>
    </row>
    <row r="40" spans="1:24" ht="27.75" customHeight="1" x14ac:dyDescent="0.2">
      <c r="A40" s="130">
        <v>39</v>
      </c>
      <c r="B40" s="131" t="s">
        <v>318</v>
      </c>
      <c r="C40" s="134" t="s">
        <v>1368</v>
      </c>
      <c r="D40" s="134" t="s">
        <v>711</v>
      </c>
      <c r="E40" s="134" t="s">
        <v>712</v>
      </c>
      <c r="F40" s="137"/>
      <c r="G40" s="130" t="s">
        <v>239</v>
      </c>
      <c r="H40" s="136" t="s">
        <v>1372</v>
      </c>
      <c r="I40" s="139" t="s">
        <v>327</v>
      </c>
      <c r="J40" s="135">
        <v>40969</v>
      </c>
      <c r="K40" s="130" t="s">
        <v>1051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 ht="27.75" customHeight="1" x14ac:dyDescent="0.2">
      <c r="A41" s="130">
        <v>40</v>
      </c>
      <c r="B41" s="131" t="s">
        <v>62</v>
      </c>
      <c r="C41" s="134" t="s">
        <v>1471</v>
      </c>
      <c r="D41" s="134" t="s">
        <v>723</v>
      </c>
      <c r="E41" s="134" t="s">
        <v>724</v>
      </c>
      <c r="F41" s="134"/>
      <c r="G41" s="130" t="s">
        <v>66</v>
      </c>
      <c r="H41" s="130" t="s">
        <v>47</v>
      </c>
      <c r="I41" s="130" t="s">
        <v>327</v>
      </c>
      <c r="J41" s="135">
        <v>37757</v>
      </c>
      <c r="K41" s="138" t="s">
        <v>1479</v>
      </c>
    </row>
    <row r="42" spans="1:24" ht="27.75" customHeight="1" x14ac:dyDescent="0.2">
      <c r="A42" s="130">
        <v>41</v>
      </c>
      <c r="B42" s="131" t="s">
        <v>134</v>
      </c>
      <c r="C42" s="134" t="s">
        <v>751</v>
      </c>
      <c r="D42" s="134" t="s">
        <v>752</v>
      </c>
      <c r="E42" s="134" t="s">
        <v>753</v>
      </c>
      <c r="F42" s="134"/>
      <c r="G42" s="130" t="s">
        <v>131</v>
      </c>
      <c r="H42" s="130" t="s">
        <v>205</v>
      </c>
      <c r="I42" s="130" t="s">
        <v>30</v>
      </c>
      <c r="J42" s="135">
        <v>42994</v>
      </c>
      <c r="K42" s="130" t="s">
        <v>2057</v>
      </c>
    </row>
    <row r="43" spans="1:24" ht="27.75" customHeight="1" x14ac:dyDescent="0.2">
      <c r="A43" s="130">
        <v>42</v>
      </c>
      <c r="B43" s="131" t="s">
        <v>32</v>
      </c>
      <c r="C43" s="134" t="s">
        <v>780</v>
      </c>
      <c r="D43" s="134" t="s">
        <v>781</v>
      </c>
      <c r="E43" s="134" t="s">
        <v>783</v>
      </c>
      <c r="F43" s="134"/>
      <c r="G43" s="130" t="s">
        <v>28</v>
      </c>
      <c r="H43" s="130" t="s">
        <v>29</v>
      </c>
      <c r="I43" s="130" t="s">
        <v>36</v>
      </c>
      <c r="J43" s="135">
        <v>44922</v>
      </c>
      <c r="K43" s="130" t="s">
        <v>2449</v>
      </c>
    </row>
    <row r="44" spans="1:24" ht="27.75" customHeight="1" x14ac:dyDescent="0.2">
      <c r="A44" s="130">
        <v>43</v>
      </c>
      <c r="B44" s="131" t="s">
        <v>127</v>
      </c>
      <c r="C44" s="142" t="s">
        <v>802</v>
      </c>
      <c r="D44" s="142" t="s">
        <v>803</v>
      </c>
      <c r="E44" s="142" t="s">
        <v>804</v>
      </c>
      <c r="F44" s="134"/>
      <c r="G44" s="136" t="s">
        <v>239</v>
      </c>
      <c r="H44" s="136" t="s">
        <v>205</v>
      </c>
      <c r="I44" s="130" t="s">
        <v>132</v>
      </c>
      <c r="J44" s="135">
        <v>44504</v>
      </c>
      <c r="K44" s="130" t="s">
        <v>808</v>
      </c>
    </row>
    <row r="45" spans="1:24" ht="25.5" customHeight="1" x14ac:dyDescent="0.2">
      <c r="A45" s="130">
        <v>44</v>
      </c>
      <c r="B45" s="131" t="s">
        <v>62</v>
      </c>
      <c r="C45" s="134" t="s">
        <v>813</v>
      </c>
      <c r="D45" s="134" t="s">
        <v>815</v>
      </c>
      <c r="E45" s="134" t="s">
        <v>817</v>
      </c>
      <c r="F45" s="134"/>
      <c r="G45" s="130" t="s">
        <v>239</v>
      </c>
      <c r="H45" s="130" t="s">
        <v>205</v>
      </c>
      <c r="I45" s="130" t="s">
        <v>21</v>
      </c>
      <c r="J45" s="135">
        <v>39692</v>
      </c>
      <c r="K45" s="130" t="s">
        <v>1868</v>
      </c>
    </row>
    <row r="46" spans="1:24" ht="23.25" customHeight="1" x14ac:dyDescent="0.2">
      <c r="A46" s="130">
        <v>45</v>
      </c>
      <c r="B46" s="131" t="s">
        <v>127</v>
      </c>
      <c r="C46" s="134" t="s">
        <v>952</v>
      </c>
      <c r="D46" s="134" t="s">
        <v>953</v>
      </c>
      <c r="E46" s="134" t="s">
        <v>954</v>
      </c>
      <c r="F46" s="134"/>
      <c r="G46" s="130" t="s">
        <v>2446</v>
      </c>
      <c r="H46" s="130" t="s">
        <v>205</v>
      </c>
      <c r="I46" s="136" t="s">
        <v>206</v>
      </c>
      <c r="J46" s="135">
        <v>43542</v>
      </c>
      <c r="K46" s="130" t="s">
        <v>2007</v>
      </c>
    </row>
    <row r="47" spans="1:24" ht="27.75" customHeight="1" x14ac:dyDescent="0.2">
      <c r="A47" s="130">
        <v>46</v>
      </c>
      <c r="B47" s="131" t="s">
        <v>32</v>
      </c>
      <c r="C47" s="134" t="s">
        <v>868</v>
      </c>
      <c r="D47" s="134" t="s">
        <v>869</v>
      </c>
      <c r="E47" s="134" t="s">
        <v>872</v>
      </c>
      <c r="F47" s="134"/>
      <c r="G47" s="130" t="s">
        <v>28</v>
      </c>
      <c r="H47" s="130" t="s">
        <v>29</v>
      </c>
      <c r="I47" s="130" t="s">
        <v>36</v>
      </c>
      <c r="J47" s="135">
        <v>44922</v>
      </c>
      <c r="K47" s="130" t="s">
        <v>2450</v>
      </c>
    </row>
    <row r="48" spans="1:24" ht="27.75" customHeight="1" x14ac:dyDescent="0.2">
      <c r="A48" s="130">
        <v>47</v>
      </c>
      <c r="B48" s="131" t="s">
        <v>32</v>
      </c>
      <c r="C48" s="134" t="s">
        <v>884</v>
      </c>
      <c r="D48" s="134" t="s">
        <v>886</v>
      </c>
      <c r="E48" s="134" t="s">
        <v>887</v>
      </c>
      <c r="F48" s="134"/>
      <c r="G48" s="130" t="s">
        <v>28</v>
      </c>
      <c r="H48" s="130" t="s">
        <v>29</v>
      </c>
      <c r="I48" s="130" t="s">
        <v>30</v>
      </c>
      <c r="J48" s="135">
        <v>44922</v>
      </c>
      <c r="K48" s="130" t="s">
        <v>2209</v>
      </c>
    </row>
    <row r="49" spans="1:24" ht="27.75" customHeight="1" x14ac:dyDescent="0.2">
      <c r="A49" s="130">
        <v>48</v>
      </c>
      <c r="B49" s="131" t="s">
        <v>42</v>
      </c>
      <c r="C49" s="134" t="s">
        <v>795</v>
      </c>
      <c r="D49" s="134" t="s">
        <v>796</v>
      </c>
      <c r="E49" s="134" t="s">
        <v>2329</v>
      </c>
      <c r="F49" s="134"/>
      <c r="G49" s="130" t="s">
        <v>2330</v>
      </c>
      <c r="H49" s="144" t="s">
        <v>2331</v>
      </c>
      <c r="I49" s="144" t="s">
        <v>90</v>
      </c>
      <c r="J49" s="135">
        <v>40626</v>
      </c>
      <c r="K49" s="130" t="s">
        <v>2332</v>
      </c>
    </row>
    <row r="50" spans="1:24" ht="27.75" customHeight="1" x14ac:dyDescent="0.2">
      <c r="A50" s="130">
        <v>49</v>
      </c>
      <c r="B50" s="131" t="s">
        <v>62</v>
      </c>
      <c r="C50" s="134" t="s">
        <v>2083</v>
      </c>
      <c r="D50" s="134" t="s">
        <v>893</v>
      </c>
      <c r="E50" s="134" t="s">
        <v>894</v>
      </c>
      <c r="F50" s="134"/>
      <c r="G50" s="130" t="s">
        <v>2084</v>
      </c>
      <c r="H50" s="136" t="s">
        <v>2085</v>
      </c>
      <c r="I50" s="139" t="s">
        <v>21</v>
      </c>
      <c r="J50" s="135">
        <v>38246</v>
      </c>
      <c r="K50" s="130" t="s">
        <v>1838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spans="1:24" ht="27.75" customHeight="1" x14ac:dyDescent="0.2">
      <c r="A51" s="130">
        <v>50</v>
      </c>
      <c r="B51" s="131" t="s">
        <v>134</v>
      </c>
      <c r="C51" s="134" t="s">
        <v>910</v>
      </c>
      <c r="D51" s="134" t="s">
        <v>911</v>
      </c>
      <c r="E51" s="134" t="s">
        <v>898</v>
      </c>
      <c r="F51" s="134"/>
      <c r="G51" s="130" t="s">
        <v>2305</v>
      </c>
      <c r="H51" s="136" t="s">
        <v>75</v>
      </c>
      <c r="I51" s="130" t="s">
        <v>30</v>
      </c>
      <c r="J51" s="135">
        <v>42994</v>
      </c>
      <c r="K51" s="130" t="s">
        <v>2306</v>
      </c>
    </row>
    <row r="52" spans="1:24" ht="20.25" customHeight="1" x14ac:dyDescent="0.2">
      <c r="A52" s="130">
        <v>51</v>
      </c>
      <c r="B52" s="131" t="s">
        <v>42</v>
      </c>
      <c r="C52" s="134" t="s">
        <v>799</v>
      </c>
      <c r="D52" s="142" t="s">
        <v>800</v>
      </c>
      <c r="E52" s="134" t="s">
        <v>801</v>
      </c>
      <c r="F52" s="134"/>
      <c r="G52" s="130" t="s">
        <v>239</v>
      </c>
      <c r="H52" s="144" t="s">
        <v>47</v>
      </c>
      <c r="I52" s="144" t="s">
        <v>90</v>
      </c>
      <c r="J52" s="135">
        <v>42500</v>
      </c>
      <c r="K52" s="130" t="s">
        <v>2497</v>
      </c>
    </row>
    <row r="53" spans="1:24" ht="24.75" customHeight="1" x14ac:dyDescent="0.2">
      <c r="A53" s="130">
        <v>52</v>
      </c>
      <c r="B53" s="131" t="s">
        <v>32</v>
      </c>
      <c r="C53" s="134" t="s">
        <v>932</v>
      </c>
      <c r="D53" s="134" t="s">
        <v>934</v>
      </c>
      <c r="E53" s="134" t="s">
        <v>1652</v>
      </c>
      <c r="F53" s="137"/>
      <c r="G53" s="130" t="s">
        <v>1653</v>
      </c>
      <c r="H53" s="130" t="s">
        <v>212</v>
      </c>
      <c r="I53" s="130" t="s">
        <v>36</v>
      </c>
      <c r="J53" s="135">
        <v>44879</v>
      </c>
      <c r="K53" s="138" t="s">
        <v>1655</v>
      </c>
    </row>
    <row r="54" spans="1:24" ht="21" customHeight="1" x14ac:dyDescent="0.2">
      <c r="A54" s="130">
        <v>53</v>
      </c>
      <c r="B54" s="131" t="s">
        <v>376</v>
      </c>
      <c r="C54" s="134" t="s">
        <v>1089</v>
      </c>
      <c r="D54" s="134" t="s">
        <v>1090</v>
      </c>
      <c r="E54" s="134" t="s">
        <v>1091</v>
      </c>
      <c r="F54" s="134"/>
      <c r="G54" s="130" t="s">
        <v>368</v>
      </c>
      <c r="H54" s="130" t="s">
        <v>205</v>
      </c>
      <c r="I54" s="130" t="s">
        <v>132</v>
      </c>
      <c r="J54" s="135">
        <v>44890</v>
      </c>
      <c r="K54" s="130" t="s">
        <v>2146</v>
      </c>
    </row>
    <row r="55" spans="1:24" ht="21.75" customHeight="1" x14ac:dyDescent="0.2">
      <c r="A55" s="130">
        <v>54</v>
      </c>
      <c r="B55" s="131" t="s">
        <v>32</v>
      </c>
      <c r="C55" s="134" t="s">
        <v>844</v>
      </c>
      <c r="D55" s="134" t="s">
        <v>847</v>
      </c>
      <c r="E55" s="134" t="s">
        <v>849</v>
      </c>
      <c r="F55" s="134"/>
      <c r="G55" s="130" t="s">
        <v>28</v>
      </c>
      <c r="H55" s="130" t="s">
        <v>29</v>
      </c>
      <c r="I55" s="130" t="s">
        <v>36</v>
      </c>
      <c r="J55" s="135">
        <v>44922</v>
      </c>
      <c r="K55" s="130" t="s">
        <v>851</v>
      </c>
    </row>
    <row r="56" spans="1:24" ht="24.75" customHeight="1" x14ac:dyDescent="0.2">
      <c r="A56" s="130">
        <v>55</v>
      </c>
      <c r="B56" s="131" t="s">
        <v>42</v>
      </c>
      <c r="C56" s="134" t="s">
        <v>805</v>
      </c>
      <c r="D56" s="134" t="s">
        <v>806</v>
      </c>
      <c r="E56" s="134" t="s">
        <v>807</v>
      </c>
      <c r="F56" s="134"/>
      <c r="G56" s="144" t="s">
        <v>283</v>
      </c>
      <c r="H56" s="144" t="s">
        <v>47</v>
      </c>
      <c r="I56" s="139" t="s">
        <v>2721</v>
      </c>
      <c r="J56" s="135">
        <v>40626</v>
      </c>
      <c r="K56" s="130" t="s">
        <v>2722</v>
      </c>
    </row>
    <row r="57" spans="1:24" ht="24.75" customHeight="1" x14ac:dyDescent="0.2">
      <c r="A57" s="130">
        <v>56</v>
      </c>
      <c r="B57" s="131" t="s">
        <v>323</v>
      </c>
      <c r="C57" s="134" t="s">
        <v>990</v>
      </c>
      <c r="D57" s="134" t="s">
        <v>995</v>
      </c>
      <c r="E57" s="134" t="s">
        <v>992</v>
      </c>
      <c r="F57" s="134"/>
      <c r="G57" s="130" t="s">
        <v>131</v>
      </c>
      <c r="H57" s="130" t="s">
        <v>526</v>
      </c>
      <c r="I57" s="130" t="s">
        <v>206</v>
      </c>
      <c r="J57" s="135">
        <v>42997</v>
      </c>
      <c r="K57" s="138" t="s">
        <v>2204</v>
      </c>
    </row>
    <row r="58" spans="1:24" ht="23.25" customHeight="1" x14ac:dyDescent="0.2">
      <c r="A58" s="130">
        <v>57</v>
      </c>
      <c r="B58" s="131" t="s">
        <v>32</v>
      </c>
      <c r="C58" s="134" t="s">
        <v>1018</v>
      </c>
      <c r="D58" s="134" t="s">
        <v>1019</v>
      </c>
      <c r="E58" s="134" t="s">
        <v>1021</v>
      </c>
      <c r="F58" s="137"/>
      <c r="G58" s="130" t="s">
        <v>131</v>
      </c>
      <c r="H58" s="130" t="s">
        <v>212</v>
      </c>
      <c r="I58" s="130" t="s">
        <v>36</v>
      </c>
      <c r="J58" s="135">
        <v>44879</v>
      </c>
      <c r="K58" s="130" t="s">
        <v>2065</v>
      </c>
    </row>
    <row r="59" spans="1:24" ht="21" customHeight="1" x14ac:dyDescent="0.2">
      <c r="A59" s="130">
        <v>58</v>
      </c>
      <c r="B59" s="131" t="s">
        <v>32</v>
      </c>
      <c r="C59" s="134" t="s">
        <v>809</v>
      </c>
      <c r="D59" s="134" t="s">
        <v>1030</v>
      </c>
      <c r="E59" s="134" t="s">
        <v>1031</v>
      </c>
      <c r="F59" s="134" t="s">
        <v>181</v>
      </c>
      <c r="G59" s="130" t="s">
        <v>28</v>
      </c>
      <c r="H59" s="130" t="s">
        <v>29</v>
      </c>
      <c r="I59" s="130" t="s">
        <v>36</v>
      </c>
      <c r="J59" s="135">
        <v>44922</v>
      </c>
      <c r="K59" s="130" t="s">
        <v>2035</v>
      </c>
    </row>
    <row r="60" spans="1:24" ht="23.25" customHeight="1" x14ac:dyDescent="0.2">
      <c r="A60" s="130">
        <v>59</v>
      </c>
      <c r="B60" s="131" t="s">
        <v>42</v>
      </c>
      <c r="C60" s="134" t="s">
        <v>809</v>
      </c>
      <c r="D60" s="134" t="s">
        <v>64</v>
      </c>
      <c r="E60" s="134" t="s">
        <v>810</v>
      </c>
      <c r="F60" s="134"/>
      <c r="G60" s="139" t="s">
        <v>2723</v>
      </c>
      <c r="H60" s="144" t="s">
        <v>477</v>
      </c>
      <c r="I60" s="130" t="s">
        <v>2724</v>
      </c>
      <c r="J60" s="135">
        <v>44935</v>
      </c>
      <c r="K60" s="130" t="s">
        <v>2725</v>
      </c>
    </row>
    <row r="61" spans="1:24" ht="24.75" customHeight="1" x14ac:dyDescent="0.2">
      <c r="A61" s="130">
        <v>60</v>
      </c>
      <c r="B61" s="131" t="s">
        <v>32</v>
      </c>
      <c r="C61" s="134" t="s">
        <v>1052</v>
      </c>
      <c r="D61" s="134" t="s">
        <v>1053</v>
      </c>
      <c r="E61" s="134" t="s">
        <v>1054</v>
      </c>
      <c r="F61" s="137"/>
      <c r="G61" s="130" t="s">
        <v>239</v>
      </c>
      <c r="H61" s="130" t="s">
        <v>212</v>
      </c>
      <c r="I61" s="130" t="s">
        <v>30</v>
      </c>
      <c r="J61" s="135">
        <v>44879</v>
      </c>
      <c r="K61" s="130" t="s">
        <v>2010</v>
      </c>
    </row>
    <row r="62" spans="1:24" ht="24.75" customHeight="1" x14ac:dyDescent="0.2">
      <c r="A62" s="130">
        <v>61</v>
      </c>
      <c r="B62" s="131" t="s">
        <v>42</v>
      </c>
      <c r="C62" s="134" t="s">
        <v>43</v>
      </c>
      <c r="D62" s="134" t="s">
        <v>44</v>
      </c>
      <c r="E62" s="134" t="s">
        <v>45</v>
      </c>
      <c r="F62" s="134"/>
      <c r="G62" s="136" t="s">
        <v>46</v>
      </c>
      <c r="H62" s="130" t="s">
        <v>47</v>
      </c>
      <c r="I62" s="136" t="s">
        <v>48</v>
      </c>
      <c r="J62" s="135">
        <v>43438</v>
      </c>
      <c r="K62" s="130" t="s">
        <v>49</v>
      </c>
    </row>
    <row r="63" spans="1:24" ht="22.5" customHeight="1" x14ac:dyDescent="0.2">
      <c r="A63" s="130">
        <v>62</v>
      </c>
      <c r="B63" s="131" t="s">
        <v>528</v>
      </c>
      <c r="C63" s="134" t="s">
        <v>1063</v>
      </c>
      <c r="D63" s="134" t="s">
        <v>1065</v>
      </c>
      <c r="E63" s="134" t="s">
        <v>1066</v>
      </c>
      <c r="F63" s="134"/>
      <c r="G63" s="130" t="s">
        <v>28</v>
      </c>
      <c r="H63" s="130" t="s">
        <v>89</v>
      </c>
      <c r="I63" s="130" t="s">
        <v>182</v>
      </c>
      <c r="J63" s="135">
        <v>40210</v>
      </c>
      <c r="K63" s="130" t="s">
        <v>1973</v>
      </c>
    </row>
    <row r="64" spans="1:24" ht="23.25" customHeight="1" x14ac:dyDescent="0.2">
      <c r="A64" s="130">
        <v>63</v>
      </c>
      <c r="B64" s="131" t="s">
        <v>32</v>
      </c>
      <c r="C64" s="134" t="s">
        <v>1075</v>
      </c>
      <c r="D64" s="134" t="s">
        <v>1076</v>
      </c>
      <c r="E64" s="134" t="s">
        <v>1077</v>
      </c>
      <c r="F64" s="134"/>
      <c r="G64" s="130" t="s">
        <v>28</v>
      </c>
      <c r="H64" s="130" t="s">
        <v>29</v>
      </c>
      <c r="I64" s="130" t="s">
        <v>36</v>
      </c>
      <c r="J64" s="135">
        <v>44922</v>
      </c>
      <c r="K64" s="130" t="s">
        <v>1991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spans="1:24" ht="27" customHeight="1" x14ac:dyDescent="0.2">
      <c r="A65" s="130">
        <v>64</v>
      </c>
      <c r="B65" s="131" t="s">
        <v>127</v>
      </c>
      <c r="C65" s="134" t="s">
        <v>1214</v>
      </c>
      <c r="D65" s="134" t="s">
        <v>1215</v>
      </c>
      <c r="E65" s="134" t="s">
        <v>1216</v>
      </c>
      <c r="F65" s="137"/>
      <c r="G65" s="136" t="s">
        <v>131</v>
      </c>
      <c r="H65" s="136" t="s">
        <v>47</v>
      </c>
      <c r="I65" s="130" t="s">
        <v>132</v>
      </c>
      <c r="J65" s="135">
        <v>44455</v>
      </c>
      <c r="K65" s="138" t="s">
        <v>1272</v>
      </c>
    </row>
    <row r="66" spans="1:24" ht="22.5" customHeight="1" x14ac:dyDescent="0.2">
      <c r="A66" s="130">
        <v>65</v>
      </c>
      <c r="B66" s="131" t="s">
        <v>32</v>
      </c>
      <c r="C66" s="134" t="s">
        <v>382</v>
      </c>
      <c r="D66" s="134" t="s">
        <v>383</v>
      </c>
      <c r="E66" s="134" t="s">
        <v>384</v>
      </c>
      <c r="F66" s="134" t="s">
        <v>181</v>
      </c>
      <c r="G66" s="130" t="s">
        <v>131</v>
      </c>
      <c r="H66" s="130" t="s">
        <v>385</v>
      </c>
      <c r="I66" s="130" t="s">
        <v>36</v>
      </c>
      <c r="J66" s="135">
        <v>44922</v>
      </c>
      <c r="K66" s="130" t="s">
        <v>389</v>
      </c>
    </row>
    <row r="67" spans="1:24" ht="23.25" customHeight="1" x14ac:dyDescent="0.2">
      <c r="A67" s="130">
        <v>66</v>
      </c>
      <c r="B67" s="131" t="s">
        <v>62</v>
      </c>
      <c r="C67" s="134" t="s">
        <v>1138</v>
      </c>
      <c r="D67" s="134" t="s">
        <v>1127</v>
      </c>
      <c r="E67" s="134" t="s">
        <v>1140</v>
      </c>
      <c r="F67" s="134"/>
      <c r="G67" s="130" t="s">
        <v>1679</v>
      </c>
      <c r="H67" s="130" t="s">
        <v>1681</v>
      </c>
      <c r="I67" s="130" t="s">
        <v>21</v>
      </c>
      <c r="J67" s="135">
        <v>39818</v>
      </c>
      <c r="K67" s="138" t="s">
        <v>1262</v>
      </c>
    </row>
    <row r="68" spans="1:24" ht="22.5" customHeight="1" x14ac:dyDescent="0.2">
      <c r="A68" s="130">
        <v>67</v>
      </c>
      <c r="B68" s="131" t="s">
        <v>42</v>
      </c>
      <c r="C68" s="134" t="s">
        <v>812</v>
      </c>
      <c r="D68" s="134" t="s">
        <v>822</v>
      </c>
      <c r="E68" s="134" t="s">
        <v>823</v>
      </c>
      <c r="F68" s="134"/>
      <c r="G68" s="144" t="s">
        <v>829</v>
      </c>
      <c r="H68" s="144" t="s">
        <v>89</v>
      </c>
      <c r="I68" s="139" t="s">
        <v>637</v>
      </c>
      <c r="J68" s="135">
        <v>40830</v>
      </c>
      <c r="K68" s="130" t="s">
        <v>2259</v>
      </c>
    </row>
    <row r="69" spans="1:24" ht="24.75" customHeight="1" x14ac:dyDescent="0.2">
      <c r="A69" s="130">
        <v>68</v>
      </c>
      <c r="B69" s="131" t="s">
        <v>42</v>
      </c>
      <c r="C69" s="134" t="s">
        <v>812</v>
      </c>
      <c r="D69" s="134" t="s">
        <v>588</v>
      </c>
      <c r="E69" s="134" t="s">
        <v>2598</v>
      </c>
      <c r="F69" s="134"/>
      <c r="G69" s="138" t="s">
        <v>112</v>
      </c>
      <c r="H69" s="136" t="s">
        <v>195</v>
      </c>
      <c r="I69" s="139" t="s">
        <v>196</v>
      </c>
      <c r="J69" s="135">
        <v>36914</v>
      </c>
      <c r="K69" s="138" t="s">
        <v>2599</v>
      </c>
    </row>
    <row r="70" spans="1:24" ht="22.5" customHeight="1" x14ac:dyDescent="0.2">
      <c r="A70" s="130">
        <v>69</v>
      </c>
      <c r="B70" s="131" t="s">
        <v>42</v>
      </c>
      <c r="C70" s="134" t="s">
        <v>109</v>
      </c>
      <c r="D70" s="134" t="s">
        <v>110</v>
      </c>
      <c r="E70" s="134" t="s">
        <v>111</v>
      </c>
      <c r="F70" s="134"/>
      <c r="G70" s="138" t="s">
        <v>112</v>
      </c>
      <c r="H70" s="136" t="s">
        <v>113</v>
      </c>
      <c r="I70" s="139" t="s">
        <v>114</v>
      </c>
      <c r="J70" s="135">
        <v>31048</v>
      </c>
      <c r="K70" s="130" t="s">
        <v>115</v>
      </c>
    </row>
    <row r="71" spans="1:24" ht="23.25" customHeight="1" x14ac:dyDescent="0.2">
      <c r="A71" s="130">
        <v>70</v>
      </c>
      <c r="B71" s="131" t="s">
        <v>42</v>
      </c>
      <c r="C71" s="134" t="s">
        <v>839</v>
      </c>
      <c r="D71" s="134" t="s">
        <v>841</v>
      </c>
      <c r="E71" s="134" t="s">
        <v>842</v>
      </c>
      <c r="F71" s="142"/>
      <c r="G71" s="136" t="s">
        <v>239</v>
      </c>
      <c r="H71" s="130" t="s">
        <v>96</v>
      </c>
      <c r="I71" s="144" t="s">
        <v>90</v>
      </c>
      <c r="J71" s="135">
        <v>45733</v>
      </c>
      <c r="K71" s="152" t="s">
        <v>2498</v>
      </c>
    </row>
    <row r="72" spans="1:24" ht="30.75" customHeight="1" x14ac:dyDescent="0.2">
      <c r="A72" s="130">
        <v>71</v>
      </c>
      <c r="B72" s="131" t="s">
        <v>134</v>
      </c>
      <c r="C72" s="134" t="s">
        <v>1166</v>
      </c>
      <c r="D72" s="134" t="s">
        <v>1167</v>
      </c>
      <c r="E72" s="134" t="s">
        <v>627</v>
      </c>
      <c r="F72" s="134"/>
      <c r="G72" s="130" t="s">
        <v>131</v>
      </c>
      <c r="H72" s="130" t="s">
        <v>75</v>
      </c>
      <c r="I72" s="130" t="s">
        <v>30</v>
      </c>
      <c r="J72" s="135">
        <v>42994</v>
      </c>
      <c r="K72" s="136" t="s">
        <v>1846</v>
      </c>
    </row>
    <row r="73" spans="1:24" ht="42" customHeight="1" x14ac:dyDescent="0.2">
      <c r="A73" s="130">
        <v>72</v>
      </c>
      <c r="B73" s="131" t="s">
        <v>32</v>
      </c>
      <c r="C73" s="134" t="s">
        <v>1191</v>
      </c>
      <c r="D73" s="134" t="s">
        <v>701</v>
      </c>
      <c r="E73" s="134" t="s">
        <v>1193</v>
      </c>
      <c r="F73" s="134"/>
      <c r="G73" s="130" t="s">
        <v>131</v>
      </c>
      <c r="H73" s="130" t="s">
        <v>212</v>
      </c>
      <c r="I73" s="130" t="s">
        <v>36</v>
      </c>
      <c r="J73" s="135">
        <v>44900</v>
      </c>
      <c r="K73" s="130" t="s">
        <v>1358</v>
      </c>
    </row>
    <row r="74" spans="1:24" ht="24.75" customHeight="1" x14ac:dyDescent="0.2">
      <c r="A74" s="130">
        <v>73</v>
      </c>
      <c r="B74" s="131" t="s">
        <v>127</v>
      </c>
      <c r="C74" s="142" t="s">
        <v>256</v>
      </c>
      <c r="D74" s="142" t="s">
        <v>257</v>
      </c>
      <c r="E74" s="142" t="s">
        <v>258</v>
      </c>
      <c r="F74" s="136" t="s">
        <v>181</v>
      </c>
      <c r="G74" s="136" t="s">
        <v>131</v>
      </c>
      <c r="H74" s="136" t="s">
        <v>47</v>
      </c>
      <c r="I74" s="130" t="s">
        <v>132</v>
      </c>
      <c r="J74" s="135">
        <v>44504</v>
      </c>
      <c r="K74" s="130" t="s">
        <v>260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spans="1:24" ht="27" customHeight="1" x14ac:dyDescent="0.2">
      <c r="A75" s="130">
        <v>74</v>
      </c>
      <c r="B75" s="131" t="s">
        <v>177</v>
      </c>
      <c r="C75" s="134" t="s">
        <v>1351</v>
      </c>
      <c r="D75" s="134" t="s">
        <v>1231</v>
      </c>
      <c r="E75" s="134" t="s">
        <v>1232</v>
      </c>
      <c r="F75" s="134" t="s">
        <v>502</v>
      </c>
      <c r="G75" s="130" t="s">
        <v>131</v>
      </c>
      <c r="H75" s="130" t="s">
        <v>75</v>
      </c>
      <c r="I75" s="130" t="s">
        <v>182</v>
      </c>
      <c r="J75" s="135">
        <v>40513</v>
      </c>
      <c r="K75" s="130" t="s">
        <v>1355</v>
      </c>
    </row>
    <row r="76" spans="1:24" ht="24.75" customHeight="1" x14ac:dyDescent="0.2">
      <c r="A76" s="130">
        <v>75</v>
      </c>
      <c r="B76" s="131" t="s">
        <v>127</v>
      </c>
      <c r="C76" s="142" t="s">
        <v>503</v>
      </c>
      <c r="D76" s="142" t="s">
        <v>179</v>
      </c>
      <c r="E76" s="142" t="s">
        <v>504</v>
      </c>
      <c r="F76" s="142" t="s">
        <v>181</v>
      </c>
      <c r="G76" s="136" t="s">
        <v>74</v>
      </c>
      <c r="H76" s="136" t="s">
        <v>47</v>
      </c>
      <c r="I76" s="130" t="s">
        <v>206</v>
      </c>
      <c r="J76" s="135">
        <v>44455</v>
      </c>
      <c r="K76" s="130" t="s">
        <v>507</v>
      </c>
    </row>
    <row r="77" spans="1:24" ht="23.25" customHeight="1" x14ac:dyDescent="0.2">
      <c r="A77" s="130">
        <v>76</v>
      </c>
      <c r="B77" s="131" t="s">
        <v>127</v>
      </c>
      <c r="C77" s="142" t="s">
        <v>1825</v>
      </c>
      <c r="D77" s="142" t="s">
        <v>1295</v>
      </c>
      <c r="E77" s="142" t="s">
        <v>1296</v>
      </c>
      <c r="F77" s="142"/>
      <c r="G77" s="136" t="s">
        <v>291</v>
      </c>
      <c r="H77" s="136" t="s">
        <v>47</v>
      </c>
      <c r="I77" s="130" t="s">
        <v>132</v>
      </c>
      <c r="J77" s="135">
        <v>44455</v>
      </c>
      <c r="K77" s="130" t="s">
        <v>1343</v>
      </c>
    </row>
    <row r="78" spans="1:24" ht="23.25" customHeight="1" x14ac:dyDescent="0.2">
      <c r="A78" s="130">
        <v>77</v>
      </c>
      <c r="B78" s="131" t="s">
        <v>62</v>
      </c>
      <c r="C78" s="134" t="s">
        <v>2268</v>
      </c>
      <c r="D78" s="134" t="s">
        <v>733</v>
      </c>
      <c r="E78" s="134" t="s">
        <v>1273</v>
      </c>
      <c r="F78" s="134"/>
      <c r="G78" s="130" t="s">
        <v>2269</v>
      </c>
      <c r="H78" s="136" t="s">
        <v>2270</v>
      </c>
      <c r="I78" s="130" t="s">
        <v>327</v>
      </c>
      <c r="J78" s="135">
        <v>45452</v>
      </c>
      <c r="K78" s="130" t="s">
        <v>1262</v>
      </c>
    </row>
    <row r="79" spans="1:24" ht="23.25" customHeight="1" x14ac:dyDescent="0.2">
      <c r="A79" s="130">
        <v>78</v>
      </c>
      <c r="B79" s="131" t="s">
        <v>127</v>
      </c>
      <c r="C79" s="142" t="s">
        <v>1255</v>
      </c>
      <c r="D79" s="142" t="s">
        <v>946</v>
      </c>
      <c r="E79" s="142" t="s">
        <v>947</v>
      </c>
      <c r="F79" s="142"/>
      <c r="G79" s="136" t="s">
        <v>131</v>
      </c>
      <c r="H79" s="136" t="s">
        <v>47</v>
      </c>
      <c r="I79" s="130" t="s">
        <v>132</v>
      </c>
      <c r="J79" s="135">
        <v>44504</v>
      </c>
      <c r="K79" s="130" t="s">
        <v>950</v>
      </c>
    </row>
    <row r="80" spans="1:24" ht="24.75" customHeight="1" x14ac:dyDescent="0.2">
      <c r="A80" s="130">
        <v>79</v>
      </c>
      <c r="B80" s="131" t="s">
        <v>42</v>
      </c>
      <c r="C80" s="134" t="s">
        <v>845</v>
      </c>
      <c r="D80" s="134" t="s">
        <v>846</v>
      </c>
      <c r="E80" s="134" t="s">
        <v>848</v>
      </c>
      <c r="F80" s="134"/>
      <c r="G80" s="138" t="s">
        <v>368</v>
      </c>
      <c r="H80" s="138" t="s">
        <v>47</v>
      </c>
      <c r="I80" s="139" t="s">
        <v>2727</v>
      </c>
      <c r="J80" s="135">
        <v>38200</v>
      </c>
      <c r="K80" s="138" t="s">
        <v>2728</v>
      </c>
    </row>
    <row r="81" spans="1:24" ht="24.75" customHeight="1" x14ac:dyDescent="0.2">
      <c r="A81" s="130">
        <v>80</v>
      </c>
      <c r="B81" s="131" t="s">
        <v>42</v>
      </c>
      <c r="C81" s="134" t="s">
        <v>853</v>
      </c>
      <c r="D81" s="134" t="s">
        <v>854</v>
      </c>
      <c r="E81" s="134" t="s">
        <v>856</v>
      </c>
      <c r="F81" s="134"/>
      <c r="G81" s="144" t="s">
        <v>239</v>
      </c>
      <c r="H81" s="144" t="s">
        <v>96</v>
      </c>
      <c r="I81" s="139" t="s">
        <v>2760</v>
      </c>
      <c r="J81" s="135">
        <v>40771</v>
      </c>
      <c r="K81" s="130" t="s">
        <v>2761</v>
      </c>
    </row>
    <row r="82" spans="1:24" ht="23.25" customHeight="1" x14ac:dyDescent="0.2">
      <c r="A82" s="130">
        <v>81</v>
      </c>
      <c r="B82" s="131" t="s">
        <v>318</v>
      </c>
      <c r="C82" s="134" t="s">
        <v>1291</v>
      </c>
      <c r="D82" s="134" t="s">
        <v>1292</v>
      </c>
      <c r="E82" s="134" t="s">
        <v>1293</v>
      </c>
      <c r="F82" s="134"/>
      <c r="G82" s="130" t="s">
        <v>239</v>
      </c>
      <c r="H82" s="138" t="s">
        <v>205</v>
      </c>
      <c r="I82" s="139" t="s">
        <v>1780</v>
      </c>
      <c r="J82" s="135">
        <v>37989</v>
      </c>
      <c r="K82" s="138" t="s">
        <v>1298</v>
      </c>
    </row>
    <row r="83" spans="1:24" ht="24.75" customHeight="1" x14ac:dyDescent="0.2">
      <c r="A83" s="130">
        <v>82</v>
      </c>
      <c r="B83" s="131" t="s">
        <v>127</v>
      </c>
      <c r="C83" s="134" t="s">
        <v>1236</v>
      </c>
      <c r="D83" s="134" t="s">
        <v>1237</v>
      </c>
      <c r="E83" s="134" t="s">
        <v>1239</v>
      </c>
      <c r="F83" s="134"/>
      <c r="G83" s="130" t="s">
        <v>239</v>
      </c>
      <c r="H83" s="138" t="s">
        <v>526</v>
      </c>
      <c r="I83" s="130" t="s">
        <v>327</v>
      </c>
      <c r="J83" s="135">
        <v>43542</v>
      </c>
      <c r="K83" s="138" t="s">
        <v>1595</v>
      </c>
    </row>
    <row r="84" spans="1:24" ht="23.25" customHeight="1" x14ac:dyDescent="0.2">
      <c r="A84" s="130">
        <v>83</v>
      </c>
      <c r="B84" s="131" t="s">
        <v>323</v>
      </c>
      <c r="C84" s="134" t="s">
        <v>531</v>
      </c>
      <c r="D84" s="134" t="s">
        <v>533</v>
      </c>
      <c r="E84" s="134" t="s">
        <v>534</v>
      </c>
      <c r="F84" s="134"/>
      <c r="G84" s="136" t="s">
        <v>368</v>
      </c>
      <c r="H84" s="136" t="s">
        <v>685</v>
      </c>
      <c r="I84" s="130" t="s">
        <v>206</v>
      </c>
      <c r="J84" s="135">
        <v>43759</v>
      </c>
      <c r="K84" s="130" t="s">
        <v>686</v>
      </c>
    </row>
    <row r="85" spans="1:24" ht="23.25" customHeight="1" x14ac:dyDescent="0.2">
      <c r="A85" s="130">
        <v>84</v>
      </c>
      <c r="B85" s="131" t="s">
        <v>32</v>
      </c>
      <c r="C85" s="134" t="s">
        <v>1341</v>
      </c>
      <c r="D85" s="134" t="s">
        <v>1345</v>
      </c>
      <c r="E85" s="134" t="s">
        <v>1346</v>
      </c>
      <c r="F85" s="134"/>
      <c r="G85" s="130" t="s">
        <v>28</v>
      </c>
      <c r="H85" s="130" t="s">
        <v>29</v>
      </c>
      <c r="I85" s="130" t="s">
        <v>30</v>
      </c>
      <c r="J85" s="135">
        <v>44922</v>
      </c>
      <c r="K85" s="130" t="s">
        <v>2756</v>
      </c>
    </row>
    <row r="86" spans="1:24" ht="24" customHeight="1" x14ac:dyDescent="0.2">
      <c r="A86" s="130">
        <v>85</v>
      </c>
      <c r="B86" s="131" t="s">
        <v>127</v>
      </c>
      <c r="C86" s="134" t="s">
        <v>1380</v>
      </c>
      <c r="D86" s="134" t="s">
        <v>1381</v>
      </c>
      <c r="E86" s="134" t="s">
        <v>1383</v>
      </c>
      <c r="F86" s="134" t="s">
        <v>1385</v>
      </c>
      <c r="G86" s="130" t="s">
        <v>239</v>
      </c>
      <c r="H86" s="138" t="s">
        <v>2365</v>
      </c>
      <c r="I86" s="158" t="s">
        <v>206</v>
      </c>
      <c r="J86" s="135">
        <v>43542</v>
      </c>
      <c r="K86" s="130" t="s">
        <v>1951</v>
      </c>
    </row>
    <row r="87" spans="1:24" ht="23.25" customHeight="1" x14ac:dyDescent="0.2">
      <c r="A87" s="130">
        <v>86</v>
      </c>
      <c r="B87" s="131" t="s">
        <v>127</v>
      </c>
      <c r="C87" s="142" t="s">
        <v>1465</v>
      </c>
      <c r="D87" s="142" t="s">
        <v>1467</v>
      </c>
      <c r="E87" s="142" t="s">
        <v>1468</v>
      </c>
      <c r="F87" s="134"/>
      <c r="G87" s="136" t="s">
        <v>131</v>
      </c>
      <c r="H87" s="136" t="s">
        <v>47</v>
      </c>
      <c r="I87" s="130" t="s">
        <v>206</v>
      </c>
      <c r="J87" s="135">
        <v>44504</v>
      </c>
      <c r="K87" s="130" t="s">
        <v>1546</v>
      </c>
    </row>
    <row r="88" spans="1:24" ht="23.25" customHeight="1" x14ac:dyDescent="0.2">
      <c r="A88" s="130">
        <v>87</v>
      </c>
      <c r="B88" s="131" t="s">
        <v>42</v>
      </c>
      <c r="C88" s="134" t="s">
        <v>862</v>
      </c>
      <c r="D88" s="134" t="s">
        <v>864</v>
      </c>
      <c r="E88" s="134" t="s">
        <v>866</v>
      </c>
      <c r="F88" s="134"/>
      <c r="G88" s="136" t="s">
        <v>28</v>
      </c>
      <c r="H88" s="130" t="s">
        <v>29</v>
      </c>
      <c r="I88" s="136" t="s">
        <v>54</v>
      </c>
      <c r="J88" s="135">
        <v>43815</v>
      </c>
      <c r="K88" s="130" t="s">
        <v>2313</v>
      </c>
    </row>
    <row r="89" spans="1:24" ht="23.25" customHeight="1" x14ac:dyDescent="0.2">
      <c r="A89" s="130">
        <v>88</v>
      </c>
      <c r="B89" s="131" t="s">
        <v>62</v>
      </c>
      <c r="C89" s="134" t="s">
        <v>1408</v>
      </c>
      <c r="D89" s="134" t="s">
        <v>1409</v>
      </c>
      <c r="E89" s="134" t="s">
        <v>1410</v>
      </c>
      <c r="F89" s="134"/>
      <c r="G89" s="130" t="s">
        <v>239</v>
      </c>
      <c r="H89" s="136" t="s">
        <v>526</v>
      </c>
      <c r="I89" s="138" t="s">
        <v>327</v>
      </c>
      <c r="J89" s="156">
        <v>36419</v>
      </c>
      <c r="K89" s="138" t="s">
        <v>2066</v>
      </c>
    </row>
    <row r="90" spans="1:24" ht="21" customHeight="1" x14ac:dyDescent="0.2">
      <c r="A90" s="130">
        <v>89</v>
      </c>
      <c r="B90" s="131" t="s">
        <v>528</v>
      </c>
      <c r="C90" s="134" t="s">
        <v>304</v>
      </c>
      <c r="D90" s="134" t="s">
        <v>1430</v>
      </c>
      <c r="E90" s="131" t="s">
        <v>1432</v>
      </c>
      <c r="F90" s="142"/>
      <c r="G90" s="130" t="s">
        <v>829</v>
      </c>
      <c r="H90" s="130" t="s">
        <v>89</v>
      </c>
      <c r="I90" s="130" t="s">
        <v>182</v>
      </c>
      <c r="J90" s="135">
        <v>40360</v>
      </c>
      <c r="K90" s="130" t="s">
        <v>2034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spans="1:24" ht="29.25" customHeight="1" x14ac:dyDescent="0.2">
      <c r="A91" s="130">
        <v>90</v>
      </c>
      <c r="B91" s="131" t="s">
        <v>42</v>
      </c>
      <c r="C91" s="142" t="s">
        <v>832</v>
      </c>
      <c r="D91" s="142" t="s">
        <v>874</v>
      </c>
      <c r="E91" s="142" t="s">
        <v>876</v>
      </c>
      <c r="F91" s="142"/>
      <c r="G91" s="130" t="s">
        <v>131</v>
      </c>
      <c r="H91" s="130" t="s">
        <v>2762</v>
      </c>
      <c r="I91" s="130" t="s">
        <v>90</v>
      </c>
      <c r="J91" s="135">
        <v>46232</v>
      </c>
      <c r="K91" s="130">
        <v>9692300633</v>
      </c>
    </row>
    <row r="92" spans="1:24" ht="19.5" customHeight="1" x14ac:dyDescent="0.2">
      <c r="A92" s="130">
        <v>91</v>
      </c>
      <c r="B92" s="131" t="s">
        <v>127</v>
      </c>
      <c r="C92" s="134" t="s">
        <v>1600</v>
      </c>
      <c r="D92" s="134" t="s">
        <v>1601</v>
      </c>
      <c r="E92" s="134" t="s">
        <v>1602</v>
      </c>
      <c r="F92" s="134"/>
      <c r="G92" s="130" t="s">
        <v>368</v>
      </c>
      <c r="H92" s="130" t="s">
        <v>205</v>
      </c>
      <c r="I92" s="136" t="s">
        <v>327</v>
      </c>
      <c r="J92" s="135">
        <v>43542</v>
      </c>
      <c r="K92" s="130" t="s">
        <v>2147</v>
      </c>
    </row>
    <row r="93" spans="1:24" ht="22.5" customHeight="1" x14ac:dyDescent="0.2">
      <c r="A93" s="130">
        <v>92</v>
      </c>
      <c r="B93" s="131" t="s">
        <v>32</v>
      </c>
      <c r="C93" s="134" t="s">
        <v>33</v>
      </c>
      <c r="D93" s="134" t="s">
        <v>34</v>
      </c>
      <c r="E93" s="134" t="s">
        <v>35</v>
      </c>
      <c r="F93" s="134"/>
      <c r="G93" s="130" t="s">
        <v>28</v>
      </c>
      <c r="H93" s="130" t="s">
        <v>29</v>
      </c>
      <c r="I93" s="130" t="s">
        <v>36</v>
      </c>
      <c r="J93" s="135">
        <v>44922</v>
      </c>
      <c r="K93" s="130" t="s">
        <v>37</v>
      </c>
    </row>
    <row r="94" spans="1:24" ht="23.25" customHeight="1" x14ac:dyDescent="0.2">
      <c r="A94" s="130">
        <v>93</v>
      </c>
      <c r="B94" s="131" t="s">
        <v>318</v>
      </c>
      <c r="C94" s="142" t="s">
        <v>1507</v>
      </c>
      <c r="D94" s="142" t="s">
        <v>634</v>
      </c>
      <c r="E94" s="142" t="s">
        <v>1508</v>
      </c>
      <c r="F94" s="142"/>
      <c r="G94" s="136" t="s">
        <v>2362</v>
      </c>
      <c r="H94" s="136" t="s">
        <v>1372</v>
      </c>
      <c r="I94" s="130" t="s">
        <v>327</v>
      </c>
      <c r="J94" s="135">
        <v>38297</v>
      </c>
      <c r="K94" s="130" t="s">
        <v>1928</v>
      </c>
    </row>
    <row r="95" spans="1:24" ht="23.25" customHeight="1" x14ac:dyDescent="0.2">
      <c r="A95" s="130">
        <v>94</v>
      </c>
      <c r="B95" s="131" t="s">
        <v>318</v>
      </c>
      <c r="C95" s="134" t="s">
        <v>3780</v>
      </c>
      <c r="D95" s="134" t="s">
        <v>1528</v>
      </c>
      <c r="E95" s="134" t="s">
        <v>1529</v>
      </c>
      <c r="F95" s="134"/>
      <c r="G95" s="130" t="s">
        <v>131</v>
      </c>
      <c r="H95" s="130" t="s">
        <v>205</v>
      </c>
      <c r="I95" s="136" t="s">
        <v>327</v>
      </c>
      <c r="J95" s="135">
        <v>43542</v>
      </c>
      <c r="K95" s="130" t="s">
        <v>2089</v>
      </c>
    </row>
    <row r="96" spans="1:24" ht="23.25" customHeight="1" x14ac:dyDescent="0.2">
      <c r="A96" s="130">
        <v>95</v>
      </c>
      <c r="B96" s="131" t="s">
        <v>42</v>
      </c>
      <c r="C96" s="134" t="s">
        <v>267</v>
      </c>
      <c r="D96" s="134" t="s">
        <v>268</v>
      </c>
      <c r="E96" s="134" t="s">
        <v>269</v>
      </c>
      <c r="F96" s="134"/>
      <c r="G96" s="136" t="s">
        <v>270</v>
      </c>
      <c r="H96" s="136" t="s">
        <v>272</v>
      </c>
      <c r="I96" s="130" t="s">
        <v>273</v>
      </c>
      <c r="J96" s="135">
        <v>37970</v>
      </c>
      <c r="K96" s="136" t="s">
        <v>274</v>
      </c>
    </row>
    <row r="97" spans="1:24" ht="27.75" customHeight="1" x14ac:dyDescent="0.2">
      <c r="A97" s="130">
        <v>96</v>
      </c>
      <c r="B97" s="131" t="s">
        <v>32</v>
      </c>
      <c r="C97" s="134" t="s">
        <v>1238</v>
      </c>
      <c r="D97" s="134" t="s">
        <v>1240</v>
      </c>
      <c r="E97" s="134" t="s">
        <v>1242</v>
      </c>
      <c r="F97" s="134"/>
      <c r="G97" s="130" t="s">
        <v>131</v>
      </c>
      <c r="H97" s="130" t="s">
        <v>385</v>
      </c>
      <c r="I97" s="130" t="s">
        <v>36</v>
      </c>
      <c r="J97" s="135">
        <v>44922</v>
      </c>
      <c r="K97" s="130" t="s">
        <v>1243</v>
      </c>
    </row>
    <row r="98" spans="1:24" ht="24.75" customHeight="1" x14ac:dyDescent="0.2">
      <c r="A98" s="130">
        <v>97</v>
      </c>
      <c r="B98" s="131" t="s">
        <v>42</v>
      </c>
      <c r="C98" s="142" t="s">
        <v>882</v>
      </c>
      <c r="D98" s="142" t="s">
        <v>883</v>
      </c>
      <c r="E98" s="142" t="s">
        <v>885</v>
      </c>
      <c r="F98" s="134"/>
      <c r="G98" s="136" t="s">
        <v>2226</v>
      </c>
      <c r="H98" s="130" t="s">
        <v>47</v>
      </c>
      <c r="I98" s="144" t="s">
        <v>90</v>
      </c>
      <c r="J98" s="135">
        <v>46069</v>
      </c>
      <c r="K98" s="130" t="s">
        <v>2228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spans="1:24" ht="24" customHeight="1" x14ac:dyDescent="0.2">
      <c r="A99" s="130">
        <v>98</v>
      </c>
      <c r="B99" s="131" t="s">
        <v>42</v>
      </c>
      <c r="C99" s="134" t="s">
        <v>214</v>
      </c>
      <c r="D99" s="134" t="s">
        <v>215</v>
      </c>
      <c r="E99" s="134" t="s">
        <v>216</v>
      </c>
      <c r="F99" s="134"/>
      <c r="G99" s="130" t="s">
        <v>131</v>
      </c>
      <c r="H99" s="138" t="s">
        <v>96</v>
      </c>
      <c r="I99" s="139" t="s">
        <v>90</v>
      </c>
      <c r="J99" s="135">
        <v>45880</v>
      </c>
      <c r="K99" s="138" t="s">
        <v>217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spans="1:24" ht="24.75" customHeight="1" x14ac:dyDescent="0.2">
      <c r="A100" s="130">
        <v>99</v>
      </c>
      <c r="B100" s="131" t="s">
        <v>32</v>
      </c>
      <c r="C100" s="134" t="s">
        <v>603</v>
      </c>
      <c r="D100" s="134" t="s">
        <v>604</v>
      </c>
      <c r="E100" s="134" t="s">
        <v>606</v>
      </c>
      <c r="F100" s="134"/>
      <c r="G100" s="130" t="s">
        <v>239</v>
      </c>
      <c r="H100" s="130" t="s">
        <v>212</v>
      </c>
      <c r="I100" s="130" t="s">
        <v>36</v>
      </c>
      <c r="J100" s="135">
        <v>44900</v>
      </c>
      <c r="K100" s="130" t="s">
        <v>609</v>
      </c>
    </row>
    <row r="101" spans="1:24" ht="22.5" customHeight="1" x14ac:dyDescent="0.2">
      <c r="A101" s="130">
        <v>100</v>
      </c>
      <c r="B101" s="131" t="s">
        <v>323</v>
      </c>
      <c r="C101" s="142" t="s">
        <v>891</v>
      </c>
      <c r="D101" s="142" t="s">
        <v>1583</v>
      </c>
      <c r="E101" s="142" t="s">
        <v>1584</v>
      </c>
      <c r="F101" s="142"/>
      <c r="G101" s="130" t="s">
        <v>368</v>
      </c>
      <c r="H101" s="130" t="s">
        <v>205</v>
      </c>
      <c r="I101" s="130" t="s">
        <v>206</v>
      </c>
      <c r="J101" s="135">
        <v>44890</v>
      </c>
      <c r="K101" s="130" t="s">
        <v>2422</v>
      </c>
    </row>
    <row r="102" spans="1:24" ht="21" customHeight="1" x14ac:dyDescent="0.2">
      <c r="A102" s="130">
        <v>101</v>
      </c>
      <c r="B102" s="131" t="s">
        <v>42</v>
      </c>
      <c r="C102" s="131" t="s">
        <v>891</v>
      </c>
      <c r="D102" s="134" t="s">
        <v>189</v>
      </c>
      <c r="E102" s="134" t="s">
        <v>892</v>
      </c>
      <c r="F102" s="130"/>
      <c r="G102" s="138" t="s">
        <v>2685</v>
      </c>
      <c r="H102" s="130" t="s">
        <v>47</v>
      </c>
      <c r="I102" s="139" t="s">
        <v>2686</v>
      </c>
      <c r="J102" s="135">
        <v>44935</v>
      </c>
      <c r="K102" s="138" t="s">
        <v>2687</v>
      </c>
    </row>
    <row r="103" spans="1:24" ht="23.25" customHeight="1" x14ac:dyDescent="0.2">
      <c r="A103" s="130">
        <v>102</v>
      </c>
      <c r="B103" s="131" t="s">
        <v>42</v>
      </c>
      <c r="C103" s="134" t="s">
        <v>422</v>
      </c>
      <c r="D103" s="134" t="s">
        <v>896</v>
      </c>
      <c r="E103" s="134" t="s">
        <v>898</v>
      </c>
      <c r="F103" s="134"/>
      <c r="G103" s="130" t="s">
        <v>131</v>
      </c>
      <c r="H103" s="130" t="s">
        <v>47</v>
      </c>
      <c r="I103" s="139" t="s">
        <v>90</v>
      </c>
      <c r="J103" s="135">
        <v>43140</v>
      </c>
      <c r="K103" s="138" t="s">
        <v>2600</v>
      </c>
    </row>
    <row r="104" spans="1:24" ht="21" customHeight="1" x14ac:dyDescent="0.2">
      <c r="A104" s="130">
        <v>103</v>
      </c>
      <c r="B104" s="131" t="s">
        <v>376</v>
      </c>
      <c r="C104" s="134" t="s">
        <v>1277</v>
      </c>
      <c r="D104" s="134" t="s">
        <v>1279</v>
      </c>
      <c r="E104" s="134" t="s">
        <v>1280</v>
      </c>
      <c r="F104" s="137" t="s">
        <v>181</v>
      </c>
      <c r="G104" s="130" t="s">
        <v>131</v>
      </c>
      <c r="H104" s="130" t="s">
        <v>205</v>
      </c>
      <c r="I104" s="130" t="s">
        <v>132</v>
      </c>
      <c r="J104" s="135">
        <v>44890</v>
      </c>
      <c r="K104" s="138" t="s">
        <v>1281</v>
      </c>
    </row>
    <row r="105" spans="1:24" ht="24.75" customHeight="1" x14ac:dyDescent="0.2">
      <c r="A105" s="130">
        <v>104</v>
      </c>
      <c r="B105" s="131" t="s">
        <v>32</v>
      </c>
      <c r="C105" s="134" t="s">
        <v>1147</v>
      </c>
      <c r="D105" s="134" t="s">
        <v>1149</v>
      </c>
      <c r="E105" s="134" t="s">
        <v>1151</v>
      </c>
      <c r="F105" s="134" t="s">
        <v>181</v>
      </c>
      <c r="G105" s="130" t="s">
        <v>28</v>
      </c>
      <c r="H105" s="130" t="s">
        <v>29</v>
      </c>
      <c r="I105" s="130" t="s">
        <v>36</v>
      </c>
      <c r="J105" s="135">
        <v>44922</v>
      </c>
      <c r="K105" s="130" t="s">
        <v>1155</v>
      </c>
    </row>
    <row r="106" spans="1:24" ht="23.25" customHeight="1" x14ac:dyDescent="0.2">
      <c r="A106" s="130">
        <v>105</v>
      </c>
      <c r="B106" s="131" t="s">
        <v>318</v>
      </c>
      <c r="C106" s="134" t="s">
        <v>1568</v>
      </c>
      <c r="D106" s="134" t="s">
        <v>1569</v>
      </c>
      <c r="E106" s="134" t="s">
        <v>1570</v>
      </c>
      <c r="F106" s="134"/>
      <c r="G106" s="130" t="s">
        <v>131</v>
      </c>
      <c r="H106" s="130" t="s">
        <v>47</v>
      </c>
      <c r="I106" s="136" t="s">
        <v>327</v>
      </c>
      <c r="J106" s="135">
        <v>43542</v>
      </c>
      <c r="K106" s="130" t="s">
        <v>1572</v>
      </c>
    </row>
    <row r="107" spans="1:24" ht="21" customHeight="1" x14ac:dyDescent="0.2">
      <c r="A107" s="130">
        <v>106</v>
      </c>
      <c r="B107" s="131" t="s">
        <v>62</v>
      </c>
      <c r="C107" s="134" t="s">
        <v>1703</v>
      </c>
      <c r="D107" s="134" t="s">
        <v>1704</v>
      </c>
      <c r="E107" s="134" t="s">
        <v>1080</v>
      </c>
      <c r="F107" s="134"/>
      <c r="G107" s="130" t="s">
        <v>368</v>
      </c>
      <c r="H107" s="130" t="s">
        <v>47</v>
      </c>
      <c r="I107" s="130" t="s">
        <v>21</v>
      </c>
      <c r="J107" s="135">
        <v>39797</v>
      </c>
      <c r="K107" s="130" t="s">
        <v>1920</v>
      </c>
    </row>
    <row r="108" spans="1:24" ht="24.75" customHeight="1" x14ac:dyDescent="0.2">
      <c r="A108" s="130">
        <v>107</v>
      </c>
      <c r="B108" s="131" t="s">
        <v>57</v>
      </c>
      <c r="C108" s="134" t="s">
        <v>2349</v>
      </c>
      <c r="D108" s="134" t="s">
        <v>1740</v>
      </c>
      <c r="E108" s="134" t="s">
        <v>1742</v>
      </c>
      <c r="F108" s="134"/>
      <c r="G108" s="130" t="s">
        <v>2350</v>
      </c>
      <c r="H108" s="130" t="s">
        <v>2351</v>
      </c>
      <c r="I108" s="130" t="s">
        <v>21</v>
      </c>
      <c r="J108" s="135">
        <v>36248</v>
      </c>
      <c r="K108" s="136" t="s">
        <v>1860</v>
      </c>
    </row>
    <row r="109" spans="1:24" ht="24.75" customHeight="1" x14ac:dyDescent="0.2">
      <c r="A109" s="130">
        <v>108</v>
      </c>
      <c r="B109" s="131" t="s">
        <v>32</v>
      </c>
      <c r="C109" s="134" t="s">
        <v>1781</v>
      </c>
      <c r="D109" s="134" t="s">
        <v>1783</v>
      </c>
      <c r="E109" s="134" t="s">
        <v>1785</v>
      </c>
      <c r="F109" s="134"/>
      <c r="G109" s="144" t="s">
        <v>239</v>
      </c>
      <c r="H109" s="144" t="s">
        <v>212</v>
      </c>
      <c r="I109" s="139" t="s">
        <v>36</v>
      </c>
      <c r="J109" s="135">
        <v>44879</v>
      </c>
      <c r="K109" s="138" t="s">
        <v>2476</v>
      </c>
    </row>
    <row r="110" spans="1:24" ht="24" customHeight="1" x14ac:dyDescent="0.2">
      <c r="A110" s="130">
        <v>109</v>
      </c>
      <c r="B110" s="131" t="s">
        <v>177</v>
      </c>
      <c r="C110" s="134" t="s">
        <v>1735</v>
      </c>
      <c r="D110" s="134" t="s">
        <v>1737</v>
      </c>
      <c r="E110" s="134" t="s">
        <v>1739</v>
      </c>
      <c r="F110" s="134"/>
      <c r="G110" s="130" t="s">
        <v>131</v>
      </c>
      <c r="H110" s="130" t="s">
        <v>401</v>
      </c>
      <c r="I110" s="130" t="s">
        <v>182</v>
      </c>
      <c r="J110" s="135">
        <v>40513</v>
      </c>
      <c r="K110" s="138" t="s">
        <v>1746</v>
      </c>
    </row>
    <row r="111" spans="1:24" ht="24" customHeight="1" x14ac:dyDescent="0.2">
      <c r="A111" s="130">
        <v>110</v>
      </c>
      <c r="B111" s="131" t="s">
        <v>134</v>
      </c>
      <c r="C111" s="142" t="s">
        <v>1103</v>
      </c>
      <c r="D111" s="142" t="s">
        <v>1104</v>
      </c>
      <c r="E111" s="142" t="s">
        <v>1105</v>
      </c>
      <c r="F111" s="136"/>
      <c r="G111" s="147" t="s">
        <v>131</v>
      </c>
      <c r="H111" s="147" t="s">
        <v>1107</v>
      </c>
      <c r="I111" s="147" t="s">
        <v>30</v>
      </c>
      <c r="J111" s="135">
        <v>44890</v>
      </c>
      <c r="K111" s="130" t="s">
        <v>778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spans="1:24" ht="22.5" customHeight="1" x14ac:dyDescent="0.2">
      <c r="A112" s="130">
        <v>111</v>
      </c>
      <c r="B112" s="131" t="s">
        <v>42</v>
      </c>
      <c r="C112" s="134" t="s">
        <v>614</v>
      </c>
      <c r="D112" s="134" t="s">
        <v>616</v>
      </c>
      <c r="E112" s="134" t="s">
        <v>304</v>
      </c>
      <c r="F112" s="134"/>
      <c r="G112" s="130" t="s">
        <v>239</v>
      </c>
      <c r="H112" s="136" t="s">
        <v>619</v>
      </c>
      <c r="I112" s="130" t="s">
        <v>90</v>
      </c>
      <c r="J112" s="135">
        <v>45800</v>
      </c>
      <c r="K112" s="130" t="s">
        <v>621</v>
      </c>
    </row>
    <row r="113" spans="1:24" ht="22.5" customHeight="1" x14ac:dyDescent="0.2">
      <c r="A113" s="130">
        <v>112</v>
      </c>
      <c r="B113" s="131" t="s">
        <v>32</v>
      </c>
      <c r="C113" s="142" t="s">
        <v>210</v>
      </c>
      <c r="D113" s="142" t="s">
        <v>1823</v>
      </c>
      <c r="E113" s="142" t="s">
        <v>1824</v>
      </c>
      <c r="F113" s="142"/>
      <c r="G113" s="130" t="s">
        <v>131</v>
      </c>
      <c r="H113" s="130" t="s">
        <v>47</v>
      </c>
      <c r="I113" s="130" t="s">
        <v>30</v>
      </c>
      <c r="J113" s="135">
        <v>43759</v>
      </c>
      <c r="K113" s="130" t="s">
        <v>2067</v>
      </c>
    </row>
    <row r="114" spans="1:24" ht="24.75" customHeight="1" x14ac:dyDescent="0.2">
      <c r="A114" s="130">
        <v>113</v>
      </c>
      <c r="B114" s="131" t="s">
        <v>127</v>
      </c>
      <c r="C114" s="134" t="s">
        <v>516</v>
      </c>
      <c r="D114" s="134" t="s">
        <v>517</v>
      </c>
      <c r="E114" s="134" t="s">
        <v>518</v>
      </c>
      <c r="F114" s="134"/>
      <c r="G114" s="136" t="s">
        <v>131</v>
      </c>
      <c r="H114" s="136" t="s">
        <v>205</v>
      </c>
      <c r="I114" s="130" t="s">
        <v>132</v>
      </c>
      <c r="J114" s="135">
        <v>44504</v>
      </c>
      <c r="K114" s="130" t="s">
        <v>519</v>
      </c>
    </row>
    <row r="115" spans="1:24" ht="22.5" customHeight="1" x14ac:dyDescent="0.2">
      <c r="A115" s="130">
        <v>114</v>
      </c>
      <c r="B115" s="131" t="s">
        <v>42</v>
      </c>
      <c r="C115" s="134" t="s">
        <v>912</v>
      </c>
      <c r="D115" s="134" t="s">
        <v>913</v>
      </c>
      <c r="E115" s="134" t="s">
        <v>914</v>
      </c>
      <c r="F115" s="134"/>
      <c r="G115" s="136" t="s">
        <v>1802</v>
      </c>
      <c r="H115" s="130" t="s">
        <v>89</v>
      </c>
      <c r="I115" s="130" t="s">
        <v>2314</v>
      </c>
      <c r="J115" s="135">
        <v>44971</v>
      </c>
      <c r="K115" s="130" t="s">
        <v>2315</v>
      </c>
    </row>
    <row r="116" spans="1:24" ht="23.25" customHeight="1" x14ac:dyDescent="0.2">
      <c r="A116" s="130">
        <v>115</v>
      </c>
      <c r="B116" s="131" t="s">
        <v>42</v>
      </c>
      <c r="C116" s="142" t="s">
        <v>922</v>
      </c>
      <c r="D116" s="142" t="s">
        <v>924</v>
      </c>
      <c r="E116" s="142" t="s">
        <v>2260</v>
      </c>
      <c r="F116" s="134"/>
      <c r="G116" s="130" t="s">
        <v>28</v>
      </c>
      <c r="H116" s="130" t="s">
        <v>89</v>
      </c>
      <c r="I116" s="144" t="s">
        <v>90</v>
      </c>
      <c r="J116" s="135">
        <v>46069</v>
      </c>
      <c r="K116" s="130" t="s">
        <v>2261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spans="1:24" ht="27.75" customHeight="1" x14ac:dyDescent="0.2">
      <c r="A117" s="130">
        <v>116</v>
      </c>
      <c r="B117" s="131" t="s">
        <v>127</v>
      </c>
      <c r="C117" s="142" t="s">
        <v>1726</v>
      </c>
      <c r="D117" s="142" t="s">
        <v>986</v>
      </c>
      <c r="E117" s="142" t="s">
        <v>1730</v>
      </c>
      <c r="F117" s="134"/>
      <c r="G117" s="136" t="s">
        <v>239</v>
      </c>
      <c r="H117" s="136" t="s">
        <v>47</v>
      </c>
      <c r="I117" s="130" t="s">
        <v>132</v>
      </c>
      <c r="J117" s="135">
        <v>44504</v>
      </c>
      <c r="K117" s="130" t="s">
        <v>1734</v>
      </c>
    </row>
    <row r="118" spans="1:24" ht="30.75" customHeight="1" x14ac:dyDescent="0.2">
      <c r="A118" s="130">
        <v>117</v>
      </c>
      <c r="B118" s="131" t="s">
        <v>32</v>
      </c>
      <c r="C118" s="134" t="s">
        <v>1841</v>
      </c>
      <c r="D118" s="134" t="s">
        <v>1843</v>
      </c>
      <c r="E118" s="134" t="s">
        <v>1845</v>
      </c>
      <c r="F118" s="134"/>
      <c r="G118" s="130" t="s">
        <v>131</v>
      </c>
      <c r="H118" s="130" t="s">
        <v>385</v>
      </c>
      <c r="I118" s="130" t="s">
        <v>36</v>
      </c>
      <c r="J118" s="135">
        <v>44922</v>
      </c>
      <c r="K118" s="130" t="s">
        <v>2425</v>
      </c>
    </row>
    <row r="119" spans="1:24" ht="24.75" customHeight="1" x14ac:dyDescent="0.2">
      <c r="A119" s="130">
        <v>118</v>
      </c>
      <c r="B119" s="131" t="s">
        <v>42</v>
      </c>
      <c r="C119" s="134" t="s">
        <v>218</v>
      </c>
      <c r="D119" s="134" t="s">
        <v>219</v>
      </c>
      <c r="E119" s="134" t="s">
        <v>220</v>
      </c>
      <c r="F119" s="134"/>
      <c r="G119" s="136" t="s">
        <v>221</v>
      </c>
      <c r="H119" s="138" t="s">
        <v>168</v>
      </c>
      <c r="I119" s="139" t="s">
        <v>222</v>
      </c>
      <c r="J119" s="135">
        <v>40830</v>
      </c>
      <c r="K119" s="136" t="s">
        <v>223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spans="1:24" ht="24.75" customHeight="1" x14ac:dyDescent="0.2">
      <c r="A120" s="130">
        <v>119</v>
      </c>
      <c r="B120" s="131" t="s">
        <v>42</v>
      </c>
      <c r="C120" s="142" t="s">
        <v>563</v>
      </c>
      <c r="D120" s="142" t="s">
        <v>564</v>
      </c>
      <c r="E120" s="142" t="s">
        <v>565</v>
      </c>
      <c r="F120" s="134"/>
      <c r="G120" s="138" t="s">
        <v>566</v>
      </c>
      <c r="H120" s="138" t="s">
        <v>96</v>
      </c>
      <c r="I120" s="130" t="s">
        <v>569</v>
      </c>
      <c r="J120" s="156">
        <v>46106</v>
      </c>
      <c r="K120" s="138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 ht="23.25" customHeight="1" x14ac:dyDescent="0.2">
      <c r="A121" s="130">
        <v>120</v>
      </c>
      <c r="B121" s="131" t="s">
        <v>42</v>
      </c>
      <c r="C121" s="142" t="s">
        <v>117</v>
      </c>
      <c r="D121" s="142" t="s">
        <v>118</v>
      </c>
      <c r="E121" s="142" t="s">
        <v>119</v>
      </c>
      <c r="F121" s="142"/>
      <c r="G121" s="130" t="s">
        <v>120</v>
      </c>
      <c r="H121" s="130" t="s">
        <v>47</v>
      </c>
      <c r="I121" s="130" t="s">
        <v>90</v>
      </c>
      <c r="J121" s="135">
        <v>46232</v>
      </c>
      <c r="K121" s="130">
        <v>9294573659</v>
      </c>
    </row>
    <row r="122" spans="1:24" ht="26.25" customHeight="1" x14ac:dyDescent="0.2">
      <c r="A122" s="130">
        <v>121</v>
      </c>
      <c r="B122" s="131" t="s">
        <v>32</v>
      </c>
      <c r="C122" s="134" t="s">
        <v>919</v>
      </c>
      <c r="D122" s="134" t="s">
        <v>920</v>
      </c>
      <c r="E122" s="134" t="s">
        <v>921</v>
      </c>
      <c r="F122" s="134"/>
      <c r="G122" s="130" t="s">
        <v>28</v>
      </c>
      <c r="H122" s="130" t="s">
        <v>29</v>
      </c>
      <c r="I122" s="130" t="s">
        <v>36</v>
      </c>
      <c r="J122" s="135">
        <v>44922</v>
      </c>
      <c r="K122" s="130" t="s">
        <v>927</v>
      </c>
    </row>
    <row r="123" spans="1:24" ht="23.25" customHeight="1" x14ac:dyDescent="0.2">
      <c r="A123" s="130">
        <v>122</v>
      </c>
      <c r="B123" s="131" t="s">
        <v>42</v>
      </c>
      <c r="C123" s="142" t="s">
        <v>955</v>
      </c>
      <c r="D123" s="142" t="s">
        <v>536</v>
      </c>
      <c r="E123" s="142" t="s">
        <v>956</v>
      </c>
      <c r="F123" s="130" t="s">
        <v>181</v>
      </c>
      <c r="G123" s="130" t="s">
        <v>239</v>
      </c>
      <c r="H123" s="130" t="s">
        <v>47</v>
      </c>
      <c r="I123" s="139" t="s">
        <v>90</v>
      </c>
      <c r="J123" s="135">
        <v>46069</v>
      </c>
      <c r="K123" s="138" t="s">
        <v>2688</v>
      </c>
    </row>
    <row r="124" spans="1:24" ht="23.25" customHeight="1" x14ac:dyDescent="0.2">
      <c r="A124" s="130">
        <v>123</v>
      </c>
      <c r="B124" s="131" t="s">
        <v>42</v>
      </c>
      <c r="C124" s="134" t="s">
        <v>959</v>
      </c>
      <c r="D124" s="134" t="s">
        <v>960</v>
      </c>
      <c r="E124" s="134" t="s">
        <v>961</v>
      </c>
      <c r="F124" s="134"/>
      <c r="G124" s="144" t="s">
        <v>2499</v>
      </c>
      <c r="H124" s="144" t="s">
        <v>2500</v>
      </c>
      <c r="I124" s="139" t="s">
        <v>2501</v>
      </c>
      <c r="J124" s="135">
        <v>40836</v>
      </c>
      <c r="K124" s="138" t="s">
        <v>2502</v>
      </c>
    </row>
    <row r="125" spans="1:24" ht="23.25" customHeight="1" x14ac:dyDescent="0.2">
      <c r="A125" s="130">
        <v>124</v>
      </c>
      <c r="B125" s="131" t="s">
        <v>318</v>
      </c>
      <c r="C125" s="134" t="s">
        <v>1537</v>
      </c>
      <c r="D125" s="134" t="s">
        <v>1538</v>
      </c>
      <c r="E125" s="134" t="s">
        <v>1539</v>
      </c>
      <c r="F125" s="134"/>
      <c r="G125" s="130" t="s">
        <v>131</v>
      </c>
      <c r="H125" s="130" t="s">
        <v>47</v>
      </c>
      <c r="I125" s="136" t="s">
        <v>206</v>
      </c>
      <c r="J125" s="135">
        <v>43542</v>
      </c>
      <c r="K125" s="130" t="s">
        <v>2030</v>
      </c>
    </row>
    <row r="126" spans="1:24" ht="23.25" customHeight="1" x14ac:dyDescent="0.2">
      <c r="A126" s="130">
        <v>125</v>
      </c>
      <c r="B126" s="131" t="s">
        <v>127</v>
      </c>
      <c r="C126" s="142" t="s">
        <v>1955</v>
      </c>
      <c r="D126" s="142" t="s">
        <v>1957</v>
      </c>
      <c r="E126" s="142" t="s">
        <v>1034</v>
      </c>
      <c r="F126" s="142" t="s">
        <v>181</v>
      </c>
      <c r="G126" s="136" t="s">
        <v>368</v>
      </c>
      <c r="H126" s="136" t="s">
        <v>205</v>
      </c>
      <c r="I126" s="130" t="s">
        <v>132</v>
      </c>
      <c r="J126" s="135">
        <v>44504</v>
      </c>
      <c r="K126" s="130" t="s">
        <v>1961</v>
      </c>
    </row>
    <row r="127" spans="1:24" ht="23.25" customHeight="1" x14ac:dyDescent="0.2">
      <c r="A127" s="130">
        <v>126</v>
      </c>
      <c r="B127" s="131" t="s">
        <v>397</v>
      </c>
      <c r="C127" s="134" t="s">
        <v>1571</v>
      </c>
      <c r="D127" s="134" t="s">
        <v>1065</v>
      </c>
      <c r="E127" s="134" t="s">
        <v>1573</v>
      </c>
      <c r="F127" s="134"/>
      <c r="G127" s="130" t="s">
        <v>131</v>
      </c>
      <c r="H127" s="138" t="s">
        <v>205</v>
      </c>
      <c r="I127" s="139" t="s">
        <v>206</v>
      </c>
      <c r="J127" s="135">
        <v>43147</v>
      </c>
      <c r="K127" s="138" t="s">
        <v>1576</v>
      </c>
    </row>
    <row r="128" spans="1:24" ht="23.25" customHeight="1" x14ac:dyDescent="0.2">
      <c r="A128" s="130">
        <v>127</v>
      </c>
      <c r="B128" s="131" t="s">
        <v>127</v>
      </c>
      <c r="C128" s="134" t="s">
        <v>1916</v>
      </c>
      <c r="D128" s="134" t="s">
        <v>1917</v>
      </c>
      <c r="E128" s="134" t="s">
        <v>1918</v>
      </c>
      <c r="F128" s="137"/>
      <c r="G128" s="130" t="s">
        <v>368</v>
      </c>
      <c r="H128" s="130" t="s">
        <v>47</v>
      </c>
      <c r="I128" s="130" t="s">
        <v>132</v>
      </c>
      <c r="J128" s="135">
        <v>44455</v>
      </c>
      <c r="K128" s="130" t="s">
        <v>2151</v>
      </c>
    </row>
    <row r="129" spans="1:24" ht="23.25" customHeight="1" x14ac:dyDescent="0.2">
      <c r="A129" s="130">
        <v>128</v>
      </c>
      <c r="B129" s="131" t="s">
        <v>318</v>
      </c>
      <c r="C129" s="134" t="s">
        <v>1688</v>
      </c>
      <c r="D129" s="134" t="s">
        <v>1689</v>
      </c>
      <c r="E129" s="134" t="s">
        <v>1691</v>
      </c>
      <c r="F129" s="134"/>
      <c r="G129" s="130" t="s">
        <v>368</v>
      </c>
      <c r="H129" s="138" t="s">
        <v>205</v>
      </c>
      <c r="I129" s="139" t="s">
        <v>327</v>
      </c>
      <c r="J129" s="135">
        <v>38807</v>
      </c>
      <c r="K129" s="130" t="s">
        <v>1692</v>
      </c>
    </row>
    <row r="130" spans="1:24" ht="24.75" customHeight="1" x14ac:dyDescent="0.2">
      <c r="A130" s="130">
        <v>129</v>
      </c>
      <c r="B130" s="134" t="s">
        <v>32</v>
      </c>
      <c r="C130" s="131" t="s">
        <v>3752</v>
      </c>
      <c r="D130" s="131" t="s">
        <v>3753</v>
      </c>
      <c r="E130" s="131" t="s">
        <v>3754</v>
      </c>
      <c r="F130" s="131"/>
      <c r="G130" s="130" t="s">
        <v>131</v>
      </c>
      <c r="H130" s="130" t="s">
        <v>96</v>
      </c>
      <c r="I130" s="130" t="s">
        <v>90</v>
      </c>
      <c r="J130" s="135">
        <v>46281</v>
      </c>
      <c r="K130" s="130">
        <v>9667690698</v>
      </c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spans="1:24" ht="23.25" customHeight="1" x14ac:dyDescent="0.2">
      <c r="A131" s="130">
        <v>130</v>
      </c>
      <c r="B131" s="131" t="s">
        <v>32</v>
      </c>
      <c r="C131" s="134" t="s">
        <v>1939</v>
      </c>
      <c r="D131" s="134" t="s">
        <v>1940</v>
      </c>
      <c r="E131" s="134" t="s">
        <v>1941</v>
      </c>
      <c r="F131" s="134"/>
      <c r="G131" s="130" t="s">
        <v>131</v>
      </c>
      <c r="H131" s="130" t="s">
        <v>385</v>
      </c>
      <c r="I131" s="130" t="s">
        <v>30</v>
      </c>
      <c r="J131" s="135">
        <v>44922</v>
      </c>
      <c r="K131" s="130" t="s">
        <v>2570</v>
      </c>
    </row>
    <row r="132" spans="1:24" ht="24.75" customHeight="1" x14ac:dyDescent="0.2">
      <c r="A132" s="130">
        <v>131</v>
      </c>
      <c r="B132" s="131" t="s">
        <v>134</v>
      </c>
      <c r="C132" s="134" t="s">
        <v>1954</v>
      </c>
      <c r="D132" s="134" t="s">
        <v>1079</v>
      </c>
      <c r="E132" s="134" t="s">
        <v>1063</v>
      </c>
      <c r="F132" s="134"/>
      <c r="G132" s="147" t="s">
        <v>239</v>
      </c>
      <c r="H132" s="147" t="s">
        <v>75</v>
      </c>
      <c r="I132" s="147" t="s">
        <v>2327</v>
      </c>
      <c r="J132" s="135">
        <v>42305</v>
      </c>
      <c r="K132" s="138" t="s">
        <v>2567</v>
      </c>
    </row>
    <row r="133" spans="1:24" ht="31.5" customHeight="1" x14ac:dyDescent="0.2">
      <c r="A133" s="130">
        <v>132</v>
      </c>
      <c r="B133" s="131" t="s">
        <v>323</v>
      </c>
      <c r="C133" s="142" t="s">
        <v>1967</v>
      </c>
      <c r="D133" s="142" t="s">
        <v>1968</v>
      </c>
      <c r="E133" s="142" t="s">
        <v>226</v>
      </c>
      <c r="F133" s="142"/>
      <c r="G133" s="136" t="s">
        <v>131</v>
      </c>
      <c r="H133" s="136" t="s">
        <v>2469</v>
      </c>
      <c r="I133" s="130" t="s">
        <v>132</v>
      </c>
      <c r="J133" s="135">
        <v>43753</v>
      </c>
      <c r="K133" s="130">
        <v>9973159998</v>
      </c>
    </row>
    <row r="134" spans="1:24" ht="23.25" customHeight="1" x14ac:dyDescent="0.2">
      <c r="A134" s="130">
        <v>133</v>
      </c>
      <c r="B134" s="131" t="s">
        <v>42</v>
      </c>
      <c r="C134" s="134" t="s">
        <v>965</v>
      </c>
      <c r="D134" s="134" t="s">
        <v>966</v>
      </c>
      <c r="E134" s="134" t="s">
        <v>967</v>
      </c>
      <c r="F134" s="134"/>
      <c r="G134" s="138" t="s">
        <v>2305</v>
      </c>
      <c r="H134" s="138" t="s">
        <v>2729</v>
      </c>
      <c r="I134" s="139" t="s">
        <v>1882</v>
      </c>
      <c r="J134" s="135">
        <v>45155</v>
      </c>
      <c r="K134" s="138" t="s">
        <v>2730</v>
      </c>
    </row>
    <row r="135" spans="1:24" ht="26.25" customHeight="1" x14ac:dyDescent="0.2">
      <c r="A135" s="130">
        <v>134</v>
      </c>
      <c r="B135" s="131" t="s">
        <v>42</v>
      </c>
      <c r="C135" s="134" t="s">
        <v>973</v>
      </c>
      <c r="D135" s="134" t="s">
        <v>974</v>
      </c>
      <c r="E135" s="134" t="s">
        <v>975</v>
      </c>
      <c r="F135" s="134"/>
      <c r="G135" s="138" t="s">
        <v>131</v>
      </c>
      <c r="H135" s="138" t="s">
        <v>47</v>
      </c>
      <c r="I135" s="139" t="s">
        <v>90</v>
      </c>
      <c r="J135" s="135">
        <v>45155</v>
      </c>
      <c r="K135" s="138" t="s">
        <v>2503</v>
      </c>
    </row>
    <row r="136" spans="1:24" ht="23.25" customHeight="1" x14ac:dyDescent="0.2">
      <c r="A136" s="130">
        <v>135</v>
      </c>
      <c r="B136" s="131" t="s">
        <v>134</v>
      </c>
      <c r="C136" s="142" t="s">
        <v>643</v>
      </c>
      <c r="D136" s="142" t="s">
        <v>644</v>
      </c>
      <c r="E136" s="142" t="s">
        <v>645</v>
      </c>
      <c r="F136" s="142"/>
      <c r="G136" s="130" t="s">
        <v>131</v>
      </c>
      <c r="H136" s="130" t="s">
        <v>47</v>
      </c>
      <c r="I136" s="130" t="s">
        <v>30</v>
      </c>
      <c r="J136" s="135">
        <v>43759</v>
      </c>
      <c r="K136" s="136" t="s">
        <v>646</v>
      </c>
    </row>
    <row r="137" spans="1:24" ht="21" customHeight="1" x14ac:dyDescent="0.2">
      <c r="A137" s="130">
        <v>136</v>
      </c>
      <c r="B137" s="131" t="s">
        <v>127</v>
      </c>
      <c r="C137" s="142" t="s">
        <v>1192</v>
      </c>
      <c r="D137" s="142" t="s">
        <v>1195</v>
      </c>
      <c r="E137" s="142" t="s">
        <v>1196</v>
      </c>
      <c r="F137" s="142"/>
      <c r="G137" s="136" t="s">
        <v>368</v>
      </c>
      <c r="H137" s="136" t="s">
        <v>47</v>
      </c>
      <c r="I137" s="130" t="s">
        <v>132</v>
      </c>
      <c r="J137" s="135">
        <v>44455</v>
      </c>
      <c r="K137" s="138" t="s">
        <v>1197</v>
      </c>
    </row>
    <row r="138" spans="1:24" ht="23.25" customHeight="1" x14ac:dyDescent="0.2">
      <c r="A138" s="130">
        <v>137</v>
      </c>
      <c r="B138" s="131" t="s">
        <v>528</v>
      </c>
      <c r="C138" s="134" t="s">
        <v>1192</v>
      </c>
      <c r="D138" s="134" t="s">
        <v>1698</v>
      </c>
      <c r="E138" s="134" t="s">
        <v>1700</v>
      </c>
      <c r="F138" s="134"/>
      <c r="G138" s="130" t="s">
        <v>28</v>
      </c>
      <c r="H138" s="130" t="s">
        <v>89</v>
      </c>
      <c r="I138" s="130" t="s">
        <v>182</v>
      </c>
      <c r="J138" s="135">
        <v>40210</v>
      </c>
      <c r="K138" s="138" t="s">
        <v>1707</v>
      </c>
    </row>
    <row r="139" spans="1:24" ht="23.25" customHeight="1" x14ac:dyDescent="0.2">
      <c r="A139" s="130">
        <v>138</v>
      </c>
      <c r="B139" s="131" t="s">
        <v>32</v>
      </c>
      <c r="C139" s="134" t="s">
        <v>1953</v>
      </c>
      <c r="D139" s="134" t="s">
        <v>181</v>
      </c>
      <c r="E139" s="134" t="s">
        <v>1956</v>
      </c>
      <c r="F139" s="134"/>
      <c r="G139" s="130" t="s">
        <v>28</v>
      </c>
      <c r="H139" s="130" t="s">
        <v>29</v>
      </c>
      <c r="I139" s="130" t="s">
        <v>36</v>
      </c>
      <c r="J139" s="135">
        <v>44922</v>
      </c>
      <c r="K139" s="130" t="s">
        <v>1959</v>
      </c>
    </row>
    <row r="140" spans="1:24" ht="22.5" customHeight="1" x14ac:dyDescent="0.2">
      <c r="A140" s="130">
        <v>139</v>
      </c>
      <c r="B140" s="131" t="s">
        <v>177</v>
      </c>
      <c r="C140" s="134" t="s">
        <v>178</v>
      </c>
      <c r="D140" s="134" t="s">
        <v>179</v>
      </c>
      <c r="E140" s="134" t="s">
        <v>180</v>
      </c>
      <c r="F140" s="134" t="s">
        <v>181</v>
      </c>
      <c r="G140" s="147" t="s">
        <v>28</v>
      </c>
      <c r="H140" s="147" t="s">
        <v>29</v>
      </c>
      <c r="I140" s="147" t="s">
        <v>182</v>
      </c>
      <c r="J140" s="135">
        <v>40513</v>
      </c>
      <c r="K140" s="136" t="s">
        <v>183</v>
      </c>
    </row>
    <row r="141" spans="1:24" ht="23.25" customHeight="1" x14ac:dyDescent="0.2">
      <c r="A141" s="130">
        <v>140</v>
      </c>
      <c r="B141" s="131" t="s">
        <v>127</v>
      </c>
      <c r="C141" s="142" t="s">
        <v>1514</v>
      </c>
      <c r="D141" s="142" t="s">
        <v>1515</v>
      </c>
      <c r="E141" s="142" t="s">
        <v>1516</v>
      </c>
      <c r="F141" s="134"/>
      <c r="G141" s="136" t="s">
        <v>239</v>
      </c>
      <c r="H141" s="136" t="s">
        <v>205</v>
      </c>
      <c r="I141" s="130" t="s">
        <v>132</v>
      </c>
      <c r="J141" s="135">
        <v>44504</v>
      </c>
      <c r="K141" s="130" t="s">
        <v>1520</v>
      </c>
    </row>
    <row r="142" spans="1:24" ht="23.25" customHeight="1" x14ac:dyDescent="0.2">
      <c r="A142" s="130">
        <v>141</v>
      </c>
      <c r="B142" s="131" t="s">
        <v>32</v>
      </c>
      <c r="C142" s="134" t="s">
        <v>1447</v>
      </c>
      <c r="D142" s="134" t="s">
        <v>1448</v>
      </c>
      <c r="E142" s="134" t="s">
        <v>1449</v>
      </c>
      <c r="F142" s="134"/>
      <c r="G142" s="136" t="s">
        <v>3785</v>
      </c>
      <c r="H142" s="136" t="s">
        <v>1450</v>
      </c>
      <c r="I142" s="130" t="s">
        <v>36</v>
      </c>
      <c r="J142" s="135">
        <v>44922</v>
      </c>
      <c r="K142" s="130" t="s">
        <v>1453</v>
      </c>
    </row>
    <row r="143" spans="1:24" ht="31.5" customHeight="1" x14ac:dyDescent="0.2">
      <c r="A143" s="130">
        <v>142</v>
      </c>
      <c r="B143" s="131" t="s">
        <v>32</v>
      </c>
      <c r="C143" s="134" t="s">
        <v>2048</v>
      </c>
      <c r="D143" s="134" t="s">
        <v>179</v>
      </c>
      <c r="E143" s="134" t="s">
        <v>2049</v>
      </c>
      <c r="F143" s="134" t="s">
        <v>181</v>
      </c>
      <c r="G143" s="130" t="s">
        <v>28</v>
      </c>
      <c r="H143" s="130" t="s">
        <v>29</v>
      </c>
      <c r="I143" s="130" t="s">
        <v>36</v>
      </c>
      <c r="J143" s="135">
        <v>44922</v>
      </c>
      <c r="K143" s="130" t="s">
        <v>2389</v>
      </c>
    </row>
    <row r="144" spans="1:24" ht="23.25" customHeight="1" x14ac:dyDescent="0.2">
      <c r="A144" s="130">
        <v>143</v>
      </c>
      <c r="B144" s="131" t="s">
        <v>62</v>
      </c>
      <c r="C144" s="134" t="s">
        <v>2060</v>
      </c>
      <c r="D144" s="134" t="s">
        <v>2061</v>
      </c>
      <c r="E144" s="134" t="s">
        <v>2062</v>
      </c>
      <c r="F144" s="134"/>
      <c r="G144" s="130" t="s">
        <v>131</v>
      </c>
      <c r="H144" s="136" t="s">
        <v>1372</v>
      </c>
      <c r="I144" s="130" t="s">
        <v>327</v>
      </c>
      <c r="J144" s="135">
        <v>37971</v>
      </c>
      <c r="K144" s="130" t="s">
        <v>2120</v>
      </c>
    </row>
    <row r="145" spans="1:24" ht="28.5" customHeight="1" x14ac:dyDescent="0.2">
      <c r="A145" s="130">
        <v>144</v>
      </c>
      <c r="B145" s="131" t="s">
        <v>127</v>
      </c>
      <c r="C145" s="142" t="s">
        <v>977</v>
      </c>
      <c r="D145" s="142" t="s">
        <v>2100</v>
      </c>
      <c r="E145" s="142" t="s">
        <v>194</v>
      </c>
      <c r="F145" s="142"/>
      <c r="G145" s="136" t="s">
        <v>239</v>
      </c>
      <c r="H145" s="136" t="s">
        <v>47</v>
      </c>
      <c r="I145" s="130" t="s">
        <v>132</v>
      </c>
      <c r="J145" s="135">
        <v>44455</v>
      </c>
      <c r="K145" s="130" t="s">
        <v>2133</v>
      </c>
    </row>
    <row r="146" spans="1:24" ht="23.25" customHeight="1" x14ac:dyDescent="0.2">
      <c r="A146" s="130">
        <v>145</v>
      </c>
      <c r="B146" s="131" t="s">
        <v>42</v>
      </c>
      <c r="C146" s="134" t="s">
        <v>977</v>
      </c>
      <c r="D146" s="134" t="s">
        <v>978</v>
      </c>
      <c r="E146" s="134" t="s">
        <v>979</v>
      </c>
      <c r="F146" s="134"/>
      <c r="G146" s="138" t="s">
        <v>368</v>
      </c>
      <c r="H146" s="130" t="s">
        <v>168</v>
      </c>
      <c r="I146" s="139" t="s">
        <v>569</v>
      </c>
      <c r="J146" s="135">
        <v>46069</v>
      </c>
      <c r="K146" s="138" t="s">
        <v>2601</v>
      </c>
    </row>
    <row r="147" spans="1:24" ht="23.25" customHeight="1" x14ac:dyDescent="0.2">
      <c r="A147" s="130">
        <v>146</v>
      </c>
      <c r="B147" s="131" t="s">
        <v>134</v>
      </c>
      <c r="C147" s="134" t="s">
        <v>472</v>
      </c>
      <c r="D147" s="134" t="s">
        <v>473</v>
      </c>
      <c r="E147" s="134" t="s">
        <v>474</v>
      </c>
      <c r="F147" s="134"/>
      <c r="G147" s="130" t="s">
        <v>476</v>
      </c>
      <c r="H147" s="130" t="s">
        <v>477</v>
      </c>
      <c r="I147" s="130" t="s">
        <v>30</v>
      </c>
      <c r="J147" s="135">
        <v>43759</v>
      </c>
      <c r="K147" s="130" t="s">
        <v>478</v>
      </c>
    </row>
    <row r="148" spans="1:24" ht="23.25" customHeight="1" x14ac:dyDescent="0.2">
      <c r="A148" s="130">
        <v>147</v>
      </c>
      <c r="B148" s="131" t="s">
        <v>32</v>
      </c>
      <c r="C148" s="134" t="s">
        <v>472</v>
      </c>
      <c r="D148" s="134" t="s">
        <v>2086</v>
      </c>
      <c r="E148" s="134" t="s">
        <v>2426</v>
      </c>
      <c r="F148" s="134"/>
      <c r="G148" s="130" t="s">
        <v>131</v>
      </c>
      <c r="H148" s="130" t="s">
        <v>212</v>
      </c>
      <c r="I148" s="130" t="s">
        <v>30</v>
      </c>
      <c r="J148" s="135">
        <v>44900</v>
      </c>
      <c r="K148" s="130" t="s">
        <v>2427</v>
      </c>
    </row>
    <row r="149" spans="1:24" ht="26.25" customHeight="1" x14ac:dyDescent="0.2">
      <c r="A149" s="130">
        <v>148</v>
      </c>
      <c r="B149" s="131" t="s">
        <v>42</v>
      </c>
      <c r="C149" s="134" t="s">
        <v>985</v>
      </c>
      <c r="D149" s="134" t="s">
        <v>986</v>
      </c>
      <c r="E149" s="134" t="s">
        <v>987</v>
      </c>
      <c r="F149" s="134"/>
      <c r="G149" s="136" t="s">
        <v>2333</v>
      </c>
      <c r="H149" s="144" t="s">
        <v>452</v>
      </c>
      <c r="I149" s="144" t="s">
        <v>90</v>
      </c>
      <c r="J149" s="135">
        <v>44935</v>
      </c>
      <c r="K149" s="130" t="s">
        <v>2334</v>
      </c>
    </row>
    <row r="150" spans="1:24" ht="23.25" customHeight="1" x14ac:dyDescent="0.2">
      <c r="A150" s="130">
        <v>149</v>
      </c>
      <c r="B150" s="131" t="s">
        <v>42</v>
      </c>
      <c r="C150" s="134" t="s">
        <v>997</v>
      </c>
      <c r="D150" s="134" t="s">
        <v>769</v>
      </c>
      <c r="E150" s="134" t="s">
        <v>998</v>
      </c>
      <c r="F150" s="134"/>
      <c r="G150" s="136" t="s">
        <v>2330</v>
      </c>
      <c r="H150" s="144" t="s">
        <v>2331</v>
      </c>
      <c r="I150" s="144" t="s">
        <v>90</v>
      </c>
      <c r="J150" s="135">
        <v>36894</v>
      </c>
      <c r="K150" s="130" t="s">
        <v>2335</v>
      </c>
    </row>
    <row r="151" spans="1:24" ht="23.25" customHeight="1" x14ac:dyDescent="0.2">
      <c r="A151" s="130">
        <v>150</v>
      </c>
      <c r="B151" s="131" t="s">
        <v>32</v>
      </c>
      <c r="C151" s="131" t="s">
        <v>208</v>
      </c>
      <c r="D151" s="140" t="s">
        <v>209</v>
      </c>
      <c r="E151" s="131" t="s">
        <v>210</v>
      </c>
      <c r="F151" s="131"/>
      <c r="G151" s="130" t="s">
        <v>131</v>
      </c>
      <c r="H151" s="130" t="s">
        <v>212</v>
      </c>
      <c r="I151" s="130" t="s">
        <v>36</v>
      </c>
      <c r="J151" s="135">
        <v>44879</v>
      </c>
      <c r="K151" s="130" t="s">
        <v>213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spans="1:24" ht="23.25" customHeight="1" x14ac:dyDescent="0.2">
      <c r="A152" s="130">
        <v>151</v>
      </c>
      <c r="B152" s="131" t="s">
        <v>127</v>
      </c>
      <c r="C152" s="134" t="s">
        <v>2108</v>
      </c>
      <c r="D152" s="134" t="s">
        <v>2110</v>
      </c>
      <c r="E152" s="134" t="s">
        <v>2111</v>
      </c>
      <c r="F152" s="134" t="s">
        <v>181</v>
      </c>
      <c r="G152" s="130" t="s">
        <v>131</v>
      </c>
      <c r="H152" s="130" t="s">
        <v>96</v>
      </c>
      <c r="I152" s="130" t="s">
        <v>327</v>
      </c>
      <c r="J152" s="135">
        <v>43542</v>
      </c>
      <c r="K152" s="130" t="s">
        <v>1541</v>
      </c>
    </row>
    <row r="153" spans="1:24" ht="23.25" customHeight="1" x14ac:dyDescent="0.2">
      <c r="A153" s="130">
        <v>152</v>
      </c>
      <c r="B153" s="131" t="s">
        <v>23</v>
      </c>
      <c r="C153" s="134" t="s">
        <v>24</v>
      </c>
      <c r="D153" s="134" t="s">
        <v>25</v>
      </c>
      <c r="E153" s="134" t="s">
        <v>26</v>
      </c>
      <c r="F153" s="134"/>
      <c r="G153" s="130" t="s">
        <v>28</v>
      </c>
      <c r="H153" s="130" t="s">
        <v>29</v>
      </c>
      <c r="I153" s="130" t="s">
        <v>30</v>
      </c>
      <c r="J153" s="135">
        <v>42767</v>
      </c>
      <c r="K153" s="130" t="s">
        <v>31</v>
      </c>
    </row>
    <row r="154" spans="1:24" ht="24" customHeight="1" x14ac:dyDescent="0.2">
      <c r="A154" s="130">
        <v>153</v>
      </c>
      <c r="B154" s="131" t="s">
        <v>69</v>
      </c>
      <c r="C154" s="142" t="s">
        <v>70</v>
      </c>
      <c r="D154" s="142" t="s">
        <v>71</v>
      </c>
      <c r="E154" s="142" t="s">
        <v>72</v>
      </c>
      <c r="F154" s="142"/>
      <c r="G154" s="136" t="s">
        <v>74</v>
      </c>
      <c r="H154" s="136" t="s">
        <v>75</v>
      </c>
      <c r="I154" s="130" t="s">
        <v>30</v>
      </c>
      <c r="J154" s="135">
        <v>41912</v>
      </c>
      <c r="K154" s="130" t="s">
        <v>76</v>
      </c>
    </row>
    <row r="155" spans="1:24" ht="26.25" customHeight="1" x14ac:dyDescent="0.2">
      <c r="A155" s="130">
        <v>154</v>
      </c>
      <c r="B155" s="131" t="s">
        <v>42</v>
      </c>
      <c r="C155" s="134" t="s">
        <v>2075</v>
      </c>
      <c r="D155" s="134" t="s">
        <v>1004</v>
      </c>
      <c r="E155" s="134" t="s">
        <v>1005</v>
      </c>
      <c r="F155" s="134"/>
      <c r="G155" s="165" t="s">
        <v>829</v>
      </c>
      <c r="H155" s="165" t="s">
        <v>89</v>
      </c>
      <c r="I155" s="139" t="s">
        <v>2077</v>
      </c>
      <c r="J155" s="135">
        <v>40830</v>
      </c>
      <c r="K155" s="130" t="s">
        <v>2078</v>
      </c>
    </row>
    <row r="156" spans="1:24" ht="23.25" customHeight="1" x14ac:dyDescent="0.2">
      <c r="A156" s="130">
        <v>155</v>
      </c>
      <c r="B156" s="131" t="s">
        <v>134</v>
      </c>
      <c r="C156" s="142" t="s">
        <v>330</v>
      </c>
      <c r="D156" s="142" t="s">
        <v>331</v>
      </c>
      <c r="E156" s="142" t="s">
        <v>332</v>
      </c>
      <c r="F156" s="142"/>
      <c r="G156" s="130" t="s">
        <v>131</v>
      </c>
      <c r="H156" s="130" t="s">
        <v>75</v>
      </c>
      <c r="I156" s="130" t="s">
        <v>30</v>
      </c>
      <c r="J156" s="135">
        <v>43759</v>
      </c>
      <c r="K156" s="136" t="s">
        <v>334</v>
      </c>
    </row>
    <row r="157" spans="1:24" ht="24" customHeight="1" x14ac:dyDescent="0.2">
      <c r="A157" s="130">
        <v>156</v>
      </c>
      <c r="B157" s="131" t="s">
        <v>32</v>
      </c>
      <c r="C157" s="134" t="s">
        <v>725</v>
      </c>
      <c r="D157" s="134" t="s">
        <v>726</v>
      </c>
      <c r="E157" s="134" t="s">
        <v>727</v>
      </c>
      <c r="F157" s="134"/>
      <c r="G157" s="130" t="s">
        <v>28</v>
      </c>
      <c r="H157" s="130" t="s">
        <v>29</v>
      </c>
      <c r="I157" s="130" t="s">
        <v>36</v>
      </c>
      <c r="J157" s="135">
        <v>44922</v>
      </c>
      <c r="K157" s="130" t="s">
        <v>729</v>
      </c>
    </row>
    <row r="158" spans="1:24" ht="27" customHeight="1" x14ac:dyDescent="0.2">
      <c r="A158" s="130">
        <v>157</v>
      </c>
      <c r="B158" s="131" t="s">
        <v>69</v>
      </c>
      <c r="C158" s="134" t="s">
        <v>2102</v>
      </c>
      <c r="D158" s="134" t="s">
        <v>2103</v>
      </c>
      <c r="E158" s="134" t="s">
        <v>2104</v>
      </c>
      <c r="F158" s="142"/>
      <c r="G158" s="130" t="s">
        <v>131</v>
      </c>
      <c r="H158" s="130" t="s">
        <v>75</v>
      </c>
      <c r="I158" s="130" t="s">
        <v>30</v>
      </c>
      <c r="J158" s="135">
        <v>42088</v>
      </c>
      <c r="K158" s="130" t="s">
        <v>2106</v>
      </c>
    </row>
    <row r="159" spans="1:24" ht="23.25" customHeight="1" x14ac:dyDescent="0.2">
      <c r="A159" s="130">
        <v>158</v>
      </c>
      <c r="B159" s="131" t="s">
        <v>32</v>
      </c>
      <c r="C159" s="142" t="s">
        <v>928</v>
      </c>
      <c r="D159" s="142" t="s">
        <v>929</v>
      </c>
      <c r="E159" s="142" t="s">
        <v>930</v>
      </c>
      <c r="F159" s="142"/>
      <c r="G159" s="130" t="s">
        <v>131</v>
      </c>
      <c r="H159" s="130" t="s">
        <v>47</v>
      </c>
      <c r="I159" s="130" t="s">
        <v>30</v>
      </c>
      <c r="J159" s="135">
        <v>43878</v>
      </c>
      <c r="K159" s="130" t="s">
        <v>933</v>
      </c>
    </row>
    <row r="160" spans="1:24" ht="23.25" customHeight="1" x14ac:dyDescent="0.2">
      <c r="A160" s="130">
        <v>159</v>
      </c>
      <c r="B160" s="131" t="s">
        <v>32</v>
      </c>
      <c r="C160" s="134" t="s">
        <v>669</v>
      </c>
      <c r="D160" s="134" t="s">
        <v>670</v>
      </c>
      <c r="E160" s="134" t="s">
        <v>671</v>
      </c>
      <c r="F160" s="134"/>
      <c r="G160" s="130" t="s">
        <v>239</v>
      </c>
      <c r="H160" s="130" t="s">
        <v>212</v>
      </c>
      <c r="I160" s="130" t="s">
        <v>36</v>
      </c>
      <c r="J160" s="135">
        <v>44900</v>
      </c>
      <c r="K160" s="130" t="s">
        <v>676</v>
      </c>
    </row>
    <row r="161" spans="1:24" ht="24.75" customHeight="1" x14ac:dyDescent="0.2">
      <c r="A161" s="130">
        <v>160</v>
      </c>
      <c r="B161" s="131" t="s">
        <v>134</v>
      </c>
      <c r="C161" s="134" t="s">
        <v>669</v>
      </c>
      <c r="D161" s="134" t="s">
        <v>1847</v>
      </c>
      <c r="E161" s="134" t="s">
        <v>1848</v>
      </c>
      <c r="F161" s="134" t="s">
        <v>181</v>
      </c>
      <c r="G161" s="136" t="s">
        <v>1849</v>
      </c>
      <c r="H161" s="136" t="s">
        <v>89</v>
      </c>
      <c r="I161" s="130" t="s">
        <v>30</v>
      </c>
      <c r="J161" s="135">
        <v>42994</v>
      </c>
      <c r="K161" s="136" t="s">
        <v>1850</v>
      </c>
    </row>
    <row r="162" spans="1:24" ht="23.25" customHeight="1" x14ac:dyDescent="0.2">
      <c r="A162" s="130">
        <v>161</v>
      </c>
      <c r="B162" s="131" t="s">
        <v>127</v>
      </c>
      <c r="C162" s="142" t="s">
        <v>1782</v>
      </c>
      <c r="D162" s="142" t="s">
        <v>1784</v>
      </c>
      <c r="E162" s="142" t="s">
        <v>1786</v>
      </c>
      <c r="F162" s="142"/>
      <c r="G162" s="136" t="s">
        <v>131</v>
      </c>
      <c r="H162" s="136" t="s">
        <v>47</v>
      </c>
      <c r="I162" s="130" t="s">
        <v>132</v>
      </c>
      <c r="J162" s="135">
        <v>44455</v>
      </c>
      <c r="K162" s="130" t="s">
        <v>1788</v>
      </c>
    </row>
    <row r="163" spans="1:24" ht="22.5" customHeight="1" x14ac:dyDescent="0.2">
      <c r="A163" s="130">
        <v>162</v>
      </c>
      <c r="B163" s="131" t="s">
        <v>201</v>
      </c>
      <c r="C163" s="134" t="s">
        <v>1221</v>
      </c>
      <c r="D163" s="134" t="s">
        <v>1222</v>
      </c>
      <c r="E163" s="134" t="s">
        <v>1223</v>
      </c>
      <c r="F163" s="137"/>
      <c r="G163" s="130" t="s">
        <v>368</v>
      </c>
      <c r="H163" s="138" t="s">
        <v>526</v>
      </c>
      <c r="I163" s="130" t="s">
        <v>206</v>
      </c>
      <c r="J163" s="135">
        <v>45068</v>
      </c>
      <c r="K163" s="148" t="s">
        <v>1227</v>
      </c>
    </row>
    <row r="164" spans="1:24" ht="22.5" customHeight="1" x14ac:dyDescent="0.2">
      <c r="A164" s="130">
        <v>163</v>
      </c>
      <c r="B164" s="131" t="s">
        <v>62</v>
      </c>
      <c r="C164" s="134" t="s">
        <v>2354</v>
      </c>
      <c r="D164" s="134" t="s">
        <v>1891</v>
      </c>
      <c r="E164" s="134" t="s">
        <v>1892</v>
      </c>
      <c r="F164" s="134"/>
      <c r="G164" s="130" t="s">
        <v>66</v>
      </c>
      <c r="H164" s="130" t="s">
        <v>67</v>
      </c>
      <c r="I164" s="130" t="s">
        <v>21</v>
      </c>
      <c r="J164" s="135">
        <v>38236</v>
      </c>
      <c r="K164" s="138" t="s">
        <v>2356</v>
      </c>
    </row>
    <row r="165" spans="1:24" ht="23.25" customHeight="1" x14ac:dyDescent="0.2">
      <c r="A165" s="130">
        <v>164</v>
      </c>
      <c r="B165" s="131" t="s">
        <v>32</v>
      </c>
      <c r="C165" s="134" t="s">
        <v>2231</v>
      </c>
      <c r="D165" s="134" t="s">
        <v>2232</v>
      </c>
      <c r="E165" s="134" t="s">
        <v>795</v>
      </c>
      <c r="F165" s="134"/>
      <c r="G165" s="130" t="s">
        <v>131</v>
      </c>
      <c r="H165" s="130" t="s">
        <v>212</v>
      </c>
      <c r="I165" s="130" t="s">
        <v>36</v>
      </c>
      <c r="J165" s="135">
        <v>44900</v>
      </c>
      <c r="K165" s="130" t="s">
        <v>2571</v>
      </c>
    </row>
    <row r="166" spans="1:24" ht="23.25" customHeight="1" x14ac:dyDescent="0.2">
      <c r="A166" s="130">
        <v>165</v>
      </c>
      <c r="B166" s="131" t="s">
        <v>32</v>
      </c>
      <c r="C166" s="134" t="s">
        <v>2249</v>
      </c>
      <c r="D166" s="134" t="s">
        <v>2250</v>
      </c>
      <c r="E166" s="134" t="s">
        <v>2251</v>
      </c>
      <c r="F166" s="134"/>
      <c r="G166" s="130" t="s">
        <v>28</v>
      </c>
      <c r="H166" s="130" t="s">
        <v>29</v>
      </c>
      <c r="I166" s="130" t="s">
        <v>36</v>
      </c>
      <c r="J166" s="135">
        <v>44922</v>
      </c>
      <c r="K166" s="130" t="s">
        <v>2390</v>
      </c>
    </row>
    <row r="167" spans="1:24" ht="23.25" customHeight="1" x14ac:dyDescent="0.2">
      <c r="A167" s="130">
        <v>166</v>
      </c>
      <c r="B167" s="131" t="s">
        <v>42</v>
      </c>
      <c r="C167" s="134" t="s">
        <v>188</v>
      </c>
      <c r="D167" s="134" t="s">
        <v>189</v>
      </c>
      <c r="E167" s="134" t="s">
        <v>190</v>
      </c>
      <c r="F167" s="134"/>
      <c r="G167" s="138" t="s">
        <v>131</v>
      </c>
      <c r="H167" s="138" t="s">
        <v>96</v>
      </c>
      <c r="I167" s="139" t="s">
        <v>169</v>
      </c>
      <c r="J167" s="135">
        <v>43063</v>
      </c>
      <c r="K167" s="136" t="s">
        <v>191</v>
      </c>
    </row>
    <row r="168" spans="1:24" ht="22.5" customHeight="1" x14ac:dyDescent="0.2">
      <c r="A168" s="130">
        <v>167</v>
      </c>
      <c r="B168" s="131" t="s">
        <v>318</v>
      </c>
      <c r="C168" s="142" t="s">
        <v>449</v>
      </c>
      <c r="D168" s="142" t="s">
        <v>1929</v>
      </c>
      <c r="E168" s="142" t="s">
        <v>1930</v>
      </c>
      <c r="F168" s="142"/>
      <c r="G168" s="136" t="s">
        <v>368</v>
      </c>
      <c r="H168" s="166" t="s">
        <v>3747</v>
      </c>
      <c r="I168" s="130" t="s">
        <v>327</v>
      </c>
      <c r="J168" s="135">
        <v>37830</v>
      </c>
      <c r="K168" s="136" t="s">
        <v>2363</v>
      </c>
    </row>
    <row r="169" spans="1:24" ht="24" customHeight="1" x14ac:dyDescent="0.2">
      <c r="A169" s="130">
        <v>168</v>
      </c>
      <c r="B169" s="131" t="s">
        <v>127</v>
      </c>
      <c r="C169" s="142" t="s">
        <v>449</v>
      </c>
      <c r="D169" s="142" t="s">
        <v>1965</v>
      </c>
      <c r="E169" s="142" t="s">
        <v>1121</v>
      </c>
      <c r="F169" s="142"/>
      <c r="G169" s="136" t="s">
        <v>628</v>
      </c>
      <c r="H169" s="136" t="s">
        <v>629</v>
      </c>
      <c r="I169" s="130" t="s">
        <v>206</v>
      </c>
      <c r="J169" s="135">
        <v>44504</v>
      </c>
      <c r="K169" s="130" t="s">
        <v>1966</v>
      </c>
    </row>
    <row r="170" spans="1:24" ht="23.25" customHeight="1" x14ac:dyDescent="0.2">
      <c r="A170" s="130">
        <v>169</v>
      </c>
      <c r="B170" s="131" t="s">
        <v>134</v>
      </c>
      <c r="C170" s="142" t="s">
        <v>2191</v>
      </c>
      <c r="D170" s="142" t="s">
        <v>2192</v>
      </c>
      <c r="E170" s="142" t="s">
        <v>2193</v>
      </c>
      <c r="F170" s="142"/>
      <c r="G170" s="130" t="s">
        <v>28</v>
      </c>
      <c r="H170" s="130" t="s">
        <v>29</v>
      </c>
      <c r="I170" s="130" t="s">
        <v>30</v>
      </c>
      <c r="J170" s="135">
        <v>43759</v>
      </c>
      <c r="K170" s="130" t="s">
        <v>2195</v>
      </c>
    </row>
    <row r="171" spans="1:24" ht="24" customHeight="1" x14ac:dyDescent="0.2">
      <c r="A171" s="130">
        <v>170</v>
      </c>
      <c r="B171" s="131" t="s">
        <v>134</v>
      </c>
      <c r="C171" s="142" t="s">
        <v>184</v>
      </c>
      <c r="D171" s="142" t="s">
        <v>185</v>
      </c>
      <c r="E171" s="142" t="s">
        <v>186</v>
      </c>
      <c r="F171" s="142"/>
      <c r="G171" s="130" t="s">
        <v>28</v>
      </c>
      <c r="H171" s="130" t="s">
        <v>29</v>
      </c>
      <c r="I171" s="130" t="s">
        <v>30</v>
      </c>
      <c r="J171" s="135">
        <v>43759</v>
      </c>
      <c r="K171" s="136" t="s">
        <v>187</v>
      </c>
    </row>
    <row r="172" spans="1:24" ht="24" customHeight="1" x14ac:dyDescent="0.2">
      <c r="A172" s="130">
        <v>171</v>
      </c>
      <c r="B172" s="131" t="s">
        <v>42</v>
      </c>
      <c r="C172" s="134" t="s">
        <v>1014</v>
      </c>
      <c r="D172" s="134" t="s">
        <v>1015</v>
      </c>
      <c r="E172" s="134" t="s">
        <v>1016</v>
      </c>
      <c r="F172" s="134"/>
      <c r="G172" s="138" t="s">
        <v>2409</v>
      </c>
      <c r="H172" s="139" t="s">
        <v>195</v>
      </c>
      <c r="I172" s="139" t="s">
        <v>637</v>
      </c>
      <c r="J172" s="135">
        <v>40626</v>
      </c>
      <c r="K172" s="130" t="s">
        <v>2689</v>
      </c>
    </row>
    <row r="173" spans="1:24" ht="24" customHeight="1" x14ac:dyDescent="0.2">
      <c r="A173" s="130">
        <v>172</v>
      </c>
      <c r="B173" s="131" t="s">
        <v>42</v>
      </c>
      <c r="C173" s="134" t="s">
        <v>1022</v>
      </c>
      <c r="D173" s="134" t="s">
        <v>1024</v>
      </c>
      <c r="E173" s="134" t="s">
        <v>1025</v>
      </c>
      <c r="F173" s="142"/>
      <c r="G173" s="136" t="s">
        <v>2690</v>
      </c>
      <c r="H173" s="130" t="s">
        <v>47</v>
      </c>
      <c r="I173" s="144" t="s">
        <v>90</v>
      </c>
      <c r="J173" s="135">
        <v>45733</v>
      </c>
      <c r="K173" s="152" t="s">
        <v>2691</v>
      </c>
    </row>
    <row r="174" spans="1:24" ht="24" customHeight="1" x14ac:dyDescent="0.2">
      <c r="A174" s="130">
        <v>173</v>
      </c>
      <c r="B174" s="131" t="s">
        <v>42</v>
      </c>
      <c r="C174" s="134" t="s">
        <v>275</v>
      </c>
      <c r="D174" s="134" t="s">
        <v>276</v>
      </c>
      <c r="E174" s="134" t="s">
        <v>277</v>
      </c>
      <c r="F174" s="134"/>
      <c r="G174" s="130" t="s">
        <v>239</v>
      </c>
      <c r="H174" s="130" t="s">
        <v>168</v>
      </c>
      <c r="I174" s="139" t="s">
        <v>278</v>
      </c>
      <c r="J174" s="135">
        <v>43140</v>
      </c>
      <c r="K174" s="136" t="s">
        <v>279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spans="1:24" ht="23.25" customHeight="1" x14ac:dyDescent="0.2">
      <c r="A175" s="130">
        <v>174</v>
      </c>
      <c r="B175" s="131" t="s">
        <v>42</v>
      </c>
      <c r="C175" s="134" t="s">
        <v>275</v>
      </c>
      <c r="D175" s="134" t="s">
        <v>803</v>
      </c>
      <c r="E175" s="134" t="s">
        <v>1027</v>
      </c>
      <c r="F175" s="134"/>
      <c r="G175" s="130" t="s">
        <v>651</v>
      </c>
      <c r="H175" s="130" t="s">
        <v>2336</v>
      </c>
      <c r="I175" s="144" t="s">
        <v>90</v>
      </c>
      <c r="J175" s="135">
        <v>46069</v>
      </c>
      <c r="K175" s="130" t="s">
        <v>2337</v>
      </c>
    </row>
    <row r="176" spans="1:24" ht="27" customHeight="1" x14ac:dyDescent="0.2">
      <c r="A176" s="130">
        <v>175</v>
      </c>
      <c r="B176" s="131" t="s">
        <v>42</v>
      </c>
      <c r="C176" s="131" t="s">
        <v>224</v>
      </c>
      <c r="D176" s="140" t="s">
        <v>225</v>
      </c>
      <c r="E176" s="131" t="s">
        <v>226</v>
      </c>
      <c r="F176" s="131"/>
      <c r="G176" s="135" t="s">
        <v>228</v>
      </c>
      <c r="H176" s="135" t="s">
        <v>168</v>
      </c>
      <c r="I176" s="135" t="s">
        <v>90</v>
      </c>
      <c r="J176" s="135">
        <v>46069</v>
      </c>
      <c r="K176" s="135" t="s">
        <v>229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spans="1:24" ht="27.75" customHeight="1" x14ac:dyDescent="0.2">
      <c r="A177" s="130">
        <v>176</v>
      </c>
      <c r="B177" s="131" t="s">
        <v>42</v>
      </c>
      <c r="C177" s="134" t="s">
        <v>1036</v>
      </c>
      <c r="D177" s="134" t="s">
        <v>1037</v>
      </c>
      <c r="E177" s="134" t="s">
        <v>1038</v>
      </c>
      <c r="F177" s="134"/>
      <c r="G177" s="138" t="s">
        <v>1045</v>
      </c>
      <c r="H177" s="139" t="s">
        <v>195</v>
      </c>
      <c r="I177" s="144" t="s">
        <v>2602</v>
      </c>
      <c r="J177" s="135">
        <v>36161</v>
      </c>
      <c r="K177" s="138" t="s">
        <v>2603</v>
      </c>
    </row>
    <row r="178" spans="1:24" ht="23.25" customHeight="1" x14ac:dyDescent="0.2">
      <c r="A178" s="130">
        <v>177</v>
      </c>
      <c r="B178" s="131" t="s">
        <v>57</v>
      </c>
      <c r="C178" s="134" t="s">
        <v>1895</v>
      </c>
      <c r="D178" s="134" t="s">
        <v>1896</v>
      </c>
      <c r="E178" s="134" t="s">
        <v>1897</v>
      </c>
      <c r="F178" s="134"/>
      <c r="G178" s="130" t="s">
        <v>2357</v>
      </c>
      <c r="H178" s="130" t="s">
        <v>125</v>
      </c>
      <c r="I178" s="130" t="s">
        <v>21</v>
      </c>
      <c r="J178" s="135">
        <v>35671</v>
      </c>
      <c r="K178" s="130" t="s">
        <v>1899</v>
      </c>
    </row>
    <row r="179" spans="1:24" ht="27" customHeight="1" x14ac:dyDescent="0.2">
      <c r="A179" s="130">
        <v>178</v>
      </c>
      <c r="B179" s="131" t="s">
        <v>62</v>
      </c>
      <c r="C179" s="134" t="s">
        <v>1369</v>
      </c>
      <c r="D179" s="134" t="s">
        <v>733</v>
      </c>
      <c r="E179" s="134" t="s">
        <v>1370</v>
      </c>
      <c r="F179" s="134"/>
      <c r="G179" s="130" t="s">
        <v>368</v>
      </c>
      <c r="H179" s="130" t="s">
        <v>205</v>
      </c>
      <c r="I179" s="130" t="s">
        <v>327</v>
      </c>
      <c r="J179" s="135">
        <v>37830</v>
      </c>
      <c r="K179" s="130" t="s">
        <v>1867</v>
      </c>
    </row>
    <row r="180" spans="1:24" ht="24" customHeight="1" x14ac:dyDescent="0.2">
      <c r="A180" s="130">
        <v>179</v>
      </c>
      <c r="B180" s="131" t="s">
        <v>201</v>
      </c>
      <c r="C180" s="134" t="s">
        <v>202</v>
      </c>
      <c r="D180" s="134" t="s">
        <v>203</v>
      </c>
      <c r="E180" s="134" t="s">
        <v>204</v>
      </c>
      <c r="F180" s="134" t="s">
        <v>181</v>
      </c>
      <c r="G180" s="130" t="s">
        <v>131</v>
      </c>
      <c r="H180" s="138" t="s">
        <v>205</v>
      </c>
      <c r="I180" s="130" t="s">
        <v>206</v>
      </c>
      <c r="J180" s="135">
        <v>45068</v>
      </c>
      <c r="K180" s="148" t="s">
        <v>207</v>
      </c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spans="1:24" ht="22.5" customHeight="1" x14ac:dyDescent="0.2">
      <c r="A181" s="130">
        <v>180</v>
      </c>
      <c r="B181" s="134" t="s">
        <v>32</v>
      </c>
      <c r="C181" s="131" t="s">
        <v>388</v>
      </c>
      <c r="D181" s="131" t="s">
        <v>3755</v>
      </c>
      <c r="E181" s="131" t="s">
        <v>1906</v>
      </c>
      <c r="F181" s="131"/>
      <c r="G181" s="130" t="s">
        <v>131</v>
      </c>
      <c r="H181" s="130" t="s">
        <v>385</v>
      </c>
      <c r="I181" s="130" t="s">
        <v>90</v>
      </c>
      <c r="J181" s="135">
        <v>46281</v>
      </c>
      <c r="K181" s="130">
        <v>9262164474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spans="1:24" ht="23.25" customHeight="1" x14ac:dyDescent="0.2">
      <c r="A182" s="130">
        <v>181</v>
      </c>
      <c r="B182" s="131" t="s">
        <v>32</v>
      </c>
      <c r="C182" s="134" t="s">
        <v>388</v>
      </c>
      <c r="D182" s="134" t="s">
        <v>2308</v>
      </c>
      <c r="E182" s="134" t="s">
        <v>2310</v>
      </c>
      <c r="F182" s="134"/>
      <c r="G182" s="136" t="s">
        <v>291</v>
      </c>
      <c r="H182" s="130" t="s">
        <v>212</v>
      </c>
      <c r="I182" s="130" t="s">
        <v>36</v>
      </c>
      <c r="J182" s="135">
        <v>44544</v>
      </c>
      <c r="K182" s="148" t="s">
        <v>2674</v>
      </c>
    </row>
    <row r="183" spans="1:24" ht="23.25" customHeight="1" x14ac:dyDescent="0.2">
      <c r="A183" s="130">
        <v>182</v>
      </c>
      <c r="B183" s="131" t="s">
        <v>42</v>
      </c>
      <c r="C183" s="134" t="s">
        <v>1040</v>
      </c>
      <c r="D183" s="134" t="s">
        <v>1042</v>
      </c>
      <c r="E183" s="134" t="s">
        <v>1044</v>
      </c>
      <c r="F183" s="134"/>
      <c r="G183" s="138" t="s">
        <v>2411</v>
      </c>
      <c r="H183" s="130" t="s">
        <v>29</v>
      </c>
      <c r="I183" s="139" t="s">
        <v>81</v>
      </c>
      <c r="J183" s="135">
        <v>44971</v>
      </c>
      <c r="K183" s="130" t="s">
        <v>2412</v>
      </c>
    </row>
    <row r="184" spans="1:24" ht="25.5" customHeight="1" x14ac:dyDescent="0.2">
      <c r="A184" s="130">
        <v>183</v>
      </c>
      <c r="B184" s="131" t="s">
        <v>32</v>
      </c>
      <c r="C184" s="134" t="s">
        <v>1048</v>
      </c>
      <c r="D184" s="134" t="s">
        <v>1065</v>
      </c>
      <c r="E184" s="134" t="s">
        <v>1511</v>
      </c>
      <c r="F184" s="134"/>
      <c r="G184" s="130" t="s">
        <v>28</v>
      </c>
      <c r="H184" s="130" t="s">
        <v>29</v>
      </c>
      <c r="I184" s="130" t="s">
        <v>36</v>
      </c>
      <c r="J184" s="135">
        <v>44922</v>
      </c>
      <c r="K184" s="130" t="s">
        <v>2394</v>
      </c>
    </row>
    <row r="185" spans="1:24" ht="23.25" customHeight="1" x14ac:dyDescent="0.2">
      <c r="A185" s="130">
        <v>184</v>
      </c>
      <c r="B185" s="131" t="s">
        <v>42</v>
      </c>
      <c r="C185" s="134" t="s">
        <v>1048</v>
      </c>
      <c r="D185" s="134" t="s">
        <v>1049</v>
      </c>
      <c r="E185" s="134" t="s">
        <v>1050</v>
      </c>
      <c r="F185" s="134"/>
      <c r="G185" s="138" t="s">
        <v>131</v>
      </c>
      <c r="H185" s="139" t="s">
        <v>47</v>
      </c>
      <c r="I185" s="139" t="s">
        <v>2504</v>
      </c>
      <c r="J185" s="135">
        <v>43846</v>
      </c>
      <c r="K185" s="138" t="s">
        <v>2505</v>
      </c>
    </row>
    <row r="186" spans="1:24" ht="24.75" customHeight="1" x14ac:dyDescent="0.2">
      <c r="A186" s="130">
        <v>185</v>
      </c>
      <c r="B186" s="131" t="s">
        <v>62</v>
      </c>
      <c r="C186" s="134" t="s">
        <v>2458</v>
      </c>
      <c r="D186" s="134" t="s">
        <v>59</v>
      </c>
      <c r="E186" s="134" t="s">
        <v>2080</v>
      </c>
      <c r="F186" s="134"/>
      <c r="G186" s="130" t="s">
        <v>239</v>
      </c>
      <c r="H186" s="130" t="s">
        <v>205</v>
      </c>
      <c r="I186" s="130" t="s">
        <v>327</v>
      </c>
      <c r="J186" s="135">
        <v>38322</v>
      </c>
      <c r="K186" s="130" t="s">
        <v>2082</v>
      </c>
    </row>
    <row r="187" spans="1:24" ht="23.25" customHeight="1" x14ac:dyDescent="0.2">
      <c r="A187" s="130">
        <v>186</v>
      </c>
      <c r="B187" s="131" t="s">
        <v>305</v>
      </c>
      <c r="C187" s="134" t="s">
        <v>2090</v>
      </c>
      <c r="D187" s="134" t="s">
        <v>2091</v>
      </c>
      <c r="E187" s="134" t="s">
        <v>2092</v>
      </c>
      <c r="F187" s="134"/>
      <c r="G187" s="130" t="s">
        <v>239</v>
      </c>
      <c r="H187" s="130" t="s">
        <v>310</v>
      </c>
      <c r="I187" s="130" t="s">
        <v>311</v>
      </c>
      <c r="J187" s="135">
        <v>37830</v>
      </c>
      <c r="K187" s="130" t="s">
        <v>2093</v>
      </c>
    </row>
    <row r="188" spans="1:24" ht="24.75" customHeight="1" x14ac:dyDescent="0.2">
      <c r="A188" s="130">
        <v>187</v>
      </c>
      <c r="B188" s="134" t="s">
        <v>32</v>
      </c>
      <c r="C188" s="131" t="s">
        <v>173</v>
      </c>
      <c r="D188" s="131" t="s">
        <v>3756</v>
      </c>
      <c r="E188" s="131" t="s">
        <v>3757</v>
      </c>
      <c r="F188" s="131"/>
      <c r="G188" s="136" t="s">
        <v>3781</v>
      </c>
      <c r="H188" s="130" t="s">
        <v>47</v>
      </c>
      <c r="I188" s="130" t="s">
        <v>90</v>
      </c>
      <c r="J188" s="135">
        <v>46281</v>
      </c>
      <c r="K188" s="130">
        <v>9493358160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spans="1:24" ht="27" customHeight="1" x14ac:dyDescent="0.2">
      <c r="A189" s="130">
        <v>188</v>
      </c>
      <c r="B189" s="131" t="s">
        <v>32</v>
      </c>
      <c r="C189" s="134" t="s">
        <v>173</v>
      </c>
      <c r="D189" s="134" t="s">
        <v>2340</v>
      </c>
      <c r="E189" s="134" t="s">
        <v>2341</v>
      </c>
      <c r="F189" s="134"/>
      <c r="G189" s="130" t="s">
        <v>131</v>
      </c>
      <c r="H189" s="130" t="s">
        <v>212</v>
      </c>
      <c r="I189" s="130" t="s">
        <v>36</v>
      </c>
      <c r="J189" s="135">
        <v>44900</v>
      </c>
      <c r="K189" s="130" t="s">
        <v>2395</v>
      </c>
    </row>
    <row r="190" spans="1:24" ht="23.25" customHeight="1" x14ac:dyDescent="0.2">
      <c r="A190" s="130">
        <v>189</v>
      </c>
      <c r="B190" s="131" t="s">
        <v>318</v>
      </c>
      <c r="C190" s="134" t="s">
        <v>404</v>
      </c>
      <c r="D190" s="134" t="s">
        <v>405</v>
      </c>
      <c r="E190" s="134" t="s">
        <v>406</v>
      </c>
      <c r="F190" s="134"/>
      <c r="G190" s="130" t="s">
        <v>131</v>
      </c>
      <c r="H190" s="130" t="s">
        <v>205</v>
      </c>
      <c r="I190" s="130" t="s">
        <v>327</v>
      </c>
      <c r="J190" s="135">
        <v>42346</v>
      </c>
      <c r="K190" s="130" t="s">
        <v>407</v>
      </c>
    </row>
    <row r="191" spans="1:24" ht="23.25" customHeight="1" x14ac:dyDescent="0.2">
      <c r="A191" s="130">
        <v>190</v>
      </c>
      <c r="B191" s="131" t="s">
        <v>42</v>
      </c>
      <c r="C191" s="134" t="s">
        <v>404</v>
      </c>
      <c r="D191" s="134" t="s">
        <v>879</v>
      </c>
      <c r="E191" s="134" t="s">
        <v>404</v>
      </c>
      <c r="F191" s="134"/>
      <c r="G191" s="138" t="s">
        <v>131</v>
      </c>
      <c r="H191" s="138" t="s">
        <v>47</v>
      </c>
      <c r="I191" s="144" t="s">
        <v>81</v>
      </c>
      <c r="J191" s="135">
        <v>42919</v>
      </c>
      <c r="K191" s="130" t="s">
        <v>881</v>
      </c>
    </row>
    <row r="192" spans="1:24" ht="24" customHeight="1" x14ac:dyDescent="0.2">
      <c r="A192" s="130">
        <v>191</v>
      </c>
      <c r="B192" s="131" t="s">
        <v>376</v>
      </c>
      <c r="C192" s="134" t="s">
        <v>404</v>
      </c>
      <c r="D192" s="134" t="s">
        <v>1061</v>
      </c>
      <c r="E192" s="134" t="s">
        <v>1062</v>
      </c>
      <c r="F192" s="137"/>
      <c r="G192" s="130" t="s">
        <v>131</v>
      </c>
      <c r="H192" s="130" t="s">
        <v>205</v>
      </c>
      <c r="I192" s="130" t="s">
        <v>132</v>
      </c>
      <c r="J192" s="135">
        <v>44890</v>
      </c>
      <c r="K192" s="130" t="s">
        <v>1067</v>
      </c>
    </row>
    <row r="193" spans="1:24" ht="23.25" customHeight="1" x14ac:dyDescent="0.2">
      <c r="A193" s="130">
        <v>192</v>
      </c>
      <c r="B193" s="131" t="s">
        <v>42</v>
      </c>
      <c r="C193" s="134" t="s">
        <v>404</v>
      </c>
      <c r="D193" s="134" t="s">
        <v>1056</v>
      </c>
      <c r="E193" s="134" t="s">
        <v>1057</v>
      </c>
      <c r="F193" s="142"/>
      <c r="G193" s="130" t="s">
        <v>131</v>
      </c>
      <c r="H193" s="130" t="s">
        <v>96</v>
      </c>
      <c r="I193" s="144" t="s">
        <v>90</v>
      </c>
      <c r="J193" s="135">
        <v>45800</v>
      </c>
      <c r="K193" s="152" t="s">
        <v>2506</v>
      </c>
    </row>
    <row r="194" spans="1:24" ht="23.25" customHeight="1" x14ac:dyDescent="0.2">
      <c r="A194" s="130">
        <v>193</v>
      </c>
      <c r="B194" s="131" t="s">
        <v>42</v>
      </c>
      <c r="C194" s="134" t="s">
        <v>404</v>
      </c>
      <c r="D194" s="134" t="s">
        <v>1070</v>
      </c>
      <c r="E194" s="134" t="s">
        <v>1071</v>
      </c>
      <c r="F194" s="134"/>
      <c r="G194" s="171" t="s">
        <v>2604</v>
      </c>
      <c r="H194" s="144" t="s">
        <v>2605</v>
      </c>
      <c r="I194" s="139" t="s">
        <v>2284</v>
      </c>
      <c r="J194" s="135">
        <v>38509</v>
      </c>
      <c r="K194" s="138" t="s">
        <v>2607</v>
      </c>
    </row>
    <row r="195" spans="1:24" ht="24.75" customHeight="1" x14ac:dyDescent="0.2">
      <c r="A195" s="130">
        <v>194</v>
      </c>
      <c r="B195" s="131" t="s">
        <v>42</v>
      </c>
      <c r="C195" s="134" t="s">
        <v>404</v>
      </c>
      <c r="D195" s="134" t="s">
        <v>1068</v>
      </c>
      <c r="E195" s="134" t="s">
        <v>304</v>
      </c>
      <c r="F195" s="142"/>
      <c r="G195" s="136" t="s">
        <v>2763</v>
      </c>
      <c r="H195" s="130" t="s">
        <v>47</v>
      </c>
      <c r="I195" s="144" t="s">
        <v>90</v>
      </c>
      <c r="J195" s="135">
        <v>45733</v>
      </c>
      <c r="K195" s="152" t="s">
        <v>2764</v>
      </c>
    </row>
    <row r="196" spans="1:24" ht="26.25" customHeight="1" x14ac:dyDescent="0.2">
      <c r="A196" s="130">
        <v>195</v>
      </c>
      <c r="B196" s="131" t="s">
        <v>42</v>
      </c>
      <c r="C196" s="134" t="s">
        <v>404</v>
      </c>
      <c r="D196" s="134" t="s">
        <v>1073</v>
      </c>
      <c r="E196" s="134" t="s">
        <v>1074</v>
      </c>
      <c r="F196" s="134"/>
      <c r="G196" s="138" t="s">
        <v>2765</v>
      </c>
      <c r="H196" s="139" t="s">
        <v>195</v>
      </c>
      <c r="I196" s="139" t="s">
        <v>2766</v>
      </c>
      <c r="J196" s="135">
        <v>37956</v>
      </c>
      <c r="K196" s="138" t="s">
        <v>2767</v>
      </c>
    </row>
    <row r="197" spans="1:24" ht="27" customHeight="1" x14ac:dyDescent="0.2">
      <c r="A197" s="130">
        <v>196</v>
      </c>
      <c r="B197" s="131" t="s">
        <v>57</v>
      </c>
      <c r="C197" s="134" t="s">
        <v>251</v>
      </c>
      <c r="D197" s="134" t="s">
        <v>252</v>
      </c>
      <c r="E197" s="134" t="s">
        <v>253</v>
      </c>
      <c r="F197" s="134" t="s">
        <v>181</v>
      </c>
      <c r="G197" s="130" t="s">
        <v>239</v>
      </c>
      <c r="H197" s="130" t="s">
        <v>125</v>
      </c>
      <c r="I197" s="130" t="s">
        <v>21</v>
      </c>
      <c r="J197" s="135">
        <v>36857</v>
      </c>
      <c r="K197" s="130" t="s">
        <v>255</v>
      </c>
    </row>
    <row r="198" spans="1:24" ht="23.25" customHeight="1" x14ac:dyDescent="0.2">
      <c r="A198" s="130">
        <v>197</v>
      </c>
      <c r="B198" s="131" t="s">
        <v>42</v>
      </c>
      <c r="C198" s="134" t="s">
        <v>1085</v>
      </c>
      <c r="D198" s="134" t="s">
        <v>1086</v>
      </c>
      <c r="E198" s="134" t="s">
        <v>1088</v>
      </c>
      <c r="F198" s="142"/>
      <c r="G198" s="136" t="s">
        <v>2608</v>
      </c>
      <c r="H198" s="130" t="s">
        <v>168</v>
      </c>
      <c r="I198" s="144" t="s">
        <v>90</v>
      </c>
      <c r="J198" s="135">
        <v>45733</v>
      </c>
      <c r="K198" s="152" t="s">
        <v>2609</v>
      </c>
    </row>
    <row r="199" spans="1:24" ht="24.75" customHeight="1" x14ac:dyDescent="0.2">
      <c r="A199" s="130">
        <v>198</v>
      </c>
      <c r="B199" s="131" t="s">
        <v>134</v>
      </c>
      <c r="C199" s="134" t="s">
        <v>1877</v>
      </c>
      <c r="D199" s="134" t="s">
        <v>64</v>
      </c>
      <c r="E199" s="134" t="s">
        <v>1878</v>
      </c>
      <c r="F199" s="134"/>
      <c r="G199" s="130" t="s">
        <v>131</v>
      </c>
      <c r="H199" s="130" t="s">
        <v>75</v>
      </c>
      <c r="I199" s="130" t="s">
        <v>30</v>
      </c>
      <c r="J199" s="135">
        <v>42994</v>
      </c>
      <c r="K199" s="130" t="s">
        <v>1880</v>
      </c>
    </row>
    <row r="200" spans="1:24" ht="24" customHeight="1" x14ac:dyDescent="0.2">
      <c r="A200" s="130">
        <v>199</v>
      </c>
      <c r="B200" s="131" t="s">
        <v>318</v>
      </c>
      <c r="C200" s="134" t="s">
        <v>412</v>
      </c>
      <c r="D200" s="134" t="s">
        <v>413</v>
      </c>
      <c r="E200" s="134" t="s">
        <v>414</v>
      </c>
      <c r="F200" s="134"/>
      <c r="G200" s="130" t="s">
        <v>465</v>
      </c>
      <c r="H200" s="130" t="s">
        <v>205</v>
      </c>
      <c r="I200" s="130" t="s">
        <v>327</v>
      </c>
      <c r="J200" s="135">
        <v>39995</v>
      </c>
      <c r="K200" s="130" t="s">
        <v>416</v>
      </c>
    </row>
    <row r="201" spans="1:24" ht="24" customHeight="1" x14ac:dyDescent="0.2">
      <c r="A201" s="130">
        <v>200</v>
      </c>
      <c r="B201" s="131" t="s">
        <v>134</v>
      </c>
      <c r="C201" s="142" t="s">
        <v>438</v>
      </c>
      <c r="D201" s="142" t="s">
        <v>831</v>
      </c>
      <c r="E201" s="142" t="s">
        <v>832</v>
      </c>
      <c r="F201" s="142"/>
      <c r="G201" s="130" t="s">
        <v>131</v>
      </c>
      <c r="H201" s="130" t="s">
        <v>47</v>
      </c>
      <c r="I201" s="130" t="s">
        <v>30</v>
      </c>
      <c r="J201" s="135">
        <v>43759</v>
      </c>
      <c r="K201" s="130" t="s">
        <v>835</v>
      </c>
    </row>
    <row r="202" spans="1:24" ht="24.75" customHeight="1" x14ac:dyDescent="0.2">
      <c r="A202" s="130">
        <v>201</v>
      </c>
      <c r="B202" s="131" t="s">
        <v>32</v>
      </c>
      <c r="C202" s="142" t="s">
        <v>1816</v>
      </c>
      <c r="D202" s="142" t="s">
        <v>1817</v>
      </c>
      <c r="E202" s="142" t="s">
        <v>455</v>
      </c>
      <c r="F202" s="142"/>
      <c r="G202" s="130" t="s">
        <v>1820</v>
      </c>
      <c r="H202" s="130" t="s">
        <v>29</v>
      </c>
      <c r="I202" s="130" t="s">
        <v>30</v>
      </c>
      <c r="J202" s="135">
        <v>43759</v>
      </c>
      <c r="K202" s="136" t="s">
        <v>1821</v>
      </c>
    </row>
    <row r="203" spans="1:24" ht="24" customHeight="1" x14ac:dyDescent="0.2">
      <c r="A203" s="130">
        <v>202</v>
      </c>
      <c r="B203" s="131" t="s">
        <v>32</v>
      </c>
      <c r="C203" s="134" t="s">
        <v>2210</v>
      </c>
      <c r="D203" s="134" t="s">
        <v>2211</v>
      </c>
      <c r="E203" s="134" t="s">
        <v>190</v>
      </c>
      <c r="F203" s="134"/>
      <c r="G203" s="147" t="s">
        <v>2212</v>
      </c>
      <c r="H203" s="147" t="s">
        <v>47</v>
      </c>
      <c r="I203" s="147" t="s">
        <v>2213</v>
      </c>
      <c r="J203" s="135">
        <v>44922</v>
      </c>
      <c r="K203" s="130" t="s">
        <v>2214</v>
      </c>
    </row>
    <row r="204" spans="1:24" ht="24" customHeight="1" x14ac:dyDescent="0.2">
      <c r="A204" s="130">
        <v>203</v>
      </c>
      <c r="B204" s="131" t="s">
        <v>42</v>
      </c>
      <c r="C204" s="134" t="s">
        <v>440</v>
      </c>
      <c r="D204" s="134" t="s">
        <v>441</v>
      </c>
      <c r="E204" s="134" t="s">
        <v>442</v>
      </c>
      <c r="F204" s="134"/>
      <c r="G204" s="143" t="s">
        <v>443</v>
      </c>
      <c r="H204" s="138" t="s">
        <v>47</v>
      </c>
      <c r="I204" s="130" t="s">
        <v>444</v>
      </c>
      <c r="J204" s="135">
        <v>44935</v>
      </c>
      <c r="K204" s="130" t="s">
        <v>446</v>
      </c>
    </row>
    <row r="205" spans="1:24" ht="23.25" customHeight="1" x14ac:dyDescent="0.2">
      <c r="A205" s="130">
        <v>204</v>
      </c>
      <c r="B205" s="131" t="s">
        <v>42</v>
      </c>
      <c r="C205" s="137" t="s">
        <v>440</v>
      </c>
      <c r="D205" s="134" t="s">
        <v>1094</v>
      </c>
      <c r="E205" s="134" t="s">
        <v>1097</v>
      </c>
      <c r="F205" s="134"/>
      <c r="G205" s="167" t="s">
        <v>2610</v>
      </c>
      <c r="H205" s="147" t="s">
        <v>47</v>
      </c>
      <c r="I205" s="139" t="s">
        <v>2223</v>
      </c>
      <c r="J205" s="135">
        <v>38876</v>
      </c>
      <c r="K205" s="138" t="s">
        <v>2611</v>
      </c>
    </row>
    <row r="206" spans="1:24" ht="28.5" customHeight="1" x14ac:dyDescent="0.2">
      <c r="A206" s="130">
        <v>205</v>
      </c>
      <c r="B206" s="131" t="s">
        <v>42</v>
      </c>
      <c r="C206" s="142" t="s">
        <v>2692</v>
      </c>
      <c r="D206" s="142" t="s">
        <v>1100</v>
      </c>
      <c r="E206" s="142" t="s">
        <v>1101</v>
      </c>
      <c r="F206" s="130"/>
      <c r="G206" s="136" t="s">
        <v>2693</v>
      </c>
      <c r="H206" s="130" t="s">
        <v>47</v>
      </c>
      <c r="I206" s="139" t="s">
        <v>90</v>
      </c>
      <c r="J206" s="135">
        <v>46069</v>
      </c>
      <c r="K206" s="138" t="s">
        <v>2694</v>
      </c>
    </row>
    <row r="207" spans="1:24" ht="24" customHeight="1" x14ac:dyDescent="0.2">
      <c r="A207" s="130">
        <v>206</v>
      </c>
      <c r="B207" s="131" t="s">
        <v>127</v>
      </c>
      <c r="C207" s="142" t="s">
        <v>492</v>
      </c>
      <c r="D207" s="142" t="s">
        <v>493</v>
      </c>
      <c r="E207" s="134" t="s">
        <v>495</v>
      </c>
      <c r="F207" s="142"/>
      <c r="G207" s="136" t="s">
        <v>291</v>
      </c>
      <c r="H207" s="136" t="s">
        <v>47</v>
      </c>
      <c r="I207" s="130" t="s">
        <v>132</v>
      </c>
      <c r="J207" s="135">
        <v>44455</v>
      </c>
      <c r="K207" s="130" t="s">
        <v>498</v>
      </c>
    </row>
    <row r="208" spans="1:24" ht="22.5" customHeight="1" x14ac:dyDescent="0.2">
      <c r="A208" s="130">
        <v>207</v>
      </c>
      <c r="B208" s="162" t="s">
        <v>528</v>
      </c>
      <c r="C208" s="162" t="s">
        <v>1834</v>
      </c>
      <c r="D208" s="162" t="s">
        <v>1835</v>
      </c>
      <c r="E208" s="162" t="s">
        <v>1836</v>
      </c>
      <c r="F208" s="154"/>
      <c r="G208" s="130" t="s">
        <v>239</v>
      </c>
      <c r="H208" s="130" t="s">
        <v>401</v>
      </c>
      <c r="I208" s="130" t="s">
        <v>182</v>
      </c>
      <c r="J208" s="155">
        <v>40210</v>
      </c>
      <c r="K208" s="130" t="s">
        <v>1837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spans="1:24" ht="23.25" customHeight="1" x14ac:dyDescent="0.2">
      <c r="A209" s="130">
        <v>208</v>
      </c>
      <c r="B209" s="131" t="s">
        <v>42</v>
      </c>
      <c r="C209" s="134" t="s">
        <v>1039</v>
      </c>
      <c r="D209" s="134" t="s">
        <v>1041</v>
      </c>
      <c r="E209" s="134" t="s">
        <v>1043</v>
      </c>
      <c r="F209" s="134"/>
      <c r="G209" s="138" t="s">
        <v>1045</v>
      </c>
      <c r="H209" s="139" t="s">
        <v>195</v>
      </c>
      <c r="I209" s="139" t="s">
        <v>1046</v>
      </c>
      <c r="J209" s="135">
        <v>40626</v>
      </c>
      <c r="K209" s="130" t="s">
        <v>1047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spans="1:24" ht="24" customHeight="1" x14ac:dyDescent="0.2">
      <c r="A210" s="130">
        <v>209</v>
      </c>
      <c r="B210" s="131" t="s">
        <v>32</v>
      </c>
      <c r="C210" s="134" t="s">
        <v>2391</v>
      </c>
      <c r="D210" s="134" t="s">
        <v>2392</v>
      </c>
      <c r="E210" s="134" t="s">
        <v>2393</v>
      </c>
      <c r="F210" s="134"/>
      <c r="G210" s="130" t="s">
        <v>2572</v>
      </c>
      <c r="H210" s="130" t="s">
        <v>385</v>
      </c>
      <c r="I210" s="130" t="s">
        <v>36</v>
      </c>
      <c r="J210" s="135">
        <v>44922</v>
      </c>
      <c r="K210" s="130" t="s">
        <v>2573</v>
      </c>
    </row>
    <row r="211" spans="1:24" ht="24" customHeight="1" x14ac:dyDescent="0.2">
      <c r="A211" s="130">
        <v>210</v>
      </c>
      <c r="B211" s="131" t="s">
        <v>32</v>
      </c>
      <c r="C211" s="134" t="s">
        <v>2159</v>
      </c>
      <c r="D211" s="134" t="s">
        <v>2160</v>
      </c>
      <c r="E211" s="134" t="s">
        <v>2161</v>
      </c>
      <c r="F211" s="137"/>
      <c r="G211" s="130" t="s">
        <v>131</v>
      </c>
      <c r="H211" s="130" t="s">
        <v>212</v>
      </c>
      <c r="I211" s="130" t="s">
        <v>36</v>
      </c>
      <c r="J211" s="135">
        <v>44879</v>
      </c>
      <c r="K211" s="130" t="s">
        <v>2162</v>
      </c>
    </row>
    <row r="212" spans="1:24" ht="24" customHeight="1" x14ac:dyDescent="0.2">
      <c r="A212" s="130">
        <v>211</v>
      </c>
      <c r="B212" s="131" t="s">
        <v>134</v>
      </c>
      <c r="C212" s="134" t="s">
        <v>425</v>
      </c>
      <c r="D212" s="134" t="s">
        <v>426</v>
      </c>
      <c r="E212" s="134" t="s">
        <v>388</v>
      </c>
      <c r="F212" s="134"/>
      <c r="G212" s="130" t="s">
        <v>28</v>
      </c>
      <c r="H212" s="144" t="s">
        <v>29</v>
      </c>
      <c r="I212" s="130" t="s">
        <v>30</v>
      </c>
      <c r="J212" s="135">
        <v>42994</v>
      </c>
      <c r="K212" s="130" t="s">
        <v>428</v>
      </c>
    </row>
    <row r="213" spans="1:24" ht="25.5" customHeight="1" x14ac:dyDescent="0.2">
      <c r="A213" s="130">
        <v>212</v>
      </c>
      <c r="B213" s="131" t="s">
        <v>127</v>
      </c>
      <c r="C213" s="142" t="s">
        <v>1869</v>
      </c>
      <c r="D213" s="142" t="s">
        <v>1382</v>
      </c>
      <c r="E213" s="142" t="s">
        <v>1384</v>
      </c>
      <c r="F213" s="134"/>
      <c r="G213" s="136" t="s">
        <v>239</v>
      </c>
      <c r="H213" s="136" t="s">
        <v>47</v>
      </c>
      <c r="I213" s="130" t="s">
        <v>132</v>
      </c>
      <c r="J213" s="135">
        <v>44504</v>
      </c>
      <c r="K213" s="130" t="s">
        <v>1388</v>
      </c>
    </row>
    <row r="214" spans="1:24" ht="24" customHeight="1" x14ac:dyDescent="0.2">
      <c r="A214" s="130">
        <v>213</v>
      </c>
      <c r="B214" s="131" t="s">
        <v>42</v>
      </c>
      <c r="C214" s="134" t="s">
        <v>1110</v>
      </c>
      <c r="D214" s="134" t="s">
        <v>1111</v>
      </c>
      <c r="E214" s="134" t="s">
        <v>1112</v>
      </c>
      <c r="F214" s="134"/>
      <c r="G214" s="144" t="s">
        <v>368</v>
      </c>
      <c r="H214" s="144" t="s">
        <v>47</v>
      </c>
      <c r="I214" s="139" t="s">
        <v>2235</v>
      </c>
      <c r="J214" s="135">
        <v>42835</v>
      </c>
      <c r="K214" s="130" t="s">
        <v>2731</v>
      </c>
    </row>
    <row r="215" spans="1:24" ht="24" customHeight="1" x14ac:dyDescent="0.2">
      <c r="A215" s="130">
        <v>214</v>
      </c>
      <c r="B215" s="131" t="s">
        <v>42</v>
      </c>
      <c r="C215" s="134" t="s">
        <v>1110</v>
      </c>
      <c r="D215" s="134" t="s">
        <v>1114</v>
      </c>
      <c r="E215" s="134" t="s">
        <v>1115</v>
      </c>
      <c r="F215" s="134"/>
      <c r="G215" s="138" t="s">
        <v>2768</v>
      </c>
      <c r="H215" s="138" t="s">
        <v>47</v>
      </c>
      <c r="I215" s="139" t="s">
        <v>2769</v>
      </c>
      <c r="J215" s="135">
        <v>41911</v>
      </c>
      <c r="K215" s="138" t="s">
        <v>2770</v>
      </c>
      <c r="L215" s="129"/>
    </row>
    <row r="216" spans="1:24" ht="24.75" customHeight="1" x14ac:dyDescent="0.2">
      <c r="A216" s="130">
        <v>215</v>
      </c>
      <c r="B216" s="131" t="s">
        <v>127</v>
      </c>
      <c r="C216" s="134" t="s">
        <v>1152</v>
      </c>
      <c r="D216" s="134" t="s">
        <v>1153</v>
      </c>
      <c r="E216" s="134" t="s">
        <v>1154</v>
      </c>
      <c r="F216" s="137"/>
      <c r="G216" s="136" t="s">
        <v>74</v>
      </c>
      <c r="H216" s="136" t="s">
        <v>205</v>
      </c>
      <c r="I216" s="130" t="s">
        <v>206</v>
      </c>
      <c r="J216" s="135">
        <v>44455</v>
      </c>
      <c r="K216" s="130" t="s">
        <v>1156</v>
      </c>
    </row>
    <row r="217" spans="1:24" ht="23.25" customHeight="1" x14ac:dyDescent="0.2">
      <c r="A217" s="130">
        <v>216</v>
      </c>
      <c r="B217" s="131" t="s">
        <v>318</v>
      </c>
      <c r="C217" s="134" t="s">
        <v>653</v>
      </c>
      <c r="D217" s="134" t="s">
        <v>654</v>
      </c>
      <c r="E217" s="134" t="s">
        <v>655</v>
      </c>
      <c r="F217" s="134"/>
      <c r="G217" s="130" t="s">
        <v>368</v>
      </c>
      <c r="H217" s="130" t="s">
        <v>205</v>
      </c>
      <c r="I217" s="139" t="s">
        <v>327</v>
      </c>
      <c r="J217" s="135">
        <v>37989</v>
      </c>
      <c r="K217" s="130" t="s">
        <v>658</v>
      </c>
    </row>
    <row r="218" spans="1:24" ht="23.25" customHeight="1" x14ac:dyDescent="0.2">
      <c r="A218" s="130">
        <v>217</v>
      </c>
      <c r="B218" s="131" t="s">
        <v>177</v>
      </c>
      <c r="C218" s="134" t="s">
        <v>420</v>
      </c>
      <c r="D218" s="134" t="s">
        <v>421</v>
      </c>
      <c r="E218" s="134" t="s">
        <v>422</v>
      </c>
      <c r="F218" s="134"/>
      <c r="G218" s="147" t="s">
        <v>368</v>
      </c>
      <c r="H218" s="147" t="s">
        <v>401</v>
      </c>
      <c r="I218" s="147" t="s">
        <v>182</v>
      </c>
      <c r="J218" s="135">
        <v>40513</v>
      </c>
      <c r="K218" s="130" t="s">
        <v>183</v>
      </c>
    </row>
    <row r="219" spans="1:24" ht="23.25" customHeight="1" x14ac:dyDescent="0.2">
      <c r="A219" s="130">
        <v>218</v>
      </c>
      <c r="B219" s="131" t="s">
        <v>376</v>
      </c>
      <c r="C219" s="134" t="s">
        <v>858</v>
      </c>
      <c r="D219" s="134" t="s">
        <v>437</v>
      </c>
      <c r="E219" s="134" t="s">
        <v>859</v>
      </c>
      <c r="F219" s="137" t="s">
        <v>181</v>
      </c>
      <c r="G219" s="130" t="s">
        <v>131</v>
      </c>
      <c r="H219" s="130" t="s">
        <v>47</v>
      </c>
      <c r="I219" s="130" t="s">
        <v>132</v>
      </c>
      <c r="J219" s="135">
        <v>44890</v>
      </c>
      <c r="K219" s="130" t="s">
        <v>861</v>
      </c>
    </row>
    <row r="220" spans="1:24" ht="22.5" customHeight="1" x14ac:dyDescent="0.2">
      <c r="A220" s="130">
        <v>219</v>
      </c>
      <c r="B220" s="134" t="s">
        <v>32</v>
      </c>
      <c r="C220" s="131" t="s">
        <v>858</v>
      </c>
      <c r="D220" s="131" t="s">
        <v>3758</v>
      </c>
      <c r="E220" s="131" t="s">
        <v>3759</v>
      </c>
      <c r="F220" s="131"/>
      <c r="G220" s="130" t="s">
        <v>131</v>
      </c>
      <c r="H220" s="130" t="s">
        <v>385</v>
      </c>
      <c r="I220" s="130" t="s">
        <v>90</v>
      </c>
      <c r="J220" s="135">
        <v>46281</v>
      </c>
      <c r="K220" s="130">
        <v>9284045309</v>
      </c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spans="1:24" ht="23.25" customHeight="1" x14ac:dyDescent="0.2">
      <c r="A221" s="130">
        <v>220</v>
      </c>
      <c r="B221" s="131" t="s">
        <v>323</v>
      </c>
      <c r="C221" s="134" t="s">
        <v>356</v>
      </c>
      <c r="D221" s="134" t="s">
        <v>357</v>
      </c>
      <c r="E221" s="134" t="s">
        <v>358</v>
      </c>
      <c r="F221" s="137"/>
      <c r="G221" s="130" t="s">
        <v>131</v>
      </c>
      <c r="H221" s="130" t="s">
        <v>47</v>
      </c>
      <c r="I221" s="130" t="s">
        <v>132</v>
      </c>
      <c r="J221" s="135">
        <v>44890</v>
      </c>
      <c r="K221" s="130" t="s">
        <v>360</v>
      </c>
    </row>
    <row r="222" spans="1:24" ht="24.75" customHeight="1" x14ac:dyDescent="0.2">
      <c r="A222" s="130">
        <v>221</v>
      </c>
      <c r="B222" s="131" t="s">
        <v>528</v>
      </c>
      <c r="C222" s="142" t="s">
        <v>2371</v>
      </c>
      <c r="D222" s="142" t="s">
        <v>986</v>
      </c>
      <c r="E222" s="142" t="s">
        <v>2372</v>
      </c>
      <c r="F222" s="142"/>
      <c r="G222" s="136" t="s">
        <v>239</v>
      </c>
      <c r="H222" s="136" t="s">
        <v>2373</v>
      </c>
      <c r="I222" s="130" t="s">
        <v>182</v>
      </c>
      <c r="J222" s="135">
        <v>40360</v>
      </c>
      <c r="K222" s="130" t="s">
        <v>2374</v>
      </c>
    </row>
    <row r="223" spans="1:24" ht="24.75" customHeight="1" x14ac:dyDescent="0.2">
      <c r="A223" s="130">
        <v>222</v>
      </c>
      <c r="B223" s="131" t="s">
        <v>134</v>
      </c>
      <c r="C223" s="134" t="s">
        <v>2094</v>
      </c>
      <c r="D223" s="134" t="s">
        <v>2095</v>
      </c>
      <c r="E223" s="134" t="s">
        <v>2096</v>
      </c>
      <c r="F223" s="134"/>
      <c r="G223" s="130" t="s">
        <v>131</v>
      </c>
      <c r="H223" s="130" t="s">
        <v>47</v>
      </c>
      <c r="I223" s="130" t="s">
        <v>30</v>
      </c>
      <c r="J223" s="135">
        <v>42767</v>
      </c>
      <c r="K223" s="130" t="s">
        <v>2097</v>
      </c>
    </row>
    <row r="224" spans="1:24" ht="27.75" customHeight="1" x14ac:dyDescent="0.2">
      <c r="A224" s="130">
        <v>223</v>
      </c>
      <c r="B224" s="131" t="s">
        <v>69</v>
      </c>
      <c r="C224" s="134" t="s">
        <v>1521</v>
      </c>
      <c r="D224" s="134" t="s">
        <v>1522</v>
      </c>
      <c r="E224" s="134" t="s">
        <v>1523</v>
      </c>
      <c r="F224" s="134"/>
      <c r="G224" s="130" t="s">
        <v>239</v>
      </c>
      <c r="H224" s="136" t="s">
        <v>1530</v>
      </c>
      <c r="I224" s="130" t="s">
        <v>182</v>
      </c>
      <c r="J224" s="135">
        <v>40938</v>
      </c>
      <c r="K224" s="138" t="s">
        <v>1532</v>
      </c>
    </row>
    <row r="225" spans="1:11" ht="22.5" customHeight="1" x14ac:dyDescent="0.2">
      <c r="A225" s="130">
        <v>224</v>
      </c>
      <c r="B225" s="131" t="s">
        <v>32</v>
      </c>
      <c r="C225" s="134" t="s">
        <v>2163</v>
      </c>
      <c r="D225" s="134" t="s">
        <v>641</v>
      </c>
      <c r="E225" s="134" t="s">
        <v>2164</v>
      </c>
      <c r="F225" s="137"/>
      <c r="G225" s="130" t="s">
        <v>131</v>
      </c>
      <c r="H225" s="130" t="s">
        <v>212</v>
      </c>
      <c r="I225" s="130" t="s">
        <v>36</v>
      </c>
      <c r="J225" s="135">
        <v>44879</v>
      </c>
      <c r="K225" s="130" t="s">
        <v>2165</v>
      </c>
    </row>
    <row r="226" spans="1:11" ht="25.5" customHeight="1" x14ac:dyDescent="0.2">
      <c r="A226" s="130">
        <v>225</v>
      </c>
      <c r="B226" s="131" t="s">
        <v>42</v>
      </c>
      <c r="C226" s="134" t="s">
        <v>509</v>
      </c>
      <c r="D226" s="134" t="s">
        <v>1116</v>
      </c>
      <c r="E226" s="134" t="s">
        <v>1048</v>
      </c>
      <c r="F226" s="142"/>
      <c r="G226" s="136" t="s">
        <v>2316</v>
      </c>
      <c r="H226" s="130" t="s">
        <v>89</v>
      </c>
      <c r="I226" s="139" t="s">
        <v>90</v>
      </c>
      <c r="J226" s="135">
        <v>45733</v>
      </c>
      <c r="K226" s="130" t="s">
        <v>2317</v>
      </c>
    </row>
    <row r="227" spans="1:11" ht="25.5" customHeight="1" x14ac:dyDescent="0.2">
      <c r="A227" s="130">
        <v>226</v>
      </c>
      <c r="B227" s="131" t="s">
        <v>42</v>
      </c>
      <c r="C227" s="134" t="s">
        <v>509</v>
      </c>
      <c r="D227" s="134" t="s">
        <v>2771</v>
      </c>
      <c r="E227" s="134" t="s">
        <v>1118</v>
      </c>
      <c r="F227" s="134"/>
      <c r="G227" s="138" t="s">
        <v>2409</v>
      </c>
      <c r="H227" s="138" t="s">
        <v>47</v>
      </c>
      <c r="I227" s="139" t="s">
        <v>2772</v>
      </c>
      <c r="J227" s="156">
        <v>33298</v>
      </c>
      <c r="K227" s="138" t="s">
        <v>2773</v>
      </c>
    </row>
    <row r="228" spans="1:11" ht="24.75" customHeight="1" x14ac:dyDescent="0.2">
      <c r="A228" s="130">
        <v>227</v>
      </c>
      <c r="B228" s="131" t="s">
        <v>42</v>
      </c>
      <c r="C228" s="134" t="s">
        <v>77</v>
      </c>
      <c r="D228" s="134" t="s">
        <v>78</v>
      </c>
      <c r="E228" s="134" t="s">
        <v>79</v>
      </c>
      <c r="F228" s="134"/>
      <c r="G228" s="130" t="s">
        <v>80</v>
      </c>
      <c r="H228" s="130" t="s">
        <v>47</v>
      </c>
      <c r="I228" s="139" t="s">
        <v>81</v>
      </c>
      <c r="J228" s="135">
        <v>43140</v>
      </c>
      <c r="K228" s="143" t="s">
        <v>83</v>
      </c>
    </row>
    <row r="229" spans="1:11" ht="23.25" customHeight="1" x14ac:dyDescent="0.2">
      <c r="A229" s="130">
        <v>228</v>
      </c>
      <c r="B229" s="131" t="s">
        <v>528</v>
      </c>
      <c r="C229" s="134" t="s">
        <v>1948</v>
      </c>
      <c r="D229" s="134" t="s">
        <v>1949</v>
      </c>
      <c r="E229" s="134" t="s">
        <v>1950</v>
      </c>
      <c r="F229" s="134"/>
      <c r="G229" s="130" t="s">
        <v>28</v>
      </c>
      <c r="H229" s="130" t="s">
        <v>401</v>
      </c>
      <c r="I229" s="130" t="s">
        <v>182</v>
      </c>
      <c r="J229" s="135">
        <v>40513</v>
      </c>
      <c r="K229" s="130" t="s">
        <v>1952</v>
      </c>
    </row>
    <row r="230" spans="1:11" ht="22.5" customHeight="1" x14ac:dyDescent="0.2">
      <c r="A230" s="130">
        <v>229</v>
      </c>
      <c r="B230" s="131" t="s">
        <v>318</v>
      </c>
      <c r="C230" s="134" t="s">
        <v>982</v>
      </c>
      <c r="D230" s="134" t="s">
        <v>983</v>
      </c>
      <c r="E230" s="134" t="s">
        <v>984</v>
      </c>
      <c r="F230" s="134"/>
      <c r="G230" s="138" t="s">
        <v>239</v>
      </c>
      <c r="H230" s="138" t="s">
        <v>47</v>
      </c>
      <c r="I230" s="139" t="s">
        <v>327</v>
      </c>
      <c r="J230" s="135">
        <v>43147</v>
      </c>
      <c r="K230" s="136" t="s">
        <v>989</v>
      </c>
    </row>
    <row r="231" spans="1:11" ht="23.25" customHeight="1" x14ac:dyDescent="0.2">
      <c r="A231" s="130">
        <v>230</v>
      </c>
      <c r="B231" s="131" t="s">
        <v>32</v>
      </c>
      <c r="C231" s="134" t="s">
        <v>1932</v>
      </c>
      <c r="D231" s="134" t="s">
        <v>1933</v>
      </c>
      <c r="E231" s="134" t="s">
        <v>1935</v>
      </c>
      <c r="F231" s="137"/>
      <c r="G231" s="130" t="s">
        <v>244</v>
      </c>
      <c r="H231" s="130" t="s">
        <v>212</v>
      </c>
      <c r="I231" s="130" t="s">
        <v>36</v>
      </c>
      <c r="J231" s="135">
        <v>44879</v>
      </c>
      <c r="K231" s="130" t="s">
        <v>1938</v>
      </c>
    </row>
    <row r="232" spans="1:11" ht="24" customHeight="1" x14ac:dyDescent="0.2">
      <c r="A232" s="130">
        <v>231</v>
      </c>
      <c r="B232" s="131" t="s">
        <v>57</v>
      </c>
      <c r="C232" s="134" t="s">
        <v>1903</v>
      </c>
      <c r="D232" s="134" t="s">
        <v>1905</v>
      </c>
      <c r="E232" s="134" t="s">
        <v>1906</v>
      </c>
      <c r="F232" s="134"/>
      <c r="G232" s="130" t="s">
        <v>2358</v>
      </c>
      <c r="H232" s="130" t="s">
        <v>20</v>
      </c>
      <c r="I232" s="130" t="s">
        <v>21</v>
      </c>
      <c r="J232" s="135">
        <v>36248</v>
      </c>
      <c r="K232" s="130" t="s">
        <v>1908</v>
      </c>
    </row>
    <row r="233" spans="1:11" ht="24.75" customHeight="1" x14ac:dyDescent="0.2">
      <c r="A233" s="130">
        <v>232</v>
      </c>
      <c r="B233" s="131" t="s">
        <v>42</v>
      </c>
      <c r="C233" s="134" t="s">
        <v>1120</v>
      </c>
      <c r="D233" s="134" t="s">
        <v>1121</v>
      </c>
      <c r="E233" s="134" t="s">
        <v>1122</v>
      </c>
      <c r="F233" s="134"/>
      <c r="G233" s="144" t="s">
        <v>2409</v>
      </c>
      <c r="H233" s="144" t="s">
        <v>2612</v>
      </c>
      <c r="I233" s="139" t="s">
        <v>2613</v>
      </c>
      <c r="J233" s="135">
        <v>34700</v>
      </c>
      <c r="K233" s="138" t="s">
        <v>2614</v>
      </c>
    </row>
    <row r="234" spans="1:11" ht="21" customHeight="1" x14ac:dyDescent="0.2">
      <c r="A234" s="130">
        <v>233</v>
      </c>
      <c r="B234" s="131" t="s">
        <v>376</v>
      </c>
      <c r="C234" s="134" t="s">
        <v>773</v>
      </c>
      <c r="D234" s="134" t="s">
        <v>775</v>
      </c>
      <c r="E234" s="134" t="s">
        <v>776</v>
      </c>
      <c r="F234" s="137"/>
      <c r="G234" s="130" t="s">
        <v>131</v>
      </c>
      <c r="H234" s="130" t="s">
        <v>47</v>
      </c>
      <c r="I234" s="130" t="s">
        <v>132</v>
      </c>
      <c r="J234" s="135">
        <v>44890</v>
      </c>
      <c r="K234" s="130" t="s">
        <v>778</v>
      </c>
    </row>
    <row r="235" spans="1:11" ht="27.75" customHeight="1" x14ac:dyDescent="0.2">
      <c r="A235" s="130">
        <v>234</v>
      </c>
      <c r="B235" s="131" t="s">
        <v>32</v>
      </c>
      <c r="C235" s="134" t="s">
        <v>2459</v>
      </c>
      <c r="D235" s="134" t="s">
        <v>2460</v>
      </c>
      <c r="E235" s="134" t="s">
        <v>2461</v>
      </c>
      <c r="F235" s="134"/>
      <c r="G235" s="130" t="s">
        <v>131</v>
      </c>
      <c r="H235" s="130" t="s">
        <v>401</v>
      </c>
      <c r="I235" s="130" t="s">
        <v>36</v>
      </c>
      <c r="J235" s="135">
        <v>43878</v>
      </c>
      <c r="K235" s="148" t="s">
        <v>2574</v>
      </c>
    </row>
    <row r="236" spans="1:11" ht="22.5" customHeight="1" x14ac:dyDescent="0.2">
      <c r="A236" s="130">
        <v>235</v>
      </c>
      <c r="B236" s="131" t="s">
        <v>42</v>
      </c>
      <c r="C236" s="134" t="s">
        <v>145</v>
      </c>
      <c r="D236" s="134" t="s">
        <v>146</v>
      </c>
      <c r="E236" s="134" t="s">
        <v>147</v>
      </c>
      <c r="F236" s="134"/>
      <c r="G236" s="130" t="s">
        <v>120</v>
      </c>
      <c r="H236" s="130" t="s">
        <v>47</v>
      </c>
      <c r="I236" s="139" t="s">
        <v>148</v>
      </c>
      <c r="J236" s="135">
        <v>43140</v>
      </c>
      <c r="K236" s="130" t="s">
        <v>149</v>
      </c>
    </row>
    <row r="237" spans="1:11" ht="22.5" customHeight="1" x14ac:dyDescent="0.2">
      <c r="A237" s="130">
        <v>236</v>
      </c>
      <c r="B237" s="131" t="s">
        <v>42</v>
      </c>
      <c r="C237" s="134" t="s">
        <v>1125</v>
      </c>
      <c r="D237" s="134" t="s">
        <v>1126</v>
      </c>
      <c r="E237" s="134" t="s">
        <v>1127</v>
      </c>
      <c r="F237" s="134"/>
      <c r="G237" s="138" t="s">
        <v>239</v>
      </c>
      <c r="H237" s="138" t="s">
        <v>47</v>
      </c>
      <c r="I237" s="144" t="s">
        <v>2507</v>
      </c>
      <c r="J237" s="135">
        <v>40626</v>
      </c>
      <c r="K237" s="138" t="s">
        <v>2508</v>
      </c>
    </row>
    <row r="238" spans="1:11" ht="23.25" customHeight="1" x14ac:dyDescent="0.2">
      <c r="A238" s="130">
        <v>237</v>
      </c>
      <c r="B238" s="131" t="s">
        <v>127</v>
      </c>
      <c r="C238" s="142" t="s">
        <v>348</v>
      </c>
      <c r="D238" s="142" t="s">
        <v>349</v>
      </c>
      <c r="E238" s="142" t="s">
        <v>350</v>
      </c>
      <c r="F238" s="134"/>
      <c r="G238" s="136" t="s">
        <v>131</v>
      </c>
      <c r="H238" s="136" t="s">
        <v>205</v>
      </c>
      <c r="I238" s="130" t="s">
        <v>132</v>
      </c>
      <c r="J238" s="135">
        <v>44504</v>
      </c>
      <c r="K238" s="130" t="s">
        <v>351</v>
      </c>
    </row>
    <row r="239" spans="1:11" ht="23.25" customHeight="1" x14ac:dyDescent="0.2">
      <c r="A239" s="130">
        <v>238</v>
      </c>
      <c r="B239" s="131" t="s">
        <v>127</v>
      </c>
      <c r="C239" s="142" t="s">
        <v>916</v>
      </c>
      <c r="D239" s="142" t="s">
        <v>917</v>
      </c>
      <c r="E239" s="142" t="s">
        <v>918</v>
      </c>
      <c r="F239" s="142"/>
      <c r="G239" s="136" t="s">
        <v>74</v>
      </c>
      <c r="H239" s="136" t="s">
        <v>47</v>
      </c>
      <c r="I239" s="130" t="s">
        <v>132</v>
      </c>
      <c r="J239" s="135">
        <v>44455</v>
      </c>
      <c r="K239" s="130" t="s">
        <v>923</v>
      </c>
    </row>
    <row r="240" spans="1:11" ht="22.5" customHeight="1" x14ac:dyDescent="0.2">
      <c r="A240" s="130">
        <v>239</v>
      </c>
      <c r="B240" s="131" t="s">
        <v>42</v>
      </c>
      <c r="C240" s="142" t="s">
        <v>1129</v>
      </c>
      <c r="D240" s="142" t="s">
        <v>1130</v>
      </c>
      <c r="E240" s="142" t="s">
        <v>1131</v>
      </c>
      <c r="F240" s="134"/>
      <c r="G240" s="138" t="s">
        <v>2615</v>
      </c>
      <c r="H240" s="138" t="s">
        <v>89</v>
      </c>
      <c r="I240" s="139" t="s">
        <v>569</v>
      </c>
      <c r="J240" s="135">
        <v>46106</v>
      </c>
      <c r="K240" s="138" t="s">
        <v>2616</v>
      </c>
    </row>
    <row r="241" spans="1:24" ht="22.5" customHeight="1" x14ac:dyDescent="0.2">
      <c r="A241" s="130">
        <v>240</v>
      </c>
      <c r="B241" s="131" t="s">
        <v>62</v>
      </c>
      <c r="C241" s="134" t="s">
        <v>152</v>
      </c>
      <c r="D241" s="134" t="s">
        <v>153</v>
      </c>
      <c r="E241" s="134" t="s">
        <v>154</v>
      </c>
      <c r="F241" s="134"/>
      <c r="G241" s="136" t="s">
        <v>155</v>
      </c>
      <c r="H241" s="130" t="s">
        <v>125</v>
      </c>
      <c r="I241" s="130" t="s">
        <v>21</v>
      </c>
      <c r="J241" s="135">
        <v>39692</v>
      </c>
      <c r="K241" s="136" t="s">
        <v>156</v>
      </c>
    </row>
    <row r="242" spans="1:24" ht="24.75" customHeight="1" x14ac:dyDescent="0.2">
      <c r="A242" s="130">
        <v>241</v>
      </c>
      <c r="B242" s="131" t="s">
        <v>62</v>
      </c>
      <c r="C242" s="134" t="s">
        <v>2466</v>
      </c>
      <c r="D242" s="134" t="s">
        <v>236</v>
      </c>
      <c r="E242" s="134" t="s">
        <v>2098</v>
      </c>
      <c r="F242" s="134"/>
      <c r="G242" s="130" t="s">
        <v>66</v>
      </c>
      <c r="H242" s="130" t="s">
        <v>47</v>
      </c>
      <c r="I242" s="130" t="s">
        <v>21</v>
      </c>
      <c r="J242" s="135">
        <v>36799</v>
      </c>
      <c r="K242" s="136" t="s">
        <v>2099</v>
      </c>
    </row>
    <row r="243" spans="1:24" ht="22.5" customHeight="1" x14ac:dyDescent="0.2">
      <c r="A243" s="130">
        <v>242</v>
      </c>
      <c r="B243" s="131" t="s">
        <v>318</v>
      </c>
      <c r="C243" s="134" t="s">
        <v>1890</v>
      </c>
      <c r="D243" s="134" t="s">
        <v>1425</v>
      </c>
      <c r="E243" s="134" t="s">
        <v>1427</v>
      </c>
      <c r="F243" s="134"/>
      <c r="G243" s="130" t="s">
        <v>131</v>
      </c>
      <c r="H243" s="136" t="s">
        <v>1372</v>
      </c>
      <c r="I243" s="139" t="s">
        <v>327</v>
      </c>
      <c r="J243" s="135">
        <v>43147</v>
      </c>
      <c r="K243" s="130" t="s">
        <v>1429</v>
      </c>
    </row>
    <row r="244" spans="1:24" ht="22.5" customHeight="1" x14ac:dyDescent="0.2">
      <c r="A244" s="130">
        <v>243</v>
      </c>
      <c r="B244" s="131" t="s">
        <v>127</v>
      </c>
      <c r="C244" s="142" t="s">
        <v>632</v>
      </c>
      <c r="D244" s="142" t="s">
        <v>631</v>
      </c>
      <c r="E244" s="142" t="s">
        <v>639</v>
      </c>
      <c r="F244" s="142"/>
      <c r="G244" s="136" t="s">
        <v>131</v>
      </c>
      <c r="H244" s="136" t="s">
        <v>47</v>
      </c>
      <c r="I244" s="130" t="s">
        <v>132</v>
      </c>
      <c r="J244" s="135">
        <v>44504</v>
      </c>
      <c r="K244" s="130" t="s">
        <v>1970</v>
      </c>
    </row>
    <row r="245" spans="1:24" ht="22.5" customHeight="1" x14ac:dyDescent="0.2">
      <c r="A245" s="130">
        <v>244</v>
      </c>
      <c r="B245" s="131" t="s">
        <v>32</v>
      </c>
      <c r="C245" s="134" t="s">
        <v>1101</v>
      </c>
      <c r="D245" s="134" t="s">
        <v>838</v>
      </c>
      <c r="E245" s="134" t="s">
        <v>1395</v>
      </c>
      <c r="F245" s="134"/>
      <c r="G245" s="130" t="s">
        <v>2575</v>
      </c>
      <c r="H245" s="130" t="s">
        <v>385</v>
      </c>
      <c r="I245" s="130" t="s">
        <v>36</v>
      </c>
      <c r="J245" s="135">
        <v>44922</v>
      </c>
      <c r="K245" s="130" t="s">
        <v>2576</v>
      </c>
    </row>
    <row r="246" spans="1:24" ht="23.25" customHeight="1" x14ac:dyDescent="0.2">
      <c r="A246" s="130">
        <v>245</v>
      </c>
      <c r="B246" s="131" t="s">
        <v>42</v>
      </c>
      <c r="C246" s="134" t="s">
        <v>1101</v>
      </c>
      <c r="D246" s="134" t="s">
        <v>1133</v>
      </c>
      <c r="E246" s="134" t="s">
        <v>1134</v>
      </c>
      <c r="F246" s="134"/>
      <c r="G246" s="138" t="s">
        <v>2342</v>
      </c>
      <c r="H246" s="130" t="s">
        <v>452</v>
      </c>
      <c r="I246" s="139" t="s">
        <v>90</v>
      </c>
      <c r="J246" s="135">
        <v>43846</v>
      </c>
      <c r="K246" s="130" t="s">
        <v>2343</v>
      </c>
    </row>
    <row r="247" spans="1:24" ht="27" customHeight="1" x14ac:dyDescent="0.2">
      <c r="A247" s="130">
        <v>246</v>
      </c>
      <c r="B247" s="131" t="s">
        <v>62</v>
      </c>
      <c r="C247" s="134" t="s">
        <v>994</v>
      </c>
      <c r="D247" s="134" t="s">
        <v>641</v>
      </c>
      <c r="E247" s="134" t="s">
        <v>642</v>
      </c>
      <c r="F247" s="134"/>
      <c r="G247" s="130" t="s">
        <v>368</v>
      </c>
      <c r="H247" s="136" t="s">
        <v>526</v>
      </c>
      <c r="I247" s="130" t="s">
        <v>21</v>
      </c>
      <c r="J247" s="135">
        <v>39797</v>
      </c>
      <c r="K247" s="130" t="s">
        <v>996</v>
      </c>
    </row>
    <row r="248" spans="1:24" ht="21" customHeight="1" x14ac:dyDescent="0.2">
      <c r="A248" s="130">
        <v>247</v>
      </c>
      <c r="B248" s="131" t="s">
        <v>42</v>
      </c>
      <c r="C248" s="134" t="s">
        <v>1135</v>
      </c>
      <c r="D248" s="134" t="s">
        <v>1136</v>
      </c>
      <c r="E248" s="134" t="s">
        <v>1137</v>
      </c>
      <c r="F248" s="134"/>
      <c r="G248" s="138" t="s">
        <v>291</v>
      </c>
      <c r="H248" s="138" t="s">
        <v>2509</v>
      </c>
      <c r="I248" s="139" t="s">
        <v>1882</v>
      </c>
      <c r="J248" s="135">
        <v>45155</v>
      </c>
      <c r="K248" s="138" t="s">
        <v>2510</v>
      </c>
    </row>
    <row r="249" spans="1:24" ht="23.25" customHeight="1" x14ac:dyDescent="0.2">
      <c r="A249" s="130">
        <v>248</v>
      </c>
      <c r="B249" s="131" t="s">
        <v>42</v>
      </c>
      <c r="C249" s="134" t="s">
        <v>1141</v>
      </c>
      <c r="D249" s="134" t="s">
        <v>1142</v>
      </c>
      <c r="E249" s="134" t="s">
        <v>1143</v>
      </c>
      <c r="F249" s="134"/>
      <c r="G249" s="138" t="s">
        <v>2296</v>
      </c>
      <c r="H249" s="139" t="s">
        <v>195</v>
      </c>
      <c r="I249" s="139" t="s">
        <v>2596</v>
      </c>
      <c r="J249" s="135">
        <v>38586</v>
      </c>
      <c r="K249" s="138" t="s">
        <v>2617</v>
      </c>
    </row>
    <row r="250" spans="1:24" ht="23.25" customHeight="1" x14ac:dyDescent="0.2">
      <c r="A250" s="130">
        <v>249</v>
      </c>
      <c r="B250" s="131" t="s">
        <v>62</v>
      </c>
      <c r="C250" s="168" t="s">
        <v>3779</v>
      </c>
      <c r="D250" s="142" t="s">
        <v>1922</v>
      </c>
      <c r="E250" s="142" t="s">
        <v>1757</v>
      </c>
      <c r="F250" s="142"/>
      <c r="G250" s="136" t="s">
        <v>74</v>
      </c>
      <c r="H250" s="136" t="s">
        <v>47</v>
      </c>
      <c r="I250" s="130" t="s">
        <v>327</v>
      </c>
      <c r="J250" s="135">
        <v>37201</v>
      </c>
      <c r="K250" s="130" t="s">
        <v>1923</v>
      </c>
    </row>
    <row r="251" spans="1:24" ht="23.25" customHeight="1" x14ac:dyDescent="0.2">
      <c r="A251" s="130">
        <v>250</v>
      </c>
      <c r="B251" s="131" t="s">
        <v>32</v>
      </c>
      <c r="C251" s="134" t="s">
        <v>2124</v>
      </c>
      <c r="D251" s="134" t="s">
        <v>2125</v>
      </c>
      <c r="E251" s="134" t="s">
        <v>2126</v>
      </c>
      <c r="F251" s="134"/>
      <c r="G251" s="130" t="s">
        <v>2127</v>
      </c>
      <c r="H251" s="136" t="s">
        <v>47</v>
      </c>
      <c r="I251" s="130" t="s">
        <v>36</v>
      </c>
      <c r="J251" s="135">
        <v>44922</v>
      </c>
      <c r="K251" s="130" t="s">
        <v>2128</v>
      </c>
    </row>
    <row r="252" spans="1:24" ht="27" customHeight="1" x14ac:dyDescent="0.2">
      <c r="A252" s="130">
        <v>251</v>
      </c>
      <c r="B252" s="131" t="s">
        <v>32</v>
      </c>
      <c r="C252" s="134" t="s">
        <v>1059</v>
      </c>
      <c r="D252" s="134" t="s">
        <v>1060</v>
      </c>
      <c r="E252" s="134" t="s">
        <v>404</v>
      </c>
      <c r="F252" s="134"/>
      <c r="G252" s="130" t="s">
        <v>131</v>
      </c>
      <c r="H252" s="130" t="s">
        <v>385</v>
      </c>
      <c r="I252" s="130" t="s">
        <v>36</v>
      </c>
      <c r="J252" s="135">
        <v>44922</v>
      </c>
      <c r="K252" s="130" t="s">
        <v>1064</v>
      </c>
    </row>
    <row r="253" spans="1:24" ht="27" customHeight="1" x14ac:dyDescent="0.2">
      <c r="A253" s="130">
        <v>252</v>
      </c>
      <c r="B253" s="131" t="s">
        <v>42</v>
      </c>
      <c r="C253" s="131" t="s">
        <v>230</v>
      </c>
      <c r="D253" s="140" t="s">
        <v>231</v>
      </c>
      <c r="E253" s="131" t="s">
        <v>232</v>
      </c>
      <c r="F253" s="131"/>
      <c r="G253" s="136" t="s">
        <v>233</v>
      </c>
      <c r="H253" s="135" t="s">
        <v>29</v>
      </c>
      <c r="I253" s="135" t="s">
        <v>90</v>
      </c>
      <c r="J253" s="135">
        <v>46069</v>
      </c>
      <c r="K253" s="135" t="s">
        <v>234</v>
      </c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23.25" customHeight="1" x14ac:dyDescent="0.2">
      <c r="A254" s="130">
        <v>253</v>
      </c>
      <c r="B254" s="131" t="s">
        <v>32</v>
      </c>
      <c r="C254" s="134" t="s">
        <v>2215</v>
      </c>
      <c r="D254" s="134" t="s">
        <v>2216</v>
      </c>
      <c r="E254" s="134" t="s">
        <v>1883</v>
      </c>
      <c r="F254" s="134"/>
      <c r="G254" s="130" t="s">
        <v>28</v>
      </c>
      <c r="H254" s="130" t="s">
        <v>29</v>
      </c>
      <c r="I254" s="130" t="s">
        <v>36</v>
      </c>
      <c r="J254" s="135">
        <v>44922</v>
      </c>
      <c r="K254" s="130" t="s">
        <v>2218</v>
      </c>
    </row>
    <row r="255" spans="1:24" ht="23.25" customHeight="1" x14ac:dyDescent="0.2">
      <c r="A255" s="130">
        <v>254</v>
      </c>
      <c r="B255" s="131" t="s">
        <v>127</v>
      </c>
      <c r="C255" s="142" t="s">
        <v>1493</v>
      </c>
      <c r="D255" s="142" t="s">
        <v>701</v>
      </c>
      <c r="E255" s="142" t="s">
        <v>1495</v>
      </c>
      <c r="F255" s="142"/>
      <c r="G255" s="136" t="s">
        <v>291</v>
      </c>
      <c r="H255" s="136" t="s">
        <v>205</v>
      </c>
      <c r="I255" s="130" t="s">
        <v>132</v>
      </c>
      <c r="J255" s="135">
        <v>44455</v>
      </c>
      <c r="K255" s="130" t="s">
        <v>1501</v>
      </c>
    </row>
    <row r="256" spans="1:24" ht="24.75" customHeight="1" x14ac:dyDescent="0.2">
      <c r="A256" s="130">
        <v>255</v>
      </c>
      <c r="B256" s="131" t="s">
        <v>528</v>
      </c>
      <c r="C256" s="134" t="s">
        <v>2564</v>
      </c>
      <c r="D256" s="134" t="s">
        <v>2565</v>
      </c>
      <c r="E256" s="134" t="s">
        <v>461</v>
      </c>
      <c r="F256" s="134"/>
      <c r="G256" s="130" t="s">
        <v>829</v>
      </c>
      <c r="H256" s="143" t="s">
        <v>2671</v>
      </c>
      <c r="I256" s="130" t="s">
        <v>182</v>
      </c>
      <c r="J256" s="135">
        <v>40513</v>
      </c>
      <c r="K256" s="130" t="s">
        <v>2672</v>
      </c>
    </row>
    <row r="257" spans="1:24" ht="23.25" customHeight="1" x14ac:dyDescent="0.2">
      <c r="A257" s="130">
        <v>256</v>
      </c>
      <c r="B257" s="131" t="s">
        <v>69</v>
      </c>
      <c r="C257" s="134" t="s">
        <v>2323</v>
      </c>
      <c r="D257" s="134" t="s">
        <v>2324</v>
      </c>
      <c r="E257" s="134" t="s">
        <v>2325</v>
      </c>
      <c r="F257" s="134"/>
      <c r="G257" s="147" t="s">
        <v>2326</v>
      </c>
      <c r="H257" s="147" t="s">
        <v>401</v>
      </c>
      <c r="I257" s="147" t="s">
        <v>2327</v>
      </c>
      <c r="J257" s="135">
        <v>40210</v>
      </c>
      <c r="K257" s="130" t="s">
        <v>2328</v>
      </c>
    </row>
    <row r="258" spans="1:24" ht="21" customHeight="1" x14ac:dyDescent="0.2">
      <c r="A258" s="130">
        <v>257</v>
      </c>
      <c r="B258" s="131" t="s">
        <v>42</v>
      </c>
      <c r="C258" s="134" t="s">
        <v>1148</v>
      </c>
      <c r="D258" s="134" t="s">
        <v>1150</v>
      </c>
      <c r="E258" s="134" t="s">
        <v>741</v>
      </c>
      <c r="F258" s="134"/>
      <c r="G258" s="138" t="s">
        <v>2149</v>
      </c>
      <c r="H258" s="144" t="s">
        <v>168</v>
      </c>
      <c r="I258" s="139" t="s">
        <v>2618</v>
      </c>
      <c r="J258" s="135">
        <v>41234</v>
      </c>
      <c r="K258" s="138" t="s">
        <v>2619</v>
      </c>
    </row>
    <row r="259" spans="1:24" ht="23.25" customHeight="1" x14ac:dyDescent="0.2">
      <c r="A259" s="130">
        <v>258</v>
      </c>
      <c r="B259" s="131" t="s">
        <v>57</v>
      </c>
      <c r="C259" s="134" t="s">
        <v>1863</v>
      </c>
      <c r="D259" s="134" t="s">
        <v>1864</v>
      </c>
      <c r="E259" s="134" t="s">
        <v>1865</v>
      </c>
      <c r="F259" s="134" t="s">
        <v>181</v>
      </c>
      <c r="G259" s="130" t="s">
        <v>368</v>
      </c>
      <c r="H259" s="130" t="s">
        <v>20</v>
      </c>
      <c r="I259" s="130" t="s">
        <v>21</v>
      </c>
      <c r="J259" s="135">
        <v>37201</v>
      </c>
      <c r="K259" s="130" t="s">
        <v>1866</v>
      </c>
    </row>
    <row r="260" spans="1:24" ht="23.25" customHeight="1" x14ac:dyDescent="0.2">
      <c r="A260" s="130">
        <v>259</v>
      </c>
      <c r="B260" s="131" t="s">
        <v>42</v>
      </c>
      <c r="C260" s="134" t="s">
        <v>1157</v>
      </c>
      <c r="D260" s="134" t="s">
        <v>1158</v>
      </c>
      <c r="E260" s="134" t="s">
        <v>1159</v>
      </c>
      <c r="F260" s="134"/>
      <c r="G260" s="147" t="s">
        <v>2620</v>
      </c>
      <c r="H260" s="147" t="s">
        <v>2621</v>
      </c>
      <c r="I260" s="144" t="s">
        <v>2622</v>
      </c>
      <c r="J260" s="135">
        <v>36999</v>
      </c>
      <c r="K260" s="138" t="s">
        <v>2623</v>
      </c>
    </row>
    <row r="261" spans="1:24" ht="24.75" customHeight="1" x14ac:dyDescent="0.2">
      <c r="A261" s="130">
        <v>260</v>
      </c>
      <c r="B261" s="131" t="s">
        <v>323</v>
      </c>
      <c r="C261" s="142" t="s">
        <v>436</v>
      </c>
      <c r="D261" s="142" t="s">
        <v>437</v>
      </c>
      <c r="E261" s="142" t="s">
        <v>438</v>
      </c>
      <c r="F261" s="130" t="s">
        <v>181</v>
      </c>
      <c r="G261" s="130" t="s">
        <v>510</v>
      </c>
      <c r="H261" s="130" t="s">
        <v>526</v>
      </c>
      <c r="I261" s="130" t="s">
        <v>206</v>
      </c>
      <c r="J261" s="135">
        <v>43759</v>
      </c>
      <c r="K261" s="130" t="s">
        <v>445</v>
      </c>
    </row>
    <row r="262" spans="1:24" ht="22.5" customHeight="1" x14ac:dyDescent="0.2">
      <c r="A262" s="130">
        <v>261</v>
      </c>
      <c r="B262" s="131" t="s">
        <v>42</v>
      </c>
      <c r="C262" s="134" t="s">
        <v>85</v>
      </c>
      <c r="D262" s="134" t="s">
        <v>86</v>
      </c>
      <c r="E262" s="134" t="s">
        <v>87</v>
      </c>
      <c r="F262" s="134"/>
      <c r="G262" s="136" t="s">
        <v>88</v>
      </c>
      <c r="H262" s="130" t="s">
        <v>89</v>
      </c>
      <c r="I262" s="144" t="s">
        <v>90</v>
      </c>
      <c r="J262" s="135">
        <v>44223</v>
      </c>
      <c r="K262" s="145" t="s">
        <v>91</v>
      </c>
    </row>
    <row r="263" spans="1:24" ht="23.25" customHeight="1" x14ac:dyDescent="0.2">
      <c r="A263" s="130">
        <v>262</v>
      </c>
      <c r="B263" s="131" t="s">
        <v>32</v>
      </c>
      <c r="C263" s="134" t="s">
        <v>1184</v>
      </c>
      <c r="D263" s="134" t="s">
        <v>1185</v>
      </c>
      <c r="E263" s="134" t="s">
        <v>1187</v>
      </c>
      <c r="F263" s="134"/>
      <c r="G263" s="130" t="s">
        <v>131</v>
      </c>
      <c r="H263" s="130" t="s">
        <v>385</v>
      </c>
      <c r="I263" s="130" t="s">
        <v>36</v>
      </c>
      <c r="J263" s="135">
        <v>44922</v>
      </c>
      <c r="K263" s="130" t="s">
        <v>1188</v>
      </c>
    </row>
    <row r="264" spans="1:24" ht="24.75" customHeight="1" x14ac:dyDescent="0.2">
      <c r="A264" s="130">
        <v>263</v>
      </c>
      <c r="B264" s="131" t="s">
        <v>127</v>
      </c>
      <c r="C264" s="134" t="s">
        <v>1175</v>
      </c>
      <c r="D264" s="134" t="s">
        <v>461</v>
      </c>
      <c r="E264" s="134" t="s">
        <v>1176</v>
      </c>
      <c r="F264" s="134"/>
      <c r="G264" s="136" t="s">
        <v>131</v>
      </c>
      <c r="H264" s="136" t="s">
        <v>205</v>
      </c>
      <c r="I264" s="130" t="s">
        <v>132</v>
      </c>
      <c r="J264" s="135">
        <v>44504</v>
      </c>
      <c r="K264" s="138" t="s">
        <v>1517</v>
      </c>
    </row>
    <row r="265" spans="1:24" ht="23.25" customHeight="1" x14ac:dyDescent="0.2">
      <c r="A265" s="130">
        <v>264</v>
      </c>
      <c r="B265" s="131" t="s">
        <v>32</v>
      </c>
      <c r="C265" s="134" t="s">
        <v>514</v>
      </c>
      <c r="D265" s="134" t="s">
        <v>2477</v>
      </c>
      <c r="E265" s="134" t="s">
        <v>2478</v>
      </c>
      <c r="F265" s="134"/>
      <c r="G265" s="144" t="s">
        <v>131</v>
      </c>
      <c r="H265" s="144" t="s">
        <v>47</v>
      </c>
      <c r="I265" s="139" t="s">
        <v>30</v>
      </c>
      <c r="J265" s="135">
        <v>43860</v>
      </c>
      <c r="K265" s="138" t="s">
        <v>2479</v>
      </c>
    </row>
    <row r="266" spans="1:24" ht="22.5" customHeight="1" x14ac:dyDescent="0.2">
      <c r="A266" s="130">
        <v>265</v>
      </c>
      <c r="B266" s="131" t="s">
        <v>305</v>
      </c>
      <c r="C266" s="134" t="s">
        <v>306</v>
      </c>
      <c r="D266" s="134" t="s">
        <v>307</v>
      </c>
      <c r="E266" s="134" t="s">
        <v>308</v>
      </c>
      <c r="F266" s="134"/>
      <c r="G266" s="147" t="s">
        <v>309</v>
      </c>
      <c r="H266" s="147" t="s">
        <v>310</v>
      </c>
      <c r="I266" s="147" t="s">
        <v>311</v>
      </c>
      <c r="J266" s="135">
        <v>37830</v>
      </c>
      <c r="K266" s="136" t="s">
        <v>312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24.75" customHeight="1" x14ac:dyDescent="0.2">
      <c r="A267" s="130">
        <v>266</v>
      </c>
      <c r="B267" s="134" t="s">
        <v>32</v>
      </c>
      <c r="C267" s="131" t="s">
        <v>3760</v>
      </c>
      <c r="D267" s="131" t="s">
        <v>3761</v>
      </c>
      <c r="E267" s="131" t="s">
        <v>3762</v>
      </c>
      <c r="F267" s="131"/>
      <c r="G267" s="130" t="s">
        <v>131</v>
      </c>
      <c r="H267" s="130" t="s">
        <v>47</v>
      </c>
      <c r="I267" s="130" t="s">
        <v>90</v>
      </c>
      <c r="J267" s="135">
        <v>46281</v>
      </c>
      <c r="K267" s="130">
        <v>9513007831</v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24" customHeight="1" x14ac:dyDescent="0.2">
      <c r="A268" s="130">
        <v>267</v>
      </c>
      <c r="B268" s="131" t="s">
        <v>32</v>
      </c>
      <c r="C268" s="142" t="s">
        <v>1011</v>
      </c>
      <c r="D268" s="142" t="s">
        <v>1012</v>
      </c>
      <c r="E268" s="142" t="s">
        <v>1013</v>
      </c>
      <c r="F268" s="134" t="s">
        <v>181</v>
      </c>
      <c r="G268" s="130" t="s">
        <v>131</v>
      </c>
      <c r="H268" s="136" t="s">
        <v>75</v>
      </c>
      <c r="I268" s="130" t="s">
        <v>30</v>
      </c>
      <c r="J268" s="135">
        <v>43759</v>
      </c>
      <c r="K268" s="130" t="s">
        <v>1017</v>
      </c>
    </row>
    <row r="269" spans="1:24" ht="22.5" customHeight="1" x14ac:dyDescent="0.2">
      <c r="A269" s="130">
        <v>268</v>
      </c>
      <c r="B269" s="131" t="s">
        <v>42</v>
      </c>
      <c r="C269" s="134" t="s">
        <v>2775</v>
      </c>
      <c r="D269" s="134" t="s">
        <v>1170</v>
      </c>
      <c r="E269" s="134" t="s">
        <v>1171</v>
      </c>
      <c r="F269" s="134"/>
      <c r="G269" s="136" t="s">
        <v>131</v>
      </c>
      <c r="H269" s="130" t="s">
        <v>47</v>
      </c>
      <c r="I269" s="144" t="s">
        <v>90</v>
      </c>
      <c r="J269" s="135">
        <v>46069</v>
      </c>
      <c r="K269" s="152" t="s">
        <v>2776</v>
      </c>
    </row>
    <row r="270" spans="1:24" ht="22.5" customHeight="1" x14ac:dyDescent="0.2">
      <c r="A270" s="130">
        <v>269</v>
      </c>
      <c r="B270" s="131" t="s">
        <v>134</v>
      </c>
      <c r="C270" s="134" t="s">
        <v>2385</v>
      </c>
      <c r="D270" s="134" t="s">
        <v>2386</v>
      </c>
      <c r="E270" s="134" t="s">
        <v>2387</v>
      </c>
      <c r="F270" s="134"/>
      <c r="G270" s="130" t="s">
        <v>131</v>
      </c>
      <c r="H270" s="136" t="s">
        <v>75</v>
      </c>
      <c r="I270" s="130" t="s">
        <v>30</v>
      </c>
      <c r="J270" s="135">
        <v>42994</v>
      </c>
      <c r="K270" s="130" t="s">
        <v>2388</v>
      </c>
    </row>
    <row r="271" spans="1:24" ht="22.5" customHeight="1" x14ac:dyDescent="0.2">
      <c r="A271" s="130">
        <v>270</v>
      </c>
      <c r="B271" s="131" t="s">
        <v>42</v>
      </c>
      <c r="C271" s="134" t="s">
        <v>280</v>
      </c>
      <c r="D271" s="134" t="s">
        <v>281</v>
      </c>
      <c r="E271" s="134" t="s">
        <v>282</v>
      </c>
      <c r="F271" s="134"/>
      <c r="G271" s="136" t="s">
        <v>283</v>
      </c>
      <c r="H271" s="136" t="s">
        <v>272</v>
      </c>
      <c r="I271" s="130" t="s">
        <v>284</v>
      </c>
      <c r="J271" s="135">
        <v>33604</v>
      </c>
      <c r="K271" s="136" t="s">
        <v>285</v>
      </c>
    </row>
    <row r="272" spans="1:24" ht="22.5" customHeight="1" x14ac:dyDescent="0.2">
      <c r="A272" s="130">
        <v>271</v>
      </c>
      <c r="B272" s="134" t="s">
        <v>32</v>
      </c>
      <c r="C272" s="131" t="s">
        <v>3763</v>
      </c>
      <c r="D272" s="131" t="s">
        <v>3764</v>
      </c>
      <c r="E272" s="131" t="s">
        <v>3765</v>
      </c>
      <c r="F272" s="131"/>
      <c r="G272" s="130" t="s">
        <v>131</v>
      </c>
      <c r="H272" s="130" t="s">
        <v>385</v>
      </c>
      <c r="I272" s="130" t="s">
        <v>90</v>
      </c>
      <c r="J272" s="135">
        <v>46281</v>
      </c>
      <c r="K272" s="130">
        <v>9952551274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22.5" customHeight="1" x14ac:dyDescent="0.2">
      <c r="A273" s="130">
        <v>272</v>
      </c>
      <c r="B273" s="131" t="s">
        <v>528</v>
      </c>
      <c r="C273" s="131" t="s">
        <v>2559</v>
      </c>
      <c r="D273" s="131" t="s">
        <v>781</v>
      </c>
      <c r="E273" s="131" t="s">
        <v>2560</v>
      </c>
      <c r="F273" s="154"/>
      <c r="G273" s="130" t="s">
        <v>28</v>
      </c>
      <c r="H273" s="130" t="s">
        <v>89</v>
      </c>
      <c r="I273" s="130" t="s">
        <v>182</v>
      </c>
      <c r="J273" s="155">
        <v>39995</v>
      </c>
      <c r="K273" s="130" t="s">
        <v>2561</v>
      </c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 spans="1:24" ht="23.25" customHeight="1" x14ac:dyDescent="0.2">
      <c r="A274" s="130">
        <v>273</v>
      </c>
      <c r="B274" s="131" t="s">
        <v>127</v>
      </c>
      <c r="C274" s="142" t="s">
        <v>595</v>
      </c>
      <c r="D274" s="142" t="s">
        <v>596</v>
      </c>
      <c r="E274" s="142" t="s">
        <v>597</v>
      </c>
      <c r="F274" s="134"/>
      <c r="G274" s="136" t="s">
        <v>244</v>
      </c>
      <c r="H274" s="136" t="s">
        <v>96</v>
      </c>
      <c r="I274" s="130" t="s">
        <v>132</v>
      </c>
      <c r="J274" s="135">
        <v>44504</v>
      </c>
      <c r="K274" s="130" t="s">
        <v>601</v>
      </c>
    </row>
    <row r="275" spans="1:24" ht="23.25" customHeight="1" x14ac:dyDescent="0.2">
      <c r="A275" s="130">
        <v>274</v>
      </c>
      <c r="B275" s="131" t="s">
        <v>134</v>
      </c>
      <c r="C275" s="134" t="s">
        <v>1799</v>
      </c>
      <c r="D275" s="134" t="s">
        <v>1800</v>
      </c>
      <c r="E275" s="134" t="s">
        <v>1801</v>
      </c>
      <c r="F275" s="134"/>
      <c r="G275" s="136" t="s">
        <v>1802</v>
      </c>
      <c r="H275" s="136" t="s">
        <v>1803</v>
      </c>
      <c r="I275" s="130" t="s">
        <v>30</v>
      </c>
      <c r="J275" s="135">
        <v>42994</v>
      </c>
      <c r="K275" s="138" t="s">
        <v>1804</v>
      </c>
    </row>
    <row r="276" spans="1:24" ht="23.25" customHeight="1" x14ac:dyDescent="0.2">
      <c r="A276" s="130">
        <v>275</v>
      </c>
      <c r="B276" s="131" t="s">
        <v>42</v>
      </c>
      <c r="C276" s="134" t="s">
        <v>1177</v>
      </c>
      <c r="D276" s="134" t="s">
        <v>1178</v>
      </c>
      <c r="E276" s="134" t="s">
        <v>1179</v>
      </c>
      <c r="F276" s="134"/>
      <c r="G276" s="130" t="s">
        <v>1635</v>
      </c>
      <c r="H276" s="136" t="s">
        <v>477</v>
      </c>
      <c r="I276" s="144" t="s">
        <v>1882</v>
      </c>
      <c r="J276" s="135">
        <v>44223</v>
      </c>
      <c r="K276" s="130" t="s">
        <v>2230</v>
      </c>
    </row>
    <row r="277" spans="1:24" ht="24.75" customHeight="1" x14ac:dyDescent="0.2">
      <c r="A277" s="130">
        <v>276</v>
      </c>
      <c r="B277" s="131" t="s">
        <v>32</v>
      </c>
      <c r="C277" s="142" t="s">
        <v>647</v>
      </c>
      <c r="D277" s="142" t="s">
        <v>649</v>
      </c>
      <c r="E277" s="142" t="s">
        <v>650</v>
      </c>
      <c r="F277" s="142"/>
      <c r="G277" s="130" t="s">
        <v>651</v>
      </c>
      <c r="H277" s="130" t="s">
        <v>47</v>
      </c>
      <c r="I277" s="130" t="s">
        <v>30</v>
      </c>
      <c r="J277" s="135">
        <v>43759</v>
      </c>
      <c r="K277" s="136" t="s">
        <v>652</v>
      </c>
    </row>
    <row r="278" spans="1:24" ht="22.5" customHeight="1" x14ac:dyDescent="0.2">
      <c r="A278" s="130">
        <v>277</v>
      </c>
      <c r="B278" s="134" t="s">
        <v>32</v>
      </c>
      <c r="C278" s="131" t="s">
        <v>3766</v>
      </c>
      <c r="D278" s="131" t="s">
        <v>3767</v>
      </c>
      <c r="E278" s="131" t="s">
        <v>3768</v>
      </c>
      <c r="F278" s="131"/>
      <c r="G278" s="130" t="s">
        <v>131</v>
      </c>
      <c r="H278" s="130" t="s">
        <v>385</v>
      </c>
      <c r="I278" s="130" t="s">
        <v>90</v>
      </c>
      <c r="J278" s="135">
        <v>46281</v>
      </c>
      <c r="K278" s="136" t="s">
        <v>3782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23.25" customHeight="1" x14ac:dyDescent="0.2">
      <c r="A279" s="130">
        <v>278</v>
      </c>
      <c r="B279" s="131" t="s">
        <v>127</v>
      </c>
      <c r="C279" s="142" t="s">
        <v>626</v>
      </c>
      <c r="D279" s="142" t="s">
        <v>158</v>
      </c>
      <c r="E279" s="142" t="s">
        <v>627</v>
      </c>
      <c r="F279" s="142"/>
      <c r="G279" s="136" t="s">
        <v>628</v>
      </c>
      <c r="H279" s="136" t="s">
        <v>629</v>
      </c>
      <c r="I279" s="130" t="s">
        <v>206</v>
      </c>
      <c r="J279" s="135">
        <v>44455</v>
      </c>
      <c r="K279" s="130" t="s">
        <v>630</v>
      </c>
    </row>
    <row r="280" spans="1:24" ht="24" customHeight="1" x14ac:dyDescent="0.2">
      <c r="A280" s="130">
        <v>279</v>
      </c>
      <c r="B280" s="131" t="s">
        <v>201</v>
      </c>
      <c r="C280" s="134" t="s">
        <v>598</v>
      </c>
      <c r="D280" s="134" t="s">
        <v>599</v>
      </c>
      <c r="E280" s="134" t="s">
        <v>600</v>
      </c>
      <c r="F280" s="134" t="s">
        <v>181</v>
      </c>
      <c r="G280" s="130" t="s">
        <v>131</v>
      </c>
      <c r="H280" s="130" t="s">
        <v>47</v>
      </c>
      <c r="I280" s="130" t="s">
        <v>206</v>
      </c>
      <c r="J280" s="135">
        <v>43748</v>
      </c>
      <c r="K280" s="130" t="s">
        <v>602</v>
      </c>
    </row>
    <row r="281" spans="1:24" ht="23.25" customHeight="1" x14ac:dyDescent="0.2">
      <c r="A281" s="130">
        <v>280</v>
      </c>
      <c r="B281" s="131" t="s">
        <v>32</v>
      </c>
      <c r="C281" s="134" t="s">
        <v>2396</v>
      </c>
      <c r="D281" s="134" t="s">
        <v>2397</v>
      </c>
      <c r="E281" s="134" t="s">
        <v>2398</v>
      </c>
      <c r="F281" s="134"/>
      <c r="G281" s="130" t="s">
        <v>28</v>
      </c>
      <c r="H281" s="130" t="s">
        <v>29</v>
      </c>
      <c r="I281" s="130" t="s">
        <v>36</v>
      </c>
      <c r="J281" s="135">
        <v>44922</v>
      </c>
      <c r="K281" s="130" t="s">
        <v>2399</v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23.25" customHeight="1" x14ac:dyDescent="0.2">
      <c r="A282" s="130">
        <v>281</v>
      </c>
      <c r="B282" s="131" t="s">
        <v>397</v>
      </c>
      <c r="C282" s="134" t="s">
        <v>1792</v>
      </c>
      <c r="D282" s="134" t="s">
        <v>1793</v>
      </c>
      <c r="E282" s="134" t="s">
        <v>1794</v>
      </c>
      <c r="F282" s="134"/>
      <c r="G282" s="130" t="s">
        <v>239</v>
      </c>
      <c r="H282" s="130" t="s">
        <v>401</v>
      </c>
      <c r="I282" s="130" t="s">
        <v>311</v>
      </c>
      <c r="J282" s="135">
        <v>39797</v>
      </c>
      <c r="K282" s="138" t="s">
        <v>1795</v>
      </c>
    </row>
    <row r="283" spans="1:24" ht="23.25" customHeight="1" x14ac:dyDescent="0.2">
      <c r="A283" s="130">
        <v>282</v>
      </c>
      <c r="B283" s="131" t="s">
        <v>32</v>
      </c>
      <c r="C283" s="134" t="s">
        <v>2675</v>
      </c>
      <c r="D283" s="134" t="s">
        <v>2676</v>
      </c>
      <c r="E283" s="134" t="s">
        <v>2677</v>
      </c>
      <c r="F283" s="137"/>
      <c r="G283" s="130" t="s">
        <v>2405</v>
      </c>
      <c r="H283" s="130" t="s">
        <v>545</v>
      </c>
      <c r="I283" s="130" t="s">
        <v>30</v>
      </c>
      <c r="J283" s="135">
        <v>44879</v>
      </c>
      <c r="K283" s="130" t="s">
        <v>2712</v>
      </c>
    </row>
    <row r="284" spans="1:24" ht="22.5" customHeight="1" x14ac:dyDescent="0.2">
      <c r="A284" s="130">
        <v>283</v>
      </c>
      <c r="B284" s="131" t="s">
        <v>376</v>
      </c>
      <c r="C284" s="142" t="s">
        <v>1035</v>
      </c>
      <c r="D284" s="142" t="s">
        <v>718</v>
      </c>
      <c r="E284" s="142" t="s">
        <v>707</v>
      </c>
      <c r="F284" s="142"/>
      <c r="G284" s="130" t="s">
        <v>131</v>
      </c>
      <c r="H284" s="130" t="s">
        <v>47</v>
      </c>
      <c r="I284" s="130" t="s">
        <v>206</v>
      </c>
      <c r="J284" s="135">
        <v>44890</v>
      </c>
      <c r="K284" s="130" t="s">
        <v>728</v>
      </c>
    </row>
    <row r="285" spans="1:24" ht="23.25" customHeight="1" x14ac:dyDescent="0.2">
      <c r="A285" s="130">
        <v>284</v>
      </c>
      <c r="B285" s="131" t="s">
        <v>32</v>
      </c>
      <c r="C285" s="134" t="s">
        <v>1765</v>
      </c>
      <c r="D285" s="134" t="s">
        <v>1562</v>
      </c>
      <c r="E285" s="134" t="s">
        <v>1767</v>
      </c>
      <c r="F285" s="134" t="s">
        <v>181</v>
      </c>
      <c r="G285" s="130" t="s">
        <v>28</v>
      </c>
      <c r="H285" s="130" t="s">
        <v>29</v>
      </c>
      <c r="I285" s="130" t="s">
        <v>36</v>
      </c>
      <c r="J285" s="135">
        <v>44922</v>
      </c>
      <c r="K285" s="138" t="s">
        <v>1769</v>
      </c>
    </row>
    <row r="286" spans="1:24" ht="22.5" customHeight="1" x14ac:dyDescent="0.2">
      <c r="A286" s="130">
        <v>285</v>
      </c>
      <c r="B286" s="131" t="s">
        <v>127</v>
      </c>
      <c r="C286" s="142" t="s">
        <v>784</v>
      </c>
      <c r="D286" s="142" t="s">
        <v>786</v>
      </c>
      <c r="E286" s="142" t="s">
        <v>787</v>
      </c>
      <c r="F286" s="142"/>
      <c r="G286" s="136" t="s">
        <v>1084</v>
      </c>
      <c r="H286" s="136" t="s">
        <v>205</v>
      </c>
      <c r="I286" s="130" t="s">
        <v>132</v>
      </c>
      <c r="J286" s="135">
        <v>44455</v>
      </c>
      <c r="K286" s="130" t="s">
        <v>789</v>
      </c>
    </row>
    <row r="287" spans="1:24" ht="22.5" customHeight="1" x14ac:dyDescent="0.2">
      <c r="A287" s="130">
        <v>286</v>
      </c>
      <c r="B287" s="131" t="s">
        <v>528</v>
      </c>
      <c r="C287" s="134" t="s">
        <v>1995</v>
      </c>
      <c r="D287" s="134" t="s">
        <v>1996</v>
      </c>
      <c r="E287" s="134" t="s">
        <v>1997</v>
      </c>
      <c r="F287" s="134"/>
      <c r="G287" s="130" t="s">
        <v>239</v>
      </c>
      <c r="H287" s="130" t="s">
        <v>401</v>
      </c>
      <c r="I287" s="130" t="s">
        <v>182</v>
      </c>
      <c r="J287" s="135">
        <v>40210</v>
      </c>
      <c r="K287" s="130" t="s">
        <v>1999</v>
      </c>
    </row>
    <row r="288" spans="1:24" ht="23.25" customHeight="1" x14ac:dyDescent="0.2">
      <c r="A288" s="130">
        <v>287</v>
      </c>
      <c r="B288" s="131" t="s">
        <v>42</v>
      </c>
      <c r="C288" s="134" t="s">
        <v>1181</v>
      </c>
      <c r="D288" s="134" t="s">
        <v>1182</v>
      </c>
      <c r="E288" s="134" t="s">
        <v>1183</v>
      </c>
      <c r="F288" s="134"/>
      <c r="G288" s="136" t="s">
        <v>2318</v>
      </c>
      <c r="H288" s="130" t="s">
        <v>168</v>
      </c>
      <c r="I288" s="136" t="s">
        <v>54</v>
      </c>
      <c r="J288" s="135">
        <v>44572</v>
      </c>
      <c r="K288" s="130" t="s">
        <v>2319</v>
      </c>
    </row>
    <row r="289" spans="1:11" ht="23.25" customHeight="1" x14ac:dyDescent="0.2">
      <c r="A289" s="130">
        <v>288</v>
      </c>
      <c r="B289" s="131" t="s">
        <v>32</v>
      </c>
      <c r="C289" s="134" t="s">
        <v>2166</v>
      </c>
      <c r="D289" s="134" t="s">
        <v>2167</v>
      </c>
      <c r="E289" s="134" t="s">
        <v>2168</v>
      </c>
      <c r="F289" s="137"/>
      <c r="G289" s="130" t="s">
        <v>131</v>
      </c>
      <c r="H289" s="130" t="s">
        <v>554</v>
      </c>
      <c r="I289" s="130" t="s">
        <v>36</v>
      </c>
      <c r="J289" s="135">
        <v>44879</v>
      </c>
      <c r="K289" s="130" t="s">
        <v>2172</v>
      </c>
    </row>
    <row r="290" spans="1:11" ht="22.5" customHeight="1" x14ac:dyDescent="0.2">
      <c r="A290" s="130">
        <v>289</v>
      </c>
      <c r="B290" s="131" t="s">
        <v>42</v>
      </c>
      <c r="C290" s="134" t="s">
        <v>1189</v>
      </c>
      <c r="D290" s="134" t="s">
        <v>1190</v>
      </c>
      <c r="E290" s="134" t="s">
        <v>123</v>
      </c>
      <c r="F290" s="142"/>
      <c r="G290" s="136" t="s">
        <v>2624</v>
      </c>
      <c r="H290" s="136" t="s">
        <v>2625</v>
      </c>
      <c r="I290" s="144" t="s">
        <v>90</v>
      </c>
      <c r="J290" s="135">
        <v>45733</v>
      </c>
      <c r="K290" s="152" t="s">
        <v>2626</v>
      </c>
    </row>
    <row r="291" spans="1:11" ht="23.25" customHeight="1" x14ac:dyDescent="0.2">
      <c r="A291" s="130">
        <v>290</v>
      </c>
      <c r="B291" s="131" t="s">
        <v>32</v>
      </c>
      <c r="C291" s="134" t="s">
        <v>1198</v>
      </c>
      <c r="D291" s="134" t="s">
        <v>2428</v>
      </c>
      <c r="E291" s="134" t="s">
        <v>472</v>
      </c>
      <c r="F291" s="134" t="s">
        <v>181</v>
      </c>
      <c r="G291" s="130" t="s">
        <v>131</v>
      </c>
      <c r="H291" s="130" t="s">
        <v>212</v>
      </c>
      <c r="I291" s="130" t="s">
        <v>36</v>
      </c>
      <c r="J291" s="135">
        <v>44900</v>
      </c>
      <c r="K291" s="130" t="s">
        <v>2429</v>
      </c>
    </row>
    <row r="292" spans="1:11" ht="23.25" customHeight="1" x14ac:dyDescent="0.2">
      <c r="A292" s="130">
        <v>291</v>
      </c>
      <c r="B292" s="131" t="s">
        <v>42</v>
      </c>
      <c r="C292" s="134" t="s">
        <v>1198</v>
      </c>
      <c r="D292" s="134" t="s">
        <v>1199</v>
      </c>
      <c r="E292" s="134" t="s">
        <v>1200</v>
      </c>
      <c r="F292" s="134"/>
      <c r="G292" s="167" t="s">
        <v>2263</v>
      </c>
      <c r="H292" s="136" t="s">
        <v>484</v>
      </c>
      <c r="I292" s="139" t="s">
        <v>2264</v>
      </c>
      <c r="J292" s="135">
        <v>42500</v>
      </c>
      <c r="K292" s="130" t="s">
        <v>2265</v>
      </c>
    </row>
    <row r="293" spans="1:11" ht="25.5" customHeight="1" x14ac:dyDescent="0.2">
      <c r="A293" s="130">
        <v>292</v>
      </c>
      <c r="B293" s="131" t="s">
        <v>42</v>
      </c>
      <c r="C293" s="142" t="s">
        <v>1203</v>
      </c>
      <c r="D293" s="142" t="s">
        <v>1205</v>
      </c>
      <c r="E293" s="142" t="s">
        <v>1206</v>
      </c>
      <c r="F293" s="142"/>
      <c r="G293" s="130" t="s">
        <v>131</v>
      </c>
      <c r="H293" s="130" t="s">
        <v>47</v>
      </c>
      <c r="I293" s="130" t="s">
        <v>90</v>
      </c>
      <c r="J293" s="135">
        <v>46239</v>
      </c>
      <c r="K293" s="130">
        <v>9663862342</v>
      </c>
    </row>
    <row r="294" spans="1:11" ht="24.75" customHeight="1" x14ac:dyDescent="0.2">
      <c r="A294" s="130">
        <v>293</v>
      </c>
      <c r="B294" s="131" t="s">
        <v>318</v>
      </c>
      <c r="C294" s="134" t="s">
        <v>1657</v>
      </c>
      <c r="D294" s="134" t="s">
        <v>1659</v>
      </c>
      <c r="E294" s="134" t="s">
        <v>707</v>
      </c>
      <c r="F294" s="134" t="s">
        <v>1385</v>
      </c>
      <c r="G294" s="130" t="s">
        <v>131</v>
      </c>
      <c r="H294" s="130" t="s">
        <v>47</v>
      </c>
      <c r="I294" s="136" t="s">
        <v>206</v>
      </c>
      <c r="J294" s="135">
        <v>43542</v>
      </c>
      <c r="K294" s="130" t="s">
        <v>1667</v>
      </c>
    </row>
    <row r="295" spans="1:11" ht="21" customHeight="1" x14ac:dyDescent="0.2">
      <c r="A295" s="130">
        <v>294</v>
      </c>
      <c r="B295" s="131" t="s">
        <v>42</v>
      </c>
      <c r="C295" s="134" t="s">
        <v>1207</v>
      </c>
      <c r="D295" s="134" t="s">
        <v>1218</v>
      </c>
      <c r="E295" s="134" t="s">
        <v>1219</v>
      </c>
      <c r="F295" s="134"/>
      <c r="G295" s="169" t="s">
        <v>2511</v>
      </c>
      <c r="H295" s="138" t="s">
        <v>47</v>
      </c>
      <c r="I295" s="139" t="s">
        <v>2512</v>
      </c>
      <c r="J295" s="135">
        <v>42500</v>
      </c>
      <c r="K295" s="138" t="s">
        <v>2513</v>
      </c>
    </row>
    <row r="296" spans="1:11" ht="23.25" customHeight="1" x14ac:dyDescent="0.2">
      <c r="A296" s="130">
        <v>295</v>
      </c>
      <c r="B296" s="131" t="s">
        <v>42</v>
      </c>
      <c r="C296" s="134" t="s">
        <v>1207</v>
      </c>
      <c r="D296" s="134" t="s">
        <v>1208</v>
      </c>
      <c r="E296" s="134" t="s">
        <v>1209</v>
      </c>
      <c r="F296" s="134"/>
      <c r="G296" s="138" t="s">
        <v>239</v>
      </c>
      <c r="H296" s="138" t="s">
        <v>47</v>
      </c>
      <c r="I296" s="139" t="s">
        <v>90</v>
      </c>
      <c r="J296" s="135">
        <v>42835</v>
      </c>
      <c r="K296" s="138" t="s">
        <v>2777</v>
      </c>
    </row>
    <row r="297" spans="1:11" ht="22.5" customHeight="1" x14ac:dyDescent="0.2">
      <c r="A297" s="130">
        <v>296</v>
      </c>
      <c r="B297" s="131" t="s">
        <v>528</v>
      </c>
      <c r="C297" s="134" t="s">
        <v>755</v>
      </c>
      <c r="D297" s="134" t="s">
        <v>2001</v>
      </c>
      <c r="E297" s="134" t="s">
        <v>2003</v>
      </c>
      <c r="F297" s="134"/>
      <c r="G297" s="130" t="s">
        <v>2004</v>
      </c>
      <c r="H297" s="130" t="s">
        <v>401</v>
      </c>
      <c r="I297" s="130" t="s">
        <v>311</v>
      </c>
      <c r="J297" s="135">
        <v>39995</v>
      </c>
      <c r="K297" s="130" t="s">
        <v>2006</v>
      </c>
    </row>
    <row r="298" spans="1:11" ht="22.5" customHeight="1" x14ac:dyDescent="0.2">
      <c r="A298" s="130">
        <v>297</v>
      </c>
      <c r="B298" s="131" t="s">
        <v>62</v>
      </c>
      <c r="C298" s="134" t="s">
        <v>794</v>
      </c>
      <c r="D298" s="134" t="s">
        <v>588</v>
      </c>
      <c r="E298" s="134" t="s">
        <v>589</v>
      </c>
      <c r="F298" s="134"/>
      <c r="G298" s="130" t="s">
        <v>66</v>
      </c>
      <c r="H298" s="130" t="s">
        <v>67</v>
      </c>
      <c r="I298" s="130" t="s">
        <v>327</v>
      </c>
      <c r="J298" s="135">
        <v>38236</v>
      </c>
      <c r="K298" s="136" t="s">
        <v>593</v>
      </c>
    </row>
    <row r="299" spans="1:11" ht="22.5" customHeight="1" x14ac:dyDescent="0.2">
      <c r="A299" s="130">
        <v>298</v>
      </c>
      <c r="B299" s="131" t="s">
        <v>201</v>
      </c>
      <c r="C299" s="134" t="s">
        <v>394</v>
      </c>
      <c r="D299" s="134" t="s">
        <v>395</v>
      </c>
      <c r="E299" s="134" t="s">
        <v>396</v>
      </c>
      <c r="F299" s="134"/>
      <c r="G299" s="130" t="s">
        <v>131</v>
      </c>
      <c r="H299" s="143" t="s">
        <v>418</v>
      </c>
      <c r="I299" s="139" t="s">
        <v>206</v>
      </c>
      <c r="J299" s="135">
        <v>42555</v>
      </c>
      <c r="K299" s="130" t="s">
        <v>419</v>
      </c>
    </row>
    <row r="300" spans="1:11" ht="22.5" customHeight="1" x14ac:dyDescent="0.2">
      <c r="A300" s="130">
        <v>299</v>
      </c>
      <c r="B300" s="131" t="s">
        <v>42</v>
      </c>
      <c r="C300" s="134" t="s">
        <v>1224</v>
      </c>
      <c r="D300" s="134" t="s">
        <v>1225</v>
      </c>
      <c r="E300" s="134" t="s">
        <v>1226</v>
      </c>
      <c r="F300" s="134"/>
      <c r="G300" s="144" t="s">
        <v>131</v>
      </c>
      <c r="H300" s="130" t="s">
        <v>47</v>
      </c>
      <c r="I300" s="139" t="s">
        <v>569</v>
      </c>
      <c r="J300" s="135">
        <v>46069</v>
      </c>
      <c r="K300" s="138" t="s">
        <v>2627</v>
      </c>
    </row>
    <row r="301" spans="1:11" ht="22.5" customHeight="1" x14ac:dyDescent="0.2">
      <c r="A301" s="130">
        <v>300</v>
      </c>
      <c r="B301" s="131" t="s">
        <v>32</v>
      </c>
      <c r="C301" s="142" t="s">
        <v>340</v>
      </c>
      <c r="D301" s="142" t="s">
        <v>341</v>
      </c>
      <c r="E301" s="142" t="s">
        <v>342</v>
      </c>
      <c r="F301" s="142"/>
      <c r="G301" s="130" t="s">
        <v>131</v>
      </c>
      <c r="H301" s="130" t="s">
        <v>75</v>
      </c>
      <c r="I301" s="130" t="s">
        <v>30</v>
      </c>
      <c r="J301" s="135">
        <v>43759</v>
      </c>
      <c r="K301" s="136" t="s">
        <v>343</v>
      </c>
    </row>
    <row r="302" spans="1:11" ht="24" customHeight="1" x14ac:dyDescent="0.2">
      <c r="A302" s="130">
        <v>301</v>
      </c>
      <c r="B302" s="131" t="s">
        <v>42</v>
      </c>
      <c r="C302" s="134" t="s">
        <v>855</v>
      </c>
      <c r="D302" s="134" t="s">
        <v>1228</v>
      </c>
      <c r="E302" s="134" t="s">
        <v>1229</v>
      </c>
      <c r="F302" s="130"/>
      <c r="G302" s="138" t="s">
        <v>66</v>
      </c>
      <c r="H302" s="138" t="s">
        <v>47</v>
      </c>
      <c r="I302" s="139" t="s">
        <v>2695</v>
      </c>
      <c r="J302" s="132">
        <v>45155</v>
      </c>
      <c r="K302" s="138" t="s">
        <v>2696</v>
      </c>
    </row>
    <row r="303" spans="1:11" ht="22.5" customHeight="1" x14ac:dyDescent="0.2">
      <c r="A303" s="130">
        <v>302</v>
      </c>
      <c r="B303" s="131" t="s">
        <v>177</v>
      </c>
      <c r="C303" s="134" t="s">
        <v>824</v>
      </c>
      <c r="D303" s="134" t="s">
        <v>825</v>
      </c>
      <c r="E303" s="134" t="s">
        <v>826</v>
      </c>
      <c r="F303" s="134"/>
      <c r="G303" s="130" t="s">
        <v>829</v>
      </c>
      <c r="H303" s="130" t="s">
        <v>89</v>
      </c>
      <c r="I303" s="130" t="s">
        <v>182</v>
      </c>
      <c r="J303" s="135">
        <v>40513</v>
      </c>
      <c r="K303" s="130" t="s">
        <v>830</v>
      </c>
    </row>
    <row r="304" spans="1:11" ht="24" customHeight="1" x14ac:dyDescent="0.2">
      <c r="A304" s="130">
        <v>303</v>
      </c>
      <c r="B304" s="131" t="s">
        <v>42</v>
      </c>
      <c r="C304" s="134" t="s">
        <v>824</v>
      </c>
      <c r="D304" s="134" t="s">
        <v>1234</v>
      </c>
      <c r="E304" s="134" t="s">
        <v>1235</v>
      </c>
      <c r="F304" s="134"/>
      <c r="G304" s="138" t="s">
        <v>239</v>
      </c>
      <c r="H304" s="138" t="s">
        <v>96</v>
      </c>
      <c r="I304" s="139" t="s">
        <v>2779</v>
      </c>
      <c r="J304" s="135">
        <v>38030</v>
      </c>
      <c r="K304" s="138" t="s">
        <v>2780</v>
      </c>
    </row>
    <row r="305" spans="1:24" ht="22.5" customHeight="1" x14ac:dyDescent="0.2">
      <c r="A305" s="130">
        <v>304</v>
      </c>
      <c r="B305" s="131" t="s">
        <v>42</v>
      </c>
      <c r="C305" s="134" t="s">
        <v>313</v>
      </c>
      <c r="D305" s="134" t="s">
        <v>314</v>
      </c>
      <c r="E305" s="134" t="s">
        <v>315</v>
      </c>
      <c r="F305" s="134"/>
      <c r="G305" s="136" t="s">
        <v>239</v>
      </c>
      <c r="H305" s="130" t="s">
        <v>47</v>
      </c>
      <c r="I305" s="136" t="s">
        <v>316</v>
      </c>
      <c r="J305" s="135">
        <v>43473</v>
      </c>
      <c r="K305" s="136" t="s">
        <v>317</v>
      </c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24" customHeight="1" x14ac:dyDescent="0.2">
      <c r="A306" s="130">
        <v>305</v>
      </c>
      <c r="B306" s="131" t="s">
        <v>32</v>
      </c>
      <c r="C306" s="142" t="s">
        <v>1805</v>
      </c>
      <c r="D306" s="142" t="s">
        <v>1806</v>
      </c>
      <c r="E306" s="142" t="s">
        <v>1807</v>
      </c>
      <c r="F306" s="142"/>
      <c r="G306" s="130" t="s">
        <v>28</v>
      </c>
      <c r="H306" s="136" t="s">
        <v>75</v>
      </c>
      <c r="I306" s="130" t="s">
        <v>30</v>
      </c>
      <c r="J306" s="135">
        <v>43759</v>
      </c>
      <c r="K306" s="138" t="s">
        <v>1809</v>
      </c>
    </row>
    <row r="307" spans="1:24" ht="22.5" customHeight="1" x14ac:dyDescent="0.2">
      <c r="A307" s="130">
        <v>306</v>
      </c>
      <c r="B307" s="131" t="s">
        <v>127</v>
      </c>
      <c r="C307" s="142" t="s">
        <v>673</v>
      </c>
      <c r="D307" s="142" t="s">
        <v>674</v>
      </c>
      <c r="E307" s="142" t="s">
        <v>675</v>
      </c>
      <c r="F307" s="142"/>
      <c r="G307" s="136" t="s">
        <v>1010</v>
      </c>
      <c r="H307" s="136" t="s">
        <v>47</v>
      </c>
      <c r="I307" s="130" t="s">
        <v>206</v>
      </c>
      <c r="J307" s="135">
        <v>44504</v>
      </c>
      <c r="K307" s="130" t="s">
        <v>678</v>
      </c>
    </row>
    <row r="308" spans="1:24" ht="21.75" customHeight="1" x14ac:dyDescent="0.2">
      <c r="A308" s="130">
        <v>307</v>
      </c>
      <c r="B308" s="131" t="s">
        <v>127</v>
      </c>
      <c r="C308" s="142" t="s">
        <v>673</v>
      </c>
      <c r="D308" s="142" t="s">
        <v>1578</v>
      </c>
      <c r="E308" s="142" t="s">
        <v>1579</v>
      </c>
      <c r="F308" s="142"/>
      <c r="G308" s="136" t="s">
        <v>131</v>
      </c>
      <c r="H308" s="136" t="s">
        <v>47</v>
      </c>
      <c r="I308" s="130" t="s">
        <v>132</v>
      </c>
      <c r="J308" s="135">
        <v>44455</v>
      </c>
      <c r="K308" s="130" t="s">
        <v>133</v>
      </c>
    </row>
    <row r="309" spans="1:24" ht="23.25" customHeight="1" x14ac:dyDescent="0.2">
      <c r="A309" s="130">
        <v>308</v>
      </c>
      <c r="B309" s="131" t="s">
        <v>62</v>
      </c>
      <c r="C309" s="134" t="s">
        <v>1943</v>
      </c>
      <c r="D309" s="134" t="s">
        <v>1944</v>
      </c>
      <c r="E309" s="134" t="s">
        <v>1945</v>
      </c>
      <c r="F309" s="134"/>
      <c r="G309" s="130" t="s">
        <v>628</v>
      </c>
      <c r="H309" s="136" t="s">
        <v>526</v>
      </c>
      <c r="I309" s="130" t="s">
        <v>327</v>
      </c>
      <c r="J309" s="135">
        <v>37608</v>
      </c>
      <c r="K309" s="130" t="s">
        <v>1947</v>
      </c>
    </row>
    <row r="310" spans="1:24" ht="23.25" customHeight="1" x14ac:dyDescent="0.2">
      <c r="A310" s="130">
        <v>309</v>
      </c>
      <c r="B310" s="131" t="s">
        <v>42</v>
      </c>
      <c r="C310" s="134" t="s">
        <v>633</v>
      </c>
      <c r="D310" s="134" t="s">
        <v>634</v>
      </c>
      <c r="E310" s="134" t="s">
        <v>635</v>
      </c>
      <c r="F310" s="134"/>
      <c r="G310" s="144" t="s">
        <v>239</v>
      </c>
      <c r="H310" s="139" t="s">
        <v>195</v>
      </c>
      <c r="I310" s="139" t="s">
        <v>637</v>
      </c>
      <c r="J310" s="135">
        <v>40830</v>
      </c>
      <c r="K310" s="130" t="s">
        <v>638</v>
      </c>
    </row>
    <row r="311" spans="1:24" ht="22.5" customHeight="1" x14ac:dyDescent="0.2">
      <c r="A311" s="130">
        <v>310</v>
      </c>
      <c r="B311" s="131" t="s">
        <v>57</v>
      </c>
      <c r="C311" s="134" t="s">
        <v>1912</v>
      </c>
      <c r="D311" s="134" t="s">
        <v>1913</v>
      </c>
      <c r="E311" s="134" t="s">
        <v>1914</v>
      </c>
      <c r="F311" s="134"/>
      <c r="G311" s="130" t="s">
        <v>628</v>
      </c>
      <c r="H311" s="130" t="s">
        <v>629</v>
      </c>
      <c r="I311" s="130" t="s">
        <v>21</v>
      </c>
      <c r="J311" s="135">
        <v>37201</v>
      </c>
      <c r="K311" s="136" t="s">
        <v>1915</v>
      </c>
    </row>
    <row r="312" spans="1:24" ht="27" customHeight="1" x14ac:dyDescent="0.2">
      <c r="A312" s="130">
        <v>311</v>
      </c>
      <c r="B312" s="131" t="s">
        <v>42</v>
      </c>
      <c r="C312" s="134" t="s">
        <v>1247</v>
      </c>
      <c r="D312" s="134" t="s">
        <v>1248</v>
      </c>
      <c r="E312" s="134" t="s">
        <v>1249</v>
      </c>
      <c r="F312" s="134"/>
      <c r="G312" s="138" t="s">
        <v>829</v>
      </c>
      <c r="H312" s="138" t="s">
        <v>89</v>
      </c>
      <c r="I312" s="139" t="s">
        <v>2733</v>
      </c>
      <c r="J312" s="135">
        <v>36901</v>
      </c>
      <c r="K312" s="138" t="s">
        <v>2734</v>
      </c>
    </row>
    <row r="313" spans="1:24" ht="24.75" customHeight="1" x14ac:dyDescent="0.2">
      <c r="A313" s="130">
        <v>312</v>
      </c>
      <c r="B313" s="131" t="s">
        <v>127</v>
      </c>
      <c r="C313" s="142" t="s">
        <v>128</v>
      </c>
      <c r="D313" s="142" t="s">
        <v>129</v>
      </c>
      <c r="E313" s="142" t="s">
        <v>130</v>
      </c>
      <c r="F313" s="142"/>
      <c r="G313" s="136" t="s">
        <v>131</v>
      </c>
      <c r="H313" s="136" t="s">
        <v>96</v>
      </c>
      <c r="I313" s="130" t="s">
        <v>132</v>
      </c>
      <c r="J313" s="135">
        <v>44455</v>
      </c>
      <c r="K313" s="130" t="s">
        <v>133</v>
      </c>
    </row>
    <row r="314" spans="1:24" ht="23.25" customHeight="1" x14ac:dyDescent="0.2">
      <c r="A314" s="130">
        <v>313</v>
      </c>
      <c r="B314" s="131" t="s">
        <v>127</v>
      </c>
      <c r="C314" s="142" t="s">
        <v>1741</v>
      </c>
      <c r="D314" s="142" t="s">
        <v>1743</v>
      </c>
      <c r="E314" s="142" t="s">
        <v>1744</v>
      </c>
      <c r="F314" s="142"/>
      <c r="G314" s="136" t="s">
        <v>291</v>
      </c>
      <c r="H314" s="136" t="s">
        <v>205</v>
      </c>
      <c r="I314" s="130" t="s">
        <v>132</v>
      </c>
      <c r="J314" s="135">
        <v>44455</v>
      </c>
      <c r="K314" s="130" t="s">
        <v>1747</v>
      </c>
    </row>
    <row r="315" spans="1:24" ht="23.25" customHeight="1" x14ac:dyDescent="0.2">
      <c r="A315" s="130">
        <v>314</v>
      </c>
      <c r="B315" s="131" t="s">
        <v>134</v>
      </c>
      <c r="C315" s="134" t="s">
        <v>1748</v>
      </c>
      <c r="D315" s="134" t="s">
        <v>960</v>
      </c>
      <c r="E315" s="134" t="s">
        <v>1749</v>
      </c>
      <c r="F315" s="134"/>
      <c r="G315" s="130" t="s">
        <v>131</v>
      </c>
      <c r="H315" s="130" t="s">
        <v>75</v>
      </c>
      <c r="I315" s="130" t="s">
        <v>30</v>
      </c>
      <c r="J315" s="135">
        <v>42994</v>
      </c>
      <c r="K315" s="138" t="s">
        <v>1753</v>
      </c>
    </row>
    <row r="316" spans="1:24" ht="22.5" customHeight="1" x14ac:dyDescent="0.2">
      <c r="A316" s="130">
        <v>315</v>
      </c>
      <c r="B316" s="131" t="s">
        <v>134</v>
      </c>
      <c r="C316" s="134" t="s">
        <v>2058</v>
      </c>
      <c r="D316" s="134" t="s">
        <v>2059</v>
      </c>
      <c r="E316" s="134" t="s">
        <v>620</v>
      </c>
      <c r="F316" s="134"/>
      <c r="G316" s="130" t="s">
        <v>131</v>
      </c>
      <c r="H316" s="130" t="s">
        <v>96</v>
      </c>
      <c r="I316" s="130" t="s">
        <v>30</v>
      </c>
      <c r="J316" s="135">
        <v>42948</v>
      </c>
      <c r="K316" s="130" t="s">
        <v>2064</v>
      </c>
    </row>
    <row r="317" spans="1:24" ht="23.25" customHeight="1" x14ac:dyDescent="0.2">
      <c r="A317" s="130">
        <v>316</v>
      </c>
      <c r="B317" s="131" t="s">
        <v>42</v>
      </c>
      <c r="C317" s="134" t="s">
        <v>1252</v>
      </c>
      <c r="D317" s="134" t="s">
        <v>1253</v>
      </c>
      <c r="E317" s="134" t="s">
        <v>1254</v>
      </c>
      <c r="F317" s="134"/>
      <c r="G317" s="143" t="s">
        <v>2437</v>
      </c>
      <c r="H317" s="138" t="s">
        <v>47</v>
      </c>
      <c r="I317" s="139" t="s">
        <v>2438</v>
      </c>
      <c r="J317" s="135">
        <v>41242</v>
      </c>
      <c r="K317" s="130" t="s">
        <v>2439</v>
      </c>
    </row>
    <row r="318" spans="1:24" ht="23.25" customHeight="1" x14ac:dyDescent="0.2">
      <c r="A318" s="130">
        <v>317</v>
      </c>
      <c r="B318" s="131" t="s">
        <v>127</v>
      </c>
      <c r="C318" s="142" t="s">
        <v>1092</v>
      </c>
      <c r="D318" s="142" t="s">
        <v>1093</v>
      </c>
      <c r="E318" s="142" t="s">
        <v>1096</v>
      </c>
      <c r="F318" s="134"/>
      <c r="G318" s="136" t="s">
        <v>124</v>
      </c>
      <c r="H318" s="136" t="s">
        <v>205</v>
      </c>
      <c r="I318" s="130" t="s">
        <v>132</v>
      </c>
      <c r="J318" s="135">
        <v>44504</v>
      </c>
      <c r="K318" s="130" t="s">
        <v>1099</v>
      </c>
    </row>
    <row r="319" spans="1:24" ht="23.25" customHeight="1" x14ac:dyDescent="0.2">
      <c r="A319" s="130">
        <v>318</v>
      </c>
      <c r="B319" s="131" t="s">
        <v>42</v>
      </c>
      <c r="C319" s="134" t="s">
        <v>1256</v>
      </c>
      <c r="D319" s="134" t="s">
        <v>1257</v>
      </c>
      <c r="E319" s="134" t="s">
        <v>1258</v>
      </c>
      <c r="F319" s="134"/>
      <c r="G319" s="130" t="s">
        <v>2233</v>
      </c>
      <c r="H319" s="143" t="s">
        <v>2234</v>
      </c>
      <c r="I319" s="130" t="s">
        <v>2235</v>
      </c>
      <c r="J319" s="135">
        <v>44935</v>
      </c>
      <c r="K319" s="130" t="s">
        <v>2236</v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23.25" customHeight="1" x14ac:dyDescent="0.2">
      <c r="A320" s="130">
        <v>319</v>
      </c>
      <c r="B320" s="131" t="s">
        <v>32</v>
      </c>
      <c r="C320" s="134" t="s">
        <v>1660</v>
      </c>
      <c r="D320" s="134" t="s">
        <v>1661</v>
      </c>
      <c r="E320" s="134" t="s">
        <v>1662</v>
      </c>
      <c r="F320" s="137"/>
      <c r="G320" s="136" t="s">
        <v>1666</v>
      </c>
      <c r="H320" s="130" t="s">
        <v>89</v>
      </c>
      <c r="I320" s="130" t="s">
        <v>36</v>
      </c>
      <c r="J320" s="135">
        <v>44879</v>
      </c>
      <c r="K320" s="138" t="s">
        <v>1668</v>
      </c>
    </row>
    <row r="321" spans="1:24" ht="30.75" customHeight="1" x14ac:dyDescent="0.2">
      <c r="A321" s="130">
        <v>320</v>
      </c>
      <c r="B321" s="131" t="s">
        <v>42</v>
      </c>
      <c r="C321" s="134" t="s">
        <v>1259</v>
      </c>
      <c r="D321" s="134" t="s">
        <v>1260</v>
      </c>
      <c r="E321" s="134" t="s">
        <v>1261</v>
      </c>
      <c r="F321" s="134"/>
      <c r="G321" s="138" t="s">
        <v>2628</v>
      </c>
      <c r="H321" s="130" t="s">
        <v>2629</v>
      </c>
      <c r="I321" s="139" t="s">
        <v>2630</v>
      </c>
      <c r="J321" s="135">
        <v>38624</v>
      </c>
      <c r="K321" s="138" t="s">
        <v>2631</v>
      </c>
    </row>
    <row r="322" spans="1:24" ht="27.75" customHeight="1" x14ac:dyDescent="0.2">
      <c r="A322" s="130">
        <v>321</v>
      </c>
      <c r="B322" s="131" t="s">
        <v>42</v>
      </c>
      <c r="C322" s="134" t="s">
        <v>1266</v>
      </c>
      <c r="D322" s="134" t="s">
        <v>1267</v>
      </c>
      <c r="E322" s="134" t="s">
        <v>1268</v>
      </c>
      <c r="F322" s="134"/>
      <c r="G322" s="144" t="s">
        <v>2149</v>
      </c>
      <c r="H322" s="144" t="s">
        <v>47</v>
      </c>
      <c r="I322" s="139" t="s">
        <v>2514</v>
      </c>
      <c r="J322" s="135">
        <v>36892</v>
      </c>
      <c r="K322" s="138" t="s">
        <v>2515</v>
      </c>
    </row>
    <row r="323" spans="1:24" ht="24" customHeight="1" x14ac:dyDescent="0.2">
      <c r="A323" s="130">
        <v>322</v>
      </c>
      <c r="B323" s="131" t="s">
        <v>127</v>
      </c>
      <c r="C323" s="142" t="s">
        <v>1754</v>
      </c>
      <c r="D323" s="142" t="s">
        <v>1755</v>
      </c>
      <c r="E323" s="142" t="s">
        <v>1756</v>
      </c>
      <c r="F323" s="142"/>
      <c r="G323" s="136" t="s">
        <v>131</v>
      </c>
      <c r="H323" s="136" t="s">
        <v>47</v>
      </c>
      <c r="I323" s="130" t="s">
        <v>132</v>
      </c>
      <c r="J323" s="135">
        <v>44455</v>
      </c>
      <c r="K323" s="130" t="s">
        <v>1761</v>
      </c>
    </row>
    <row r="324" spans="1:24" ht="24.75" customHeight="1" x14ac:dyDescent="0.2">
      <c r="A324" s="130">
        <v>323</v>
      </c>
      <c r="B324" s="131" t="s">
        <v>318</v>
      </c>
      <c r="C324" s="134" t="s">
        <v>501</v>
      </c>
      <c r="D324" s="134" t="s">
        <v>257</v>
      </c>
      <c r="E324" s="134" t="s">
        <v>404</v>
      </c>
      <c r="F324" s="134" t="s">
        <v>502</v>
      </c>
      <c r="G324" s="130" t="s">
        <v>368</v>
      </c>
      <c r="H324" s="138" t="s">
        <v>205</v>
      </c>
      <c r="I324" s="139" t="s">
        <v>206</v>
      </c>
      <c r="J324" s="135">
        <v>38299</v>
      </c>
      <c r="K324" s="130" t="s">
        <v>505</v>
      </c>
    </row>
    <row r="325" spans="1:24" ht="45" customHeight="1" x14ac:dyDescent="0.2">
      <c r="A325" s="130">
        <v>324</v>
      </c>
      <c r="B325" s="131" t="s">
        <v>323</v>
      </c>
      <c r="C325" s="134" t="s">
        <v>1244</v>
      </c>
      <c r="D325" s="134" t="s">
        <v>1245</v>
      </c>
      <c r="E325" s="134" t="s">
        <v>1246</v>
      </c>
      <c r="F325" s="137"/>
      <c r="G325" s="130" t="s">
        <v>131</v>
      </c>
      <c r="H325" s="138" t="s">
        <v>205</v>
      </c>
      <c r="I325" s="130" t="s">
        <v>206</v>
      </c>
      <c r="J325" s="135">
        <v>45068</v>
      </c>
      <c r="K325" s="138" t="s">
        <v>1250</v>
      </c>
    </row>
    <row r="326" spans="1:24" ht="24.75" customHeight="1" x14ac:dyDescent="0.2">
      <c r="A326" s="130">
        <v>325</v>
      </c>
      <c r="B326" s="131" t="s">
        <v>42</v>
      </c>
      <c r="C326" s="134" t="s">
        <v>1274</v>
      </c>
      <c r="D326" s="134" t="s">
        <v>1275</v>
      </c>
      <c r="E326" s="134" t="s">
        <v>1276</v>
      </c>
      <c r="F326" s="134"/>
      <c r="G326" s="130" t="s">
        <v>53</v>
      </c>
      <c r="H326" s="130" t="s">
        <v>168</v>
      </c>
      <c r="I326" s="139" t="s">
        <v>2266</v>
      </c>
      <c r="J326" s="135">
        <v>40858</v>
      </c>
      <c r="K326" s="130" t="s">
        <v>2267</v>
      </c>
    </row>
    <row r="327" spans="1:24" ht="45" customHeight="1" x14ac:dyDescent="0.2">
      <c r="A327" s="130">
        <v>326</v>
      </c>
      <c r="B327" s="131" t="s">
        <v>42</v>
      </c>
      <c r="C327" s="134" t="s">
        <v>1282</v>
      </c>
      <c r="D327" s="134" t="s">
        <v>1283</v>
      </c>
      <c r="E327" s="134" t="s">
        <v>1284</v>
      </c>
      <c r="F327" s="134"/>
      <c r="G327" s="144" t="s">
        <v>131</v>
      </c>
      <c r="H327" s="139" t="s">
        <v>47</v>
      </c>
      <c r="I327" s="139" t="s">
        <v>569</v>
      </c>
      <c r="J327" s="135">
        <v>46069</v>
      </c>
      <c r="K327" s="138" t="s">
        <v>2632</v>
      </c>
    </row>
    <row r="328" spans="1:24" ht="27.75" customHeight="1" x14ac:dyDescent="0.2">
      <c r="A328" s="130">
        <v>327</v>
      </c>
      <c r="B328" s="131" t="s">
        <v>528</v>
      </c>
      <c r="C328" s="134" t="s">
        <v>740</v>
      </c>
      <c r="D328" s="134" t="s">
        <v>2148</v>
      </c>
      <c r="E328" s="134" t="s">
        <v>1274</v>
      </c>
      <c r="F328" s="134"/>
      <c r="G328" s="130" t="s">
        <v>2149</v>
      </c>
      <c r="H328" s="130" t="s">
        <v>401</v>
      </c>
      <c r="I328" s="130" t="s">
        <v>182</v>
      </c>
      <c r="J328" s="135">
        <v>40210</v>
      </c>
      <c r="K328" s="130" t="s">
        <v>2150</v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24.75" customHeight="1" x14ac:dyDescent="0.2">
      <c r="A329" s="130">
        <v>328</v>
      </c>
      <c r="B329" s="131" t="s">
        <v>134</v>
      </c>
      <c r="C329" s="142" t="s">
        <v>111</v>
      </c>
      <c r="D329" s="142" t="s">
        <v>2423</v>
      </c>
      <c r="E329" s="142" t="s">
        <v>1274</v>
      </c>
      <c r="F329" s="142"/>
      <c r="G329" s="130" t="s">
        <v>368</v>
      </c>
      <c r="H329" s="130" t="s">
        <v>47</v>
      </c>
      <c r="I329" s="130" t="s">
        <v>30</v>
      </c>
      <c r="J329" s="135">
        <v>43759</v>
      </c>
      <c r="K329" s="130" t="s">
        <v>2424</v>
      </c>
    </row>
    <row r="330" spans="1:24" ht="50.25" customHeight="1" x14ac:dyDescent="0.2">
      <c r="A330" s="130">
        <v>329</v>
      </c>
      <c r="B330" s="131" t="s">
        <v>32</v>
      </c>
      <c r="C330" s="134" t="s">
        <v>1900</v>
      </c>
      <c r="D330" s="134" t="s">
        <v>1901</v>
      </c>
      <c r="E330" s="134" t="s">
        <v>1902</v>
      </c>
      <c r="F330" s="137"/>
      <c r="G330" s="130" t="s">
        <v>131</v>
      </c>
      <c r="H330" s="130" t="s">
        <v>47</v>
      </c>
      <c r="I330" s="130" t="s">
        <v>36</v>
      </c>
      <c r="J330" s="135">
        <v>44879</v>
      </c>
      <c r="K330" s="130" t="s">
        <v>1904</v>
      </c>
    </row>
    <row r="331" spans="1:24" ht="29.25" customHeight="1" x14ac:dyDescent="0.2">
      <c r="A331" s="130">
        <v>330</v>
      </c>
      <c r="B331" s="131" t="s">
        <v>32</v>
      </c>
      <c r="C331" s="134" t="s">
        <v>1974</v>
      </c>
      <c r="D331" s="134" t="s">
        <v>2068</v>
      </c>
      <c r="E331" s="134" t="s">
        <v>2069</v>
      </c>
      <c r="F331" s="134"/>
      <c r="G331" s="130" t="s">
        <v>28</v>
      </c>
      <c r="H331" s="130" t="s">
        <v>29</v>
      </c>
      <c r="I331" s="130" t="s">
        <v>36</v>
      </c>
      <c r="J331" s="135">
        <v>44922</v>
      </c>
      <c r="K331" s="130" t="s">
        <v>2070</v>
      </c>
    </row>
    <row r="332" spans="1:24" ht="23.25" customHeight="1" x14ac:dyDescent="0.2">
      <c r="A332" s="130">
        <v>331</v>
      </c>
      <c r="B332" s="131" t="s">
        <v>127</v>
      </c>
      <c r="C332" s="142" t="s">
        <v>1974</v>
      </c>
      <c r="D332" s="142" t="s">
        <v>654</v>
      </c>
      <c r="E332" s="142" t="s">
        <v>1976</v>
      </c>
      <c r="F332" s="142" t="s">
        <v>181</v>
      </c>
      <c r="G332" s="136" t="s">
        <v>131</v>
      </c>
      <c r="H332" s="136" t="s">
        <v>205</v>
      </c>
      <c r="I332" s="130" t="s">
        <v>132</v>
      </c>
      <c r="J332" s="135">
        <v>44504</v>
      </c>
      <c r="K332" s="130" t="s">
        <v>1165</v>
      </c>
    </row>
    <row r="333" spans="1:24" ht="23.25" customHeight="1" x14ac:dyDescent="0.2">
      <c r="A333" s="130">
        <v>332</v>
      </c>
      <c r="B333" s="131" t="s">
        <v>376</v>
      </c>
      <c r="C333" s="134" t="s">
        <v>1785</v>
      </c>
      <c r="D333" s="134" t="s">
        <v>64</v>
      </c>
      <c r="E333" s="134" t="s">
        <v>2115</v>
      </c>
      <c r="F333" s="137"/>
      <c r="G333" s="130" t="s">
        <v>131</v>
      </c>
      <c r="H333" s="130" t="s">
        <v>47</v>
      </c>
      <c r="I333" s="130" t="s">
        <v>206</v>
      </c>
      <c r="J333" s="135">
        <v>44890</v>
      </c>
      <c r="K333" s="138" t="s">
        <v>2670</v>
      </c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24.75" customHeight="1" x14ac:dyDescent="0.2">
      <c r="A334" s="130">
        <v>333</v>
      </c>
      <c r="B334" s="131" t="s">
        <v>134</v>
      </c>
      <c r="C334" s="142" t="s">
        <v>345</v>
      </c>
      <c r="D334" s="142" t="s">
        <v>346</v>
      </c>
      <c r="E334" s="142" t="s">
        <v>347</v>
      </c>
      <c r="F334" s="142"/>
      <c r="G334" s="130" t="s">
        <v>131</v>
      </c>
      <c r="H334" s="130" t="s">
        <v>47</v>
      </c>
      <c r="I334" s="130" t="s">
        <v>30</v>
      </c>
      <c r="J334" s="135">
        <v>43759</v>
      </c>
      <c r="K334" s="136" t="s">
        <v>352</v>
      </c>
    </row>
    <row r="335" spans="1:24" ht="25.5" customHeight="1" x14ac:dyDescent="0.2">
      <c r="A335" s="130">
        <v>334</v>
      </c>
      <c r="B335" s="131" t="s">
        <v>42</v>
      </c>
      <c r="C335" s="134" t="s">
        <v>1285</v>
      </c>
      <c r="D335" s="134" t="s">
        <v>1286</v>
      </c>
      <c r="E335" s="134" t="s">
        <v>1287</v>
      </c>
      <c r="F335" s="134"/>
      <c r="G335" s="136" t="s">
        <v>2517</v>
      </c>
      <c r="H335" s="144" t="s">
        <v>47</v>
      </c>
      <c r="I335" s="144" t="s">
        <v>90</v>
      </c>
      <c r="J335" s="135">
        <v>41911</v>
      </c>
      <c r="K335" s="138" t="s">
        <v>2518</v>
      </c>
    </row>
    <row r="336" spans="1:24" ht="24.75" customHeight="1" x14ac:dyDescent="0.2">
      <c r="A336" s="130">
        <v>335</v>
      </c>
      <c r="B336" s="131" t="s">
        <v>42</v>
      </c>
      <c r="C336" s="134" t="s">
        <v>479</v>
      </c>
      <c r="D336" s="134" t="s">
        <v>480</v>
      </c>
      <c r="E336" s="134" t="s">
        <v>481</v>
      </c>
      <c r="F336" s="134"/>
      <c r="G336" s="130" t="s">
        <v>120</v>
      </c>
      <c r="H336" s="136" t="s">
        <v>484</v>
      </c>
      <c r="I336" s="130" t="s">
        <v>90</v>
      </c>
      <c r="J336" s="135">
        <v>40962</v>
      </c>
      <c r="K336" s="136" t="s">
        <v>486</v>
      </c>
      <c r="L336" s="128" t="s">
        <v>3786</v>
      </c>
    </row>
    <row r="337" spans="1:24" ht="27.75" customHeight="1" x14ac:dyDescent="0.2">
      <c r="A337" s="130">
        <v>336</v>
      </c>
      <c r="B337" s="131" t="s">
        <v>62</v>
      </c>
      <c r="C337" s="134" t="s">
        <v>2050</v>
      </c>
      <c r="D337" s="134" t="s">
        <v>2051</v>
      </c>
      <c r="E337" s="134" t="s">
        <v>2052</v>
      </c>
      <c r="F337" s="134"/>
      <c r="G337" s="130" t="s">
        <v>66</v>
      </c>
      <c r="H337" s="130" t="s">
        <v>89</v>
      </c>
      <c r="I337" s="130" t="s">
        <v>21</v>
      </c>
      <c r="J337" s="135">
        <v>37971</v>
      </c>
      <c r="K337" s="130" t="s">
        <v>2054</v>
      </c>
    </row>
    <row r="338" spans="1:24" ht="27" customHeight="1" x14ac:dyDescent="0.2">
      <c r="A338" s="130">
        <v>337</v>
      </c>
      <c r="B338" s="131" t="s">
        <v>42</v>
      </c>
      <c r="C338" s="134" t="s">
        <v>50</v>
      </c>
      <c r="D338" s="134" t="s">
        <v>51</v>
      </c>
      <c r="E338" s="134" t="s">
        <v>52</v>
      </c>
      <c r="F338" s="134"/>
      <c r="G338" s="138" t="s">
        <v>53</v>
      </c>
      <c r="H338" s="138" t="s">
        <v>47</v>
      </c>
      <c r="I338" s="139" t="s">
        <v>54</v>
      </c>
      <c r="J338" s="135">
        <v>42835</v>
      </c>
      <c r="K338" s="130" t="s">
        <v>55</v>
      </c>
    </row>
    <row r="339" spans="1:24" ht="22.5" customHeight="1" x14ac:dyDescent="0.2">
      <c r="A339" s="130">
        <v>338</v>
      </c>
      <c r="B339" s="131" t="s">
        <v>32</v>
      </c>
      <c r="C339" s="142" t="s">
        <v>2036</v>
      </c>
      <c r="D339" s="142" t="s">
        <v>2037</v>
      </c>
      <c r="E339" s="142" t="s">
        <v>2038</v>
      </c>
      <c r="F339" s="134"/>
      <c r="G339" s="130" t="s">
        <v>131</v>
      </c>
      <c r="H339" s="130" t="s">
        <v>2039</v>
      </c>
      <c r="I339" s="130" t="s">
        <v>30</v>
      </c>
      <c r="J339" s="135">
        <v>43759</v>
      </c>
      <c r="K339" s="130" t="s">
        <v>2040</v>
      </c>
    </row>
    <row r="340" spans="1:24" ht="27.75" customHeight="1" x14ac:dyDescent="0.2">
      <c r="A340" s="130">
        <v>339</v>
      </c>
      <c r="B340" s="131" t="s">
        <v>32</v>
      </c>
      <c r="C340" s="134" t="s">
        <v>2451</v>
      </c>
      <c r="D340" s="134" t="s">
        <v>1578</v>
      </c>
      <c r="E340" s="134" t="s">
        <v>2452</v>
      </c>
      <c r="F340" s="134"/>
      <c r="G340" s="130" t="s">
        <v>131</v>
      </c>
      <c r="H340" s="130" t="s">
        <v>385</v>
      </c>
      <c r="I340" s="130" t="s">
        <v>36</v>
      </c>
      <c r="J340" s="135">
        <v>44922</v>
      </c>
      <c r="K340" s="130" t="s">
        <v>2453</v>
      </c>
    </row>
    <row r="341" spans="1:24" ht="24.75" customHeight="1" x14ac:dyDescent="0.2">
      <c r="A341" s="130">
        <v>340</v>
      </c>
      <c r="B341" s="134" t="s">
        <v>32</v>
      </c>
      <c r="C341" s="131" t="s">
        <v>3769</v>
      </c>
      <c r="D341" s="131" t="s">
        <v>1922</v>
      </c>
      <c r="E341" s="131" t="s">
        <v>1189</v>
      </c>
      <c r="F341" s="131"/>
      <c r="G341" s="130" t="s">
        <v>131</v>
      </c>
      <c r="H341" s="130" t="s">
        <v>47</v>
      </c>
      <c r="I341" s="130" t="s">
        <v>90</v>
      </c>
      <c r="J341" s="135">
        <v>46281</v>
      </c>
      <c r="K341" s="130">
        <v>9682300737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22.5" customHeight="1" x14ac:dyDescent="0.2">
      <c r="A342" s="130">
        <v>341</v>
      </c>
      <c r="B342" s="131" t="s">
        <v>127</v>
      </c>
      <c r="C342" s="142" t="s">
        <v>1696</v>
      </c>
      <c r="D342" s="142" t="s">
        <v>1697</v>
      </c>
      <c r="E342" s="142" t="s">
        <v>1699</v>
      </c>
      <c r="F342" s="142"/>
      <c r="G342" s="136" t="s">
        <v>131</v>
      </c>
      <c r="H342" s="136" t="s">
        <v>47</v>
      </c>
      <c r="I342" s="130" t="s">
        <v>132</v>
      </c>
      <c r="J342" s="135">
        <v>44455</v>
      </c>
      <c r="K342" s="130" t="s">
        <v>1705</v>
      </c>
    </row>
    <row r="343" spans="1:24" ht="23.25" customHeight="1" x14ac:dyDescent="0.2">
      <c r="A343" s="130">
        <v>342</v>
      </c>
      <c r="B343" s="131" t="s">
        <v>32</v>
      </c>
      <c r="C343" s="134" t="s">
        <v>852</v>
      </c>
      <c r="D343" s="134" t="s">
        <v>16</v>
      </c>
      <c r="E343" s="134" t="s">
        <v>855</v>
      </c>
      <c r="F343" s="134" t="s">
        <v>181</v>
      </c>
      <c r="G343" s="130" t="s">
        <v>131</v>
      </c>
      <c r="H343" s="130" t="s">
        <v>212</v>
      </c>
      <c r="I343" s="130" t="s">
        <v>36</v>
      </c>
      <c r="J343" s="135">
        <v>44900</v>
      </c>
      <c r="K343" s="130" t="s">
        <v>860</v>
      </c>
    </row>
    <row r="344" spans="1:24" ht="26.25" customHeight="1" x14ac:dyDescent="0.2">
      <c r="A344" s="130">
        <v>343</v>
      </c>
      <c r="B344" s="131" t="s">
        <v>42</v>
      </c>
      <c r="C344" s="134" t="s">
        <v>235</v>
      </c>
      <c r="D344" s="134" t="s">
        <v>236</v>
      </c>
      <c r="E344" s="134" t="s">
        <v>237</v>
      </c>
      <c r="F344" s="134"/>
      <c r="G344" s="130" t="s">
        <v>239</v>
      </c>
      <c r="H344" s="130" t="s">
        <v>168</v>
      </c>
      <c r="I344" s="130" t="s">
        <v>54</v>
      </c>
      <c r="J344" s="135">
        <v>43438</v>
      </c>
      <c r="K344" s="138" t="s">
        <v>240</v>
      </c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28.5" customHeight="1" x14ac:dyDescent="0.2">
      <c r="A345" s="130">
        <v>344</v>
      </c>
      <c r="B345" s="131" t="s">
        <v>127</v>
      </c>
      <c r="C345" s="142" t="s">
        <v>1301</v>
      </c>
      <c r="D345" s="142" t="s">
        <v>1302</v>
      </c>
      <c r="E345" s="142" t="s">
        <v>315</v>
      </c>
      <c r="F345" s="134"/>
      <c r="G345" s="136" t="s">
        <v>239</v>
      </c>
      <c r="H345" s="136" t="s">
        <v>47</v>
      </c>
      <c r="I345" s="130" t="s">
        <v>132</v>
      </c>
      <c r="J345" s="135">
        <v>44504</v>
      </c>
      <c r="K345" s="130" t="s">
        <v>1304</v>
      </c>
    </row>
    <row r="346" spans="1:24" ht="24.75" customHeight="1" x14ac:dyDescent="0.2">
      <c r="A346" s="130">
        <v>345</v>
      </c>
      <c r="B346" s="131" t="s">
        <v>42</v>
      </c>
      <c r="C346" s="134" t="s">
        <v>1299</v>
      </c>
      <c r="D346" s="134" t="s">
        <v>1300</v>
      </c>
      <c r="E346" s="134" t="s">
        <v>472</v>
      </c>
      <c r="F346" s="134"/>
      <c r="G346" s="130" t="s">
        <v>2149</v>
      </c>
      <c r="H346" s="130" t="s">
        <v>168</v>
      </c>
      <c r="I346" s="139" t="s">
        <v>637</v>
      </c>
      <c r="J346" s="135">
        <v>40830</v>
      </c>
      <c r="K346" s="138" t="s">
        <v>2735</v>
      </c>
    </row>
    <row r="347" spans="1:24" ht="22.5" customHeight="1" x14ac:dyDescent="0.2">
      <c r="A347" s="130">
        <v>346</v>
      </c>
      <c r="B347" s="131" t="s">
        <v>42</v>
      </c>
      <c r="C347" s="134" t="s">
        <v>756</v>
      </c>
      <c r="D347" s="134" t="s">
        <v>757</v>
      </c>
      <c r="E347" s="134" t="s">
        <v>759</v>
      </c>
      <c r="F347" s="134"/>
      <c r="G347" s="130" t="s">
        <v>760</v>
      </c>
      <c r="H347" s="136" t="s">
        <v>484</v>
      </c>
      <c r="I347" s="157" t="s">
        <v>761</v>
      </c>
      <c r="J347" s="135">
        <v>36634</v>
      </c>
      <c r="K347" s="130" t="s">
        <v>763</v>
      </c>
    </row>
    <row r="348" spans="1:24" ht="27.75" customHeight="1" x14ac:dyDescent="0.2">
      <c r="A348" s="130">
        <v>347</v>
      </c>
      <c r="B348" s="131" t="s">
        <v>127</v>
      </c>
      <c r="C348" s="134" t="s">
        <v>620</v>
      </c>
      <c r="D348" s="134" t="s">
        <v>622</v>
      </c>
      <c r="E348" s="134" t="s">
        <v>623</v>
      </c>
      <c r="F348" s="134"/>
      <c r="G348" s="130" t="s">
        <v>131</v>
      </c>
      <c r="H348" s="138" t="s">
        <v>47</v>
      </c>
      <c r="I348" s="158" t="s">
        <v>206</v>
      </c>
      <c r="J348" s="135">
        <v>43542</v>
      </c>
      <c r="K348" s="130" t="s">
        <v>624</v>
      </c>
    </row>
    <row r="349" spans="1:24" ht="24.75" customHeight="1" x14ac:dyDescent="0.2">
      <c r="A349" s="130">
        <v>348</v>
      </c>
      <c r="B349" s="131" t="s">
        <v>127</v>
      </c>
      <c r="C349" s="142" t="s">
        <v>1161</v>
      </c>
      <c r="D349" s="142" t="s">
        <v>1162</v>
      </c>
      <c r="E349" s="142" t="s">
        <v>1163</v>
      </c>
      <c r="F349" s="134"/>
      <c r="G349" s="136" t="s">
        <v>131</v>
      </c>
      <c r="H349" s="136" t="s">
        <v>96</v>
      </c>
      <c r="I349" s="130" t="s">
        <v>132</v>
      </c>
      <c r="J349" s="135">
        <v>44504</v>
      </c>
      <c r="K349" s="130" t="s">
        <v>1165</v>
      </c>
    </row>
    <row r="350" spans="1:24" ht="25.5" customHeight="1" x14ac:dyDescent="0.2">
      <c r="A350" s="130">
        <v>349</v>
      </c>
      <c r="B350" s="131" t="s">
        <v>42</v>
      </c>
      <c r="C350" s="134" t="s">
        <v>1309</v>
      </c>
      <c r="D350" s="134" t="s">
        <v>924</v>
      </c>
      <c r="E350" s="134" t="s">
        <v>1313</v>
      </c>
      <c r="F350" s="134"/>
      <c r="G350" s="138" t="s">
        <v>239</v>
      </c>
      <c r="H350" s="138" t="s">
        <v>47</v>
      </c>
      <c r="I350" s="130" t="s">
        <v>2519</v>
      </c>
      <c r="J350" s="135">
        <v>39485</v>
      </c>
      <c r="K350" s="138" t="s">
        <v>2520</v>
      </c>
    </row>
    <row r="351" spans="1:24" ht="26.25" customHeight="1" x14ac:dyDescent="0.2">
      <c r="A351" s="130">
        <v>350</v>
      </c>
      <c r="B351" s="131" t="s">
        <v>42</v>
      </c>
      <c r="C351" s="134" t="s">
        <v>1359</v>
      </c>
      <c r="D351" s="134" t="s">
        <v>1311</v>
      </c>
      <c r="E351" s="134" t="s">
        <v>1312</v>
      </c>
      <c r="F351" s="134"/>
      <c r="G351" s="138" t="s">
        <v>239</v>
      </c>
      <c r="H351" s="138" t="s">
        <v>47</v>
      </c>
      <c r="I351" s="136" t="s">
        <v>1360</v>
      </c>
      <c r="J351" s="135">
        <v>38565</v>
      </c>
      <c r="K351" s="130" t="s">
        <v>1361</v>
      </c>
    </row>
    <row r="352" spans="1:24" ht="22.5" customHeight="1" x14ac:dyDescent="0.2">
      <c r="A352" s="130">
        <v>351</v>
      </c>
      <c r="B352" s="131" t="s">
        <v>42</v>
      </c>
      <c r="C352" s="134" t="s">
        <v>506</v>
      </c>
      <c r="D352" s="134" t="s">
        <v>508</v>
      </c>
      <c r="E352" s="134" t="s">
        <v>509</v>
      </c>
      <c r="F352" s="134"/>
      <c r="G352" s="153" t="s">
        <v>510</v>
      </c>
      <c r="H352" s="153" t="s">
        <v>47</v>
      </c>
      <c r="I352" s="153" t="s">
        <v>90</v>
      </c>
      <c r="J352" s="153">
        <v>46069</v>
      </c>
      <c r="K352" s="152" t="s">
        <v>511</v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23.25" customHeight="1" x14ac:dyDescent="0.2">
      <c r="A353" s="130">
        <v>352</v>
      </c>
      <c r="B353" s="131" t="s">
        <v>376</v>
      </c>
      <c r="C353" s="134" t="s">
        <v>1307</v>
      </c>
      <c r="D353" s="134" t="s">
        <v>1308</v>
      </c>
      <c r="E353" s="134" t="s">
        <v>194</v>
      </c>
      <c r="F353" s="137"/>
      <c r="G353" s="130" t="s">
        <v>131</v>
      </c>
      <c r="H353" s="130" t="s">
        <v>47</v>
      </c>
      <c r="I353" s="130" t="s">
        <v>132</v>
      </c>
      <c r="J353" s="135">
        <v>44890</v>
      </c>
      <c r="K353" s="138" t="s">
        <v>1310</v>
      </c>
    </row>
    <row r="354" spans="1:24" ht="22.5" customHeight="1" x14ac:dyDescent="0.2">
      <c r="A354" s="130">
        <v>353</v>
      </c>
      <c r="B354" s="131" t="s">
        <v>42</v>
      </c>
      <c r="C354" s="134" t="s">
        <v>1316</v>
      </c>
      <c r="D354" s="134" t="s">
        <v>1317</v>
      </c>
      <c r="E354" s="134" t="s">
        <v>1318</v>
      </c>
      <c r="F354" s="134"/>
      <c r="G354" s="138" t="s">
        <v>131</v>
      </c>
      <c r="H354" s="138" t="s">
        <v>47</v>
      </c>
      <c r="I354" s="139" t="s">
        <v>54</v>
      </c>
      <c r="J354" s="135">
        <v>45155</v>
      </c>
      <c r="K354" s="130" t="s">
        <v>2440</v>
      </c>
    </row>
    <row r="355" spans="1:24" ht="22.5" customHeight="1" x14ac:dyDescent="0.2">
      <c r="A355" s="130">
        <v>354</v>
      </c>
      <c r="B355" s="131" t="s">
        <v>42</v>
      </c>
      <c r="C355" s="134" t="s">
        <v>1326</v>
      </c>
      <c r="D355" s="134" t="s">
        <v>1331</v>
      </c>
      <c r="E355" s="134" t="s">
        <v>1332</v>
      </c>
      <c r="F355" s="134"/>
      <c r="G355" s="138" t="s">
        <v>2338</v>
      </c>
      <c r="H355" s="130" t="s">
        <v>47</v>
      </c>
      <c r="I355" s="130" t="s">
        <v>90</v>
      </c>
      <c r="J355" s="132">
        <v>46106</v>
      </c>
      <c r="K355" s="138" t="s">
        <v>2339</v>
      </c>
    </row>
    <row r="356" spans="1:24" ht="24.75" customHeight="1" x14ac:dyDescent="0.2">
      <c r="A356" s="130">
        <v>355</v>
      </c>
      <c r="B356" s="131" t="s">
        <v>42</v>
      </c>
      <c r="C356" s="134" t="s">
        <v>1326</v>
      </c>
      <c r="D356" s="134" t="s">
        <v>1328</v>
      </c>
      <c r="E356" s="134" t="s">
        <v>942</v>
      </c>
      <c r="F356" s="134"/>
      <c r="G356" s="143" t="s">
        <v>2633</v>
      </c>
      <c r="H356" s="138" t="s">
        <v>2634</v>
      </c>
      <c r="I356" s="156" t="s">
        <v>2635</v>
      </c>
      <c r="J356" s="135">
        <v>40626</v>
      </c>
      <c r="K356" s="138" t="s">
        <v>2636</v>
      </c>
    </row>
    <row r="357" spans="1:24" ht="27" customHeight="1" x14ac:dyDescent="0.2">
      <c r="A357" s="130">
        <v>356</v>
      </c>
      <c r="B357" s="131" t="s">
        <v>32</v>
      </c>
      <c r="C357" s="134" t="s">
        <v>294</v>
      </c>
      <c r="D357" s="134" t="s">
        <v>295</v>
      </c>
      <c r="E357" s="134" t="s">
        <v>226</v>
      </c>
      <c r="F357" s="134"/>
      <c r="G357" s="136" t="s">
        <v>28</v>
      </c>
      <c r="H357" s="130" t="s">
        <v>29</v>
      </c>
      <c r="I357" s="130" t="s">
        <v>30</v>
      </c>
      <c r="J357" s="135">
        <v>44922</v>
      </c>
      <c r="K357" s="136" t="s">
        <v>296</v>
      </c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22.5" customHeight="1" x14ac:dyDescent="0.2">
      <c r="A358" s="130">
        <v>357</v>
      </c>
      <c r="B358" s="131" t="s">
        <v>32</v>
      </c>
      <c r="C358" s="134" t="s">
        <v>1454</v>
      </c>
      <c r="D358" s="134" t="s">
        <v>1136</v>
      </c>
      <c r="E358" s="134" t="s">
        <v>1455</v>
      </c>
      <c r="F358" s="134"/>
      <c r="G358" s="130" t="s">
        <v>28</v>
      </c>
      <c r="H358" s="130" t="s">
        <v>29</v>
      </c>
      <c r="I358" s="130" t="s">
        <v>36</v>
      </c>
      <c r="J358" s="135">
        <v>44922</v>
      </c>
      <c r="K358" s="130" t="s">
        <v>1456</v>
      </c>
    </row>
    <row r="359" spans="1:24" ht="24.75" customHeight="1" x14ac:dyDescent="0.2">
      <c r="A359" s="130">
        <v>358</v>
      </c>
      <c r="B359" s="131" t="s">
        <v>42</v>
      </c>
      <c r="C359" s="134" t="s">
        <v>1335</v>
      </c>
      <c r="D359" s="134" t="s">
        <v>1336</v>
      </c>
      <c r="E359" s="134" t="s">
        <v>1337</v>
      </c>
      <c r="F359" s="134"/>
      <c r="G359" s="130" t="s">
        <v>368</v>
      </c>
      <c r="H359" s="130" t="s">
        <v>168</v>
      </c>
      <c r="I359" s="139" t="s">
        <v>2413</v>
      </c>
      <c r="J359" s="135">
        <v>43140</v>
      </c>
      <c r="K359" s="130" t="s">
        <v>2414</v>
      </c>
    </row>
    <row r="360" spans="1:24" ht="24.75" customHeight="1" x14ac:dyDescent="0.2">
      <c r="A360" s="130">
        <v>359</v>
      </c>
      <c r="B360" s="131" t="s">
        <v>32</v>
      </c>
      <c r="C360" s="134" t="s">
        <v>732</v>
      </c>
      <c r="D360" s="134" t="s">
        <v>733</v>
      </c>
      <c r="E360" s="134" t="s">
        <v>734</v>
      </c>
      <c r="F360" s="134"/>
      <c r="G360" s="130" t="s">
        <v>28</v>
      </c>
      <c r="H360" s="130" t="s">
        <v>29</v>
      </c>
      <c r="I360" s="130" t="s">
        <v>36</v>
      </c>
      <c r="J360" s="135">
        <v>44922</v>
      </c>
      <c r="K360" s="130" t="s">
        <v>737</v>
      </c>
    </row>
    <row r="361" spans="1:24" ht="23.25" customHeight="1" x14ac:dyDescent="0.2">
      <c r="A361" s="130">
        <v>360</v>
      </c>
      <c r="B361" s="131" t="s">
        <v>32</v>
      </c>
      <c r="C361" s="134" t="s">
        <v>2637</v>
      </c>
      <c r="D361" s="134" t="s">
        <v>1835</v>
      </c>
      <c r="E361" s="134" t="s">
        <v>2638</v>
      </c>
      <c r="F361" s="134"/>
      <c r="G361" s="130" t="s">
        <v>131</v>
      </c>
      <c r="H361" s="130" t="s">
        <v>212</v>
      </c>
      <c r="I361" s="130" t="s">
        <v>36</v>
      </c>
      <c r="J361" s="135">
        <v>44900</v>
      </c>
      <c r="K361" s="130" t="s">
        <v>2639</v>
      </c>
    </row>
    <row r="362" spans="1:24" ht="23.25" customHeight="1" x14ac:dyDescent="0.2">
      <c r="A362" s="130">
        <v>361</v>
      </c>
      <c r="B362" s="131" t="s">
        <v>69</v>
      </c>
      <c r="C362" s="134" t="s">
        <v>60</v>
      </c>
      <c r="D362" s="134" t="s">
        <v>1922</v>
      </c>
      <c r="E362" s="134" t="s">
        <v>2568</v>
      </c>
      <c r="F362" s="134"/>
      <c r="G362" s="130" t="s">
        <v>131</v>
      </c>
      <c r="H362" s="130" t="s">
        <v>47</v>
      </c>
      <c r="I362" s="130" t="s">
        <v>30</v>
      </c>
      <c r="J362" s="135">
        <v>42002</v>
      </c>
      <c r="K362" s="148" t="s">
        <v>2569</v>
      </c>
    </row>
    <row r="363" spans="1:24" ht="27" customHeight="1" x14ac:dyDescent="0.2">
      <c r="A363" s="130">
        <v>362</v>
      </c>
      <c r="B363" s="131" t="s">
        <v>62</v>
      </c>
      <c r="C363" s="142" t="s">
        <v>1871</v>
      </c>
      <c r="D363" s="142" t="s">
        <v>1872</v>
      </c>
      <c r="E363" s="142" t="s">
        <v>404</v>
      </c>
      <c r="F363" s="142"/>
      <c r="G363" s="136" t="s">
        <v>2352</v>
      </c>
      <c r="H363" s="136" t="s">
        <v>2353</v>
      </c>
      <c r="I363" s="130" t="s">
        <v>327</v>
      </c>
      <c r="J363" s="135">
        <v>37830</v>
      </c>
      <c r="K363" s="130" t="s">
        <v>1875</v>
      </c>
    </row>
    <row r="364" spans="1:24" ht="22.5" customHeight="1" x14ac:dyDescent="0.2">
      <c r="A364" s="130">
        <v>363</v>
      </c>
      <c r="B364" s="131" t="s">
        <v>397</v>
      </c>
      <c r="C364" s="134" t="s">
        <v>398</v>
      </c>
      <c r="D364" s="134" t="s">
        <v>399</v>
      </c>
      <c r="E364" s="134" t="s">
        <v>400</v>
      </c>
      <c r="F364" s="134"/>
      <c r="G364" s="130" t="s">
        <v>239</v>
      </c>
      <c r="H364" s="130" t="s">
        <v>401</v>
      </c>
      <c r="I364" s="130" t="s">
        <v>311</v>
      </c>
      <c r="J364" s="135">
        <v>38889</v>
      </c>
      <c r="K364" s="130" t="s">
        <v>403</v>
      </c>
    </row>
    <row r="365" spans="1:24" ht="24.75" customHeight="1" x14ac:dyDescent="0.2">
      <c r="A365" s="130">
        <v>364</v>
      </c>
      <c r="B365" s="131" t="s">
        <v>32</v>
      </c>
      <c r="C365" s="142" t="s">
        <v>2713</v>
      </c>
      <c r="D365" s="142" t="s">
        <v>2714</v>
      </c>
      <c r="E365" s="142" t="s">
        <v>2715</v>
      </c>
      <c r="F365" s="134"/>
      <c r="G365" s="130" t="s">
        <v>131</v>
      </c>
      <c r="H365" s="130" t="s">
        <v>47</v>
      </c>
      <c r="I365" s="139" t="s">
        <v>30</v>
      </c>
      <c r="J365" s="135">
        <v>43759</v>
      </c>
      <c r="K365" s="138" t="s">
        <v>2716</v>
      </c>
    </row>
    <row r="366" spans="1:24" ht="23.25" customHeight="1" x14ac:dyDescent="0.2">
      <c r="A366" s="130">
        <v>365</v>
      </c>
      <c r="B366" s="131" t="s">
        <v>42</v>
      </c>
      <c r="C366" s="134" t="s">
        <v>1338</v>
      </c>
      <c r="D366" s="134" t="s">
        <v>421</v>
      </c>
      <c r="E366" s="134" t="s">
        <v>1339</v>
      </c>
      <c r="F366" s="134"/>
      <c r="G366" s="136" t="s">
        <v>221</v>
      </c>
      <c r="H366" s="130" t="s">
        <v>168</v>
      </c>
      <c r="I366" s="130" t="s">
        <v>569</v>
      </c>
      <c r="J366" s="135">
        <v>43472</v>
      </c>
      <c r="K366" s="138" t="s">
        <v>2640</v>
      </c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 spans="1:24" ht="30" customHeight="1" x14ac:dyDescent="0.2">
      <c r="A367" s="130">
        <v>366</v>
      </c>
      <c r="B367" s="131" t="s">
        <v>42</v>
      </c>
      <c r="C367" s="142" t="s">
        <v>1342</v>
      </c>
      <c r="D367" s="131" t="s">
        <v>93</v>
      </c>
      <c r="E367" s="131" t="s">
        <v>94</v>
      </c>
      <c r="F367" s="142"/>
      <c r="G367" s="136" t="s">
        <v>95</v>
      </c>
      <c r="H367" s="130" t="s">
        <v>96</v>
      </c>
      <c r="I367" s="130" t="s">
        <v>90</v>
      </c>
      <c r="J367" s="135">
        <v>46239</v>
      </c>
      <c r="K367" s="130">
        <v>9322639563</v>
      </c>
    </row>
    <row r="368" spans="1:24" ht="42" customHeight="1" x14ac:dyDescent="0.2">
      <c r="A368" s="130">
        <v>367</v>
      </c>
      <c r="B368" s="131" t="s">
        <v>134</v>
      </c>
      <c r="C368" s="134" t="s">
        <v>2115</v>
      </c>
      <c r="D368" s="134" t="s">
        <v>2116</v>
      </c>
      <c r="E368" s="134" t="s">
        <v>2117</v>
      </c>
      <c r="F368" s="134"/>
      <c r="G368" s="130" t="s">
        <v>131</v>
      </c>
      <c r="H368" s="130" t="s">
        <v>75</v>
      </c>
      <c r="I368" s="130" t="s">
        <v>30</v>
      </c>
      <c r="J368" s="135">
        <v>42994</v>
      </c>
      <c r="K368" s="130" t="s">
        <v>2118</v>
      </c>
    </row>
    <row r="369" spans="1:24" ht="33" customHeight="1" x14ac:dyDescent="0.2">
      <c r="A369" s="130">
        <v>368</v>
      </c>
      <c r="B369" s="131" t="s">
        <v>127</v>
      </c>
      <c r="C369" s="142" t="s">
        <v>1993</v>
      </c>
      <c r="D369" s="142" t="s">
        <v>288</v>
      </c>
      <c r="E369" s="142" t="s">
        <v>1994</v>
      </c>
      <c r="F369" s="142"/>
      <c r="G369" s="136" t="s">
        <v>291</v>
      </c>
      <c r="H369" s="136" t="s">
        <v>205</v>
      </c>
      <c r="I369" s="130" t="s">
        <v>132</v>
      </c>
      <c r="J369" s="135">
        <v>44455</v>
      </c>
      <c r="K369" s="130" t="s">
        <v>1998</v>
      </c>
    </row>
    <row r="370" spans="1:24" ht="27.75" customHeight="1" x14ac:dyDescent="0.2">
      <c r="A370" s="130">
        <v>369</v>
      </c>
      <c r="B370" s="131" t="s">
        <v>42</v>
      </c>
      <c r="C370" s="134" t="s">
        <v>1347</v>
      </c>
      <c r="D370" s="134" t="s">
        <v>1348</v>
      </c>
      <c r="E370" s="134" t="s">
        <v>1349</v>
      </c>
      <c r="F370" s="134"/>
      <c r="G370" s="138" t="s">
        <v>829</v>
      </c>
      <c r="H370" s="138" t="s">
        <v>47</v>
      </c>
      <c r="I370" s="130" t="s">
        <v>2521</v>
      </c>
      <c r="J370" s="135">
        <v>42835</v>
      </c>
      <c r="K370" s="138" t="s">
        <v>2522</v>
      </c>
    </row>
    <row r="371" spans="1:24" ht="24.75" customHeight="1" x14ac:dyDescent="0.2">
      <c r="A371" s="130">
        <v>370</v>
      </c>
      <c r="B371" s="131" t="s">
        <v>42</v>
      </c>
      <c r="C371" s="134" t="s">
        <v>1352</v>
      </c>
      <c r="D371" s="134" t="s">
        <v>1353</v>
      </c>
      <c r="E371" s="134" t="s">
        <v>1354</v>
      </c>
      <c r="F371" s="134"/>
      <c r="G371" s="144" t="s">
        <v>2149</v>
      </c>
      <c r="H371" s="144" t="s">
        <v>47</v>
      </c>
      <c r="I371" s="139" t="s">
        <v>2280</v>
      </c>
      <c r="J371" s="135">
        <v>38015</v>
      </c>
      <c r="K371" s="130" t="s">
        <v>2281</v>
      </c>
    </row>
    <row r="372" spans="1:24" ht="23.25" customHeight="1" x14ac:dyDescent="0.2">
      <c r="A372" s="130">
        <v>371</v>
      </c>
      <c r="B372" s="131" t="s">
        <v>42</v>
      </c>
      <c r="C372" s="134" t="s">
        <v>103</v>
      </c>
      <c r="D372" s="134" t="s">
        <v>104</v>
      </c>
      <c r="E372" s="134" t="s">
        <v>105</v>
      </c>
      <c r="F372" s="134"/>
      <c r="G372" s="146" t="s">
        <v>106</v>
      </c>
      <c r="H372" s="147" t="s">
        <v>47</v>
      </c>
      <c r="I372" s="139" t="s">
        <v>107</v>
      </c>
      <c r="J372" s="135">
        <v>31503</v>
      </c>
      <c r="K372" s="130" t="s">
        <v>108</v>
      </c>
    </row>
    <row r="373" spans="1:24" ht="22.5" customHeight="1" x14ac:dyDescent="0.2">
      <c r="A373" s="130">
        <v>372</v>
      </c>
      <c r="B373" s="134" t="s">
        <v>32</v>
      </c>
      <c r="C373" s="131" t="s">
        <v>3770</v>
      </c>
      <c r="D373" s="131" t="s">
        <v>1500</v>
      </c>
      <c r="E373" s="131" t="s">
        <v>3771</v>
      </c>
      <c r="F373" s="131"/>
      <c r="G373" s="130" t="s">
        <v>131</v>
      </c>
      <c r="H373" s="130" t="s">
        <v>385</v>
      </c>
      <c r="I373" s="130" t="s">
        <v>90</v>
      </c>
      <c r="J373" s="135">
        <v>46281</v>
      </c>
      <c r="K373" s="130">
        <v>9978047352</v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27" customHeight="1" x14ac:dyDescent="0.2">
      <c r="A374" s="130">
        <v>373</v>
      </c>
      <c r="B374" s="131" t="s">
        <v>42</v>
      </c>
      <c r="C374" s="134" t="s">
        <v>447</v>
      </c>
      <c r="D374" s="134" t="s">
        <v>448</v>
      </c>
      <c r="E374" s="134" t="s">
        <v>449</v>
      </c>
      <c r="F374" s="134"/>
      <c r="G374" s="130" t="s">
        <v>451</v>
      </c>
      <c r="H374" s="130" t="s">
        <v>452</v>
      </c>
      <c r="I374" s="136" t="s">
        <v>453</v>
      </c>
      <c r="J374" s="135">
        <v>36894</v>
      </c>
      <c r="K374" s="130" t="s">
        <v>454</v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22.5" customHeight="1" x14ac:dyDescent="0.2">
      <c r="A375" s="130">
        <v>374</v>
      </c>
      <c r="B375" s="131" t="s">
        <v>397</v>
      </c>
      <c r="C375" s="134" t="s">
        <v>2182</v>
      </c>
      <c r="D375" s="134" t="s">
        <v>2183</v>
      </c>
      <c r="E375" s="134" t="s">
        <v>1744</v>
      </c>
      <c r="F375" s="134"/>
      <c r="G375" s="130" t="s">
        <v>2149</v>
      </c>
      <c r="H375" s="136" t="s">
        <v>2186</v>
      </c>
      <c r="I375" s="130" t="s">
        <v>311</v>
      </c>
      <c r="J375" s="135">
        <v>37830</v>
      </c>
      <c r="K375" s="130" t="s">
        <v>2188</v>
      </c>
    </row>
    <row r="376" spans="1:24" ht="22.5" customHeight="1" x14ac:dyDescent="0.2">
      <c r="A376" s="130">
        <v>375</v>
      </c>
      <c r="B376" s="131" t="s">
        <v>32</v>
      </c>
      <c r="C376" s="134" t="s">
        <v>2400</v>
      </c>
      <c r="D376" s="134" t="s">
        <v>141</v>
      </c>
      <c r="E376" s="134" t="s">
        <v>60</v>
      </c>
      <c r="F376" s="137"/>
      <c r="G376" s="130" t="s">
        <v>651</v>
      </c>
      <c r="H376" s="130" t="s">
        <v>212</v>
      </c>
      <c r="I376" s="130" t="s">
        <v>36</v>
      </c>
      <c r="J376" s="135">
        <v>44879</v>
      </c>
      <c r="K376" s="130" t="s">
        <v>2401</v>
      </c>
    </row>
    <row r="377" spans="1:24" ht="24.75" customHeight="1" x14ac:dyDescent="0.2">
      <c r="A377" s="130">
        <v>376</v>
      </c>
      <c r="B377" s="131" t="s">
        <v>42</v>
      </c>
      <c r="C377" s="134" t="s">
        <v>767</v>
      </c>
      <c r="D377" s="134" t="s">
        <v>768</v>
      </c>
      <c r="E377" s="134" t="s">
        <v>769</v>
      </c>
      <c r="F377" s="134"/>
      <c r="G377" s="143" t="s">
        <v>770</v>
      </c>
      <c r="H377" s="138" t="s">
        <v>168</v>
      </c>
      <c r="I377" s="139" t="s">
        <v>777</v>
      </c>
      <c r="J377" s="135">
        <v>40626</v>
      </c>
      <c r="K377" s="130" t="s">
        <v>779</v>
      </c>
    </row>
    <row r="378" spans="1:24" ht="22.5" customHeight="1" x14ac:dyDescent="0.2">
      <c r="A378" s="130">
        <v>377</v>
      </c>
      <c r="B378" s="131" t="s">
        <v>32</v>
      </c>
      <c r="C378" s="142" t="s">
        <v>767</v>
      </c>
      <c r="D378" s="142" t="s">
        <v>1264</v>
      </c>
      <c r="E378" s="142" t="s">
        <v>1265</v>
      </c>
      <c r="F378" s="134"/>
      <c r="G378" s="130" t="s">
        <v>131</v>
      </c>
      <c r="H378" s="130" t="s">
        <v>47</v>
      </c>
      <c r="I378" s="130" t="s">
        <v>30</v>
      </c>
      <c r="J378" s="135">
        <v>43759</v>
      </c>
      <c r="K378" s="136" t="s">
        <v>1269</v>
      </c>
    </row>
    <row r="379" spans="1:24" ht="22.5" customHeight="1" x14ac:dyDescent="0.2">
      <c r="A379" s="130">
        <v>378</v>
      </c>
      <c r="B379" s="131" t="s">
        <v>32</v>
      </c>
      <c r="C379" s="163" t="s">
        <v>3748</v>
      </c>
      <c r="D379" s="142" t="s">
        <v>1852</v>
      </c>
      <c r="E379" s="142" t="s">
        <v>1851</v>
      </c>
      <c r="F379" s="142"/>
      <c r="G379" s="130" t="s">
        <v>28</v>
      </c>
      <c r="H379" s="130" t="s">
        <v>29</v>
      </c>
      <c r="I379" s="130" t="s">
        <v>30</v>
      </c>
      <c r="J379" s="135">
        <v>43759</v>
      </c>
      <c r="K379" s="136" t="s">
        <v>1854</v>
      </c>
    </row>
    <row r="380" spans="1:24" ht="27" customHeight="1" x14ac:dyDescent="0.2">
      <c r="A380" s="130">
        <v>379</v>
      </c>
      <c r="B380" s="131" t="s">
        <v>134</v>
      </c>
      <c r="C380" s="142" t="s">
        <v>2196</v>
      </c>
      <c r="D380" s="142" t="s">
        <v>2197</v>
      </c>
      <c r="E380" s="142" t="s">
        <v>2198</v>
      </c>
      <c r="F380" s="142"/>
      <c r="G380" s="130" t="s">
        <v>28</v>
      </c>
      <c r="H380" s="130" t="s">
        <v>29</v>
      </c>
      <c r="I380" s="130" t="s">
        <v>30</v>
      </c>
      <c r="J380" s="135">
        <v>43759</v>
      </c>
      <c r="K380" s="130" t="s">
        <v>2199</v>
      </c>
    </row>
    <row r="381" spans="1:24" ht="24.75" customHeight="1" x14ac:dyDescent="0.2">
      <c r="A381" s="130">
        <v>380</v>
      </c>
      <c r="B381" s="131" t="s">
        <v>42</v>
      </c>
      <c r="C381" s="134" t="s">
        <v>1362</v>
      </c>
      <c r="D381" s="134" t="s">
        <v>1363</v>
      </c>
      <c r="E381" s="134" t="s">
        <v>1364</v>
      </c>
      <c r="F381" s="142"/>
      <c r="G381" s="136" t="s">
        <v>2781</v>
      </c>
      <c r="H381" s="130" t="s">
        <v>96</v>
      </c>
      <c r="I381" s="144" t="s">
        <v>90</v>
      </c>
      <c r="J381" s="135">
        <v>45733</v>
      </c>
      <c r="K381" s="152" t="s">
        <v>2782</v>
      </c>
    </row>
    <row r="382" spans="1:24" ht="23.25" customHeight="1" x14ac:dyDescent="0.2">
      <c r="A382" s="130">
        <v>381</v>
      </c>
      <c r="B382" s="131" t="s">
        <v>62</v>
      </c>
      <c r="C382" s="134" t="s">
        <v>199</v>
      </c>
      <c r="D382" s="134" t="s">
        <v>34</v>
      </c>
      <c r="E382" s="134" t="s">
        <v>2041</v>
      </c>
      <c r="F382" s="134"/>
      <c r="G382" s="130" t="s">
        <v>368</v>
      </c>
      <c r="H382" s="130" t="s">
        <v>67</v>
      </c>
      <c r="I382" s="130" t="s">
        <v>21</v>
      </c>
      <c r="J382" s="135">
        <v>37757</v>
      </c>
      <c r="K382" s="130" t="s">
        <v>2044</v>
      </c>
    </row>
    <row r="383" spans="1:24" ht="23.25" customHeight="1" x14ac:dyDescent="0.2">
      <c r="A383" s="130">
        <v>382</v>
      </c>
      <c r="B383" s="131" t="s">
        <v>528</v>
      </c>
      <c r="C383" s="134" t="s">
        <v>1708</v>
      </c>
      <c r="D383" s="134" t="s">
        <v>1711</v>
      </c>
      <c r="E383" s="134" t="s">
        <v>1713</v>
      </c>
      <c r="F383" s="134"/>
      <c r="G383" s="130" t="s">
        <v>53</v>
      </c>
      <c r="H383" s="130" t="s">
        <v>401</v>
      </c>
      <c r="I383" s="130" t="s">
        <v>182</v>
      </c>
      <c r="J383" s="135">
        <v>40513</v>
      </c>
      <c r="K383" s="138" t="s">
        <v>1715</v>
      </c>
    </row>
    <row r="384" spans="1:24" ht="28.5" customHeight="1" x14ac:dyDescent="0.2">
      <c r="A384" s="130">
        <v>383</v>
      </c>
      <c r="B384" s="131" t="s">
        <v>397</v>
      </c>
      <c r="C384" s="134" t="s">
        <v>2293</v>
      </c>
      <c r="D384" s="134" t="s">
        <v>2294</v>
      </c>
      <c r="E384" s="134" t="s">
        <v>2295</v>
      </c>
      <c r="F384" s="134"/>
      <c r="G384" s="130" t="s">
        <v>2296</v>
      </c>
      <c r="H384" s="130" t="s">
        <v>89</v>
      </c>
      <c r="I384" s="130" t="s">
        <v>311</v>
      </c>
      <c r="J384" s="135">
        <v>37830</v>
      </c>
      <c r="K384" s="130" t="s">
        <v>2297</v>
      </c>
    </row>
    <row r="385" spans="1:24" ht="27" customHeight="1" x14ac:dyDescent="0.2">
      <c r="A385" s="130">
        <v>384</v>
      </c>
      <c r="B385" s="131" t="s">
        <v>42</v>
      </c>
      <c r="C385" s="134" t="s">
        <v>1365</v>
      </c>
      <c r="D385" s="134" t="s">
        <v>1366</v>
      </c>
      <c r="E385" s="134" t="s">
        <v>1367</v>
      </c>
      <c r="F385" s="134"/>
      <c r="G385" s="130" t="s">
        <v>106</v>
      </c>
      <c r="H385" s="138" t="s">
        <v>47</v>
      </c>
      <c r="I385" s="130" t="s">
        <v>1882</v>
      </c>
      <c r="J385" s="135">
        <v>44935</v>
      </c>
      <c r="K385" s="130" t="s">
        <v>1884</v>
      </c>
    </row>
    <row r="386" spans="1:24" ht="23.25" customHeight="1" x14ac:dyDescent="0.2">
      <c r="A386" s="130">
        <v>385</v>
      </c>
      <c r="B386" s="131" t="s">
        <v>42</v>
      </c>
      <c r="C386" s="134" t="s">
        <v>1371</v>
      </c>
      <c r="D386" s="134" t="s">
        <v>1373</v>
      </c>
      <c r="E386" s="134" t="s">
        <v>1374</v>
      </c>
      <c r="F386" s="134"/>
      <c r="G386" s="130" t="s">
        <v>2237</v>
      </c>
      <c r="H386" s="130" t="s">
        <v>47</v>
      </c>
      <c r="I386" s="139" t="s">
        <v>2238</v>
      </c>
      <c r="J386" s="135">
        <v>38666</v>
      </c>
      <c r="K386" s="130" t="s">
        <v>2239</v>
      </c>
    </row>
    <row r="387" spans="1:24" ht="23.25" customHeight="1" x14ac:dyDescent="0.2">
      <c r="A387" s="130">
        <v>386</v>
      </c>
      <c r="B387" s="131" t="s">
        <v>32</v>
      </c>
      <c r="C387" s="134" t="s">
        <v>1395</v>
      </c>
      <c r="D387" s="134" t="s">
        <v>2276</v>
      </c>
      <c r="E387" s="134" t="s">
        <v>1863</v>
      </c>
      <c r="F387" s="134"/>
      <c r="G387" s="130" t="s">
        <v>28</v>
      </c>
      <c r="H387" s="130" t="s">
        <v>29</v>
      </c>
      <c r="I387" s="130" t="s">
        <v>36</v>
      </c>
      <c r="J387" s="135">
        <v>44922</v>
      </c>
      <c r="K387" s="130" t="s">
        <v>2277</v>
      </c>
    </row>
    <row r="388" spans="1:24" ht="23.25" customHeight="1" x14ac:dyDescent="0.2">
      <c r="A388" s="130">
        <v>387</v>
      </c>
      <c r="B388" s="131" t="s">
        <v>42</v>
      </c>
      <c r="C388" s="134" t="s">
        <v>1376</v>
      </c>
      <c r="D388" s="134" t="s">
        <v>1377</v>
      </c>
      <c r="E388" s="134" t="s">
        <v>1378</v>
      </c>
      <c r="F388" s="134"/>
      <c r="G388" s="138" t="s">
        <v>131</v>
      </c>
      <c r="H388" s="138" t="s">
        <v>2523</v>
      </c>
      <c r="I388" s="139" t="s">
        <v>2524</v>
      </c>
      <c r="J388" s="135">
        <v>44572</v>
      </c>
      <c r="K388" s="138" t="s">
        <v>2525</v>
      </c>
    </row>
    <row r="389" spans="1:24" ht="24.75" customHeight="1" x14ac:dyDescent="0.2">
      <c r="A389" s="130">
        <v>388</v>
      </c>
      <c r="B389" s="131" t="s">
        <v>32</v>
      </c>
      <c r="C389" s="134" t="s">
        <v>2430</v>
      </c>
      <c r="D389" s="134" t="s">
        <v>2431</v>
      </c>
      <c r="E389" s="134" t="s">
        <v>1728</v>
      </c>
      <c r="F389" s="134"/>
      <c r="G389" s="130" t="s">
        <v>28</v>
      </c>
      <c r="H389" s="130" t="s">
        <v>29</v>
      </c>
      <c r="I389" s="130" t="s">
        <v>30</v>
      </c>
      <c r="J389" s="135">
        <v>44922</v>
      </c>
      <c r="K389" s="130" t="s">
        <v>2432</v>
      </c>
    </row>
    <row r="390" spans="1:24" ht="24" customHeight="1" x14ac:dyDescent="0.2">
      <c r="A390" s="130">
        <v>389</v>
      </c>
      <c r="B390" s="131" t="s">
        <v>42</v>
      </c>
      <c r="C390" s="134" t="s">
        <v>1386</v>
      </c>
      <c r="D390" s="137" t="s">
        <v>1387</v>
      </c>
      <c r="E390" s="134" t="s">
        <v>898</v>
      </c>
      <c r="F390" s="134"/>
      <c r="G390" s="130" t="s">
        <v>283</v>
      </c>
      <c r="H390" s="139" t="s">
        <v>195</v>
      </c>
      <c r="I390" s="139" t="s">
        <v>637</v>
      </c>
      <c r="J390" s="135">
        <v>40843</v>
      </c>
      <c r="K390" s="138" t="s">
        <v>2697</v>
      </c>
    </row>
    <row r="391" spans="1:24" ht="24" customHeight="1" x14ac:dyDescent="0.2">
      <c r="A391" s="130">
        <v>390</v>
      </c>
      <c r="B391" s="131" t="s">
        <v>32</v>
      </c>
      <c r="C391" s="134" t="s">
        <v>38</v>
      </c>
      <c r="D391" s="134" t="s">
        <v>39</v>
      </c>
      <c r="E391" s="134" t="s">
        <v>40</v>
      </c>
      <c r="F391" s="134"/>
      <c r="G391" s="130" t="s">
        <v>28</v>
      </c>
      <c r="H391" s="130" t="s">
        <v>29</v>
      </c>
      <c r="I391" s="130" t="s">
        <v>36</v>
      </c>
      <c r="J391" s="135">
        <v>44922</v>
      </c>
      <c r="K391" s="130" t="s">
        <v>41</v>
      </c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24" customHeight="1" x14ac:dyDescent="0.2">
      <c r="A392" s="130">
        <v>391</v>
      </c>
      <c r="B392" s="131" t="s">
        <v>32</v>
      </c>
      <c r="C392" s="134" t="s">
        <v>297</v>
      </c>
      <c r="D392" s="134" t="s">
        <v>298</v>
      </c>
      <c r="E392" s="134" t="s">
        <v>299</v>
      </c>
      <c r="F392" s="134"/>
      <c r="G392" s="136" t="s">
        <v>28</v>
      </c>
      <c r="H392" s="130" t="s">
        <v>29</v>
      </c>
      <c r="I392" s="130" t="s">
        <v>36</v>
      </c>
      <c r="J392" s="135">
        <v>44922</v>
      </c>
      <c r="K392" s="136" t="s">
        <v>300</v>
      </c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27" customHeight="1" x14ac:dyDescent="0.2">
      <c r="A393" s="130">
        <v>392</v>
      </c>
      <c r="B393" s="131" t="s">
        <v>32</v>
      </c>
      <c r="C393" s="134" t="s">
        <v>1389</v>
      </c>
      <c r="D393" s="134" t="s">
        <v>2480</v>
      </c>
      <c r="E393" s="134" t="s">
        <v>1395</v>
      </c>
      <c r="F393" s="134"/>
      <c r="G393" s="144" t="s">
        <v>239</v>
      </c>
      <c r="H393" s="144" t="s">
        <v>96</v>
      </c>
      <c r="I393" s="139" t="s">
        <v>30</v>
      </c>
      <c r="J393" s="135">
        <v>44900</v>
      </c>
      <c r="K393" s="138" t="s">
        <v>2481</v>
      </c>
    </row>
    <row r="394" spans="1:24" ht="24" customHeight="1" x14ac:dyDescent="0.2">
      <c r="A394" s="130">
        <v>393</v>
      </c>
      <c r="B394" s="131" t="s">
        <v>42</v>
      </c>
      <c r="C394" s="134" t="s">
        <v>1389</v>
      </c>
      <c r="D394" s="134" t="s">
        <v>1390</v>
      </c>
      <c r="E394" s="134" t="s">
        <v>1391</v>
      </c>
      <c r="F394" s="134"/>
      <c r="G394" s="138" t="s">
        <v>368</v>
      </c>
      <c r="H394" s="138" t="s">
        <v>47</v>
      </c>
      <c r="I394" s="139" t="s">
        <v>2641</v>
      </c>
      <c r="J394" s="135">
        <v>41599</v>
      </c>
      <c r="K394" s="138" t="s">
        <v>2642</v>
      </c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 spans="1:24" ht="24" customHeight="1" x14ac:dyDescent="0.2">
      <c r="A395" s="130">
        <v>394</v>
      </c>
      <c r="B395" s="131" t="s">
        <v>528</v>
      </c>
      <c r="C395" s="134" t="s">
        <v>2462</v>
      </c>
      <c r="D395" s="134" t="s">
        <v>2463</v>
      </c>
      <c r="E395" s="134" t="s">
        <v>2464</v>
      </c>
      <c r="F395" s="134"/>
      <c r="G395" s="130" t="s">
        <v>239</v>
      </c>
      <c r="H395" s="130" t="s">
        <v>401</v>
      </c>
      <c r="I395" s="130" t="s">
        <v>311</v>
      </c>
      <c r="J395" s="135">
        <v>39995</v>
      </c>
      <c r="K395" s="130" t="s">
        <v>2465</v>
      </c>
    </row>
    <row r="396" spans="1:24" ht="24" customHeight="1" x14ac:dyDescent="0.2">
      <c r="A396" s="130">
        <v>395</v>
      </c>
      <c r="B396" s="131" t="s">
        <v>42</v>
      </c>
      <c r="C396" s="134" t="s">
        <v>1396</v>
      </c>
      <c r="D396" s="134" t="s">
        <v>1397</v>
      </c>
      <c r="E396" s="134" t="s">
        <v>1398</v>
      </c>
      <c r="F396" s="142"/>
      <c r="G396" s="136" t="s">
        <v>2783</v>
      </c>
      <c r="H396" s="130" t="s">
        <v>89</v>
      </c>
      <c r="I396" s="144" t="s">
        <v>90</v>
      </c>
      <c r="J396" s="135">
        <v>45742</v>
      </c>
      <c r="K396" s="152" t="s">
        <v>2784</v>
      </c>
    </row>
    <row r="397" spans="1:24" ht="24" customHeight="1" x14ac:dyDescent="0.2">
      <c r="A397" s="130">
        <v>396</v>
      </c>
      <c r="B397" s="131" t="s">
        <v>127</v>
      </c>
      <c r="C397" s="142" t="s">
        <v>373</v>
      </c>
      <c r="D397" s="142" t="s">
        <v>374</v>
      </c>
      <c r="E397" s="142" t="s">
        <v>375</v>
      </c>
      <c r="F397" s="142"/>
      <c r="G397" s="136" t="s">
        <v>239</v>
      </c>
      <c r="H397" s="136" t="s">
        <v>47</v>
      </c>
      <c r="I397" s="130" t="s">
        <v>132</v>
      </c>
      <c r="J397" s="135">
        <v>44455</v>
      </c>
      <c r="K397" s="130" t="s">
        <v>381</v>
      </c>
    </row>
    <row r="398" spans="1:24" ht="24" customHeight="1" x14ac:dyDescent="0.2">
      <c r="A398" s="130">
        <v>397</v>
      </c>
      <c r="B398" s="131" t="s">
        <v>42</v>
      </c>
      <c r="C398" s="131" t="s">
        <v>241</v>
      </c>
      <c r="D398" s="140" t="s">
        <v>242</v>
      </c>
      <c r="E398" s="131" t="s">
        <v>243</v>
      </c>
      <c r="F398" s="131"/>
      <c r="G398" s="138" t="s">
        <v>244</v>
      </c>
      <c r="H398" s="135" t="s">
        <v>168</v>
      </c>
      <c r="I398" s="135" t="s">
        <v>90</v>
      </c>
      <c r="J398" s="135">
        <v>46098</v>
      </c>
      <c r="K398" s="135" t="s">
        <v>245</v>
      </c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24" customHeight="1" x14ac:dyDescent="0.2">
      <c r="A399" s="130">
        <v>398</v>
      </c>
      <c r="B399" s="131" t="s">
        <v>376</v>
      </c>
      <c r="C399" s="134" t="s">
        <v>1789</v>
      </c>
      <c r="D399" s="134" t="s">
        <v>1136</v>
      </c>
      <c r="E399" s="134" t="s">
        <v>1790</v>
      </c>
      <c r="F399" s="137"/>
      <c r="G399" s="130" t="s">
        <v>131</v>
      </c>
      <c r="H399" s="130" t="s">
        <v>47</v>
      </c>
      <c r="I399" s="130" t="s">
        <v>132</v>
      </c>
      <c r="J399" s="135">
        <v>44890</v>
      </c>
      <c r="K399" s="130" t="s">
        <v>1791</v>
      </c>
    </row>
    <row r="400" spans="1:24" ht="24" customHeight="1" x14ac:dyDescent="0.2">
      <c r="A400" s="130">
        <v>399</v>
      </c>
      <c r="B400" s="131" t="s">
        <v>32</v>
      </c>
      <c r="C400" s="142" t="s">
        <v>1855</v>
      </c>
      <c r="D400" s="142" t="s">
        <v>1856</v>
      </c>
      <c r="E400" s="142" t="s">
        <v>984</v>
      </c>
      <c r="F400" s="142"/>
      <c r="G400" s="130" t="s">
        <v>28</v>
      </c>
      <c r="H400" s="130" t="s">
        <v>29</v>
      </c>
      <c r="I400" s="130" t="s">
        <v>30</v>
      </c>
      <c r="J400" s="135">
        <v>43759</v>
      </c>
      <c r="K400" s="136" t="s">
        <v>1857</v>
      </c>
    </row>
    <row r="401" spans="1:24" ht="24" customHeight="1" x14ac:dyDescent="0.2">
      <c r="A401" s="130">
        <v>400</v>
      </c>
      <c r="B401" s="131" t="s">
        <v>127</v>
      </c>
      <c r="C401" s="142" t="s">
        <v>834</v>
      </c>
      <c r="D401" s="142" t="s">
        <v>599</v>
      </c>
      <c r="E401" s="142" t="s">
        <v>836</v>
      </c>
      <c r="F401" s="142"/>
      <c r="G401" s="136" t="s">
        <v>1173</v>
      </c>
      <c r="H401" s="136" t="s">
        <v>47</v>
      </c>
      <c r="I401" s="130" t="s">
        <v>132</v>
      </c>
      <c r="J401" s="135">
        <v>44455</v>
      </c>
      <c r="K401" s="130" t="s">
        <v>1174</v>
      </c>
    </row>
    <row r="402" spans="1:24" ht="24" customHeight="1" x14ac:dyDescent="0.2">
      <c r="A402" s="130">
        <v>401</v>
      </c>
      <c r="B402" s="131" t="s">
        <v>42</v>
      </c>
      <c r="C402" s="134" t="s">
        <v>1400</v>
      </c>
      <c r="D402" s="134" t="s">
        <v>838</v>
      </c>
      <c r="E402" s="134" t="s">
        <v>1402</v>
      </c>
      <c r="F402" s="134"/>
      <c r="G402" s="143" t="s">
        <v>2643</v>
      </c>
      <c r="H402" s="138" t="s">
        <v>2644</v>
      </c>
      <c r="I402" s="139" t="s">
        <v>2645</v>
      </c>
      <c r="J402" s="135">
        <v>44253</v>
      </c>
      <c r="K402" s="138" t="s">
        <v>2646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 spans="1:24" ht="24" customHeight="1" x14ac:dyDescent="0.2">
      <c r="A403" s="130">
        <v>402</v>
      </c>
      <c r="B403" s="131" t="s">
        <v>134</v>
      </c>
      <c r="C403" s="134" t="s">
        <v>1384</v>
      </c>
      <c r="D403" s="134" t="s">
        <v>1500</v>
      </c>
      <c r="E403" s="134" t="s">
        <v>1319</v>
      </c>
      <c r="F403" s="134"/>
      <c r="G403" s="130" t="s">
        <v>28</v>
      </c>
      <c r="H403" s="130" t="s">
        <v>1502</v>
      </c>
      <c r="I403" s="130" t="s">
        <v>30</v>
      </c>
      <c r="J403" s="135">
        <v>42994</v>
      </c>
      <c r="K403" s="143" t="s">
        <v>1504</v>
      </c>
    </row>
    <row r="404" spans="1:24" ht="23.25" customHeight="1" x14ac:dyDescent="0.2">
      <c r="A404" s="130">
        <v>403</v>
      </c>
      <c r="B404" s="131" t="s">
        <v>32</v>
      </c>
      <c r="C404" s="134" t="s">
        <v>2012</v>
      </c>
      <c r="D404" s="134" t="s">
        <v>2013</v>
      </c>
      <c r="E404" s="134" t="s">
        <v>2014</v>
      </c>
      <c r="F404" s="134"/>
      <c r="G404" s="130" t="s">
        <v>28</v>
      </c>
      <c r="H404" s="130" t="s">
        <v>29</v>
      </c>
      <c r="I404" s="130" t="s">
        <v>36</v>
      </c>
      <c r="J404" s="135">
        <v>44922</v>
      </c>
      <c r="K404" s="130" t="s">
        <v>2016</v>
      </c>
    </row>
    <row r="405" spans="1:24" ht="23.25" customHeight="1" x14ac:dyDescent="0.2">
      <c r="A405" s="130">
        <v>404</v>
      </c>
      <c r="B405" s="131" t="s">
        <v>318</v>
      </c>
      <c r="C405" s="134" t="s">
        <v>461</v>
      </c>
      <c r="D405" s="134" t="s">
        <v>462</v>
      </c>
      <c r="E405" s="134" t="s">
        <v>463</v>
      </c>
      <c r="F405" s="134"/>
      <c r="G405" s="130" t="s">
        <v>586</v>
      </c>
      <c r="H405" s="138" t="s">
        <v>205</v>
      </c>
      <c r="I405" s="139" t="s">
        <v>327</v>
      </c>
      <c r="J405" s="135">
        <v>43147</v>
      </c>
      <c r="K405" s="130" t="s">
        <v>464</v>
      </c>
    </row>
    <row r="406" spans="1:24" ht="23.25" customHeight="1" x14ac:dyDescent="0.2">
      <c r="A406" s="130">
        <v>405</v>
      </c>
      <c r="B406" s="131" t="s">
        <v>42</v>
      </c>
      <c r="C406" s="134" t="s">
        <v>1404</v>
      </c>
      <c r="D406" s="134" t="s">
        <v>1405</v>
      </c>
      <c r="E406" s="134" t="s">
        <v>1406</v>
      </c>
      <c r="F406" s="134"/>
      <c r="G406" s="130" t="s">
        <v>283</v>
      </c>
      <c r="H406" s="157" t="s">
        <v>195</v>
      </c>
      <c r="I406" s="130" t="s">
        <v>2240</v>
      </c>
      <c r="J406" s="135">
        <v>43438</v>
      </c>
      <c r="K406" s="130" t="s">
        <v>2241</v>
      </c>
    </row>
    <row r="407" spans="1:24" ht="23.25" customHeight="1" x14ac:dyDescent="0.2">
      <c r="A407" s="130">
        <v>406</v>
      </c>
      <c r="B407" s="131" t="s">
        <v>32</v>
      </c>
      <c r="C407" s="134" t="s">
        <v>1858</v>
      </c>
      <c r="D407" s="134" t="s">
        <v>1859</v>
      </c>
      <c r="E407" s="134" t="s">
        <v>1861</v>
      </c>
      <c r="F407" s="134" t="s">
        <v>181</v>
      </c>
      <c r="G407" s="130" t="s">
        <v>28</v>
      </c>
      <c r="H407" s="130" t="s">
        <v>29</v>
      </c>
      <c r="I407" s="130" t="s">
        <v>36</v>
      </c>
      <c r="J407" s="135">
        <v>44922</v>
      </c>
      <c r="K407" s="130" t="s">
        <v>1862</v>
      </c>
    </row>
    <row r="408" spans="1:24" ht="23.25" customHeight="1" x14ac:dyDescent="0.2">
      <c r="A408" s="130">
        <v>407</v>
      </c>
      <c r="B408" s="131" t="s">
        <v>318</v>
      </c>
      <c r="C408" s="134" t="s">
        <v>423</v>
      </c>
      <c r="D408" s="134" t="s">
        <v>236</v>
      </c>
      <c r="E408" s="134" t="s">
        <v>424</v>
      </c>
      <c r="F408" s="134"/>
      <c r="G408" s="130" t="s">
        <v>131</v>
      </c>
      <c r="H408" s="138" t="s">
        <v>205</v>
      </c>
      <c r="I408" s="139" t="s">
        <v>327</v>
      </c>
      <c r="J408" s="135">
        <v>42318</v>
      </c>
      <c r="K408" s="130" t="s">
        <v>427</v>
      </c>
    </row>
    <row r="409" spans="1:24" ht="23.25" customHeight="1" x14ac:dyDescent="0.2">
      <c r="A409" s="130">
        <v>408</v>
      </c>
      <c r="B409" s="131" t="s">
        <v>42</v>
      </c>
      <c r="C409" s="134" t="s">
        <v>1411</v>
      </c>
      <c r="D409" s="134" t="s">
        <v>1412</v>
      </c>
      <c r="E409" s="134" t="s">
        <v>1101</v>
      </c>
      <c r="F409" s="134"/>
      <c r="G409" s="144" t="s">
        <v>2526</v>
      </c>
      <c r="H409" s="144" t="s">
        <v>477</v>
      </c>
      <c r="I409" s="139" t="s">
        <v>2527</v>
      </c>
      <c r="J409" s="135">
        <v>40148</v>
      </c>
      <c r="K409" s="138" t="s">
        <v>2528</v>
      </c>
    </row>
    <row r="410" spans="1:24" ht="27" customHeight="1" x14ac:dyDescent="0.2">
      <c r="A410" s="130">
        <v>409</v>
      </c>
      <c r="B410" s="131" t="s">
        <v>32</v>
      </c>
      <c r="C410" s="134" t="s">
        <v>610</v>
      </c>
      <c r="D410" s="134" t="s">
        <v>611</v>
      </c>
      <c r="E410" s="134" t="s">
        <v>612</v>
      </c>
      <c r="F410" s="134"/>
      <c r="G410" s="130" t="s">
        <v>131</v>
      </c>
      <c r="H410" s="130" t="s">
        <v>212</v>
      </c>
      <c r="I410" s="130" t="s">
        <v>36</v>
      </c>
      <c r="J410" s="135">
        <v>44900</v>
      </c>
      <c r="K410" s="130" t="s">
        <v>613</v>
      </c>
    </row>
    <row r="411" spans="1:24" ht="29.25" customHeight="1" x14ac:dyDescent="0.2">
      <c r="A411" s="130">
        <v>410</v>
      </c>
      <c r="B411" s="131" t="s">
        <v>127</v>
      </c>
      <c r="C411" s="142" t="s">
        <v>1315</v>
      </c>
      <c r="D411" s="142" t="s">
        <v>1001</v>
      </c>
      <c r="E411" s="142" t="s">
        <v>1002</v>
      </c>
      <c r="F411" s="142"/>
      <c r="G411" s="136" t="s">
        <v>1321</v>
      </c>
      <c r="H411" s="136" t="s">
        <v>205</v>
      </c>
      <c r="I411" s="130" t="s">
        <v>132</v>
      </c>
      <c r="J411" s="135">
        <v>44455</v>
      </c>
      <c r="K411" s="130" t="s">
        <v>1006</v>
      </c>
    </row>
    <row r="412" spans="1:24" ht="23.25" customHeight="1" x14ac:dyDescent="0.2">
      <c r="A412" s="130">
        <v>411</v>
      </c>
      <c r="B412" s="131" t="s">
        <v>318</v>
      </c>
      <c r="C412" s="134" t="s">
        <v>703</v>
      </c>
      <c r="D412" s="134" t="s">
        <v>704</v>
      </c>
      <c r="E412" s="131" t="s">
        <v>705</v>
      </c>
      <c r="F412" s="138" t="s">
        <v>181</v>
      </c>
      <c r="G412" s="130" t="s">
        <v>368</v>
      </c>
      <c r="H412" s="143" t="s">
        <v>1095</v>
      </c>
      <c r="I412" s="139" t="s">
        <v>327</v>
      </c>
      <c r="J412" s="135">
        <v>44455</v>
      </c>
      <c r="K412" s="130" t="s">
        <v>789</v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23.25" customHeight="1" x14ac:dyDescent="0.2">
      <c r="A413" s="130">
        <v>412</v>
      </c>
      <c r="B413" s="131" t="s">
        <v>42</v>
      </c>
      <c r="C413" s="134" t="s">
        <v>1414</v>
      </c>
      <c r="D413" s="134" t="s">
        <v>1415</v>
      </c>
      <c r="E413" s="134" t="s">
        <v>1416</v>
      </c>
      <c r="F413" s="142"/>
      <c r="G413" s="136" t="s">
        <v>2532</v>
      </c>
      <c r="H413" s="130" t="s">
        <v>47</v>
      </c>
      <c r="I413" s="144" t="s">
        <v>90</v>
      </c>
      <c r="J413" s="135">
        <v>45733</v>
      </c>
      <c r="K413" s="152" t="s">
        <v>2785</v>
      </c>
    </row>
    <row r="414" spans="1:24" ht="23.25" customHeight="1" x14ac:dyDescent="0.2">
      <c r="A414" s="130">
        <v>413</v>
      </c>
      <c r="B414" s="131" t="s">
        <v>177</v>
      </c>
      <c r="C414" s="134" t="s">
        <v>2708</v>
      </c>
      <c r="D414" s="134" t="s">
        <v>2709</v>
      </c>
      <c r="E414" s="134" t="s">
        <v>2710</v>
      </c>
      <c r="F414" s="134"/>
      <c r="G414" s="147" t="s">
        <v>2711</v>
      </c>
      <c r="H414" s="147" t="s">
        <v>29</v>
      </c>
      <c r="I414" s="147" t="s">
        <v>182</v>
      </c>
      <c r="J414" s="135">
        <v>40938</v>
      </c>
      <c r="K414" s="138" t="s">
        <v>1532</v>
      </c>
    </row>
    <row r="415" spans="1:24" ht="23.25" customHeight="1" x14ac:dyDescent="0.2">
      <c r="A415" s="130">
        <v>414</v>
      </c>
      <c r="B415" s="131" t="s">
        <v>42</v>
      </c>
      <c r="C415" s="134" t="s">
        <v>488</v>
      </c>
      <c r="D415" s="134" t="s">
        <v>489</v>
      </c>
      <c r="E415" s="134" t="s">
        <v>490</v>
      </c>
      <c r="F415" s="134"/>
      <c r="G415" s="138" t="s">
        <v>239</v>
      </c>
      <c r="H415" s="139" t="s">
        <v>195</v>
      </c>
      <c r="I415" s="144" t="s">
        <v>491</v>
      </c>
      <c r="J415" s="135">
        <v>36634</v>
      </c>
      <c r="K415" s="136" t="s">
        <v>494</v>
      </c>
    </row>
    <row r="416" spans="1:24" ht="23.25" customHeight="1" x14ac:dyDescent="0.2">
      <c r="A416" s="130">
        <v>415</v>
      </c>
      <c r="B416" s="131" t="s">
        <v>127</v>
      </c>
      <c r="C416" s="142" t="s">
        <v>1550</v>
      </c>
      <c r="D416" s="142" t="s">
        <v>1551</v>
      </c>
      <c r="E416" s="142" t="s">
        <v>1552</v>
      </c>
      <c r="F416" s="142"/>
      <c r="G416" s="136" t="s">
        <v>131</v>
      </c>
      <c r="H416" s="136" t="s">
        <v>47</v>
      </c>
      <c r="I416" s="130" t="s">
        <v>132</v>
      </c>
      <c r="J416" s="135">
        <v>44455</v>
      </c>
      <c r="K416" s="130" t="s">
        <v>1555</v>
      </c>
    </row>
    <row r="417" spans="1:24" ht="23.25" customHeight="1" x14ac:dyDescent="0.2">
      <c r="A417" s="130">
        <v>416</v>
      </c>
      <c r="B417" s="131" t="s">
        <v>42</v>
      </c>
      <c r="C417" s="134" t="s">
        <v>1424</v>
      </c>
      <c r="D417" s="134" t="s">
        <v>1426</v>
      </c>
      <c r="E417" s="134" t="s">
        <v>1428</v>
      </c>
      <c r="F417" s="142"/>
      <c r="G417" s="136" t="s">
        <v>2532</v>
      </c>
      <c r="H417" s="130" t="s">
        <v>47</v>
      </c>
      <c r="I417" s="144" t="s">
        <v>90</v>
      </c>
      <c r="J417" s="135">
        <v>45733</v>
      </c>
      <c r="K417" s="152" t="s">
        <v>2786</v>
      </c>
    </row>
    <row r="418" spans="1:24" ht="23.25" customHeight="1" x14ac:dyDescent="0.2">
      <c r="A418" s="130">
        <v>417</v>
      </c>
      <c r="B418" s="131" t="s">
        <v>127</v>
      </c>
      <c r="C418" s="142" t="s">
        <v>2185</v>
      </c>
      <c r="D418" s="142" t="s">
        <v>2187</v>
      </c>
      <c r="E418" s="142" t="s">
        <v>2189</v>
      </c>
      <c r="F418" s="142"/>
      <c r="G418" s="136" t="s">
        <v>291</v>
      </c>
      <c r="H418" s="136" t="s">
        <v>47</v>
      </c>
      <c r="I418" s="130" t="s">
        <v>206</v>
      </c>
      <c r="J418" s="135">
        <v>44455</v>
      </c>
      <c r="K418" s="130" t="s">
        <v>2190</v>
      </c>
    </row>
    <row r="419" spans="1:24" ht="28.5" customHeight="1" x14ac:dyDescent="0.2">
      <c r="A419" s="130">
        <v>418</v>
      </c>
      <c r="B419" s="131" t="s">
        <v>177</v>
      </c>
      <c r="C419" s="134" t="s">
        <v>1873</v>
      </c>
      <c r="D419" s="134" t="s">
        <v>1771</v>
      </c>
      <c r="E419" s="134" t="s">
        <v>1874</v>
      </c>
      <c r="F419" s="134"/>
      <c r="G419" s="147" t="s">
        <v>829</v>
      </c>
      <c r="H419" s="147" t="s">
        <v>75</v>
      </c>
      <c r="I419" s="147" t="s">
        <v>182</v>
      </c>
      <c r="J419" s="135">
        <v>40513</v>
      </c>
      <c r="K419" s="130" t="s">
        <v>1876</v>
      </c>
    </row>
    <row r="420" spans="1:24" ht="23.25" customHeight="1" x14ac:dyDescent="0.2">
      <c r="A420" s="130">
        <v>419</v>
      </c>
      <c r="B420" s="131" t="s">
        <v>376</v>
      </c>
      <c r="C420" s="134" t="s">
        <v>2026</v>
      </c>
      <c r="D420" s="134" t="s">
        <v>2027</v>
      </c>
      <c r="E420" s="134" t="s">
        <v>2028</v>
      </c>
      <c r="F420" s="137"/>
      <c r="G420" s="130" t="s">
        <v>239</v>
      </c>
      <c r="H420" s="130" t="s">
        <v>47</v>
      </c>
      <c r="I420" s="130" t="s">
        <v>132</v>
      </c>
      <c r="J420" s="135">
        <v>44890</v>
      </c>
      <c r="K420" s="130" t="s">
        <v>2029</v>
      </c>
    </row>
    <row r="421" spans="1:24" ht="23.25" customHeight="1" x14ac:dyDescent="0.2">
      <c r="A421" s="130">
        <v>420</v>
      </c>
      <c r="B421" s="131" t="s">
        <v>42</v>
      </c>
      <c r="C421" s="134" t="s">
        <v>1431</v>
      </c>
      <c r="D421" s="134" t="s">
        <v>1433</v>
      </c>
      <c r="E421" s="134" t="s">
        <v>1034</v>
      </c>
      <c r="F421" s="134"/>
      <c r="G421" s="130" t="s">
        <v>283</v>
      </c>
      <c r="H421" s="130" t="s">
        <v>47</v>
      </c>
      <c r="I421" s="139" t="s">
        <v>2736</v>
      </c>
      <c r="J421" s="135">
        <v>38215</v>
      </c>
      <c r="K421" s="138" t="s">
        <v>2737</v>
      </c>
    </row>
    <row r="422" spans="1:24" ht="23.25" customHeight="1" x14ac:dyDescent="0.2">
      <c r="A422" s="130">
        <v>421</v>
      </c>
      <c r="B422" s="131" t="s">
        <v>32</v>
      </c>
      <c r="C422" s="134" t="s">
        <v>1772</v>
      </c>
      <c r="D422" s="134" t="s">
        <v>1773</v>
      </c>
      <c r="E422" s="134" t="s">
        <v>1774</v>
      </c>
      <c r="F422" s="134" t="s">
        <v>181</v>
      </c>
      <c r="G422" s="130" t="s">
        <v>28</v>
      </c>
      <c r="H422" s="130" t="s">
        <v>29</v>
      </c>
      <c r="I422" s="130" t="s">
        <v>36</v>
      </c>
      <c r="J422" s="135">
        <v>44922</v>
      </c>
      <c r="K422" s="130" t="s">
        <v>1775</v>
      </c>
    </row>
    <row r="423" spans="1:24" ht="24" customHeight="1" x14ac:dyDescent="0.2">
      <c r="A423" s="130">
        <v>422</v>
      </c>
      <c r="B423" s="131" t="s">
        <v>127</v>
      </c>
      <c r="C423" s="134" t="s">
        <v>968</v>
      </c>
      <c r="D423" s="134" t="s">
        <v>970</v>
      </c>
      <c r="E423" s="134" t="s">
        <v>971</v>
      </c>
      <c r="F423" s="134"/>
      <c r="G423" s="136" t="s">
        <v>131</v>
      </c>
      <c r="H423" s="136" t="s">
        <v>205</v>
      </c>
      <c r="I423" s="130" t="s">
        <v>132</v>
      </c>
      <c r="J423" s="135">
        <v>44504</v>
      </c>
      <c r="K423" s="130" t="s">
        <v>972</v>
      </c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24" customHeight="1" x14ac:dyDescent="0.2">
      <c r="A424" s="130">
        <v>423</v>
      </c>
      <c r="B424" s="131" t="s">
        <v>376</v>
      </c>
      <c r="C424" s="134" t="s">
        <v>1081</v>
      </c>
      <c r="D424" s="134" t="s">
        <v>1082</v>
      </c>
      <c r="E424" s="134" t="s">
        <v>1083</v>
      </c>
      <c r="F424" s="137"/>
      <c r="G424" s="136" t="s">
        <v>1401</v>
      </c>
      <c r="H424" s="130" t="s">
        <v>47</v>
      </c>
      <c r="I424" s="130" t="s">
        <v>132</v>
      </c>
      <c r="J424" s="135">
        <v>44890</v>
      </c>
      <c r="K424" s="130" t="s">
        <v>1087</v>
      </c>
    </row>
    <row r="425" spans="1:24" ht="21.75" customHeight="1" x14ac:dyDescent="0.2">
      <c r="A425" s="130">
        <v>424</v>
      </c>
      <c r="B425" s="131" t="s">
        <v>32</v>
      </c>
      <c r="C425" s="134" t="s">
        <v>433</v>
      </c>
      <c r="D425" s="134" t="s">
        <v>434</v>
      </c>
      <c r="E425" s="134" t="s">
        <v>435</v>
      </c>
      <c r="F425" s="137"/>
      <c r="G425" s="130" t="s">
        <v>131</v>
      </c>
      <c r="H425" s="130" t="s">
        <v>212</v>
      </c>
      <c r="I425" s="130" t="s">
        <v>36</v>
      </c>
      <c r="J425" s="135">
        <v>44879</v>
      </c>
      <c r="K425" s="130" t="s">
        <v>439</v>
      </c>
    </row>
    <row r="426" spans="1:24" ht="22.5" customHeight="1" x14ac:dyDescent="0.2">
      <c r="A426" s="130">
        <v>425</v>
      </c>
      <c r="B426" s="131" t="s">
        <v>42</v>
      </c>
      <c r="C426" s="134" t="s">
        <v>1442</v>
      </c>
      <c r="D426" s="134" t="s">
        <v>1443</v>
      </c>
      <c r="E426" s="134" t="s">
        <v>1444</v>
      </c>
      <c r="F426" s="134"/>
      <c r="G426" s="170" t="s">
        <v>131</v>
      </c>
      <c r="H426" s="170" t="s">
        <v>47</v>
      </c>
      <c r="I426" s="139" t="s">
        <v>2530</v>
      </c>
      <c r="J426" s="135">
        <v>41953</v>
      </c>
      <c r="K426" s="138" t="s">
        <v>2531</v>
      </c>
    </row>
    <row r="427" spans="1:24" ht="23.25" customHeight="1" x14ac:dyDescent="0.2">
      <c r="A427" s="130">
        <v>426</v>
      </c>
      <c r="B427" s="131" t="s">
        <v>528</v>
      </c>
      <c r="C427" s="134" t="s">
        <v>1604</v>
      </c>
      <c r="D427" s="134" t="s">
        <v>701</v>
      </c>
      <c r="E427" s="134" t="s">
        <v>1606</v>
      </c>
      <c r="F427" s="134"/>
      <c r="G427" s="130" t="s">
        <v>28</v>
      </c>
      <c r="H427" s="130" t="s">
        <v>89</v>
      </c>
      <c r="I427" s="130" t="s">
        <v>182</v>
      </c>
      <c r="J427" s="135">
        <v>40360</v>
      </c>
      <c r="K427" s="138" t="s">
        <v>1607</v>
      </c>
    </row>
    <row r="428" spans="1:24" ht="23.25" customHeight="1" x14ac:dyDescent="0.2">
      <c r="A428" s="130">
        <v>427</v>
      </c>
      <c r="B428" s="131" t="s">
        <v>32</v>
      </c>
      <c r="C428" s="134" t="s">
        <v>2042</v>
      </c>
      <c r="D428" s="134" t="s">
        <v>2043</v>
      </c>
      <c r="E428" s="134" t="s">
        <v>2045</v>
      </c>
      <c r="F428" s="134" t="s">
        <v>181</v>
      </c>
      <c r="G428" s="130" t="s">
        <v>28</v>
      </c>
      <c r="H428" s="130" t="s">
        <v>29</v>
      </c>
      <c r="I428" s="130" t="s">
        <v>36</v>
      </c>
      <c r="J428" s="135">
        <v>44922</v>
      </c>
      <c r="K428" s="130" t="s">
        <v>2046</v>
      </c>
    </row>
    <row r="429" spans="1:24" ht="23.25" customHeight="1" x14ac:dyDescent="0.2">
      <c r="A429" s="130">
        <v>428</v>
      </c>
      <c r="B429" s="131" t="s">
        <v>32</v>
      </c>
      <c r="C429" s="134" t="s">
        <v>937</v>
      </c>
      <c r="D429" s="134" t="s">
        <v>938</v>
      </c>
      <c r="E429" s="134" t="s">
        <v>940</v>
      </c>
      <c r="F429" s="134"/>
      <c r="G429" s="130" t="s">
        <v>131</v>
      </c>
      <c r="H429" s="130" t="s">
        <v>212</v>
      </c>
      <c r="I429" s="130" t="s">
        <v>36</v>
      </c>
      <c r="J429" s="135">
        <v>44900</v>
      </c>
      <c r="K429" s="130" t="s">
        <v>941</v>
      </c>
    </row>
    <row r="430" spans="1:24" ht="23.25" customHeight="1" x14ac:dyDescent="0.2">
      <c r="A430" s="130">
        <v>429</v>
      </c>
      <c r="B430" s="131" t="s">
        <v>32</v>
      </c>
      <c r="C430" s="134" t="s">
        <v>863</v>
      </c>
      <c r="D430" s="134" t="s">
        <v>865</v>
      </c>
      <c r="E430" s="134" t="s">
        <v>867</v>
      </c>
      <c r="F430" s="134"/>
      <c r="G430" s="130" t="s">
        <v>131</v>
      </c>
      <c r="H430" s="130" t="s">
        <v>162</v>
      </c>
      <c r="I430" s="130" t="s">
        <v>36</v>
      </c>
      <c r="J430" s="135">
        <v>44900</v>
      </c>
      <c r="K430" s="130" t="s">
        <v>871</v>
      </c>
    </row>
    <row r="431" spans="1:24" ht="22.5" customHeight="1" x14ac:dyDescent="0.2">
      <c r="A431" s="130">
        <v>430</v>
      </c>
      <c r="B431" s="131" t="s">
        <v>397</v>
      </c>
      <c r="C431" s="134" t="s">
        <v>1319</v>
      </c>
      <c r="D431" s="134" t="s">
        <v>1719</v>
      </c>
      <c r="E431" s="134" t="s">
        <v>1720</v>
      </c>
      <c r="F431" s="134"/>
      <c r="G431" s="130" t="s">
        <v>28</v>
      </c>
      <c r="H431" s="130" t="s">
        <v>89</v>
      </c>
      <c r="I431" s="130" t="s">
        <v>311</v>
      </c>
      <c r="J431" s="135">
        <v>39995</v>
      </c>
      <c r="K431" s="138" t="s">
        <v>1721</v>
      </c>
    </row>
    <row r="432" spans="1:24" ht="23.25" customHeight="1" x14ac:dyDescent="0.2">
      <c r="A432" s="130">
        <v>431</v>
      </c>
      <c r="B432" s="159" t="s">
        <v>62</v>
      </c>
      <c r="C432" s="160" t="s">
        <v>1813</v>
      </c>
      <c r="D432" s="160" t="s">
        <v>508</v>
      </c>
      <c r="E432" s="160" t="s">
        <v>1320</v>
      </c>
      <c r="F432" s="161"/>
      <c r="G432" s="130" t="s">
        <v>1814</v>
      </c>
      <c r="H432" s="136" t="s">
        <v>526</v>
      </c>
      <c r="I432" s="130" t="s">
        <v>21</v>
      </c>
      <c r="J432" s="135">
        <v>36473</v>
      </c>
      <c r="K432" s="136" t="s">
        <v>1815</v>
      </c>
    </row>
    <row r="433" spans="1:11" ht="23.25" customHeight="1" x14ac:dyDescent="0.2">
      <c r="A433" s="130">
        <v>432</v>
      </c>
      <c r="B433" s="131" t="s">
        <v>14</v>
      </c>
      <c r="C433" s="134" t="s">
        <v>15</v>
      </c>
      <c r="D433" s="134" t="s">
        <v>16</v>
      </c>
      <c r="E433" s="134" t="s">
        <v>17</v>
      </c>
      <c r="F433" s="134"/>
      <c r="G433" s="136" t="s">
        <v>19</v>
      </c>
      <c r="H433" s="130" t="s">
        <v>20</v>
      </c>
      <c r="I433" s="130" t="s">
        <v>21</v>
      </c>
      <c r="J433" s="135">
        <v>34851</v>
      </c>
      <c r="K433" s="130" t="s">
        <v>22</v>
      </c>
    </row>
    <row r="434" spans="1:11" ht="30.75" customHeight="1" x14ac:dyDescent="0.2">
      <c r="A434" s="130">
        <v>433</v>
      </c>
      <c r="B434" s="131" t="s">
        <v>528</v>
      </c>
      <c r="C434" s="134" t="s">
        <v>1451</v>
      </c>
      <c r="D434" s="134" t="s">
        <v>2271</v>
      </c>
      <c r="E434" s="134" t="s">
        <v>2272</v>
      </c>
      <c r="F434" s="134"/>
      <c r="G434" s="130" t="s">
        <v>2274</v>
      </c>
      <c r="H434" s="130" t="s">
        <v>401</v>
      </c>
      <c r="I434" s="130" t="s">
        <v>182</v>
      </c>
      <c r="J434" s="135">
        <v>39995</v>
      </c>
      <c r="K434" s="130" t="s">
        <v>2275</v>
      </c>
    </row>
    <row r="435" spans="1:11" ht="23.25" customHeight="1" x14ac:dyDescent="0.2">
      <c r="A435" s="130">
        <v>434</v>
      </c>
      <c r="B435" s="131" t="s">
        <v>42</v>
      </c>
      <c r="C435" s="134" t="s">
        <v>1451</v>
      </c>
      <c r="D435" s="134" t="s">
        <v>1452</v>
      </c>
      <c r="E435" s="134" t="s">
        <v>324</v>
      </c>
      <c r="F435" s="134"/>
      <c r="G435" s="130" t="s">
        <v>2441</v>
      </c>
      <c r="H435" s="130" t="s">
        <v>47</v>
      </c>
      <c r="I435" s="139" t="s">
        <v>54</v>
      </c>
      <c r="J435" s="135">
        <v>44971</v>
      </c>
      <c r="K435" s="130" t="s">
        <v>2442</v>
      </c>
    </row>
    <row r="436" spans="1:11" ht="28.5" customHeight="1" x14ac:dyDescent="0.2">
      <c r="A436" s="130">
        <v>435</v>
      </c>
      <c r="B436" s="131" t="s">
        <v>62</v>
      </c>
      <c r="C436" s="134" t="s">
        <v>1889</v>
      </c>
      <c r="D436" s="134" t="s">
        <v>1418</v>
      </c>
      <c r="E436" s="134" t="s">
        <v>1419</v>
      </c>
      <c r="F436" s="134"/>
      <c r="G436" s="130" t="s">
        <v>66</v>
      </c>
      <c r="H436" s="130" t="s">
        <v>89</v>
      </c>
      <c r="I436" s="130" t="s">
        <v>21</v>
      </c>
      <c r="J436" s="135">
        <v>38236</v>
      </c>
      <c r="K436" s="130" t="s">
        <v>1420</v>
      </c>
    </row>
    <row r="437" spans="1:11" ht="23.25" customHeight="1" x14ac:dyDescent="0.2">
      <c r="A437" s="130">
        <v>436</v>
      </c>
      <c r="B437" s="131" t="s">
        <v>201</v>
      </c>
      <c r="C437" s="134" t="s">
        <v>1826</v>
      </c>
      <c r="D437" s="134" t="s">
        <v>634</v>
      </c>
      <c r="E437" s="134" t="s">
        <v>1827</v>
      </c>
      <c r="F437" s="134"/>
      <c r="G437" s="130" t="s">
        <v>131</v>
      </c>
      <c r="H437" s="130" t="s">
        <v>47</v>
      </c>
      <c r="I437" s="130" t="s">
        <v>206</v>
      </c>
      <c r="J437" s="135">
        <v>42994</v>
      </c>
      <c r="K437" s="130" t="s">
        <v>1829</v>
      </c>
    </row>
    <row r="438" spans="1:11" ht="27.75" customHeight="1" x14ac:dyDescent="0.2">
      <c r="A438" s="130">
        <v>437</v>
      </c>
      <c r="B438" s="131" t="s">
        <v>318</v>
      </c>
      <c r="C438" s="134" t="s">
        <v>1211</v>
      </c>
      <c r="D438" s="134" t="s">
        <v>1212</v>
      </c>
      <c r="E438" s="134" t="s">
        <v>1213</v>
      </c>
      <c r="F438" s="134"/>
      <c r="G438" s="130" t="s">
        <v>131</v>
      </c>
      <c r="H438" s="138" t="s">
        <v>205</v>
      </c>
      <c r="I438" s="139" t="s">
        <v>206</v>
      </c>
      <c r="J438" s="135">
        <v>40513</v>
      </c>
      <c r="K438" s="138" t="s">
        <v>1217</v>
      </c>
    </row>
    <row r="439" spans="1:11" ht="30" customHeight="1" x14ac:dyDescent="0.2">
      <c r="A439" s="130">
        <v>438</v>
      </c>
      <c r="B439" s="131" t="s">
        <v>42</v>
      </c>
      <c r="C439" s="134" t="s">
        <v>1457</v>
      </c>
      <c r="D439" s="134" t="s">
        <v>1458</v>
      </c>
      <c r="E439" s="134" t="s">
        <v>1135</v>
      </c>
      <c r="F439" s="134"/>
      <c r="G439" s="170" t="s">
        <v>2532</v>
      </c>
      <c r="H439" s="138" t="s">
        <v>47</v>
      </c>
      <c r="I439" s="139" t="s">
        <v>2533</v>
      </c>
      <c r="J439" s="135">
        <v>40962</v>
      </c>
      <c r="K439" s="138" t="s">
        <v>2534</v>
      </c>
    </row>
    <row r="440" spans="1:11" ht="30" customHeight="1" x14ac:dyDescent="0.2">
      <c r="A440" s="130">
        <v>439</v>
      </c>
      <c r="B440" s="131" t="s">
        <v>32</v>
      </c>
      <c r="C440" s="134" t="s">
        <v>2678</v>
      </c>
      <c r="D440" s="134" t="s">
        <v>2679</v>
      </c>
      <c r="E440" s="134" t="s">
        <v>2681</v>
      </c>
      <c r="F440" s="134"/>
      <c r="G440" s="130" t="s">
        <v>28</v>
      </c>
      <c r="H440" s="130" t="s">
        <v>29</v>
      </c>
      <c r="I440" s="130" t="s">
        <v>36</v>
      </c>
      <c r="J440" s="135">
        <v>44922</v>
      </c>
      <c r="K440" s="130" t="s">
        <v>2682</v>
      </c>
    </row>
    <row r="441" spans="1:11" ht="22.5" customHeight="1" x14ac:dyDescent="0.2">
      <c r="A441" s="130">
        <v>440</v>
      </c>
      <c r="B441" s="131" t="s">
        <v>32</v>
      </c>
      <c r="C441" s="134" t="s">
        <v>2402</v>
      </c>
      <c r="D441" s="134" t="s">
        <v>2403</v>
      </c>
      <c r="E441" s="134" t="s">
        <v>2404</v>
      </c>
      <c r="F441" s="137"/>
      <c r="G441" s="130" t="s">
        <v>2405</v>
      </c>
      <c r="H441" s="130" t="s">
        <v>2406</v>
      </c>
      <c r="I441" s="130" t="s">
        <v>36</v>
      </c>
      <c r="J441" s="135">
        <v>44879</v>
      </c>
      <c r="K441" s="130" t="s">
        <v>2407</v>
      </c>
    </row>
    <row r="442" spans="1:11" ht="23.25" customHeight="1" x14ac:dyDescent="0.2">
      <c r="A442" s="130">
        <v>441</v>
      </c>
      <c r="B442" s="131" t="s">
        <v>127</v>
      </c>
      <c r="C442" s="142" t="s">
        <v>2134</v>
      </c>
      <c r="D442" s="142" t="s">
        <v>2135</v>
      </c>
      <c r="E442" s="142" t="s">
        <v>2136</v>
      </c>
      <c r="F442" s="142"/>
      <c r="G442" s="136" t="s">
        <v>131</v>
      </c>
      <c r="H442" s="136" t="s">
        <v>47</v>
      </c>
      <c r="I442" s="130" t="s">
        <v>132</v>
      </c>
      <c r="J442" s="135">
        <v>44455</v>
      </c>
      <c r="K442" s="130" t="s">
        <v>2138</v>
      </c>
    </row>
    <row r="443" spans="1:11" ht="24.75" customHeight="1" x14ac:dyDescent="0.2">
      <c r="A443" s="130">
        <v>442</v>
      </c>
      <c r="B443" s="131" t="s">
        <v>32</v>
      </c>
      <c r="C443" s="134" t="s">
        <v>2482</v>
      </c>
      <c r="D443" s="134" t="s">
        <v>2483</v>
      </c>
      <c r="E443" s="134" t="s">
        <v>2484</v>
      </c>
      <c r="F443" s="134"/>
      <c r="G443" s="138" t="s">
        <v>131</v>
      </c>
      <c r="H443" s="138" t="s">
        <v>96</v>
      </c>
      <c r="I443" s="139" t="s">
        <v>36</v>
      </c>
      <c r="J443" s="135">
        <v>44900</v>
      </c>
      <c r="K443" s="138" t="s">
        <v>2485</v>
      </c>
    </row>
    <row r="444" spans="1:11" ht="23.25" customHeight="1" x14ac:dyDescent="0.2">
      <c r="A444" s="130">
        <v>443</v>
      </c>
      <c r="B444" s="131" t="s">
        <v>32</v>
      </c>
      <c r="C444" s="134" t="s">
        <v>873</v>
      </c>
      <c r="D444" s="134" t="s">
        <v>875</v>
      </c>
      <c r="E444" s="134" t="s">
        <v>877</v>
      </c>
      <c r="F444" s="134"/>
      <c r="G444" s="130" t="s">
        <v>131</v>
      </c>
      <c r="H444" s="130" t="s">
        <v>212</v>
      </c>
      <c r="I444" s="130" t="s">
        <v>36</v>
      </c>
      <c r="J444" s="135">
        <v>44900</v>
      </c>
      <c r="K444" s="130" t="s">
        <v>878</v>
      </c>
    </row>
    <row r="445" spans="1:11" ht="23.25" customHeight="1" x14ac:dyDescent="0.2">
      <c r="A445" s="130">
        <v>444</v>
      </c>
      <c r="B445" s="131" t="s">
        <v>42</v>
      </c>
      <c r="C445" s="134" t="s">
        <v>1461</v>
      </c>
      <c r="D445" s="134" t="s">
        <v>1463</v>
      </c>
      <c r="E445" s="134" t="s">
        <v>1466</v>
      </c>
      <c r="F445" s="134"/>
      <c r="G445" s="138" t="s">
        <v>283</v>
      </c>
      <c r="H445" s="138" t="s">
        <v>47</v>
      </c>
      <c r="I445" s="139" t="s">
        <v>2535</v>
      </c>
      <c r="J445" s="135">
        <v>40830</v>
      </c>
      <c r="K445" s="138" t="s">
        <v>2536</v>
      </c>
    </row>
    <row r="446" spans="1:11" ht="23.25" customHeight="1" x14ac:dyDescent="0.2">
      <c r="A446" s="130">
        <v>445</v>
      </c>
      <c r="B446" s="131" t="s">
        <v>32</v>
      </c>
      <c r="C446" s="134" t="s">
        <v>2578</v>
      </c>
      <c r="D446" s="134" t="s">
        <v>2579</v>
      </c>
      <c r="E446" s="134" t="s">
        <v>2580</v>
      </c>
      <c r="F446" s="134"/>
      <c r="G446" s="130" t="s">
        <v>28</v>
      </c>
      <c r="H446" s="130" t="s">
        <v>29</v>
      </c>
      <c r="I446" s="130" t="s">
        <v>30</v>
      </c>
      <c r="J446" s="135">
        <v>44922</v>
      </c>
      <c r="K446" s="130" t="s">
        <v>2581</v>
      </c>
    </row>
    <row r="447" spans="1:11" ht="23.25" customHeight="1" x14ac:dyDescent="0.2">
      <c r="A447" s="130">
        <v>446</v>
      </c>
      <c r="B447" s="131" t="s">
        <v>42</v>
      </c>
      <c r="C447" s="134" t="s">
        <v>1472</v>
      </c>
      <c r="D447" s="134" t="s">
        <v>1473</v>
      </c>
      <c r="E447" s="134" t="s">
        <v>1474</v>
      </c>
      <c r="F447" s="134"/>
      <c r="G447" s="138" t="s">
        <v>2746</v>
      </c>
      <c r="H447" s="130" t="s">
        <v>89</v>
      </c>
      <c r="I447" s="130" t="s">
        <v>90</v>
      </c>
      <c r="J447" s="135">
        <v>46106</v>
      </c>
      <c r="K447" s="138" t="s">
        <v>2747</v>
      </c>
    </row>
    <row r="448" spans="1:11" ht="23.25" customHeight="1" x14ac:dyDescent="0.2">
      <c r="A448" s="130">
        <v>447</v>
      </c>
      <c r="B448" s="131" t="s">
        <v>42</v>
      </c>
      <c r="C448" s="134" t="s">
        <v>1480</v>
      </c>
      <c r="D448" s="134" t="s">
        <v>1481</v>
      </c>
      <c r="E448" s="134" t="s">
        <v>1482</v>
      </c>
      <c r="F448" s="134"/>
      <c r="G448" s="147" t="s">
        <v>2282</v>
      </c>
      <c r="H448" s="147" t="s">
        <v>89</v>
      </c>
      <c r="I448" s="136" t="s">
        <v>54</v>
      </c>
      <c r="J448" s="135">
        <v>44935</v>
      </c>
      <c r="K448" s="130" t="s">
        <v>2283</v>
      </c>
    </row>
    <row r="449" spans="1:24" ht="23.25" customHeight="1" x14ac:dyDescent="0.2">
      <c r="A449" s="130">
        <v>448</v>
      </c>
      <c r="B449" s="131" t="s">
        <v>42</v>
      </c>
      <c r="C449" s="142" t="s">
        <v>1486</v>
      </c>
      <c r="D449" s="142" t="s">
        <v>1487</v>
      </c>
      <c r="E449" s="142" t="s">
        <v>1488</v>
      </c>
      <c r="F449" s="142"/>
      <c r="G449" s="130" t="s">
        <v>2242</v>
      </c>
      <c r="H449" s="130" t="s">
        <v>2243</v>
      </c>
      <c r="I449" s="130" t="s">
        <v>90</v>
      </c>
      <c r="J449" s="135">
        <v>46069</v>
      </c>
      <c r="K449" s="130" t="s">
        <v>2244</v>
      </c>
    </row>
    <row r="450" spans="1:24" ht="23.25" customHeight="1" x14ac:dyDescent="0.2">
      <c r="A450" s="130">
        <v>449</v>
      </c>
      <c r="B450" s="131" t="s">
        <v>323</v>
      </c>
      <c r="C450" s="134" t="s">
        <v>2139</v>
      </c>
      <c r="D450" s="134" t="s">
        <v>2140</v>
      </c>
      <c r="E450" s="134" t="s">
        <v>2141</v>
      </c>
      <c r="F450" s="137"/>
      <c r="G450" s="130" t="s">
        <v>368</v>
      </c>
      <c r="H450" s="130" t="s">
        <v>47</v>
      </c>
      <c r="I450" s="130" t="s">
        <v>132</v>
      </c>
      <c r="J450" s="135">
        <v>44890</v>
      </c>
      <c r="K450" s="130" t="s">
        <v>2143</v>
      </c>
    </row>
    <row r="451" spans="1:24" ht="30.75" customHeight="1" x14ac:dyDescent="0.2">
      <c r="A451" s="130">
        <v>450</v>
      </c>
      <c r="B451" s="131" t="s">
        <v>42</v>
      </c>
      <c r="C451" s="134" t="s">
        <v>1491</v>
      </c>
      <c r="D451" s="134" t="s">
        <v>1492</v>
      </c>
      <c r="E451" s="134" t="s">
        <v>1494</v>
      </c>
      <c r="F451" s="134"/>
      <c r="G451" s="138" t="s">
        <v>2787</v>
      </c>
      <c r="H451" s="138" t="s">
        <v>96</v>
      </c>
      <c r="I451" s="139" t="s">
        <v>2788</v>
      </c>
      <c r="J451" s="135">
        <v>45155</v>
      </c>
      <c r="K451" s="138" t="s">
        <v>2789</v>
      </c>
    </row>
    <row r="452" spans="1:24" ht="23.25" customHeight="1" x14ac:dyDescent="0.2">
      <c r="A452" s="130">
        <v>451</v>
      </c>
      <c r="B452" s="131" t="s">
        <v>32</v>
      </c>
      <c r="C452" s="134" t="s">
        <v>2129</v>
      </c>
      <c r="D452" s="134" t="s">
        <v>2130</v>
      </c>
      <c r="E452" s="134" t="s">
        <v>2131</v>
      </c>
      <c r="F452" s="134"/>
      <c r="G452" s="130" t="s">
        <v>28</v>
      </c>
      <c r="H452" s="130" t="s">
        <v>29</v>
      </c>
      <c r="I452" s="130" t="s">
        <v>36</v>
      </c>
      <c r="J452" s="135">
        <v>44922</v>
      </c>
      <c r="K452" s="130" t="s">
        <v>2132</v>
      </c>
    </row>
    <row r="453" spans="1:24" ht="24.75" customHeight="1" x14ac:dyDescent="0.2">
      <c r="A453" s="130">
        <v>452</v>
      </c>
      <c r="B453" s="131" t="s">
        <v>57</v>
      </c>
      <c r="C453" s="134" t="s">
        <v>121</v>
      </c>
      <c r="D453" s="134" t="s">
        <v>122</v>
      </c>
      <c r="E453" s="134" t="s">
        <v>123</v>
      </c>
      <c r="F453" s="134"/>
      <c r="G453" s="130" t="s">
        <v>124</v>
      </c>
      <c r="H453" s="136" t="s">
        <v>125</v>
      </c>
      <c r="I453" s="130" t="s">
        <v>21</v>
      </c>
      <c r="J453" s="135">
        <v>37201</v>
      </c>
      <c r="K453" s="136" t="s">
        <v>126</v>
      </c>
    </row>
    <row r="454" spans="1:24" ht="27" customHeight="1" x14ac:dyDescent="0.2">
      <c r="A454" s="130">
        <v>453</v>
      </c>
      <c r="B454" s="131" t="s">
        <v>42</v>
      </c>
      <c r="C454" s="134" t="s">
        <v>1497</v>
      </c>
      <c r="D454" s="134" t="s">
        <v>1498</v>
      </c>
      <c r="E454" s="134" t="s">
        <v>1499</v>
      </c>
      <c r="F454" s="134"/>
      <c r="G454" s="138" t="s">
        <v>2278</v>
      </c>
      <c r="H454" s="138" t="s">
        <v>477</v>
      </c>
      <c r="I454" s="139" t="s">
        <v>1882</v>
      </c>
      <c r="J454" s="135">
        <v>45155</v>
      </c>
      <c r="K454" s="138" t="s">
        <v>2647</v>
      </c>
    </row>
    <row r="455" spans="1:24" ht="23.25" customHeight="1" x14ac:dyDescent="0.2">
      <c r="A455" s="130">
        <v>454</v>
      </c>
      <c r="B455" s="131" t="s">
        <v>42</v>
      </c>
      <c r="C455" s="134" t="s">
        <v>642</v>
      </c>
      <c r="D455" s="134" t="s">
        <v>1503</v>
      </c>
      <c r="E455" s="134" t="s">
        <v>1276</v>
      </c>
      <c r="F455" s="134"/>
      <c r="G455" s="138" t="s">
        <v>2790</v>
      </c>
      <c r="H455" s="138" t="s">
        <v>47</v>
      </c>
      <c r="I455" s="139" t="s">
        <v>2791</v>
      </c>
      <c r="J455" s="135">
        <v>33408</v>
      </c>
      <c r="K455" s="138" t="s">
        <v>2792</v>
      </c>
    </row>
    <row r="456" spans="1:24" ht="24.75" customHeight="1" x14ac:dyDescent="0.2">
      <c r="A456" s="130">
        <v>455</v>
      </c>
      <c r="B456" s="131" t="s">
        <v>134</v>
      </c>
      <c r="C456" s="134" t="s">
        <v>1980</v>
      </c>
      <c r="D456" s="134" t="s">
        <v>1981</v>
      </c>
      <c r="E456" s="134" t="s">
        <v>1982</v>
      </c>
      <c r="F456" s="142"/>
      <c r="G456" s="130" t="s">
        <v>131</v>
      </c>
      <c r="H456" s="130" t="s">
        <v>47</v>
      </c>
      <c r="I456" s="130" t="s">
        <v>36</v>
      </c>
      <c r="J456" s="135">
        <v>43381</v>
      </c>
      <c r="K456" s="141" t="s">
        <v>1983</v>
      </c>
    </row>
    <row r="457" spans="1:24" ht="23.25" customHeight="1" x14ac:dyDescent="0.2">
      <c r="A457" s="130">
        <v>456</v>
      </c>
      <c r="B457" s="131" t="s">
        <v>177</v>
      </c>
      <c r="C457" s="134" t="s">
        <v>261</v>
      </c>
      <c r="D457" s="134" t="s">
        <v>262</v>
      </c>
      <c r="E457" s="134" t="s">
        <v>190</v>
      </c>
      <c r="F457" s="134"/>
      <c r="G457" s="149" t="s">
        <v>264</v>
      </c>
      <c r="H457" s="147" t="s">
        <v>265</v>
      </c>
      <c r="I457" s="147" t="s">
        <v>182</v>
      </c>
      <c r="J457" s="135">
        <v>40513</v>
      </c>
      <c r="K457" s="136" t="s">
        <v>266</v>
      </c>
    </row>
    <row r="458" spans="1:24" ht="23.25" customHeight="1" x14ac:dyDescent="0.2">
      <c r="A458" s="130">
        <v>457</v>
      </c>
      <c r="B458" s="131" t="s">
        <v>42</v>
      </c>
      <c r="C458" s="134" t="s">
        <v>261</v>
      </c>
      <c r="D458" s="134" t="s">
        <v>1509</v>
      </c>
      <c r="E458" s="134" t="s">
        <v>190</v>
      </c>
      <c r="F458" s="134"/>
      <c r="G458" s="130" t="s">
        <v>167</v>
      </c>
      <c r="H458" s="130" t="s">
        <v>47</v>
      </c>
      <c r="I458" s="139" t="s">
        <v>2738</v>
      </c>
      <c r="J458" s="135">
        <v>44572</v>
      </c>
      <c r="K458" s="156" t="s">
        <v>2739</v>
      </c>
    </row>
    <row r="459" spans="1:24" ht="23.25" customHeight="1" x14ac:dyDescent="0.2">
      <c r="A459" s="130">
        <v>458</v>
      </c>
      <c r="B459" s="131" t="s">
        <v>32</v>
      </c>
      <c r="C459" s="134" t="s">
        <v>157</v>
      </c>
      <c r="D459" s="134" t="s">
        <v>158</v>
      </c>
      <c r="E459" s="134" t="s">
        <v>159</v>
      </c>
      <c r="F459" s="134"/>
      <c r="G459" s="130" t="s">
        <v>161</v>
      </c>
      <c r="H459" s="130" t="s">
        <v>162</v>
      </c>
      <c r="I459" s="130" t="s">
        <v>36</v>
      </c>
      <c r="J459" s="135">
        <v>44900</v>
      </c>
      <c r="K459" s="130" t="s">
        <v>163</v>
      </c>
    </row>
    <row r="460" spans="1:24" ht="23.25" customHeight="1" x14ac:dyDescent="0.2">
      <c r="A460" s="130">
        <v>459</v>
      </c>
      <c r="B460" s="131" t="s">
        <v>42</v>
      </c>
      <c r="C460" s="134" t="s">
        <v>1511</v>
      </c>
      <c r="D460" s="134" t="s">
        <v>1512</v>
      </c>
      <c r="E460" s="134" t="s">
        <v>590</v>
      </c>
      <c r="F460" s="134"/>
      <c r="G460" s="138" t="s">
        <v>2740</v>
      </c>
      <c r="H460" s="138" t="s">
        <v>477</v>
      </c>
      <c r="I460" s="139" t="s">
        <v>2741</v>
      </c>
      <c r="J460" s="135">
        <v>38586</v>
      </c>
      <c r="K460" s="138" t="s">
        <v>2742</v>
      </c>
    </row>
    <row r="461" spans="1:24" ht="22.5" customHeight="1" x14ac:dyDescent="0.2">
      <c r="A461" s="130">
        <v>460</v>
      </c>
      <c r="B461" s="131" t="s">
        <v>42</v>
      </c>
      <c r="C461" s="134" t="s">
        <v>1511</v>
      </c>
      <c r="D461" s="134" t="s">
        <v>1079</v>
      </c>
      <c r="E461" s="134" t="s">
        <v>1518</v>
      </c>
      <c r="F461" s="134"/>
      <c r="G461" s="138" t="s">
        <v>1321</v>
      </c>
      <c r="H461" s="138" t="s">
        <v>47</v>
      </c>
      <c r="I461" s="139" t="s">
        <v>148</v>
      </c>
      <c r="J461" s="135">
        <v>45155</v>
      </c>
      <c r="K461" s="138" t="s">
        <v>2794</v>
      </c>
    </row>
    <row r="462" spans="1:24" ht="23.25" customHeight="1" x14ac:dyDescent="0.2">
      <c r="A462" s="130">
        <v>461</v>
      </c>
      <c r="B462" s="131" t="s">
        <v>42</v>
      </c>
      <c r="C462" s="142" t="s">
        <v>1524</v>
      </c>
      <c r="D462" s="142" t="s">
        <v>1525</v>
      </c>
      <c r="E462" s="142" t="s">
        <v>1526</v>
      </c>
      <c r="F462" s="142"/>
      <c r="G462" s="130" t="s">
        <v>2245</v>
      </c>
      <c r="H462" s="130" t="s">
        <v>47</v>
      </c>
      <c r="I462" s="144" t="s">
        <v>2246</v>
      </c>
      <c r="J462" s="135">
        <v>44935</v>
      </c>
      <c r="K462" s="130" t="s">
        <v>2241</v>
      </c>
    </row>
    <row r="463" spans="1:24" ht="23.25" customHeight="1" x14ac:dyDescent="0.2">
      <c r="A463" s="130">
        <v>462</v>
      </c>
      <c r="B463" s="131" t="s">
        <v>127</v>
      </c>
      <c r="C463" s="131" t="s">
        <v>605</v>
      </c>
      <c r="D463" s="134" t="s">
        <v>607</v>
      </c>
      <c r="E463" s="134" t="s">
        <v>608</v>
      </c>
      <c r="F463" s="134"/>
      <c r="G463" s="136" t="s">
        <v>131</v>
      </c>
      <c r="H463" s="136" t="s">
        <v>814</v>
      </c>
      <c r="I463" s="130" t="s">
        <v>132</v>
      </c>
      <c r="J463" s="135">
        <v>44504</v>
      </c>
      <c r="K463" s="130" t="s">
        <v>818</v>
      </c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22.5" customHeight="1" x14ac:dyDescent="0.2">
      <c r="A464" s="130">
        <v>463</v>
      </c>
      <c r="B464" s="131" t="s">
        <v>127</v>
      </c>
      <c r="C464" s="134" t="s">
        <v>605</v>
      </c>
      <c r="D464" s="134" t="s">
        <v>2000</v>
      </c>
      <c r="E464" s="134" t="s">
        <v>2002</v>
      </c>
      <c r="F464" s="134"/>
      <c r="G464" s="136" t="s">
        <v>131</v>
      </c>
      <c r="H464" s="136" t="s">
        <v>47</v>
      </c>
      <c r="I464" s="130" t="s">
        <v>132</v>
      </c>
      <c r="J464" s="135">
        <v>44504</v>
      </c>
      <c r="K464" s="130" t="s">
        <v>2005</v>
      </c>
    </row>
    <row r="465" spans="1:24" ht="24.75" customHeight="1" x14ac:dyDescent="0.2">
      <c r="A465" s="130">
        <v>464</v>
      </c>
      <c r="B465" s="131" t="s">
        <v>42</v>
      </c>
      <c r="C465" s="134" t="s">
        <v>1533</v>
      </c>
      <c r="D465" s="134" t="s">
        <v>1534</v>
      </c>
      <c r="E465" s="134" t="s">
        <v>438</v>
      </c>
      <c r="F465" s="134"/>
      <c r="G465" s="130" t="s">
        <v>2149</v>
      </c>
      <c r="H465" s="139" t="s">
        <v>195</v>
      </c>
      <c r="I465" s="139" t="s">
        <v>2648</v>
      </c>
      <c r="J465" s="135">
        <v>33003</v>
      </c>
      <c r="K465" s="138" t="s">
        <v>2649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 spans="1:24" ht="28.5" customHeight="1" x14ac:dyDescent="0.2">
      <c r="A466" s="130">
        <v>465</v>
      </c>
      <c r="B466" s="131" t="s">
        <v>62</v>
      </c>
      <c r="C466" s="160" t="s">
        <v>2447</v>
      </c>
      <c r="D466" s="160" t="s">
        <v>2023</v>
      </c>
      <c r="E466" s="160" t="s">
        <v>2024</v>
      </c>
      <c r="F466" s="160"/>
      <c r="G466" s="130" t="s">
        <v>2448</v>
      </c>
      <c r="H466" s="130" t="s">
        <v>89</v>
      </c>
      <c r="I466" s="130" t="s">
        <v>21</v>
      </c>
      <c r="J466" s="135">
        <v>37406</v>
      </c>
      <c r="K466" s="130" t="s">
        <v>2025</v>
      </c>
    </row>
    <row r="467" spans="1:24" ht="27" customHeight="1" x14ac:dyDescent="0.2">
      <c r="A467" s="130">
        <v>466</v>
      </c>
      <c r="B467" s="131" t="s">
        <v>42</v>
      </c>
      <c r="C467" s="134" t="s">
        <v>455</v>
      </c>
      <c r="D467" s="134" t="s">
        <v>456</v>
      </c>
      <c r="E467" s="134" t="s">
        <v>457</v>
      </c>
      <c r="F467" s="134"/>
      <c r="G467" s="147" t="s">
        <v>458</v>
      </c>
      <c r="H467" s="147" t="s">
        <v>47</v>
      </c>
      <c r="I467" s="139" t="s">
        <v>459</v>
      </c>
      <c r="J467" s="135">
        <v>44971</v>
      </c>
      <c r="K467" s="138" t="s">
        <v>460</v>
      </c>
    </row>
    <row r="468" spans="1:24" ht="23.25" customHeight="1" x14ac:dyDescent="0.2">
      <c r="A468" s="130">
        <v>467</v>
      </c>
      <c r="B468" s="131" t="s">
        <v>528</v>
      </c>
      <c r="C468" s="134" t="s">
        <v>842</v>
      </c>
      <c r="D468" s="134" t="s">
        <v>2562</v>
      </c>
      <c r="E468" s="134" t="s">
        <v>2563</v>
      </c>
      <c r="F468" s="134"/>
      <c r="G468" s="130" t="s">
        <v>239</v>
      </c>
      <c r="H468" s="130" t="s">
        <v>401</v>
      </c>
      <c r="I468" s="130" t="s">
        <v>182</v>
      </c>
      <c r="J468" s="135">
        <v>40360</v>
      </c>
      <c r="K468" s="130" t="s">
        <v>2566</v>
      </c>
    </row>
    <row r="469" spans="1:24" ht="27" customHeight="1" x14ac:dyDescent="0.2">
      <c r="A469" s="130">
        <v>468</v>
      </c>
      <c r="B469" s="131" t="s">
        <v>42</v>
      </c>
      <c r="C469" s="134" t="s">
        <v>1535</v>
      </c>
      <c r="D469" s="134" t="s">
        <v>1536</v>
      </c>
      <c r="E469" s="134" t="s">
        <v>1043</v>
      </c>
      <c r="F469" s="134"/>
      <c r="G469" s="138" t="s">
        <v>2537</v>
      </c>
      <c r="H469" s="138" t="s">
        <v>47</v>
      </c>
      <c r="I469" s="139" t="s">
        <v>169</v>
      </c>
      <c r="J469" s="135">
        <v>40626</v>
      </c>
      <c r="K469" s="138" t="s">
        <v>2538</v>
      </c>
    </row>
    <row r="470" spans="1:24" ht="23.25" customHeight="1" x14ac:dyDescent="0.2">
      <c r="A470" s="130">
        <v>469</v>
      </c>
      <c r="B470" s="131" t="s">
        <v>127</v>
      </c>
      <c r="C470" s="142" t="s">
        <v>541</v>
      </c>
      <c r="D470" s="142" t="s">
        <v>542</v>
      </c>
      <c r="E470" s="142" t="s">
        <v>543</v>
      </c>
      <c r="F470" s="134"/>
      <c r="G470" s="136" t="s">
        <v>368</v>
      </c>
      <c r="H470" s="136" t="s">
        <v>47</v>
      </c>
      <c r="I470" s="130" t="s">
        <v>132</v>
      </c>
      <c r="J470" s="135">
        <v>44504</v>
      </c>
      <c r="K470" s="130" t="s">
        <v>699</v>
      </c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30.75" customHeight="1" x14ac:dyDescent="0.2">
      <c r="A471" s="130">
        <v>470</v>
      </c>
      <c r="B471" s="131" t="s">
        <v>42</v>
      </c>
      <c r="C471" s="134" t="s">
        <v>1540</v>
      </c>
      <c r="D471" s="134" t="s">
        <v>1542</v>
      </c>
      <c r="E471" s="134" t="s">
        <v>1543</v>
      </c>
      <c r="F471" s="134"/>
      <c r="G471" s="138" t="s">
        <v>131</v>
      </c>
      <c r="H471" s="136" t="s">
        <v>47</v>
      </c>
      <c r="I471" s="139" t="s">
        <v>90</v>
      </c>
      <c r="J471" s="135">
        <v>45156</v>
      </c>
      <c r="K471" s="138" t="s">
        <v>2539</v>
      </c>
    </row>
    <row r="472" spans="1:24" ht="24.75" customHeight="1" x14ac:dyDescent="0.2">
      <c r="A472" s="130">
        <v>471</v>
      </c>
      <c r="B472" s="131" t="s">
        <v>127</v>
      </c>
      <c r="C472" s="142" t="s">
        <v>1434</v>
      </c>
      <c r="D472" s="142" t="s">
        <v>1436</v>
      </c>
      <c r="E472" s="142" t="s">
        <v>1437</v>
      </c>
      <c r="F472" s="142"/>
      <c r="G472" s="136" t="s">
        <v>1894</v>
      </c>
      <c r="H472" s="136" t="s">
        <v>47</v>
      </c>
      <c r="I472" s="130" t="s">
        <v>132</v>
      </c>
      <c r="J472" s="135">
        <v>44455</v>
      </c>
      <c r="K472" s="130" t="s">
        <v>1441</v>
      </c>
    </row>
    <row r="473" spans="1:24" ht="28.5" customHeight="1" x14ac:dyDescent="0.2">
      <c r="A473" s="130">
        <v>472</v>
      </c>
      <c r="B473" s="131" t="s">
        <v>134</v>
      </c>
      <c r="C473" s="134" t="s">
        <v>1642</v>
      </c>
      <c r="D473" s="134" t="s">
        <v>1643</v>
      </c>
      <c r="E473" s="134" t="s">
        <v>1644</v>
      </c>
      <c r="F473" s="134"/>
      <c r="G473" s="136" t="s">
        <v>239</v>
      </c>
      <c r="H473" s="130" t="s">
        <v>75</v>
      </c>
      <c r="I473" s="130" t="s">
        <v>30</v>
      </c>
      <c r="J473" s="135">
        <v>42994</v>
      </c>
      <c r="K473" s="138" t="s">
        <v>1648</v>
      </c>
    </row>
    <row r="474" spans="1:24" ht="24" customHeight="1" x14ac:dyDescent="0.2">
      <c r="A474" s="130">
        <v>473</v>
      </c>
      <c r="B474" s="131" t="s">
        <v>127</v>
      </c>
      <c r="C474" s="142" t="s">
        <v>1984</v>
      </c>
      <c r="D474" s="142" t="s">
        <v>1985</v>
      </c>
      <c r="E474" s="142" t="s">
        <v>1584</v>
      </c>
      <c r="F474" s="142"/>
      <c r="G474" s="136" t="s">
        <v>131</v>
      </c>
      <c r="H474" s="136" t="s">
        <v>205</v>
      </c>
      <c r="I474" s="130" t="s">
        <v>132</v>
      </c>
      <c r="J474" s="135">
        <v>44504</v>
      </c>
      <c r="K474" s="130" t="s">
        <v>1986</v>
      </c>
    </row>
    <row r="475" spans="1:24" ht="25.5" customHeight="1" x14ac:dyDescent="0.2">
      <c r="A475" s="130">
        <v>474</v>
      </c>
      <c r="B475" s="134" t="s">
        <v>32</v>
      </c>
      <c r="C475" s="131" t="s">
        <v>246</v>
      </c>
      <c r="D475" s="131" t="s">
        <v>247</v>
      </c>
      <c r="E475" s="131" t="s">
        <v>248</v>
      </c>
      <c r="F475" s="131"/>
      <c r="G475" s="130" t="s">
        <v>28</v>
      </c>
      <c r="H475" s="130" t="s">
        <v>29</v>
      </c>
      <c r="I475" s="130" t="s">
        <v>90</v>
      </c>
      <c r="J475" s="135">
        <v>46069</v>
      </c>
      <c r="K475" s="130" t="s">
        <v>249</v>
      </c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24.75" customHeight="1" x14ac:dyDescent="0.2">
      <c r="A476" s="130">
        <v>475</v>
      </c>
      <c r="B476" s="131" t="s">
        <v>127</v>
      </c>
      <c r="C476" s="134" t="s">
        <v>1460</v>
      </c>
      <c r="D476" s="134" t="s">
        <v>1462</v>
      </c>
      <c r="E476" s="134" t="s">
        <v>1464</v>
      </c>
      <c r="F476" s="134"/>
      <c r="G476" s="136" t="s">
        <v>1924</v>
      </c>
      <c r="H476" s="136" t="s">
        <v>1372</v>
      </c>
      <c r="I476" s="130" t="s">
        <v>132</v>
      </c>
      <c r="J476" s="135">
        <v>44504</v>
      </c>
      <c r="K476" s="130" t="s">
        <v>1470</v>
      </c>
    </row>
    <row r="477" spans="1:24" ht="24.75" customHeight="1" x14ac:dyDescent="0.2">
      <c r="A477" s="130">
        <v>476</v>
      </c>
      <c r="B477" s="131" t="s">
        <v>127</v>
      </c>
      <c r="C477" s="134" t="s">
        <v>287</v>
      </c>
      <c r="D477" s="134" t="s">
        <v>288</v>
      </c>
      <c r="E477" s="134" t="s">
        <v>289</v>
      </c>
      <c r="F477" s="134"/>
      <c r="G477" s="136" t="s">
        <v>291</v>
      </c>
      <c r="H477" s="130" t="s">
        <v>96</v>
      </c>
      <c r="I477" s="130" t="s">
        <v>132</v>
      </c>
      <c r="J477" s="135">
        <v>44455</v>
      </c>
      <c r="K477" s="136" t="s">
        <v>293</v>
      </c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22.5" customHeight="1" x14ac:dyDescent="0.2">
      <c r="A478" s="130">
        <v>477</v>
      </c>
      <c r="B478" s="131" t="s">
        <v>134</v>
      </c>
      <c r="C478" s="142" t="s">
        <v>738</v>
      </c>
      <c r="D478" s="142" t="s">
        <v>739</v>
      </c>
      <c r="E478" s="142" t="s">
        <v>740</v>
      </c>
      <c r="F478" s="142"/>
      <c r="G478" s="130" t="s">
        <v>131</v>
      </c>
      <c r="H478" s="130" t="s">
        <v>29</v>
      </c>
      <c r="I478" s="130" t="s">
        <v>30</v>
      </c>
      <c r="J478" s="135">
        <v>43759</v>
      </c>
      <c r="K478" s="130" t="s">
        <v>744</v>
      </c>
    </row>
    <row r="479" spans="1:24" ht="22.5" customHeight="1" x14ac:dyDescent="0.2">
      <c r="A479" s="130">
        <v>478</v>
      </c>
      <c r="B479" s="131" t="s">
        <v>201</v>
      </c>
      <c r="C479" s="134" t="s">
        <v>194</v>
      </c>
      <c r="D479" s="134" t="s">
        <v>1840</v>
      </c>
      <c r="E479" s="134" t="s">
        <v>1842</v>
      </c>
      <c r="F479" s="134"/>
      <c r="G479" s="130" t="s">
        <v>131</v>
      </c>
      <c r="H479" s="136" t="s">
        <v>2291</v>
      </c>
      <c r="I479" s="139" t="s">
        <v>206</v>
      </c>
      <c r="J479" s="135">
        <v>41638</v>
      </c>
      <c r="K479" s="130" t="s">
        <v>2292</v>
      </c>
    </row>
    <row r="480" spans="1:24" ht="27.75" customHeight="1" x14ac:dyDescent="0.2">
      <c r="A480" s="130">
        <v>479</v>
      </c>
      <c r="B480" s="131" t="s">
        <v>42</v>
      </c>
      <c r="C480" s="134" t="s">
        <v>194</v>
      </c>
      <c r="D480" s="134" t="s">
        <v>1556</v>
      </c>
      <c r="E480" s="134" t="s">
        <v>1557</v>
      </c>
      <c r="F480" s="134"/>
      <c r="G480" s="138" t="s">
        <v>131</v>
      </c>
      <c r="H480" s="138" t="s">
        <v>47</v>
      </c>
      <c r="I480" s="139" t="s">
        <v>2540</v>
      </c>
      <c r="J480" s="135">
        <v>44572</v>
      </c>
      <c r="K480" s="130" t="s">
        <v>2541</v>
      </c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 spans="1:24" ht="27" customHeight="1" x14ac:dyDescent="0.2">
      <c r="A481" s="130">
        <v>480</v>
      </c>
      <c r="B481" s="131" t="s">
        <v>42</v>
      </c>
      <c r="C481" s="134" t="s">
        <v>194</v>
      </c>
      <c r="D481" s="134" t="s">
        <v>1547</v>
      </c>
      <c r="E481" s="134" t="s">
        <v>1548</v>
      </c>
      <c r="F481" s="134" t="s">
        <v>181</v>
      </c>
      <c r="G481" s="130" t="s">
        <v>1321</v>
      </c>
      <c r="H481" s="139" t="s">
        <v>47</v>
      </c>
      <c r="I481" s="139" t="s">
        <v>90</v>
      </c>
      <c r="J481" s="135">
        <v>44935</v>
      </c>
      <c r="K481" s="138" t="s">
        <v>2650</v>
      </c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 spans="1:24" ht="23.25" customHeight="1" x14ac:dyDescent="0.2">
      <c r="A482" s="130">
        <v>481</v>
      </c>
      <c r="B482" s="131" t="s">
        <v>42</v>
      </c>
      <c r="C482" s="134" t="s">
        <v>194</v>
      </c>
      <c r="D482" s="134" t="s">
        <v>1553</v>
      </c>
      <c r="E482" s="134" t="s">
        <v>1554</v>
      </c>
      <c r="F482" s="134"/>
      <c r="G482" s="138" t="s">
        <v>131</v>
      </c>
      <c r="H482" s="138" t="s">
        <v>205</v>
      </c>
      <c r="I482" s="139" t="s">
        <v>2651</v>
      </c>
      <c r="J482" s="135">
        <v>43815</v>
      </c>
      <c r="K482" s="130" t="s">
        <v>2652</v>
      </c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 spans="1:24" ht="25.5" customHeight="1" x14ac:dyDescent="0.2">
      <c r="A483" s="130">
        <v>482</v>
      </c>
      <c r="B483" s="131" t="s">
        <v>42</v>
      </c>
      <c r="C483" s="134" t="s">
        <v>194</v>
      </c>
      <c r="D483" s="134" t="s">
        <v>1559</v>
      </c>
      <c r="E483" s="134" t="s">
        <v>512</v>
      </c>
      <c r="F483" s="134"/>
      <c r="G483" s="138" t="s">
        <v>2795</v>
      </c>
      <c r="H483" s="136" t="s">
        <v>195</v>
      </c>
      <c r="I483" s="139" t="s">
        <v>2797</v>
      </c>
      <c r="J483" s="135">
        <v>31778</v>
      </c>
      <c r="K483" s="138" t="s">
        <v>2798</v>
      </c>
    </row>
    <row r="484" spans="1:24" ht="22.5" customHeight="1" x14ac:dyDescent="0.2">
      <c r="A484" s="130">
        <v>483</v>
      </c>
      <c r="B484" s="131" t="s">
        <v>69</v>
      </c>
      <c r="C484" s="134" t="s">
        <v>1438</v>
      </c>
      <c r="D484" s="134" t="s">
        <v>1439</v>
      </c>
      <c r="E484" s="134" t="s">
        <v>1440</v>
      </c>
      <c r="F484" s="134"/>
      <c r="G484" s="130" t="s">
        <v>131</v>
      </c>
      <c r="H484" s="130" t="s">
        <v>75</v>
      </c>
      <c r="I484" s="130" t="s">
        <v>30</v>
      </c>
      <c r="J484" s="135">
        <v>42088</v>
      </c>
      <c r="K484" s="130" t="s">
        <v>1445</v>
      </c>
    </row>
    <row r="485" spans="1:24" ht="22.5" customHeight="1" x14ac:dyDescent="0.2">
      <c r="A485" s="130">
        <v>484</v>
      </c>
      <c r="B485" s="131" t="s">
        <v>42</v>
      </c>
      <c r="C485" s="134" t="s">
        <v>1561</v>
      </c>
      <c r="D485" s="134" t="s">
        <v>1562</v>
      </c>
      <c r="E485" s="134" t="s">
        <v>1563</v>
      </c>
      <c r="F485" s="134" t="s">
        <v>181</v>
      </c>
      <c r="G485" s="138" t="s">
        <v>368</v>
      </c>
      <c r="H485" s="138" t="s">
        <v>47</v>
      </c>
      <c r="I485" s="139" t="s">
        <v>2557</v>
      </c>
      <c r="J485" s="135">
        <v>36892</v>
      </c>
      <c r="K485" s="138" t="s">
        <v>2558</v>
      </c>
    </row>
    <row r="486" spans="1:24" ht="23.25" customHeight="1" x14ac:dyDescent="0.2">
      <c r="A486" s="130">
        <v>485</v>
      </c>
      <c r="B486" s="131" t="s">
        <v>42</v>
      </c>
      <c r="C486" s="134" t="s">
        <v>1565</v>
      </c>
      <c r="D486" s="134" t="s">
        <v>1566</v>
      </c>
      <c r="E486" s="134" t="s">
        <v>1567</v>
      </c>
      <c r="F486" s="134"/>
      <c r="G486" s="138" t="s">
        <v>581</v>
      </c>
      <c r="H486" s="130" t="s">
        <v>2799</v>
      </c>
      <c r="I486" s="136" t="s">
        <v>2800</v>
      </c>
      <c r="J486" s="135">
        <v>43438</v>
      </c>
      <c r="K486" s="138" t="s">
        <v>2802</v>
      </c>
    </row>
    <row r="487" spans="1:24" ht="22.5" customHeight="1" x14ac:dyDescent="0.2">
      <c r="A487" s="130">
        <v>486</v>
      </c>
      <c r="B487" s="131" t="s">
        <v>42</v>
      </c>
      <c r="C487" s="134" t="s">
        <v>1495</v>
      </c>
      <c r="D487" s="134" t="s">
        <v>1574</v>
      </c>
      <c r="E487" s="134" t="s">
        <v>1575</v>
      </c>
      <c r="F487" s="134"/>
      <c r="G487" s="144" t="s">
        <v>829</v>
      </c>
      <c r="H487" s="144" t="s">
        <v>89</v>
      </c>
      <c r="I487" s="139" t="s">
        <v>2284</v>
      </c>
      <c r="J487" s="135">
        <v>38736</v>
      </c>
      <c r="K487" s="130" t="s">
        <v>2285</v>
      </c>
    </row>
    <row r="488" spans="1:24" ht="22.5" customHeight="1" x14ac:dyDescent="0.2">
      <c r="A488" s="130">
        <v>487</v>
      </c>
      <c r="B488" s="131" t="s">
        <v>32</v>
      </c>
      <c r="C488" s="134" t="s">
        <v>1907</v>
      </c>
      <c r="D488" s="134" t="s">
        <v>1909</v>
      </c>
      <c r="E488" s="134" t="s">
        <v>1910</v>
      </c>
      <c r="F488" s="137"/>
      <c r="G488" s="130" t="s">
        <v>131</v>
      </c>
      <c r="H488" s="130" t="s">
        <v>212</v>
      </c>
      <c r="I488" s="130" t="s">
        <v>36</v>
      </c>
      <c r="J488" s="135">
        <v>44879</v>
      </c>
      <c r="K488" s="130" t="s">
        <v>1911</v>
      </c>
    </row>
    <row r="489" spans="1:24" ht="22.5" customHeight="1" x14ac:dyDescent="0.2">
      <c r="A489" s="130">
        <v>488</v>
      </c>
      <c r="B489" s="131" t="s">
        <v>42</v>
      </c>
      <c r="C489" s="134" t="s">
        <v>1580</v>
      </c>
      <c r="D489" s="134" t="s">
        <v>1581</v>
      </c>
      <c r="E489" s="134" t="s">
        <v>1582</v>
      </c>
      <c r="F489" s="134"/>
      <c r="G489" s="147" t="s">
        <v>760</v>
      </c>
      <c r="H489" s="147" t="s">
        <v>452</v>
      </c>
      <c r="I489" s="139" t="s">
        <v>2804</v>
      </c>
      <c r="J489" s="135">
        <v>31481</v>
      </c>
      <c r="K489" s="138" t="s">
        <v>2805</v>
      </c>
    </row>
    <row r="490" spans="1:24" ht="22.5" customHeight="1" x14ac:dyDescent="0.2">
      <c r="A490" s="130">
        <v>489</v>
      </c>
      <c r="B490" s="131" t="s">
        <v>177</v>
      </c>
      <c r="C490" s="134" t="s">
        <v>2298</v>
      </c>
      <c r="D490" s="134" t="s">
        <v>2299</v>
      </c>
      <c r="E490" s="134" t="s">
        <v>2300</v>
      </c>
      <c r="F490" s="134"/>
      <c r="G490" s="130" t="s">
        <v>131</v>
      </c>
      <c r="H490" s="130" t="s">
        <v>401</v>
      </c>
      <c r="I490" s="130" t="s">
        <v>182</v>
      </c>
      <c r="J490" s="135">
        <v>40513</v>
      </c>
      <c r="K490" s="130" t="s">
        <v>2302</v>
      </c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22.5" customHeight="1" x14ac:dyDescent="0.2">
      <c r="A491" s="130">
        <v>490</v>
      </c>
      <c r="B491" s="131" t="s">
        <v>323</v>
      </c>
      <c r="C491" s="134" t="s">
        <v>899</v>
      </c>
      <c r="D491" s="134" t="s">
        <v>901</v>
      </c>
      <c r="E491" s="134" t="s">
        <v>903</v>
      </c>
      <c r="F491" s="134"/>
      <c r="G491" s="130" t="s">
        <v>28</v>
      </c>
      <c r="H491" s="130" t="s">
        <v>29</v>
      </c>
      <c r="I491" s="130" t="s">
        <v>132</v>
      </c>
      <c r="J491" s="135">
        <v>40004</v>
      </c>
      <c r="K491" s="130" t="s">
        <v>905</v>
      </c>
    </row>
    <row r="492" spans="1:24" ht="22.5" customHeight="1" x14ac:dyDescent="0.2">
      <c r="A492" s="130">
        <v>491</v>
      </c>
      <c r="B492" s="131" t="s">
        <v>127</v>
      </c>
      <c r="C492" s="134" t="s">
        <v>548</v>
      </c>
      <c r="D492" s="134" t="s">
        <v>550</v>
      </c>
      <c r="E492" s="134" t="s">
        <v>552</v>
      </c>
      <c r="F492" s="142"/>
      <c r="G492" s="130" t="s">
        <v>708</v>
      </c>
      <c r="H492" s="130" t="s">
        <v>47</v>
      </c>
      <c r="I492" s="130" t="s">
        <v>206</v>
      </c>
      <c r="J492" s="135">
        <v>43542</v>
      </c>
      <c r="K492" s="130" t="s">
        <v>558</v>
      </c>
    </row>
    <row r="493" spans="1:24" ht="27" customHeight="1" x14ac:dyDescent="0.2">
      <c r="A493" s="130">
        <v>492</v>
      </c>
      <c r="B493" s="131" t="s">
        <v>134</v>
      </c>
      <c r="C493" s="142" t="s">
        <v>1757</v>
      </c>
      <c r="D493" s="142" t="s">
        <v>1758</v>
      </c>
      <c r="E493" s="142" t="s">
        <v>1759</v>
      </c>
      <c r="F493" s="142"/>
      <c r="G493" s="130" t="s">
        <v>131</v>
      </c>
      <c r="H493" s="130" t="s">
        <v>47</v>
      </c>
      <c r="I493" s="130" t="s">
        <v>30</v>
      </c>
      <c r="J493" s="135">
        <v>43700</v>
      </c>
      <c r="K493" s="141" t="s">
        <v>1764</v>
      </c>
    </row>
    <row r="494" spans="1:24" ht="51" customHeight="1" x14ac:dyDescent="0.2">
      <c r="A494" s="130">
        <v>493</v>
      </c>
      <c r="B494" s="131" t="s">
        <v>62</v>
      </c>
      <c r="C494" s="134" t="s">
        <v>1757</v>
      </c>
      <c r="D494" s="134" t="s">
        <v>1689</v>
      </c>
      <c r="E494" s="134" t="s">
        <v>1879</v>
      </c>
      <c r="F494" s="134"/>
      <c r="G494" s="130" t="s">
        <v>239</v>
      </c>
      <c r="H494" s="130" t="s">
        <v>1681</v>
      </c>
      <c r="I494" s="130" t="s">
        <v>327</v>
      </c>
      <c r="J494" s="135">
        <v>36455</v>
      </c>
      <c r="K494" s="130" t="s">
        <v>1881</v>
      </c>
    </row>
    <row r="495" spans="1:24" ht="22.5" customHeight="1" x14ac:dyDescent="0.2">
      <c r="A495" s="130">
        <v>494</v>
      </c>
      <c r="B495" s="134" t="s">
        <v>32</v>
      </c>
      <c r="C495" s="131" t="s">
        <v>1757</v>
      </c>
      <c r="D495" s="131" t="s">
        <v>3772</v>
      </c>
      <c r="E495" s="131" t="s">
        <v>3773</v>
      </c>
      <c r="F495" s="131"/>
      <c r="G495" s="130" t="s">
        <v>131</v>
      </c>
      <c r="H495" s="130" t="s">
        <v>47</v>
      </c>
      <c r="I495" s="130" t="s">
        <v>90</v>
      </c>
      <c r="J495" s="135">
        <v>46281</v>
      </c>
      <c r="K495" s="130">
        <v>9162917979</v>
      </c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24.75" customHeight="1" x14ac:dyDescent="0.2">
      <c r="A496" s="130">
        <v>495</v>
      </c>
      <c r="B496" s="131" t="s">
        <v>32</v>
      </c>
      <c r="C496" s="134" t="s">
        <v>1757</v>
      </c>
      <c r="D496" s="134" t="s">
        <v>2582</v>
      </c>
      <c r="E496" s="134" t="s">
        <v>2583</v>
      </c>
      <c r="F496" s="134"/>
      <c r="G496" s="130" t="s">
        <v>28</v>
      </c>
      <c r="H496" s="130" t="s">
        <v>29</v>
      </c>
      <c r="I496" s="130" t="s">
        <v>36</v>
      </c>
      <c r="J496" s="135">
        <v>44922</v>
      </c>
      <c r="K496" s="130" t="s">
        <v>2584</v>
      </c>
    </row>
    <row r="497" spans="1:24" ht="27" customHeight="1" x14ac:dyDescent="0.2">
      <c r="A497" s="130">
        <v>496</v>
      </c>
      <c r="B497" s="131" t="s">
        <v>42</v>
      </c>
      <c r="C497" s="134" t="s">
        <v>1585</v>
      </c>
      <c r="D497" s="134" t="s">
        <v>1586</v>
      </c>
      <c r="E497" s="134" t="s">
        <v>1588</v>
      </c>
      <c r="F497" s="134"/>
      <c r="G497" s="143" t="s">
        <v>2542</v>
      </c>
      <c r="H497" s="138" t="s">
        <v>96</v>
      </c>
      <c r="I497" s="139" t="s">
        <v>2223</v>
      </c>
      <c r="J497" s="135">
        <v>38565</v>
      </c>
      <c r="K497" s="138" t="s">
        <v>2543</v>
      </c>
      <c r="L497" s="129"/>
    </row>
    <row r="498" spans="1:24" ht="22.5" customHeight="1" x14ac:dyDescent="0.2">
      <c r="A498" s="130">
        <v>497</v>
      </c>
      <c r="B498" s="131" t="s">
        <v>62</v>
      </c>
      <c r="C498" s="134" t="s">
        <v>2470</v>
      </c>
      <c r="D498" s="134" t="s">
        <v>1237</v>
      </c>
      <c r="E498" s="134" t="s">
        <v>2179</v>
      </c>
      <c r="F498" s="134"/>
      <c r="G498" s="130" t="s">
        <v>66</v>
      </c>
      <c r="H498" s="130" t="s">
        <v>89</v>
      </c>
      <c r="I498" s="130" t="s">
        <v>21</v>
      </c>
      <c r="J498" s="135">
        <v>37606</v>
      </c>
      <c r="K498" s="138" t="s">
        <v>2471</v>
      </c>
    </row>
    <row r="499" spans="1:24" ht="24.75" customHeight="1" x14ac:dyDescent="0.2">
      <c r="A499" s="130">
        <v>498</v>
      </c>
      <c r="B499" s="131" t="s">
        <v>177</v>
      </c>
      <c r="C499" s="134" t="s">
        <v>1592</v>
      </c>
      <c r="D499" s="134" t="s">
        <v>59</v>
      </c>
      <c r="E499" s="134" t="s">
        <v>1634</v>
      </c>
      <c r="F499" s="134"/>
      <c r="G499" s="130" t="s">
        <v>1635</v>
      </c>
      <c r="H499" s="130" t="s">
        <v>75</v>
      </c>
      <c r="I499" s="130" t="s">
        <v>182</v>
      </c>
      <c r="J499" s="135">
        <v>40709</v>
      </c>
      <c r="K499" s="138" t="s">
        <v>1640</v>
      </c>
    </row>
    <row r="500" spans="1:24" ht="21.75" customHeight="1" x14ac:dyDescent="0.2">
      <c r="A500" s="130">
        <v>499</v>
      </c>
      <c r="B500" s="131" t="s">
        <v>62</v>
      </c>
      <c r="C500" s="134" t="s">
        <v>1592</v>
      </c>
      <c r="D500" s="134" t="s">
        <v>2031</v>
      </c>
      <c r="E500" s="134" t="s">
        <v>2032</v>
      </c>
      <c r="F500" s="134"/>
      <c r="G500" s="130" t="s">
        <v>66</v>
      </c>
      <c r="H500" s="130" t="s">
        <v>89</v>
      </c>
      <c r="I500" s="130" t="s">
        <v>21</v>
      </c>
      <c r="J500" s="135">
        <v>38236</v>
      </c>
      <c r="K500" s="136" t="s">
        <v>2455</v>
      </c>
    </row>
    <row r="501" spans="1:24" ht="27.75" customHeight="1" x14ac:dyDescent="0.2">
      <c r="A501" s="130">
        <v>500</v>
      </c>
      <c r="B501" s="131" t="s">
        <v>42</v>
      </c>
      <c r="C501" s="134" t="s">
        <v>1592</v>
      </c>
      <c r="D501" s="134" t="s">
        <v>1593</v>
      </c>
      <c r="E501" s="134" t="s">
        <v>1594</v>
      </c>
      <c r="F501" s="134"/>
      <c r="G501" s="130" t="s">
        <v>2654</v>
      </c>
      <c r="H501" s="144" t="s">
        <v>168</v>
      </c>
      <c r="I501" s="144" t="s">
        <v>90</v>
      </c>
      <c r="J501" s="135">
        <v>42835</v>
      </c>
      <c r="K501" s="138" t="s">
        <v>2655</v>
      </c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 spans="1:24" ht="22.5" customHeight="1" x14ac:dyDescent="0.2">
      <c r="A502" s="130">
        <v>501</v>
      </c>
      <c r="B502" s="131" t="s">
        <v>32</v>
      </c>
      <c r="C502" s="134" t="s">
        <v>1021</v>
      </c>
      <c r="D502" s="142" t="s">
        <v>2142</v>
      </c>
      <c r="E502" s="142" t="s">
        <v>2144</v>
      </c>
      <c r="F502" s="142"/>
      <c r="G502" s="130" t="s">
        <v>476</v>
      </c>
      <c r="H502" s="130" t="s">
        <v>477</v>
      </c>
      <c r="I502" s="130" t="s">
        <v>30</v>
      </c>
      <c r="J502" s="135">
        <v>43759</v>
      </c>
      <c r="K502" s="136" t="s">
        <v>2145</v>
      </c>
    </row>
    <row r="503" spans="1:24" ht="27.75" customHeight="1" x14ac:dyDescent="0.2">
      <c r="A503" s="130">
        <v>502</v>
      </c>
      <c r="B503" s="131" t="s">
        <v>42</v>
      </c>
      <c r="C503" s="134" t="s">
        <v>1596</v>
      </c>
      <c r="D503" s="134" t="s">
        <v>1597</v>
      </c>
      <c r="E503" s="134" t="s">
        <v>1598</v>
      </c>
      <c r="F503" s="134"/>
      <c r="G503" s="139" t="s">
        <v>2415</v>
      </c>
      <c r="H503" s="144" t="s">
        <v>168</v>
      </c>
      <c r="I503" s="139" t="s">
        <v>2416</v>
      </c>
      <c r="J503" s="135">
        <v>31786</v>
      </c>
      <c r="K503" s="130" t="s">
        <v>2417</v>
      </c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22.5" customHeight="1" x14ac:dyDescent="0.2">
      <c r="A504" s="130">
        <v>503</v>
      </c>
      <c r="B504" s="131" t="s">
        <v>42</v>
      </c>
      <c r="C504" s="134" t="s">
        <v>1603</v>
      </c>
      <c r="D504" s="134" t="s">
        <v>1605</v>
      </c>
      <c r="E504" s="134" t="s">
        <v>461</v>
      </c>
      <c r="F504" s="134"/>
      <c r="G504" s="130" t="s">
        <v>2656</v>
      </c>
      <c r="H504" s="130" t="s">
        <v>47</v>
      </c>
      <c r="I504" s="136" t="s">
        <v>2657</v>
      </c>
      <c r="J504" s="135">
        <v>43438</v>
      </c>
      <c r="K504" s="138" t="s">
        <v>2658</v>
      </c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 spans="1:24" ht="22.5" customHeight="1" x14ac:dyDescent="0.2">
      <c r="A505" s="130">
        <v>504</v>
      </c>
      <c r="B505" s="134" t="s">
        <v>32</v>
      </c>
      <c r="C505" s="131" t="s">
        <v>3774</v>
      </c>
      <c r="D505" s="131" t="s">
        <v>3775</v>
      </c>
      <c r="E505" s="131" t="s">
        <v>3776</v>
      </c>
      <c r="F505" s="131"/>
      <c r="G505" s="130" t="s">
        <v>239</v>
      </c>
      <c r="H505" s="130" t="s">
        <v>47</v>
      </c>
      <c r="I505" s="130" t="s">
        <v>90</v>
      </c>
      <c r="J505" s="135">
        <v>46281</v>
      </c>
      <c r="K505" s="130">
        <v>945742165</v>
      </c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27" customHeight="1" x14ac:dyDescent="0.2">
      <c r="A506" s="130">
        <v>505</v>
      </c>
      <c r="B506" s="131" t="s">
        <v>32</v>
      </c>
      <c r="C506" s="134" t="s">
        <v>2585</v>
      </c>
      <c r="D506" s="134" t="s">
        <v>2586</v>
      </c>
      <c r="E506" s="134" t="s">
        <v>2587</v>
      </c>
      <c r="F506" s="134"/>
      <c r="G506" s="130" t="s">
        <v>28</v>
      </c>
      <c r="H506" s="130" t="s">
        <v>385</v>
      </c>
      <c r="I506" s="130" t="s">
        <v>30</v>
      </c>
      <c r="J506" s="135">
        <v>40513</v>
      </c>
      <c r="K506" s="138" t="s">
        <v>2588</v>
      </c>
    </row>
    <row r="507" spans="1:24" ht="22.5" customHeight="1" x14ac:dyDescent="0.2">
      <c r="A507" s="130">
        <v>506</v>
      </c>
      <c r="B507" s="131" t="s">
        <v>42</v>
      </c>
      <c r="C507" s="134" t="s">
        <v>3783</v>
      </c>
      <c r="D507" s="134" t="s">
        <v>1610</v>
      </c>
      <c r="E507" s="134" t="s">
        <v>1612</v>
      </c>
      <c r="F507" s="134"/>
      <c r="G507" s="144" t="s">
        <v>829</v>
      </c>
      <c r="H507" s="144" t="s">
        <v>2659</v>
      </c>
      <c r="I507" s="139" t="s">
        <v>2660</v>
      </c>
      <c r="J507" s="151">
        <v>41234</v>
      </c>
      <c r="K507" s="138" t="s">
        <v>2661</v>
      </c>
    </row>
    <row r="508" spans="1:24" ht="22.5" customHeight="1" x14ac:dyDescent="0.2">
      <c r="A508" s="130">
        <v>507</v>
      </c>
      <c r="B508" s="131" t="s">
        <v>42</v>
      </c>
      <c r="C508" s="134" t="s">
        <v>171</v>
      </c>
      <c r="D508" s="134" t="s">
        <v>172</v>
      </c>
      <c r="E508" s="134" t="s">
        <v>173</v>
      </c>
      <c r="F508" s="134"/>
      <c r="G508" s="136" t="s">
        <v>174</v>
      </c>
      <c r="H508" s="130" t="s">
        <v>47</v>
      </c>
      <c r="I508" s="139" t="s">
        <v>175</v>
      </c>
      <c r="J508" s="135">
        <v>38624</v>
      </c>
      <c r="K508" s="130" t="s">
        <v>176</v>
      </c>
    </row>
    <row r="509" spans="1:24" ht="24.75" customHeight="1" x14ac:dyDescent="0.2">
      <c r="A509" s="130">
        <v>508</v>
      </c>
      <c r="B509" s="131" t="s">
        <v>62</v>
      </c>
      <c r="C509" s="134" t="s">
        <v>1883</v>
      </c>
      <c r="D509" s="134" t="s">
        <v>1885</v>
      </c>
      <c r="E509" s="134" t="s">
        <v>1886</v>
      </c>
      <c r="F509" s="134"/>
      <c r="G509" s="130" t="s">
        <v>66</v>
      </c>
      <c r="H509" s="130" t="s">
        <v>89</v>
      </c>
      <c r="I509" s="130" t="s">
        <v>21</v>
      </c>
      <c r="J509" s="135">
        <v>39692</v>
      </c>
      <c r="K509" s="130" t="s">
        <v>1887</v>
      </c>
    </row>
    <row r="510" spans="1:24" ht="22.5" customHeight="1" x14ac:dyDescent="0.2">
      <c r="A510" s="130">
        <v>509</v>
      </c>
      <c r="B510" s="131" t="s">
        <v>42</v>
      </c>
      <c r="C510" s="134" t="s">
        <v>1624</v>
      </c>
      <c r="D510" s="134" t="s">
        <v>1625</v>
      </c>
      <c r="E510" s="134" t="s">
        <v>1626</v>
      </c>
      <c r="F510" s="134"/>
      <c r="G510" s="144" t="s">
        <v>2286</v>
      </c>
      <c r="H510" s="144" t="s">
        <v>477</v>
      </c>
      <c r="I510" s="139" t="s">
        <v>637</v>
      </c>
      <c r="J510" s="135">
        <v>41599</v>
      </c>
      <c r="K510" s="130" t="s">
        <v>2287</v>
      </c>
    </row>
    <row r="511" spans="1:24" ht="22.5" customHeight="1" x14ac:dyDescent="0.2">
      <c r="A511" s="130">
        <v>510</v>
      </c>
      <c r="B511" s="131" t="s">
        <v>397</v>
      </c>
      <c r="C511" s="142" t="s">
        <v>2367</v>
      </c>
      <c r="D511" s="142" t="s">
        <v>2368</v>
      </c>
      <c r="E511" s="142" t="s">
        <v>2369</v>
      </c>
      <c r="F511" s="142"/>
      <c r="G511" s="136" t="s">
        <v>239</v>
      </c>
      <c r="H511" s="136" t="s">
        <v>310</v>
      </c>
      <c r="I511" s="130" t="s">
        <v>311</v>
      </c>
      <c r="J511" s="135">
        <v>37830</v>
      </c>
      <c r="K511" s="130" t="s">
        <v>2370</v>
      </c>
    </row>
    <row r="512" spans="1:24" ht="23.25" customHeight="1" x14ac:dyDescent="0.2">
      <c r="A512" s="130">
        <v>511</v>
      </c>
      <c r="B512" s="131" t="s">
        <v>42</v>
      </c>
      <c r="C512" s="134" t="s">
        <v>1630</v>
      </c>
      <c r="D512" s="134" t="s">
        <v>1631</v>
      </c>
      <c r="E512" s="134" t="s">
        <v>1632</v>
      </c>
      <c r="F512" s="134"/>
      <c r="G512" s="138" t="s">
        <v>2545</v>
      </c>
      <c r="H512" s="138" t="s">
        <v>2546</v>
      </c>
      <c r="I512" s="139" t="s">
        <v>2547</v>
      </c>
      <c r="J512" s="135">
        <v>40626</v>
      </c>
      <c r="K512" s="138" t="s">
        <v>2548</v>
      </c>
    </row>
    <row r="513" spans="1:24" ht="22.5" customHeight="1" x14ac:dyDescent="0.2">
      <c r="A513" s="130">
        <v>512</v>
      </c>
      <c r="B513" s="131" t="s">
        <v>32</v>
      </c>
      <c r="C513" s="134" t="s">
        <v>547</v>
      </c>
      <c r="D513" s="134" t="s">
        <v>549</v>
      </c>
      <c r="E513" s="134" t="s">
        <v>551</v>
      </c>
      <c r="F513" s="137"/>
      <c r="G513" s="130" t="s">
        <v>368</v>
      </c>
      <c r="H513" s="130" t="s">
        <v>554</v>
      </c>
      <c r="I513" s="130" t="s">
        <v>36</v>
      </c>
      <c r="J513" s="135">
        <v>44879</v>
      </c>
      <c r="K513" s="130" t="s">
        <v>557</v>
      </c>
    </row>
    <row r="514" spans="1:24" ht="23.25" customHeight="1" x14ac:dyDescent="0.2">
      <c r="A514" s="130">
        <v>513</v>
      </c>
      <c r="B514" s="131" t="s">
        <v>134</v>
      </c>
      <c r="C514" s="134" t="s">
        <v>2119</v>
      </c>
      <c r="D514" s="134" t="s">
        <v>2121</v>
      </c>
      <c r="E514" s="134" t="s">
        <v>2122</v>
      </c>
      <c r="F514" s="134"/>
      <c r="G514" s="130" t="s">
        <v>131</v>
      </c>
      <c r="H514" s="130" t="s">
        <v>75</v>
      </c>
      <c r="I514" s="130" t="s">
        <v>30</v>
      </c>
      <c r="J514" s="135">
        <v>42994</v>
      </c>
      <c r="K514" s="130" t="s">
        <v>2123</v>
      </c>
    </row>
    <row r="515" spans="1:24" ht="30" customHeight="1" x14ac:dyDescent="0.2">
      <c r="A515" s="130">
        <v>514</v>
      </c>
      <c r="B515" s="131" t="s">
        <v>127</v>
      </c>
      <c r="C515" s="134" t="s">
        <v>87</v>
      </c>
      <c r="D515" s="134" t="s">
        <v>366</v>
      </c>
      <c r="E515" s="134" t="s">
        <v>367</v>
      </c>
      <c r="F515" s="134"/>
      <c r="G515" s="130" t="s">
        <v>131</v>
      </c>
      <c r="H515" s="130" t="s">
        <v>205</v>
      </c>
      <c r="I515" s="136" t="s">
        <v>206</v>
      </c>
      <c r="J515" s="135">
        <v>43542</v>
      </c>
      <c r="K515" s="130" t="s">
        <v>371</v>
      </c>
    </row>
    <row r="516" spans="1:24" ht="22.5" customHeight="1" x14ac:dyDescent="0.2">
      <c r="A516" s="130">
        <v>515</v>
      </c>
      <c r="B516" s="131" t="s">
        <v>57</v>
      </c>
      <c r="C516" s="134" t="s">
        <v>2169</v>
      </c>
      <c r="D516" s="134" t="s">
        <v>2170</v>
      </c>
      <c r="E516" s="134" t="s">
        <v>220</v>
      </c>
      <c r="F516" s="150"/>
      <c r="G516" s="136" t="s">
        <v>2667</v>
      </c>
      <c r="H516" s="130" t="s">
        <v>2668</v>
      </c>
      <c r="I516" s="130" t="s">
        <v>21</v>
      </c>
      <c r="J516" s="135">
        <v>37201</v>
      </c>
      <c r="K516" s="148" t="s">
        <v>2173</v>
      </c>
    </row>
    <row r="517" spans="1:24" ht="24.75" customHeight="1" x14ac:dyDescent="0.2">
      <c r="A517" s="130">
        <v>516</v>
      </c>
      <c r="B517" s="131" t="s">
        <v>32</v>
      </c>
      <c r="C517" s="134" t="s">
        <v>2071</v>
      </c>
      <c r="D517" s="134" t="s">
        <v>2072</v>
      </c>
      <c r="E517" s="134" t="s">
        <v>2073</v>
      </c>
      <c r="F517" s="137"/>
      <c r="G517" s="130" t="s">
        <v>239</v>
      </c>
      <c r="H517" s="130" t="s">
        <v>212</v>
      </c>
      <c r="I517" s="130" t="s">
        <v>36</v>
      </c>
      <c r="J517" s="135">
        <v>44879</v>
      </c>
      <c r="K517" s="130" t="s">
        <v>2074</v>
      </c>
    </row>
    <row r="518" spans="1:24" ht="22.5" customHeight="1" x14ac:dyDescent="0.2">
      <c r="A518" s="130">
        <v>517</v>
      </c>
      <c r="B518" s="131" t="s">
        <v>32</v>
      </c>
      <c r="C518" s="134" t="s">
        <v>559</v>
      </c>
      <c r="D518" s="134" t="s">
        <v>560</v>
      </c>
      <c r="E518" s="134" t="s">
        <v>561</v>
      </c>
      <c r="F518" s="134"/>
      <c r="G518" s="130" t="s">
        <v>131</v>
      </c>
      <c r="H518" s="130" t="s">
        <v>162</v>
      </c>
      <c r="I518" s="130" t="s">
        <v>36</v>
      </c>
      <c r="J518" s="135">
        <v>44900</v>
      </c>
      <c r="K518" s="130" t="s">
        <v>562</v>
      </c>
    </row>
    <row r="519" spans="1:24" ht="27" customHeight="1" x14ac:dyDescent="0.2">
      <c r="A519" s="130">
        <v>518</v>
      </c>
      <c r="B519" s="131" t="s">
        <v>42</v>
      </c>
      <c r="C519" s="134" t="s">
        <v>1636</v>
      </c>
      <c r="D519" s="134" t="s">
        <v>1638</v>
      </c>
      <c r="E519" s="134" t="s">
        <v>1639</v>
      </c>
      <c r="F519" s="134"/>
      <c r="G519" s="136" t="s">
        <v>2743</v>
      </c>
      <c r="H519" s="130" t="s">
        <v>47</v>
      </c>
      <c r="I519" s="139" t="s">
        <v>2744</v>
      </c>
      <c r="J519" s="135">
        <v>44971</v>
      </c>
      <c r="K519" s="138" t="s">
        <v>2745</v>
      </c>
    </row>
    <row r="520" spans="1:24" ht="28.5" customHeight="1" x14ac:dyDescent="0.2">
      <c r="A520" s="130">
        <v>519</v>
      </c>
      <c r="B520" s="131" t="s">
        <v>42</v>
      </c>
      <c r="C520" s="134" t="s">
        <v>1645</v>
      </c>
      <c r="D520" s="134" t="s">
        <v>1646</v>
      </c>
      <c r="E520" s="134" t="s">
        <v>1647</v>
      </c>
      <c r="F520" s="134"/>
      <c r="G520" s="136" t="s">
        <v>2347</v>
      </c>
      <c r="H520" s="139" t="s">
        <v>90</v>
      </c>
      <c r="I520" s="139" t="s">
        <v>54</v>
      </c>
      <c r="J520" s="135">
        <v>44572</v>
      </c>
      <c r="K520" s="130" t="s">
        <v>2348</v>
      </c>
    </row>
    <row r="521" spans="1:24" ht="22.5" customHeight="1" x14ac:dyDescent="0.2">
      <c r="A521" s="130">
        <v>520</v>
      </c>
      <c r="B521" s="131" t="s">
        <v>134</v>
      </c>
      <c r="C521" s="142" t="s">
        <v>140</v>
      </c>
      <c r="D521" s="142" t="s">
        <v>141</v>
      </c>
      <c r="E521" s="142" t="s">
        <v>142</v>
      </c>
      <c r="F521" s="142"/>
      <c r="G521" s="130" t="s">
        <v>28</v>
      </c>
      <c r="H521" s="130" t="s">
        <v>29</v>
      </c>
      <c r="I521" s="130" t="s">
        <v>30</v>
      </c>
      <c r="J521" s="135">
        <v>43759</v>
      </c>
      <c r="K521" s="130" t="s">
        <v>144</v>
      </c>
    </row>
    <row r="522" spans="1:24" ht="25.5" customHeight="1" x14ac:dyDescent="0.2">
      <c r="A522" s="130">
        <v>521</v>
      </c>
      <c r="B522" s="131" t="s">
        <v>42</v>
      </c>
      <c r="C522" s="142" t="s">
        <v>2320</v>
      </c>
      <c r="D522" s="142" t="s">
        <v>1650</v>
      </c>
      <c r="E522" s="142" t="s">
        <v>1651</v>
      </c>
      <c r="F522" s="142"/>
      <c r="G522" s="130" t="s">
        <v>2321</v>
      </c>
      <c r="H522" s="136" t="s">
        <v>2322</v>
      </c>
      <c r="I522" s="130" t="s">
        <v>90</v>
      </c>
      <c r="J522" s="135">
        <v>46239</v>
      </c>
      <c r="K522" s="130">
        <v>9627572702</v>
      </c>
    </row>
    <row r="523" spans="1:24" ht="26.25" customHeight="1" x14ac:dyDescent="0.2">
      <c r="A523" s="130">
        <v>522</v>
      </c>
      <c r="B523" s="131" t="s">
        <v>62</v>
      </c>
      <c r="C523" s="134" t="s">
        <v>2467</v>
      </c>
      <c r="D523" s="134" t="s">
        <v>1082</v>
      </c>
      <c r="E523" s="134" t="s">
        <v>1616</v>
      </c>
      <c r="F523" s="137"/>
      <c r="G523" s="130" t="s">
        <v>368</v>
      </c>
      <c r="H523" s="138" t="s">
        <v>411</v>
      </c>
      <c r="I523" s="130" t="s">
        <v>327</v>
      </c>
      <c r="J523" s="135">
        <v>38632</v>
      </c>
      <c r="K523" s="130" t="s">
        <v>2468</v>
      </c>
    </row>
    <row r="524" spans="1:24" ht="27.75" customHeight="1" x14ac:dyDescent="0.2">
      <c r="A524" s="130">
        <v>523</v>
      </c>
      <c r="B524" s="131" t="s">
        <v>42</v>
      </c>
      <c r="C524" s="134" t="s">
        <v>707</v>
      </c>
      <c r="D524" s="134" t="s">
        <v>1654</v>
      </c>
      <c r="E524" s="134" t="s">
        <v>1656</v>
      </c>
      <c r="F524" s="134"/>
      <c r="G524" s="130" t="s">
        <v>2344</v>
      </c>
      <c r="H524" s="130" t="s">
        <v>452</v>
      </c>
      <c r="I524" s="130" t="s">
        <v>2345</v>
      </c>
      <c r="J524" s="135">
        <v>43438</v>
      </c>
      <c r="K524" s="130" t="s">
        <v>2346</v>
      </c>
    </row>
    <row r="525" spans="1:24" ht="24" customHeight="1" x14ac:dyDescent="0.2">
      <c r="A525" s="130">
        <v>524</v>
      </c>
      <c r="B525" s="131" t="s">
        <v>62</v>
      </c>
      <c r="C525" s="142" t="s">
        <v>707</v>
      </c>
      <c r="D525" s="142" t="s">
        <v>1925</v>
      </c>
      <c r="E525" s="142" t="s">
        <v>1323</v>
      </c>
      <c r="F525" s="142"/>
      <c r="G525" s="136" t="s">
        <v>2359</v>
      </c>
      <c r="H525" s="136" t="s">
        <v>89</v>
      </c>
      <c r="I525" s="130" t="s">
        <v>21</v>
      </c>
      <c r="J525" s="135">
        <v>38733</v>
      </c>
      <c r="K525" s="130" t="s">
        <v>1926</v>
      </c>
      <c r="N525" s="14"/>
      <c r="O525" s="14"/>
      <c r="P525" s="14"/>
      <c r="R525" s="14" t="e">
        <f>#REF!</f>
        <v>#REF!</v>
      </c>
      <c r="S525" s="14" t="s">
        <v>1233</v>
      </c>
      <c r="V525" s="14" t="s">
        <v>936</v>
      </c>
      <c r="W525" s="14" t="e">
        <f>#REF!</f>
        <v>#REF!</v>
      </c>
      <c r="X525" s="14" t="e">
        <f>#REF!</f>
        <v>#REF!</v>
      </c>
    </row>
    <row r="526" spans="1:24" ht="22.5" customHeight="1" x14ac:dyDescent="0.2">
      <c r="A526" s="130">
        <v>525</v>
      </c>
      <c r="B526" s="131" t="s">
        <v>62</v>
      </c>
      <c r="C526" s="134" t="s">
        <v>707</v>
      </c>
      <c r="D526" s="134" t="s">
        <v>2055</v>
      </c>
      <c r="E526" s="134" t="s">
        <v>1649</v>
      </c>
      <c r="F526" s="134"/>
      <c r="G526" s="130" t="s">
        <v>368</v>
      </c>
      <c r="H526" s="136" t="s">
        <v>526</v>
      </c>
      <c r="I526" s="130" t="s">
        <v>327</v>
      </c>
      <c r="J526" s="135">
        <v>37757</v>
      </c>
      <c r="K526" s="130" t="s">
        <v>2056</v>
      </c>
    </row>
    <row r="527" spans="1:24" ht="23.25" customHeight="1" x14ac:dyDescent="0.2">
      <c r="A527" s="130">
        <v>526</v>
      </c>
      <c r="B527" s="131" t="s">
        <v>134</v>
      </c>
      <c r="C527" s="142" t="s">
        <v>837</v>
      </c>
      <c r="D527" s="142" t="s">
        <v>838</v>
      </c>
      <c r="E527" s="142" t="s">
        <v>840</v>
      </c>
      <c r="F527" s="142"/>
      <c r="G527" s="130" t="s">
        <v>368</v>
      </c>
      <c r="H527" s="130" t="s">
        <v>47</v>
      </c>
      <c r="I527" s="130" t="s">
        <v>30</v>
      </c>
      <c r="J527" s="135">
        <v>43759</v>
      </c>
      <c r="K527" s="130" t="s">
        <v>843</v>
      </c>
    </row>
    <row r="528" spans="1:24" ht="24" customHeight="1" x14ac:dyDescent="0.2">
      <c r="A528" s="130">
        <v>527</v>
      </c>
      <c r="B528" s="131" t="s">
        <v>42</v>
      </c>
      <c r="C528" s="134" t="s">
        <v>1663</v>
      </c>
      <c r="D528" s="134" t="s">
        <v>1664</v>
      </c>
      <c r="E528" s="134" t="s">
        <v>1665</v>
      </c>
      <c r="F528" s="134"/>
      <c r="G528" s="144" t="s">
        <v>2662</v>
      </c>
      <c r="H528" s="139" t="s">
        <v>195</v>
      </c>
      <c r="I528" s="139" t="s">
        <v>2663</v>
      </c>
      <c r="J528" s="135">
        <v>36161</v>
      </c>
      <c r="K528" s="138" t="s">
        <v>2664</v>
      </c>
    </row>
    <row r="529" spans="1:24" ht="24" customHeight="1" x14ac:dyDescent="0.2">
      <c r="A529" s="130">
        <v>528</v>
      </c>
      <c r="B529" s="131" t="s">
        <v>42</v>
      </c>
      <c r="C529" s="134" t="s">
        <v>97</v>
      </c>
      <c r="D529" s="134" t="s">
        <v>98</v>
      </c>
      <c r="E529" s="134" t="s">
        <v>99</v>
      </c>
      <c r="F529" s="134"/>
      <c r="G529" s="143" t="s">
        <v>100</v>
      </c>
      <c r="H529" s="138" t="s">
        <v>47</v>
      </c>
      <c r="I529" s="139" t="s">
        <v>101</v>
      </c>
      <c r="J529" s="135">
        <v>40962</v>
      </c>
      <c r="K529" s="130" t="s">
        <v>102</v>
      </c>
    </row>
    <row r="530" spans="1:24" ht="24.75" customHeight="1" x14ac:dyDescent="0.2">
      <c r="A530" s="130">
        <v>529</v>
      </c>
      <c r="B530" s="131" t="s">
        <v>177</v>
      </c>
      <c r="C530" s="134" t="s">
        <v>1975</v>
      </c>
      <c r="D530" s="134" t="s">
        <v>1977</v>
      </c>
      <c r="E530" s="134" t="s">
        <v>1978</v>
      </c>
      <c r="F530" s="134" t="s">
        <v>181</v>
      </c>
      <c r="G530" s="130" t="s">
        <v>131</v>
      </c>
      <c r="H530" s="130" t="s">
        <v>47</v>
      </c>
      <c r="I530" s="130" t="s">
        <v>182</v>
      </c>
      <c r="J530" s="135">
        <v>41334</v>
      </c>
      <c r="K530" s="130" t="s">
        <v>1979</v>
      </c>
    </row>
    <row r="531" spans="1:24" ht="22.5" customHeight="1" x14ac:dyDescent="0.2">
      <c r="A531" s="130">
        <v>530</v>
      </c>
      <c r="B531" s="131" t="s">
        <v>62</v>
      </c>
      <c r="C531" s="134" t="s">
        <v>1144</v>
      </c>
      <c r="D531" s="134" t="s">
        <v>746</v>
      </c>
      <c r="E531" s="134" t="s">
        <v>748</v>
      </c>
      <c r="F531" s="134"/>
      <c r="G531" s="130" t="s">
        <v>1145</v>
      </c>
      <c r="H531" s="136" t="s">
        <v>526</v>
      </c>
      <c r="I531" s="130" t="s">
        <v>21</v>
      </c>
      <c r="J531" s="135">
        <v>37757</v>
      </c>
      <c r="K531" s="130" t="s">
        <v>1146</v>
      </c>
    </row>
    <row r="532" spans="1:24" ht="23.25" customHeight="1" x14ac:dyDescent="0.2">
      <c r="A532" s="130">
        <v>531</v>
      </c>
      <c r="B532" s="131" t="s">
        <v>376</v>
      </c>
      <c r="C532" s="142" t="s">
        <v>1988</v>
      </c>
      <c r="D532" s="142" t="s">
        <v>1989</v>
      </c>
      <c r="E532" s="142" t="s">
        <v>1990</v>
      </c>
      <c r="F532" s="142"/>
      <c r="G532" s="136" t="s">
        <v>131</v>
      </c>
      <c r="H532" s="136" t="s">
        <v>96</v>
      </c>
      <c r="I532" s="130" t="s">
        <v>132</v>
      </c>
      <c r="J532" s="135">
        <v>44890</v>
      </c>
      <c r="K532" s="130" t="s">
        <v>1992</v>
      </c>
    </row>
    <row r="533" spans="1:24" ht="22.5" customHeight="1" x14ac:dyDescent="0.2">
      <c r="A533" s="130">
        <v>532</v>
      </c>
      <c r="B533" s="131" t="s">
        <v>528</v>
      </c>
      <c r="C533" s="134" t="s">
        <v>662</v>
      </c>
      <c r="D533" s="134" t="s">
        <v>663</v>
      </c>
      <c r="E533" s="134" t="s">
        <v>664</v>
      </c>
      <c r="F533" s="134"/>
      <c r="G533" s="130" t="s">
        <v>28</v>
      </c>
      <c r="H533" s="130" t="s">
        <v>29</v>
      </c>
      <c r="I533" s="130" t="s">
        <v>182</v>
      </c>
      <c r="J533" s="135">
        <v>37830</v>
      </c>
      <c r="K533" s="130" t="s">
        <v>666</v>
      </c>
    </row>
    <row r="534" spans="1:24" ht="23.25" customHeight="1" x14ac:dyDescent="0.2">
      <c r="A534" s="130">
        <v>533</v>
      </c>
      <c r="B534" s="131" t="s">
        <v>528</v>
      </c>
      <c r="C534" s="134" t="s">
        <v>1830</v>
      </c>
      <c r="D534" s="134" t="s">
        <v>687</v>
      </c>
      <c r="E534" s="134" t="s">
        <v>1831</v>
      </c>
      <c r="F534" s="134"/>
      <c r="G534" s="130" t="s">
        <v>239</v>
      </c>
      <c r="H534" s="130" t="s">
        <v>401</v>
      </c>
      <c r="I534" s="130" t="s">
        <v>311</v>
      </c>
      <c r="J534" s="135">
        <v>40210</v>
      </c>
      <c r="K534" s="136" t="s">
        <v>1832</v>
      </c>
    </row>
    <row r="535" spans="1:24" ht="23.25" customHeight="1" x14ac:dyDescent="0.2">
      <c r="A535" s="130">
        <v>534</v>
      </c>
      <c r="B535" s="131" t="s">
        <v>528</v>
      </c>
      <c r="C535" s="131" t="s">
        <v>2375</v>
      </c>
      <c r="D535" s="131" t="s">
        <v>2376</v>
      </c>
      <c r="E535" s="131" t="s">
        <v>2377</v>
      </c>
      <c r="F535" s="154"/>
      <c r="G535" s="130" t="s">
        <v>2378</v>
      </c>
      <c r="H535" s="130" t="s">
        <v>1732</v>
      </c>
      <c r="I535" s="130" t="s">
        <v>182</v>
      </c>
      <c r="J535" s="155">
        <v>40210</v>
      </c>
      <c r="K535" s="130" t="s">
        <v>2379</v>
      </c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 spans="1:24" ht="23.25" customHeight="1" x14ac:dyDescent="0.2">
      <c r="A536" s="130">
        <v>535</v>
      </c>
      <c r="B536" s="134" t="s">
        <v>32</v>
      </c>
      <c r="C536" s="131" t="s">
        <v>3777</v>
      </c>
      <c r="D536" s="131" t="s">
        <v>3778</v>
      </c>
      <c r="E536" s="131" t="s">
        <v>707</v>
      </c>
      <c r="F536" s="131"/>
      <c r="G536" s="130" t="s">
        <v>131</v>
      </c>
      <c r="H536" s="130" t="s">
        <v>96</v>
      </c>
      <c r="I536" s="130" t="s">
        <v>90</v>
      </c>
      <c r="J536" s="135">
        <v>46281</v>
      </c>
      <c r="K536" s="130">
        <v>9755724123</v>
      </c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23.25" customHeight="1" x14ac:dyDescent="0.2">
      <c r="A537" s="130">
        <v>536</v>
      </c>
      <c r="B537" s="131" t="s">
        <v>127</v>
      </c>
      <c r="C537" s="134" t="s">
        <v>567</v>
      </c>
      <c r="D537" s="134" t="s">
        <v>568</v>
      </c>
      <c r="E537" s="134" t="s">
        <v>570</v>
      </c>
      <c r="F537" s="142"/>
      <c r="G537" s="130" t="s">
        <v>131</v>
      </c>
      <c r="H537" s="130" t="s">
        <v>47</v>
      </c>
      <c r="I537" s="136" t="s">
        <v>206</v>
      </c>
      <c r="J537" s="135">
        <v>43542</v>
      </c>
      <c r="K537" s="130" t="s">
        <v>571</v>
      </c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23.25" customHeight="1" x14ac:dyDescent="0.2">
      <c r="A538" s="130">
        <v>537</v>
      </c>
      <c r="B538" s="131" t="s">
        <v>42</v>
      </c>
      <c r="C538" s="142" t="s">
        <v>1671</v>
      </c>
      <c r="D538" s="142" t="s">
        <v>1672</v>
      </c>
      <c r="E538" s="142" t="s">
        <v>1673</v>
      </c>
      <c r="F538" s="142"/>
      <c r="G538" s="130" t="s">
        <v>120</v>
      </c>
      <c r="H538" s="130" t="s">
        <v>47</v>
      </c>
      <c r="I538" s="130" t="s">
        <v>90</v>
      </c>
      <c r="J538" s="135">
        <v>45733</v>
      </c>
      <c r="K538" s="130" t="s">
        <v>2200</v>
      </c>
    </row>
    <row r="539" spans="1:24" ht="23.25" customHeight="1" x14ac:dyDescent="0.2">
      <c r="A539" s="130">
        <v>538</v>
      </c>
      <c r="B539" s="131" t="s">
        <v>42</v>
      </c>
      <c r="C539" s="134" t="s">
        <v>1671</v>
      </c>
      <c r="D539" s="134" t="s">
        <v>1674</v>
      </c>
      <c r="E539" s="134" t="s">
        <v>1675</v>
      </c>
      <c r="F539" s="134"/>
      <c r="G539" s="136" t="s">
        <v>2698</v>
      </c>
      <c r="H539" s="130" t="s">
        <v>168</v>
      </c>
      <c r="I539" s="139" t="s">
        <v>2235</v>
      </c>
      <c r="J539" s="135">
        <v>44971</v>
      </c>
      <c r="K539" s="138" t="s">
        <v>2699</v>
      </c>
    </row>
    <row r="540" spans="1:24" ht="24.75" customHeight="1" x14ac:dyDescent="0.2">
      <c r="A540" s="130">
        <v>539</v>
      </c>
      <c r="B540" s="131" t="s">
        <v>42</v>
      </c>
      <c r="C540" s="134" t="s">
        <v>1677</v>
      </c>
      <c r="D540" s="134" t="s">
        <v>1678</v>
      </c>
      <c r="E540" s="134" t="s">
        <v>1680</v>
      </c>
      <c r="F540" s="134"/>
      <c r="G540" s="138" t="s">
        <v>2549</v>
      </c>
      <c r="H540" s="138" t="s">
        <v>47</v>
      </c>
      <c r="I540" s="139" t="s">
        <v>2550</v>
      </c>
      <c r="J540" s="135">
        <v>32599</v>
      </c>
      <c r="K540" s="138" t="s">
        <v>2551</v>
      </c>
    </row>
    <row r="541" spans="1:24" ht="24.75" customHeight="1" x14ac:dyDescent="0.2">
      <c r="A541" s="130">
        <v>540</v>
      </c>
      <c r="B541" s="131" t="s">
        <v>528</v>
      </c>
      <c r="C541" s="131" t="s">
        <v>1584</v>
      </c>
      <c r="D541" s="131" t="s">
        <v>2380</v>
      </c>
      <c r="E541" s="131" t="s">
        <v>823</v>
      </c>
      <c r="F541" s="154"/>
      <c r="G541" s="130" t="s">
        <v>829</v>
      </c>
      <c r="H541" s="130" t="s">
        <v>89</v>
      </c>
      <c r="I541" s="130" t="s">
        <v>182</v>
      </c>
      <c r="J541" s="155">
        <v>40513</v>
      </c>
      <c r="K541" s="130" t="s">
        <v>2381</v>
      </c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 spans="1:24" ht="26.25" customHeight="1" x14ac:dyDescent="0.2">
      <c r="A542" s="130">
        <v>541</v>
      </c>
      <c r="B542" s="131" t="s">
        <v>127</v>
      </c>
      <c r="C542" s="134" t="s">
        <v>324</v>
      </c>
      <c r="D542" s="134" t="s">
        <v>326</v>
      </c>
      <c r="E542" s="134" t="s">
        <v>328</v>
      </c>
      <c r="F542" s="142"/>
      <c r="G542" s="130" t="s">
        <v>131</v>
      </c>
      <c r="H542" s="130" t="s">
        <v>47</v>
      </c>
      <c r="I542" s="136" t="s">
        <v>206</v>
      </c>
      <c r="J542" s="135">
        <v>43542</v>
      </c>
      <c r="K542" s="136" t="s">
        <v>329</v>
      </c>
    </row>
    <row r="543" spans="1:24" ht="22.5" customHeight="1" x14ac:dyDescent="0.2">
      <c r="A543" s="130">
        <v>542</v>
      </c>
      <c r="B543" s="131" t="s">
        <v>127</v>
      </c>
      <c r="C543" s="142" t="s">
        <v>1393</v>
      </c>
      <c r="D543" s="142" t="s">
        <v>1394</v>
      </c>
      <c r="E543" s="142" t="s">
        <v>1395</v>
      </c>
      <c r="F543" s="142"/>
      <c r="G543" s="136" t="s">
        <v>1870</v>
      </c>
      <c r="H543" s="136" t="s">
        <v>47</v>
      </c>
      <c r="I543" s="130" t="s">
        <v>132</v>
      </c>
      <c r="J543" s="135">
        <v>44455</v>
      </c>
      <c r="K543" s="130" t="s">
        <v>1399</v>
      </c>
    </row>
    <row r="544" spans="1:24" ht="23.25" customHeight="1" x14ac:dyDescent="0.2">
      <c r="A544" s="130">
        <v>543</v>
      </c>
      <c r="B544" s="131" t="s">
        <v>201</v>
      </c>
      <c r="C544" s="134" t="s">
        <v>1669</v>
      </c>
      <c r="D544" s="134" t="s">
        <v>387</v>
      </c>
      <c r="E544" s="134" t="s">
        <v>1670</v>
      </c>
      <c r="F544" s="134"/>
      <c r="G544" s="130" t="s">
        <v>131</v>
      </c>
      <c r="H544" s="130" t="s">
        <v>47</v>
      </c>
      <c r="I544" s="130" t="s">
        <v>206</v>
      </c>
      <c r="J544" s="135">
        <v>43759</v>
      </c>
      <c r="K544" s="130" t="s">
        <v>2088</v>
      </c>
    </row>
    <row r="545" spans="1:24" ht="27" customHeight="1" x14ac:dyDescent="0.2">
      <c r="A545" s="130">
        <v>544</v>
      </c>
      <c r="B545" s="131" t="s">
        <v>127</v>
      </c>
      <c r="C545" s="142" t="s">
        <v>522</v>
      </c>
      <c r="D545" s="142" t="s">
        <v>524</v>
      </c>
      <c r="E545" s="142" t="s">
        <v>525</v>
      </c>
      <c r="F545" s="142"/>
      <c r="G545" s="136" t="s">
        <v>476</v>
      </c>
      <c r="H545" s="136" t="s">
        <v>47</v>
      </c>
      <c r="I545" s="130" t="s">
        <v>206</v>
      </c>
      <c r="J545" s="135">
        <v>44504</v>
      </c>
      <c r="K545" s="130" t="s">
        <v>527</v>
      </c>
    </row>
    <row r="546" spans="1:24" ht="22.5" customHeight="1" x14ac:dyDescent="0.2">
      <c r="A546" s="130">
        <v>545</v>
      </c>
      <c r="B546" s="131" t="s">
        <v>62</v>
      </c>
      <c r="C546" s="134" t="s">
        <v>2180</v>
      </c>
      <c r="D546" s="134" t="s">
        <v>1810</v>
      </c>
      <c r="E546" s="134" t="s">
        <v>1811</v>
      </c>
      <c r="F546" s="134"/>
      <c r="G546" s="130" t="s">
        <v>239</v>
      </c>
      <c r="H546" s="136" t="s">
        <v>2181</v>
      </c>
      <c r="I546" s="130" t="s">
        <v>21</v>
      </c>
      <c r="J546" s="135">
        <v>36857</v>
      </c>
      <c r="K546" s="130" t="s">
        <v>1812</v>
      </c>
    </row>
    <row r="547" spans="1:24" ht="30.75" customHeight="1" x14ac:dyDescent="0.2">
      <c r="A547" s="130">
        <v>546</v>
      </c>
      <c r="B547" s="131" t="s">
        <v>134</v>
      </c>
      <c r="C547" s="134" t="s">
        <v>2152</v>
      </c>
      <c r="D547" s="134" t="s">
        <v>2013</v>
      </c>
      <c r="E547" s="134" t="s">
        <v>2154</v>
      </c>
      <c r="F547" s="134"/>
      <c r="G547" s="130" t="s">
        <v>131</v>
      </c>
      <c r="H547" s="130" t="s">
        <v>47</v>
      </c>
      <c r="I547" s="130" t="s">
        <v>30</v>
      </c>
      <c r="J547" s="135">
        <v>42994</v>
      </c>
      <c r="K547" s="138" t="s">
        <v>2157</v>
      </c>
    </row>
    <row r="548" spans="1:24" ht="27" customHeight="1" x14ac:dyDescent="0.2">
      <c r="A548" s="130">
        <v>547</v>
      </c>
      <c r="B548" s="131" t="s">
        <v>376</v>
      </c>
      <c r="C548" s="134" t="s">
        <v>1323</v>
      </c>
      <c r="D548" s="134" t="s">
        <v>1324</v>
      </c>
      <c r="E548" s="134" t="s">
        <v>1325</v>
      </c>
      <c r="F548" s="137"/>
      <c r="G548" s="130" t="s">
        <v>131</v>
      </c>
      <c r="H548" s="136" t="s">
        <v>685</v>
      </c>
      <c r="I548" s="130" t="s">
        <v>132</v>
      </c>
      <c r="J548" s="135">
        <v>44890</v>
      </c>
      <c r="K548" s="136" t="s">
        <v>1327</v>
      </c>
    </row>
    <row r="549" spans="1:24" ht="24" customHeight="1" x14ac:dyDescent="0.2">
      <c r="A549" s="130">
        <v>548</v>
      </c>
      <c r="B549" s="131" t="s">
        <v>528</v>
      </c>
      <c r="C549" s="134" t="s">
        <v>1609</v>
      </c>
      <c r="D549" s="134" t="s">
        <v>1613</v>
      </c>
      <c r="E549" s="134" t="s">
        <v>1614</v>
      </c>
      <c r="F549" s="134"/>
      <c r="G549" s="130" t="s">
        <v>239</v>
      </c>
      <c r="H549" s="130" t="s">
        <v>401</v>
      </c>
      <c r="I549" s="130" t="s">
        <v>182</v>
      </c>
      <c r="J549" s="135">
        <v>39995</v>
      </c>
      <c r="K549" s="138" t="s">
        <v>1618</v>
      </c>
    </row>
    <row r="550" spans="1:24" ht="24" customHeight="1" x14ac:dyDescent="0.2">
      <c r="A550" s="130">
        <v>549</v>
      </c>
      <c r="B550" s="131" t="s">
        <v>318</v>
      </c>
      <c r="C550" s="134" t="s">
        <v>469</v>
      </c>
      <c r="D550" s="134" t="s">
        <v>64</v>
      </c>
      <c r="E550" s="134" t="s">
        <v>470</v>
      </c>
      <c r="F550" s="134"/>
      <c r="G550" s="130" t="s">
        <v>131</v>
      </c>
      <c r="H550" s="138" t="s">
        <v>205</v>
      </c>
      <c r="I550" s="139" t="s">
        <v>327</v>
      </c>
      <c r="J550" s="135">
        <v>43147</v>
      </c>
      <c r="K550" s="130" t="s">
        <v>475</v>
      </c>
    </row>
    <row r="551" spans="1:24" ht="28.5" customHeight="1" x14ac:dyDescent="0.2">
      <c r="A551" s="130">
        <v>550</v>
      </c>
      <c r="B551" s="131" t="s">
        <v>127</v>
      </c>
      <c r="C551" s="142" t="s">
        <v>1818</v>
      </c>
      <c r="D551" s="142" t="s">
        <v>1737</v>
      </c>
      <c r="E551" s="142" t="s">
        <v>1819</v>
      </c>
      <c r="F551" s="142"/>
      <c r="G551" s="136" t="s">
        <v>291</v>
      </c>
      <c r="H551" s="136" t="s">
        <v>2205</v>
      </c>
      <c r="I551" s="130" t="s">
        <v>132</v>
      </c>
      <c r="J551" s="135">
        <v>44455</v>
      </c>
      <c r="K551" s="130" t="s">
        <v>1822</v>
      </c>
    </row>
    <row r="552" spans="1:24" ht="24.75" customHeight="1" x14ac:dyDescent="0.2">
      <c r="A552" s="130">
        <v>551</v>
      </c>
      <c r="B552" s="131" t="s">
        <v>32</v>
      </c>
      <c r="C552" s="134" t="s">
        <v>1960</v>
      </c>
      <c r="D552" s="134" t="s">
        <v>1962</v>
      </c>
      <c r="E552" s="134" t="s">
        <v>1963</v>
      </c>
      <c r="F552" s="134"/>
      <c r="G552" s="130" t="s">
        <v>28</v>
      </c>
      <c r="H552" s="130" t="s">
        <v>29</v>
      </c>
      <c r="I552" s="130" t="s">
        <v>36</v>
      </c>
      <c r="J552" s="135">
        <v>44922</v>
      </c>
      <c r="K552" s="130" t="s">
        <v>1964</v>
      </c>
    </row>
    <row r="553" spans="1:24" ht="24" customHeight="1" x14ac:dyDescent="0.2">
      <c r="A553" s="130">
        <v>552</v>
      </c>
      <c r="B553" s="131" t="s">
        <v>528</v>
      </c>
      <c r="C553" s="134" t="s">
        <v>1619</v>
      </c>
      <c r="D553" s="134" t="s">
        <v>1621</v>
      </c>
      <c r="E553" s="134" t="s">
        <v>1622</v>
      </c>
      <c r="F553" s="134"/>
      <c r="G553" s="130" t="s">
        <v>28</v>
      </c>
      <c r="H553" s="130" t="s">
        <v>401</v>
      </c>
      <c r="I553" s="130" t="s">
        <v>182</v>
      </c>
      <c r="J553" s="135">
        <v>39995</v>
      </c>
      <c r="K553" s="138" t="s">
        <v>1623</v>
      </c>
    </row>
    <row r="554" spans="1:24" ht="27.75" customHeight="1" x14ac:dyDescent="0.2">
      <c r="A554" s="130">
        <v>553</v>
      </c>
      <c r="B554" s="131" t="s">
        <v>42</v>
      </c>
      <c r="C554" s="134" t="s">
        <v>1683</v>
      </c>
      <c r="D554" s="134" t="s">
        <v>1684</v>
      </c>
      <c r="E554" s="134" t="s">
        <v>1685</v>
      </c>
      <c r="F554" s="134"/>
      <c r="G554" s="144" t="s">
        <v>239</v>
      </c>
      <c r="H554" s="144" t="s">
        <v>47</v>
      </c>
      <c r="I554" s="139" t="s">
        <v>2552</v>
      </c>
      <c r="J554" s="135">
        <v>38044</v>
      </c>
      <c r="K554" s="138" t="s">
        <v>2553</v>
      </c>
    </row>
    <row r="555" spans="1:24" ht="24.75" customHeight="1" x14ac:dyDescent="0.2">
      <c r="A555" s="130">
        <v>554</v>
      </c>
      <c r="B555" s="131" t="s">
        <v>69</v>
      </c>
      <c r="C555" s="134" t="s">
        <v>2382</v>
      </c>
      <c r="D555" s="134" t="s">
        <v>599</v>
      </c>
      <c r="E555" s="134" t="s">
        <v>2383</v>
      </c>
      <c r="F555" s="134"/>
      <c r="G555" s="130" t="s">
        <v>28</v>
      </c>
      <c r="H555" s="130" t="s">
        <v>75</v>
      </c>
      <c r="I555" s="130" t="s">
        <v>182</v>
      </c>
      <c r="J555" s="135">
        <v>43539</v>
      </c>
      <c r="K555" s="130" t="s">
        <v>2384</v>
      </c>
    </row>
    <row r="556" spans="1:24" ht="27" customHeight="1" x14ac:dyDescent="0.2">
      <c r="A556" s="130">
        <v>555</v>
      </c>
      <c r="B556" s="131" t="s">
        <v>42</v>
      </c>
      <c r="C556" s="134" t="s">
        <v>575</v>
      </c>
      <c r="D556" s="134" t="s">
        <v>576</v>
      </c>
      <c r="E556" s="134" t="s">
        <v>578</v>
      </c>
      <c r="F556" s="134"/>
      <c r="G556" s="138" t="s">
        <v>581</v>
      </c>
      <c r="H556" s="138" t="s">
        <v>47</v>
      </c>
      <c r="I556" s="139" t="s">
        <v>582</v>
      </c>
      <c r="J556" s="135">
        <v>40830</v>
      </c>
      <c r="K556" s="130" t="s">
        <v>584</v>
      </c>
    </row>
    <row r="557" spans="1:24" ht="24" customHeight="1" x14ac:dyDescent="0.2">
      <c r="A557" s="130">
        <v>556</v>
      </c>
      <c r="B557" s="131" t="s">
        <v>528</v>
      </c>
      <c r="C557" s="131" t="s">
        <v>529</v>
      </c>
      <c r="D557" s="131" t="s">
        <v>530</v>
      </c>
      <c r="E557" s="131" t="s">
        <v>532</v>
      </c>
      <c r="F557" s="154"/>
      <c r="G557" s="136" t="s">
        <v>28</v>
      </c>
      <c r="H557" s="136" t="s">
        <v>29</v>
      </c>
      <c r="I557" s="136" t="s">
        <v>182</v>
      </c>
      <c r="J557" s="155">
        <v>40513</v>
      </c>
      <c r="K557" s="130" t="s">
        <v>540</v>
      </c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 spans="1:24" ht="24" customHeight="1" x14ac:dyDescent="0.2">
      <c r="A558" s="130">
        <v>557</v>
      </c>
      <c r="B558" s="131" t="s">
        <v>127</v>
      </c>
      <c r="C558" s="134" t="s">
        <v>892</v>
      </c>
      <c r="D558" s="134" t="s">
        <v>963</v>
      </c>
      <c r="E558" s="134" t="s">
        <v>964</v>
      </c>
      <c r="F558" s="134"/>
      <c r="G558" s="144" t="s">
        <v>239</v>
      </c>
      <c r="H558" s="130" t="s">
        <v>205</v>
      </c>
      <c r="I558" s="136" t="s">
        <v>327</v>
      </c>
      <c r="J558" s="135">
        <v>43542</v>
      </c>
      <c r="K558" s="136" t="s">
        <v>1290</v>
      </c>
    </row>
    <row r="559" spans="1:24" ht="24" customHeight="1" x14ac:dyDescent="0.2">
      <c r="A559" s="130">
        <v>558</v>
      </c>
      <c r="B559" s="131" t="s">
        <v>57</v>
      </c>
      <c r="C559" s="134" t="s">
        <v>58</v>
      </c>
      <c r="D559" s="134" t="s">
        <v>59</v>
      </c>
      <c r="E559" s="134" t="s">
        <v>60</v>
      </c>
      <c r="F559" s="134"/>
      <c r="G559" s="130" t="s">
        <v>3784</v>
      </c>
      <c r="H559" s="136" t="s">
        <v>20</v>
      </c>
      <c r="I559" s="130" t="s">
        <v>21</v>
      </c>
      <c r="J559" s="135">
        <v>34881</v>
      </c>
      <c r="K559" s="141" t="s">
        <v>61</v>
      </c>
    </row>
    <row r="560" spans="1:24" ht="24" customHeight="1" x14ac:dyDescent="0.2">
      <c r="A560" s="130">
        <v>559</v>
      </c>
      <c r="B560" s="131" t="s">
        <v>32</v>
      </c>
      <c r="C560" s="134" t="s">
        <v>2018</v>
      </c>
      <c r="D560" s="134" t="s">
        <v>2019</v>
      </c>
      <c r="E560" s="134" t="s">
        <v>2020</v>
      </c>
      <c r="F560" s="137"/>
      <c r="G560" s="130" t="s">
        <v>131</v>
      </c>
      <c r="H560" s="130" t="s">
        <v>212</v>
      </c>
      <c r="I560" s="130" t="s">
        <v>36</v>
      </c>
      <c r="J560" s="135">
        <v>44879</v>
      </c>
      <c r="K560" s="130" t="s">
        <v>2021</v>
      </c>
    </row>
    <row r="561" spans="1:11" ht="33" customHeight="1" x14ac:dyDescent="0.2">
      <c r="A561" s="130">
        <v>560</v>
      </c>
      <c r="B561" s="131" t="s">
        <v>32</v>
      </c>
      <c r="C561" s="134" t="s">
        <v>2589</v>
      </c>
      <c r="D561" s="134" t="s">
        <v>2590</v>
      </c>
      <c r="E561" s="134" t="s">
        <v>2591</v>
      </c>
      <c r="F561" s="134"/>
      <c r="G561" s="130" t="s">
        <v>368</v>
      </c>
      <c r="H561" s="130" t="s">
        <v>545</v>
      </c>
      <c r="I561" s="130" t="s">
        <v>30</v>
      </c>
      <c r="J561" s="135">
        <v>44900</v>
      </c>
      <c r="K561" s="130" t="s">
        <v>2592</v>
      </c>
    </row>
    <row r="562" spans="1:11" ht="24" customHeight="1" x14ac:dyDescent="0.2">
      <c r="A562" s="130">
        <v>561</v>
      </c>
      <c r="B562" s="131" t="s">
        <v>32</v>
      </c>
      <c r="C562" s="134" t="s">
        <v>2219</v>
      </c>
      <c r="D562" s="134" t="s">
        <v>2220</v>
      </c>
      <c r="E562" s="134" t="s">
        <v>470</v>
      </c>
      <c r="F562" s="137"/>
      <c r="G562" s="130" t="s">
        <v>28</v>
      </c>
      <c r="H562" s="130" t="s">
        <v>29</v>
      </c>
      <c r="I562" s="130" t="s">
        <v>36</v>
      </c>
      <c r="J562" s="135">
        <v>44922</v>
      </c>
      <c r="K562" s="130" t="s">
        <v>2222</v>
      </c>
    </row>
    <row r="563" spans="1:11" ht="27.75" customHeight="1" x14ac:dyDescent="0.2">
      <c r="A563" s="130">
        <v>562</v>
      </c>
      <c r="B563" s="131" t="s">
        <v>318</v>
      </c>
      <c r="C563" s="142" t="s">
        <v>1934</v>
      </c>
      <c r="D563" s="142" t="s">
        <v>1936</v>
      </c>
      <c r="E563" s="142" t="s">
        <v>1937</v>
      </c>
      <c r="F563" s="142"/>
      <c r="G563" s="136" t="s">
        <v>131</v>
      </c>
      <c r="H563" s="136" t="s">
        <v>205</v>
      </c>
      <c r="I563" s="130" t="s">
        <v>327</v>
      </c>
      <c r="J563" s="135">
        <v>43542</v>
      </c>
      <c r="K563" s="136" t="s">
        <v>2366</v>
      </c>
    </row>
    <row r="564" spans="1:11" ht="24.75" customHeight="1" x14ac:dyDescent="0.2">
      <c r="A564" s="130">
        <v>563</v>
      </c>
      <c r="B564" s="131" t="s">
        <v>42</v>
      </c>
      <c r="C564" s="142" t="s">
        <v>1693</v>
      </c>
      <c r="D564" s="142" t="s">
        <v>1694</v>
      </c>
      <c r="E564" s="142" t="s">
        <v>1695</v>
      </c>
      <c r="F564" s="134"/>
      <c r="G564" s="143" t="s">
        <v>2748</v>
      </c>
      <c r="H564" s="130" t="s">
        <v>89</v>
      </c>
      <c r="I564" s="130" t="s">
        <v>90</v>
      </c>
      <c r="J564" s="135">
        <v>46106</v>
      </c>
      <c r="K564" s="138" t="s">
        <v>2749</v>
      </c>
    </row>
    <row r="565" spans="1:11" ht="29.25" customHeight="1" x14ac:dyDescent="0.2">
      <c r="A565" s="130">
        <v>564</v>
      </c>
      <c r="B565" s="131" t="s">
        <v>134</v>
      </c>
      <c r="C565" s="134" t="s">
        <v>2309</v>
      </c>
      <c r="D565" s="134" t="s">
        <v>2311</v>
      </c>
      <c r="E565" s="134" t="s">
        <v>367</v>
      </c>
      <c r="F565" s="134"/>
      <c r="G565" s="136" t="s">
        <v>239</v>
      </c>
      <c r="H565" s="136" t="s">
        <v>47</v>
      </c>
      <c r="I565" s="130" t="s">
        <v>30</v>
      </c>
      <c r="J565" s="135">
        <v>42994</v>
      </c>
      <c r="K565" s="130" t="s">
        <v>2312</v>
      </c>
    </row>
    <row r="566" spans="1:11" ht="24.75" customHeight="1" x14ac:dyDescent="0.2">
      <c r="A566" s="130">
        <v>565</v>
      </c>
      <c r="B566" s="131" t="s">
        <v>42</v>
      </c>
      <c r="C566" s="134" t="s">
        <v>635</v>
      </c>
      <c r="D566" s="134" t="s">
        <v>1701</v>
      </c>
      <c r="E566" s="134" t="s">
        <v>1702</v>
      </c>
      <c r="F566" s="134"/>
      <c r="G566" s="136" t="s">
        <v>2443</v>
      </c>
      <c r="H566" s="138" t="s">
        <v>47</v>
      </c>
      <c r="I566" s="139" t="s">
        <v>2444</v>
      </c>
      <c r="J566" s="135">
        <v>40843</v>
      </c>
      <c r="K566" s="130" t="s">
        <v>2445</v>
      </c>
    </row>
    <row r="567" spans="1:11" ht="24.75" customHeight="1" x14ac:dyDescent="0.2">
      <c r="A567" s="130">
        <v>566</v>
      </c>
      <c r="B567" s="131" t="s">
        <v>32</v>
      </c>
      <c r="C567" s="134" t="s">
        <v>635</v>
      </c>
      <c r="D567" s="134" t="s">
        <v>2433</v>
      </c>
      <c r="E567" s="134" t="s">
        <v>2434</v>
      </c>
      <c r="F567" s="134"/>
      <c r="G567" s="130" t="s">
        <v>239</v>
      </c>
      <c r="H567" s="130" t="s">
        <v>212</v>
      </c>
      <c r="I567" s="130" t="s">
        <v>36</v>
      </c>
      <c r="J567" s="135">
        <v>44900</v>
      </c>
      <c r="K567" s="130" t="s">
        <v>2436</v>
      </c>
    </row>
    <row r="568" spans="1:11" ht="24.75" customHeight="1" x14ac:dyDescent="0.2">
      <c r="A568" s="130">
        <v>567</v>
      </c>
      <c r="B568" s="131" t="s">
        <v>318</v>
      </c>
      <c r="C568" s="134" t="s">
        <v>325</v>
      </c>
      <c r="D568" s="134" t="s">
        <v>320</v>
      </c>
      <c r="E568" s="134" t="s">
        <v>321</v>
      </c>
      <c r="F568" s="134"/>
      <c r="G568" s="130" t="s">
        <v>239</v>
      </c>
      <c r="H568" s="130" t="s">
        <v>47</v>
      </c>
      <c r="I568" s="130" t="s">
        <v>327</v>
      </c>
      <c r="J568" s="135">
        <v>43542</v>
      </c>
      <c r="K568" s="136" t="s">
        <v>322</v>
      </c>
    </row>
    <row r="569" spans="1:11" ht="24.75" customHeight="1" x14ac:dyDescent="0.2">
      <c r="A569" s="130">
        <v>568</v>
      </c>
      <c r="B569" s="131" t="s">
        <v>318</v>
      </c>
      <c r="C569" s="142" t="s">
        <v>325</v>
      </c>
      <c r="D569" s="142" t="s">
        <v>1689</v>
      </c>
      <c r="E569" s="142" t="s">
        <v>1942</v>
      </c>
      <c r="F569" s="142"/>
      <c r="G569" s="136" t="s">
        <v>239</v>
      </c>
      <c r="H569" s="136" t="s">
        <v>205</v>
      </c>
      <c r="I569" s="130" t="s">
        <v>327</v>
      </c>
      <c r="J569" s="135">
        <v>27516</v>
      </c>
      <c r="K569" s="130" t="s">
        <v>1946</v>
      </c>
    </row>
    <row r="570" spans="1:11" ht="27" customHeight="1" x14ac:dyDescent="0.2">
      <c r="A570" s="130">
        <v>569</v>
      </c>
      <c r="B570" s="131" t="s">
        <v>62</v>
      </c>
      <c r="C570" s="134" t="s">
        <v>63</v>
      </c>
      <c r="D570" s="134" t="s">
        <v>64</v>
      </c>
      <c r="E570" s="134" t="s">
        <v>65</v>
      </c>
      <c r="F570" s="134"/>
      <c r="G570" s="130" t="s">
        <v>66</v>
      </c>
      <c r="H570" s="130" t="s">
        <v>67</v>
      </c>
      <c r="I570" s="130" t="s">
        <v>21</v>
      </c>
      <c r="J570" s="135">
        <v>37979</v>
      </c>
      <c r="K570" s="130" t="s">
        <v>68</v>
      </c>
    </row>
    <row r="571" spans="1:11" ht="24.75" customHeight="1" x14ac:dyDescent="0.2">
      <c r="A571" s="130">
        <v>570</v>
      </c>
      <c r="B571" s="131" t="s">
        <v>134</v>
      </c>
      <c r="C571" s="134" t="s">
        <v>2472</v>
      </c>
      <c r="D571" s="134" t="s">
        <v>2473</v>
      </c>
      <c r="E571" s="134" t="s">
        <v>2474</v>
      </c>
      <c r="F571" s="134"/>
      <c r="G571" s="138" t="s">
        <v>131</v>
      </c>
      <c r="H571" s="138" t="s">
        <v>75</v>
      </c>
      <c r="I571" s="139" t="s">
        <v>30</v>
      </c>
      <c r="J571" s="135">
        <v>42552</v>
      </c>
      <c r="K571" s="138" t="s">
        <v>2475</v>
      </c>
    </row>
    <row r="572" spans="1:11" ht="24.75" customHeight="1" x14ac:dyDescent="0.2">
      <c r="A572" s="130">
        <v>571</v>
      </c>
      <c r="B572" s="131" t="s">
        <v>42</v>
      </c>
      <c r="C572" s="134" t="s">
        <v>1709</v>
      </c>
      <c r="D572" s="134" t="s">
        <v>1710</v>
      </c>
      <c r="E572" s="134" t="s">
        <v>1712</v>
      </c>
      <c r="F572" s="134"/>
      <c r="G572" s="130" t="s">
        <v>2296</v>
      </c>
      <c r="H572" s="130" t="s">
        <v>47</v>
      </c>
      <c r="I572" s="139" t="s">
        <v>459</v>
      </c>
      <c r="J572" s="135">
        <v>45155</v>
      </c>
      <c r="K572" s="138" t="s">
        <v>2700</v>
      </c>
    </row>
    <row r="573" spans="1:11" ht="24.75" customHeight="1" x14ac:dyDescent="0.2">
      <c r="A573" s="130">
        <v>572</v>
      </c>
      <c r="B573" s="131" t="s">
        <v>32</v>
      </c>
      <c r="C573" s="134" t="s">
        <v>2174</v>
      </c>
      <c r="D573" s="134" t="s">
        <v>2175</v>
      </c>
      <c r="E573" s="134" t="s">
        <v>2176</v>
      </c>
      <c r="F573" s="137"/>
      <c r="G573" s="130" t="s">
        <v>131</v>
      </c>
      <c r="H573" s="130" t="s">
        <v>212</v>
      </c>
      <c r="I573" s="130" t="s">
        <v>36</v>
      </c>
      <c r="J573" s="135">
        <v>44879</v>
      </c>
      <c r="K573" s="130" t="s">
        <v>2178</v>
      </c>
    </row>
    <row r="574" spans="1:11" ht="24.75" customHeight="1" x14ac:dyDescent="0.2">
      <c r="A574" s="130">
        <v>573</v>
      </c>
      <c r="B574" s="131" t="s">
        <v>127</v>
      </c>
      <c r="C574" s="142" t="s">
        <v>1587</v>
      </c>
      <c r="D574" s="142" t="s">
        <v>1589</v>
      </c>
      <c r="E574" s="142" t="s">
        <v>1590</v>
      </c>
      <c r="F574" s="142"/>
      <c r="G574" s="136" t="s">
        <v>131</v>
      </c>
      <c r="H574" s="136" t="s">
        <v>205</v>
      </c>
      <c r="I574" s="130" t="s">
        <v>132</v>
      </c>
      <c r="J574" s="135">
        <v>44455</v>
      </c>
      <c r="K574" s="130" t="s">
        <v>1591</v>
      </c>
    </row>
    <row r="575" spans="1:11" ht="23.25" customHeight="1" x14ac:dyDescent="0.2">
      <c r="A575" s="130">
        <v>574</v>
      </c>
      <c r="B575" s="131" t="s">
        <v>32</v>
      </c>
      <c r="C575" s="134" t="s">
        <v>353</v>
      </c>
      <c r="D575" s="134" t="s">
        <v>354</v>
      </c>
      <c r="E575" s="134" t="s">
        <v>355</v>
      </c>
      <c r="F575" s="134"/>
      <c r="G575" s="130" t="s">
        <v>131</v>
      </c>
      <c r="H575" s="130" t="s">
        <v>162</v>
      </c>
      <c r="I575" s="130" t="s">
        <v>36</v>
      </c>
      <c r="J575" s="135">
        <v>44900</v>
      </c>
      <c r="K575" s="130" t="s">
        <v>359</v>
      </c>
    </row>
    <row r="576" spans="1:11" ht="23.25" customHeight="1" x14ac:dyDescent="0.2">
      <c r="A576" s="130">
        <v>575</v>
      </c>
      <c r="B576" s="131" t="s">
        <v>127</v>
      </c>
      <c r="C576" s="142" t="s">
        <v>1476</v>
      </c>
      <c r="D576" s="142" t="s">
        <v>1477</v>
      </c>
      <c r="E576" s="142" t="s">
        <v>1478</v>
      </c>
      <c r="F576" s="142"/>
      <c r="G576" s="136" t="s">
        <v>1927</v>
      </c>
      <c r="H576" s="136" t="s">
        <v>47</v>
      </c>
      <c r="I576" s="130" t="s">
        <v>132</v>
      </c>
      <c r="J576" s="135">
        <v>44455</v>
      </c>
      <c r="K576" s="130" t="s">
        <v>1483</v>
      </c>
    </row>
    <row r="577" spans="1:12" ht="27" customHeight="1" x14ac:dyDescent="0.2">
      <c r="A577" s="130">
        <v>576</v>
      </c>
      <c r="B577" s="131" t="s">
        <v>528</v>
      </c>
      <c r="C577" s="134" t="s">
        <v>1722</v>
      </c>
      <c r="D577" s="134" t="s">
        <v>1723</v>
      </c>
      <c r="E577" s="134" t="s">
        <v>1724</v>
      </c>
      <c r="F577" s="134"/>
      <c r="G577" s="136" t="s">
        <v>1729</v>
      </c>
      <c r="H577" s="130" t="s">
        <v>1732</v>
      </c>
      <c r="I577" s="130" t="s">
        <v>182</v>
      </c>
      <c r="J577" s="135">
        <v>40210</v>
      </c>
      <c r="K577" s="138" t="s">
        <v>1733</v>
      </c>
    </row>
    <row r="578" spans="1:12" ht="27" customHeight="1" x14ac:dyDescent="0.2">
      <c r="A578" s="130">
        <v>577</v>
      </c>
      <c r="B578" s="131" t="s">
        <v>42</v>
      </c>
      <c r="C578" s="134" t="s">
        <v>1716</v>
      </c>
      <c r="D578" s="134" t="s">
        <v>1717</v>
      </c>
      <c r="E578" s="134" t="s">
        <v>1059</v>
      </c>
      <c r="F578" s="134"/>
      <c r="G578" s="136" t="s">
        <v>829</v>
      </c>
      <c r="H578" s="130" t="s">
        <v>89</v>
      </c>
      <c r="I578" s="139" t="s">
        <v>2247</v>
      </c>
      <c r="J578" s="135">
        <v>43846</v>
      </c>
      <c r="K578" s="130" t="s">
        <v>2248</v>
      </c>
    </row>
    <row r="579" spans="1:12" ht="27.75" customHeight="1" x14ac:dyDescent="0.2">
      <c r="A579" s="130">
        <v>578</v>
      </c>
      <c r="B579" s="131" t="s">
        <v>42</v>
      </c>
      <c r="C579" s="134" t="s">
        <v>496</v>
      </c>
      <c r="D579" s="134" t="s">
        <v>276</v>
      </c>
      <c r="E579" s="134" t="s">
        <v>497</v>
      </c>
      <c r="F579" s="134"/>
      <c r="G579" s="130" t="s">
        <v>239</v>
      </c>
      <c r="H579" s="130" t="s">
        <v>168</v>
      </c>
      <c r="I579" s="130" t="s">
        <v>90</v>
      </c>
      <c r="J579" s="135">
        <v>43140</v>
      </c>
      <c r="K579" s="130" t="s">
        <v>499</v>
      </c>
      <c r="L579" s="128" t="s">
        <v>3786</v>
      </c>
    </row>
    <row r="580" spans="1:12" ht="27" customHeight="1" x14ac:dyDescent="0.2">
      <c r="A580" s="130">
        <v>579</v>
      </c>
      <c r="B580" s="131" t="s">
        <v>127</v>
      </c>
      <c r="C580" s="142" t="s">
        <v>572</v>
      </c>
      <c r="D580" s="142" t="s">
        <v>573</v>
      </c>
      <c r="E580" s="142" t="s">
        <v>574</v>
      </c>
      <c r="F580" s="142"/>
      <c r="G580" s="136" t="s">
        <v>291</v>
      </c>
      <c r="H580" s="136" t="s">
        <v>47</v>
      </c>
      <c r="I580" s="130" t="s">
        <v>132</v>
      </c>
      <c r="J580" s="135">
        <v>44455</v>
      </c>
      <c r="K580" s="130" t="s">
        <v>583</v>
      </c>
    </row>
    <row r="581" spans="1:12" ht="27" customHeight="1" x14ac:dyDescent="0.2">
      <c r="A581" s="130">
        <v>580</v>
      </c>
      <c r="B581" s="131" t="s">
        <v>42</v>
      </c>
      <c r="C581" s="134" t="s">
        <v>1725</v>
      </c>
      <c r="D581" s="134" t="s">
        <v>1727</v>
      </c>
      <c r="E581" s="134" t="s">
        <v>1728</v>
      </c>
      <c r="F581" s="134"/>
      <c r="G581" s="144" t="s">
        <v>2288</v>
      </c>
      <c r="H581" s="144" t="s">
        <v>168</v>
      </c>
      <c r="I581" s="144" t="s">
        <v>2289</v>
      </c>
      <c r="J581" s="135">
        <v>42346</v>
      </c>
      <c r="K581" s="136" t="s">
        <v>2290</v>
      </c>
    </row>
    <row r="582" spans="1:12" ht="36.75" customHeight="1" x14ac:dyDescent="0.2">
      <c r="A582" s="130">
        <v>581</v>
      </c>
      <c r="B582" s="131" t="s">
        <v>201</v>
      </c>
      <c r="C582" s="134" t="s">
        <v>2704</v>
      </c>
      <c r="D582" s="134" t="s">
        <v>2207</v>
      </c>
      <c r="E582" s="134" t="s">
        <v>2208</v>
      </c>
      <c r="F582" s="137"/>
      <c r="G582" s="130" t="s">
        <v>2706</v>
      </c>
      <c r="H582" s="130" t="s">
        <v>47</v>
      </c>
      <c r="I582" s="130" t="s">
        <v>206</v>
      </c>
      <c r="J582" s="135">
        <v>45068</v>
      </c>
      <c r="K582" s="148" t="s">
        <v>2707</v>
      </c>
    </row>
    <row r="583" spans="1:12" ht="23.25" customHeight="1" x14ac:dyDescent="0.2">
      <c r="A583" s="130">
        <v>582</v>
      </c>
      <c r="B583" s="131" t="s">
        <v>32</v>
      </c>
      <c r="C583" s="134" t="s">
        <v>2252</v>
      </c>
      <c r="D583" s="134" t="s">
        <v>2253</v>
      </c>
      <c r="E583" s="134" t="s">
        <v>2254</v>
      </c>
      <c r="F583" s="134"/>
      <c r="G583" s="130" t="s">
        <v>28</v>
      </c>
      <c r="H583" s="130" t="s">
        <v>29</v>
      </c>
      <c r="I583" s="130" t="s">
        <v>36</v>
      </c>
      <c r="J583" s="135">
        <v>44922</v>
      </c>
      <c r="K583" s="130" t="s">
        <v>2256</v>
      </c>
    </row>
    <row r="584" spans="1:12" ht="23.25" customHeight="1" x14ac:dyDescent="0.2">
      <c r="A584" s="130">
        <v>583</v>
      </c>
      <c r="B584" s="131" t="s">
        <v>42</v>
      </c>
      <c r="C584" s="134" t="s">
        <v>2418</v>
      </c>
      <c r="D584" s="134" t="s">
        <v>1736</v>
      </c>
      <c r="E584" s="134" t="s">
        <v>1738</v>
      </c>
      <c r="F584" s="134"/>
      <c r="G584" s="138" t="s">
        <v>2419</v>
      </c>
      <c r="H584" s="138" t="s">
        <v>47</v>
      </c>
      <c r="I584" s="130" t="s">
        <v>2420</v>
      </c>
      <c r="J584" s="135">
        <v>36281</v>
      </c>
      <c r="K584" s="130" t="s">
        <v>2421</v>
      </c>
    </row>
    <row r="585" spans="1:12" ht="24" customHeight="1" x14ac:dyDescent="0.2">
      <c r="A585" s="130">
        <v>584</v>
      </c>
      <c r="B585" s="131" t="s">
        <v>127</v>
      </c>
      <c r="C585" s="142" t="s">
        <v>897</v>
      </c>
      <c r="D585" s="142" t="s">
        <v>900</v>
      </c>
      <c r="E585" s="142" t="s">
        <v>627</v>
      </c>
      <c r="F585" s="142"/>
      <c r="G585" s="136" t="s">
        <v>131</v>
      </c>
      <c r="H585" s="136" t="s">
        <v>47</v>
      </c>
      <c r="I585" s="130" t="s">
        <v>132</v>
      </c>
      <c r="J585" s="135">
        <v>44504</v>
      </c>
      <c r="K585" s="130" t="s">
        <v>904</v>
      </c>
    </row>
    <row r="586" spans="1:12" ht="25.5" customHeight="1" x14ac:dyDescent="0.2">
      <c r="A586" s="130">
        <v>585</v>
      </c>
      <c r="B586" s="131" t="s">
        <v>177</v>
      </c>
      <c r="C586" s="134" t="s">
        <v>897</v>
      </c>
      <c r="D586" s="134" t="s">
        <v>1796</v>
      </c>
      <c r="E586" s="134" t="s">
        <v>1797</v>
      </c>
      <c r="F586" s="134"/>
      <c r="G586" s="130" t="s">
        <v>239</v>
      </c>
      <c r="H586" s="136" t="s">
        <v>47</v>
      </c>
      <c r="I586" s="130" t="s">
        <v>182</v>
      </c>
      <c r="J586" s="135">
        <v>43539</v>
      </c>
      <c r="K586" s="138" t="s">
        <v>1798</v>
      </c>
    </row>
    <row r="587" spans="1:12" ht="23.25" customHeight="1" x14ac:dyDescent="0.2">
      <c r="A587" s="130">
        <v>586</v>
      </c>
      <c r="B587" s="131" t="s">
        <v>127</v>
      </c>
      <c r="C587" s="142" t="s">
        <v>442</v>
      </c>
      <c r="D587" s="142" t="s">
        <v>687</v>
      </c>
      <c r="E587" s="142" t="s">
        <v>688</v>
      </c>
      <c r="F587" s="142"/>
      <c r="G587" s="136" t="s">
        <v>1028</v>
      </c>
      <c r="H587" s="136" t="s">
        <v>526</v>
      </c>
      <c r="I587" s="130" t="s">
        <v>206</v>
      </c>
      <c r="J587" s="135">
        <v>44504</v>
      </c>
      <c r="K587" s="130" t="s">
        <v>694</v>
      </c>
    </row>
    <row r="588" spans="1:12" ht="23.25" customHeight="1" x14ac:dyDescent="0.2">
      <c r="A588" s="130">
        <v>587</v>
      </c>
      <c r="B588" s="131" t="s">
        <v>42</v>
      </c>
      <c r="C588" s="134" t="s">
        <v>192</v>
      </c>
      <c r="D588" s="137" t="s">
        <v>193</v>
      </c>
      <c r="E588" s="134" t="s">
        <v>194</v>
      </c>
      <c r="F588" s="134"/>
      <c r="G588" s="138" t="s">
        <v>112</v>
      </c>
      <c r="H588" s="139" t="s">
        <v>195</v>
      </c>
      <c r="I588" s="139" t="s">
        <v>196</v>
      </c>
      <c r="J588" s="135">
        <v>38565</v>
      </c>
      <c r="K588" s="136" t="s">
        <v>197</v>
      </c>
    </row>
    <row r="589" spans="1:12" ht="24.75" customHeight="1" x14ac:dyDescent="0.2">
      <c r="A589" s="130">
        <v>588</v>
      </c>
      <c r="B589" s="131" t="s">
        <v>42</v>
      </c>
      <c r="C589" s="134" t="s">
        <v>1750</v>
      </c>
      <c r="D589" s="134" t="s">
        <v>1751</v>
      </c>
      <c r="E589" s="134" t="s">
        <v>1752</v>
      </c>
      <c r="F589" s="134"/>
      <c r="G589" s="136" t="s">
        <v>2554</v>
      </c>
      <c r="H589" s="138" t="s">
        <v>47</v>
      </c>
      <c r="I589" s="139" t="s">
        <v>2555</v>
      </c>
      <c r="J589" s="135">
        <v>36296</v>
      </c>
      <c r="K589" s="138" t="s">
        <v>2556</v>
      </c>
    </row>
    <row r="590" spans="1:12" ht="27" customHeight="1" x14ac:dyDescent="0.2">
      <c r="A590" s="130">
        <v>589</v>
      </c>
      <c r="B590" s="131" t="s">
        <v>32</v>
      </c>
      <c r="C590" s="134" t="s">
        <v>747</v>
      </c>
      <c r="D590" s="134" t="s">
        <v>749</v>
      </c>
      <c r="E590" s="134" t="s">
        <v>750</v>
      </c>
      <c r="F590" s="134"/>
      <c r="G590" s="130" t="s">
        <v>28</v>
      </c>
      <c r="H590" s="130" t="s">
        <v>29</v>
      </c>
      <c r="I590" s="130" t="s">
        <v>36</v>
      </c>
      <c r="J590" s="135">
        <v>44922</v>
      </c>
      <c r="K590" s="130" t="s">
        <v>754</v>
      </c>
    </row>
    <row r="591" spans="1:12" ht="24.75" customHeight="1" x14ac:dyDescent="0.2">
      <c r="A591" s="130">
        <v>590</v>
      </c>
      <c r="B591" s="131" t="s">
        <v>127</v>
      </c>
      <c r="C591" s="134" t="s">
        <v>1330</v>
      </c>
      <c r="D591" s="134" t="s">
        <v>986</v>
      </c>
      <c r="E591" s="134" t="s">
        <v>1023</v>
      </c>
      <c r="F591" s="134"/>
      <c r="G591" s="136" t="s">
        <v>131</v>
      </c>
      <c r="H591" s="136" t="s">
        <v>205</v>
      </c>
      <c r="I591" s="130" t="s">
        <v>132</v>
      </c>
      <c r="J591" s="135">
        <v>44504</v>
      </c>
      <c r="K591" s="130" t="s">
        <v>1026</v>
      </c>
    </row>
    <row r="592" spans="1:12" ht="27" customHeight="1" x14ac:dyDescent="0.2">
      <c r="A592" s="130">
        <v>591</v>
      </c>
      <c r="B592" s="131" t="s">
        <v>42</v>
      </c>
      <c r="C592" s="134" t="s">
        <v>1760</v>
      </c>
      <c r="D592" s="134" t="s">
        <v>1762</v>
      </c>
      <c r="E592" s="134" t="s">
        <v>243</v>
      </c>
      <c r="F592" s="134"/>
      <c r="G592" s="139" t="s">
        <v>2808</v>
      </c>
      <c r="H592" s="144" t="s">
        <v>168</v>
      </c>
      <c r="I592" s="139" t="s">
        <v>2809</v>
      </c>
      <c r="J592" s="135">
        <v>36894</v>
      </c>
      <c r="K592" s="138" t="s">
        <v>2812</v>
      </c>
    </row>
    <row r="593" spans="1:24" ht="39.75" customHeight="1" x14ac:dyDescent="0.2">
      <c r="A593" s="130">
        <v>592</v>
      </c>
      <c r="B593" s="131" t="s">
        <v>42</v>
      </c>
      <c r="C593" s="134" t="s">
        <v>1183</v>
      </c>
      <c r="D593" s="134" t="s">
        <v>1766</v>
      </c>
      <c r="E593" s="134" t="s">
        <v>1768</v>
      </c>
      <c r="F593" s="142"/>
      <c r="G593" s="136" t="s">
        <v>2818</v>
      </c>
      <c r="H593" s="130" t="s">
        <v>47</v>
      </c>
      <c r="I593" s="144" t="s">
        <v>90</v>
      </c>
      <c r="J593" s="135">
        <v>45733</v>
      </c>
      <c r="K593" s="152" t="s">
        <v>2820</v>
      </c>
    </row>
    <row r="594" spans="1:24" ht="27" customHeight="1" x14ac:dyDescent="0.2">
      <c r="A594" s="130">
        <v>593</v>
      </c>
      <c r="B594" s="131" t="s">
        <v>42</v>
      </c>
      <c r="C594" s="134" t="s">
        <v>1770</v>
      </c>
      <c r="D594" s="134" t="s">
        <v>1771</v>
      </c>
      <c r="E594" s="134" t="s">
        <v>1270</v>
      </c>
      <c r="F594" s="142"/>
      <c r="G594" s="136" t="s">
        <v>131</v>
      </c>
      <c r="H594" s="130" t="s">
        <v>47</v>
      </c>
      <c r="I594" s="144" t="s">
        <v>90</v>
      </c>
      <c r="J594" s="135">
        <v>45733</v>
      </c>
      <c r="K594" s="152" t="s">
        <v>2822</v>
      </c>
    </row>
    <row r="595" spans="1:24" ht="27" customHeight="1" x14ac:dyDescent="0.2">
      <c r="A595" s="130">
        <v>594</v>
      </c>
      <c r="B595" s="131" t="s">
        <v>42</v>
      </c>
      <c r="C595" s="134" t="s">
        <v>1776</v>
      </c>
      <c r="D595" s="134" t="s">
        <v>1777</v>
      </c>
      <c r="E595" s="134" t="s">
        <v>1284</v>
      </c>
      <c r="F595" s="134"/>
      <c r="G595" s="130" t="s">
        <v>283</v>
      </c>
      <c r="H595" s="130" t="s">
        <v>168</v>
      </c>
      <c r="I595" s="139" t="s">
        <v>2701</v>
      </c>
      <c r="J595" s="135">
        <v>42835</v>
      </c>
      <c r="K595" s="138" t="s">
        <v>2702</v>
      </c>
    </row>
    <row r="596" spans="1:24" ht="27" customHeight="1" x14ac:dyDescent="0.2">
      <c r="A596" s="130">
        <v>595</v>
      </c>
      <c r="B596" s="131" t="s">
        <v>32</v>
      </c>
      <c r="C596" s="134" t="s">
        <v>942</v>
      </c>
      <c r="D596" s="134" t="s">
        <v>943</v>
      </c>
      <c r="E596" s="134" t="s">
        <v>944</v>
      </c>
      <c r="F596" s="134"/>
      <c r="G596" s="147" t="s">
        <v>131</v>
      </c>
      <c r="H596" s="147" t="s">
        <v>47</v>
      </c>
      <c r="I596" s="147" t="s">
        <v>948</v>
      </c>
      <c r="J596" s="135">
        <v>44922</v>
      </c>
      <c r="K596" s="130" t="s">
        <v>949</v>
      </c>
    </row>
    <row r="597" spans="1:24" ht="27" customHeight="1" x14ac:dyDescent="0.2">
      <c r="A597" s="130">
        <v>596</v>
      </c>
      <c r="B597" s="131" t="s">
        <v>62</v>
      </c>
      <c r="C597" s="134" t="s">
        <v>2112</v>
      </c>
      <c r="D597" s="134" t="s">
        <v>588</v>
      </c>
      <c r="E597" s="134" t="s">
        <v>2113</v>
      </c>
      <c r="F597" s="134"/>
      <c r="G597" s="130" t="s">
        <v>368</v>
      </c>
      <c r="H597" s="136" t="s">
        <v>526</v>
      </c>
      <c r="I597" s="130" t="s">
        <v>21</v>
      </c>
      <c r="J597" s="135">
        <v>37830</v>
      </c>
      <c r="K597" s="130" t="s">
        <v>2114</v>
      </c>
    </row>
    <row r="598" spans="1:24" ht="27" customHeight="1" x14ac:dyDescent="0.2">
      <c r="A598" s="130">
        <v>597</v>
      </c>
      <c r="B598" s="131" t="s">
        <v>528</v>
      </c>
      <c r="C598" s="134" t="s">
        <v>1627</v>
      </c>
      <c r="D598" s="134" t="s">
        <v>599</v>
      </c>
      <c r="E598" s="134" t="s">
        <v>1628</v>
      </c>
      <c r="F598" s="134"/>
      <c r="G598" s="130" t="s">
        <v>28</v>
      </c>
      <c r="H598" s="130" t="s">
        <v>401</v>
      </c>
      <c r="I598" s="130" t="s">
        <v>182</v>
      </c>
      <c r="J598" s="135">
        <v>39995</v>
      </c>
      <c r="K598" s="138" t="s">
        <v>1629</v>
      </c>
    </row>
    <row r="599" spans="1:24" ht="24.75" customHeight="1" x14ac:dyDescent="0.2">
      <c r="A599" s="130">
        <v>598</v>
      </c>
      <c r="B599" s="131" t="s">
        <v>32</v>
      </c>
      <c r="C599" s="134" t="s">
        <v>2717</v>
      </c>
      <c r="D599" s="134" t="s">
        <v>2718</v>
      </c>
      <c r="E599" s="134" t="s">
        <v>2719</v>
      </c>
      <c r="F599" s="137"/>
      <c r="G599" s="130" t="s">
        <v>544</v>
      </c>
      <c r="H599" s="130" t="s">
        <v>545</v>
      </c>
      <c r="I599" s="130" t="s">
        <v>36</v>
      </c>
      <c r="J599" s="135">
        <v>44879</v>
      </c>
      <c r="K599" s="130" t="s">
        <v>2720</v>
      </c>
    </row>
    <row r="600" spans="1:24" ht="24.75" customHeight="1" x14ac:dyDescent="0.2">
      <c r="A600" s="130">
        <v>599</v>
      </c>
      <c r="B600" s="131" t="s">
        <v>42</v>
      </c>
      <c r="C600" s="142" t="s">
        <v>1778</v>
      </c>
      <c r="D600" s="142" t="s">
        <v>1779</v>
      </c>
      <c r="E600" s="142" t="s">
        <v>707</v>
      </c>
      <c r="F600" s="134"/>
      <c r="G600" s="143" t="s">
        <v>2665</v>
      </c>
      <c r="H600" s="138" t="s">
        <v>47</v>
      </c>
      <c r="I600" s="139" t="s">
        <v>569</v>
      </c>
      <c r="J600" s="135">
        <v>46106</v>
      </c>
      <c r="K600" s="138" t="s">
        <v>2666</v>
      </c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 spans="1:24" ht="24.75" customHeight="1" x14ac:dyDescent="0.2">
      <c r="A601" s="130">
        <v>600</v>
      </c>
      <c r="B601" s="131" t="s">
        <v>69</v>
      </c>
      <c r="C601" s="134" t="s">
        <v>1078</v>
      </c>
      <c r="D601" s="134" t="s">
        <v>1079</v>
      </c>
      <c r="E601" s="134" t="s">
        <v>1080</v>
      </c>
      <c r="F601" s="134"/>
      <c r="G601" s="130" t="s">
        <v>1084</v>
      </c>
      <c r="H601" s="130" t="s">
        <v>205</v>
      </c>
      <c r="I601" s="130" t="s">
        <v>132</v>
      </c>
      <c r="J601" s="135">
        <v>44455</v>
      </c>
      <c r="K601" s="130" t="s">
        <v>789</v>
      </c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23.25" customHeight="1" x14ac:dyDescent="0.2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</row>
    <row r="603" spans="1:24" ht="24.75" customHeight="1" x14ac:dyDescent="0.2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</row>
    <row r="604" spans="1:24" ht="24.75" customHeight="1" x14ac:dyDescent="0.2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</row>
    <row r="605" spans="1:24" ht="18" customHeight="1" x14ac:dyDescent="0.2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</row>
    <row r="606" spans="1:24" ht="29.25" customHeight="1" x14ac:dyDescent="0.2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</row>
    <row r="607" spans="1:24" ht="28.5" customHeight="1" x14ac:dyDescent="0.2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</row>
    <row r="608" spans="1:24" ht="24.75" customHeight="1" x14ac:dyDescent="0.2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</row>
    <row r="609" spans="1:24" ht="23.25" customHeight="1" x14ac:dyDescent="0.2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</row>
    <row r="610" spans="1:24" ht="27" customHeight="1" x14ac:dyDescent="0.2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</row>
    <row r="611" spans="1:24" ht="36" customHeight="1" x14ac:dyDescent="0.2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</row>
    <row r="612" spans="1:24" ht="24.75" customHeight="1" x14ac:dyDescent="0.2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</row>
    <row r="613" spans="1:24" ht="29.25" customHeight="1" x14ac:dyDescent="0.2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</row>
    <row r="614" spans="1:24" ht="27" customHeight="1" x14ac:dyDescent="0.2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</row>
    <row r="615" spans="1:24" ht="27.75" customHeight="1" x14ac:dyDescent="0.2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</row>
    <row r="616" spans="1:24" ht="24.75" customHeight="1" x14ac:dyDescent="0.2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</row>
    <row r="617" spans="1:24" ht="24.75" customHeight="1" x14ac:dyDescent="0.2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</row>
    <row r="618" spans="1:24" ht="24.75" customHeight="1" x14ac:dyDescent="0.2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</row>
    <row r="619" spans="1:24" ht="23.25" customHeight="1" x14ac:dyDescent="0.2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</row>
    <row r="620" spans="1:24" ht="27.75" customHeight="1" x14ac:dyDescent="0.2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</row>
    <row r="621" spans="1:24" ht="23.25" customHeight="1" x14ac:dyDescent="0.2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</row>
    <row r="622" spans="1:24" ht="23.25" customHeight="1" x14ac:dyDescent="0.2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</row>
    <row r="623" spans="1:24" ht="23.25" customHeight="1" x14ac:dyDescent="0.2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</row>
    <row r="624" spans="1:24" ht="23.25" customHeight="1" x14ac:dyDescent="0.2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</row>
    <row r="625" spans="1:24" ht="31.5" customHeight="1" x14ac:dyDescent="0.2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</row>
    <row r="626" spans="1:24" ht="26.25" customHeight="1" x14ac:dyDescent="0.2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</row>
    <row r="627" spans="1:24" ht="27" customHeight="1" x14ac:dyDescent="0.2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</row>
    <row r="628" spans="1:24" ht="30" customHeight="1" x14ac:dyDescent="0.2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</row>
    <row r="629" spans="1:24" ht="30" customHeight="1" x14ac:dyDescent="0.2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</row>
    <row r="630" spans="1:24" ht="30" customHeight="1" x14ac:dyDescent="0.2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</row>
    <row r="631" spans="1:24" ht="30" customHeight="1" x14ac:dyDescent="0.2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</row>
    <row r="632" spans="1:24" ht="24.75" customHeight="1" x14ac:dyDescent="0.2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</row>
    <row r="633" spans="1:24" ht="18" customHeight="1" x14ac:dyDescent="0.2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</row>
    <row r="634" spans="1:24" ht="12.75" customHeight="1" x14ac:dyDescent="0.2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</row>
    <row r="635" spans="1:24" ht="12.75" customHeight="1" x14ac:dyDescent="0.2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</row>
    <row r="636" spans="1:24" ht="35.25" customHeight="1" x14ac:dyDescent="0.2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</row>
    <row r="637" spans="1:24" ht="14.25" customHeight="1" x14ac:dyDescent="0.2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</row>
    <row r="638" spans="1:24" ht="18" customHeight="1" x14ac:dyDescent="0.2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</row>
    <row r="639" spans="1:24" ht="18" customHeight="1" x14ac:dyDescent="0.2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</row>
    <row r="640" spans="1:24" ht="12.75" customHeight="1" x14ac:dyDescent="0.2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</row>
    <row r="641" spans="1:24" ht="15.75" customHeight="1" x14ac:dyDescent="0.2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</row>
    <row r="642" spans="1:24" ht="15.75" customHeight="1" x14ac:dyDescent="0.2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</row>
    <row r="643" spans="1:24" ht="15.75" customHeight="1" x14ac:dyDescent="0.2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</row>
    <row r="644" spans="1:24" ht="15.75" customHeight="1" x14ac:dyDescent="0.2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</row>
    <row r="645" spans="1:24" ht="15.75" customHeight="1" x14ac:dyDescent="0.2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</row>
    <row r="646" spans="1:24" ht="15.75" customHeight="1" x14ac:dyDescent="0.2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</row>
    <row r="647" spans="1:24" ht="15.75" customHeight="1" x14ac:dyDescent="0.2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</row>
    <row r="648" spans="1:24" ht="15.75" customHeight="1" x14ac:dyDescent="0.2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</row>
    <row r="649" spans="1:24" ht="15.75" customHeight="1" x14ac:dyDescent="0.2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</row>
    <row r="650" spans="1:24" ht="15.75" customHeight="1" x14ac:dyDescent="0.2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</row>
    <row r="651" spans="1:24" ht="15.75" customHeight="1" x14ac:dyDescent="0.2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</row>
    <row r="652" spans="1:24" ht="15.75" customHeight="1" x14ac:dyDescent="0.2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</row>
    <row r="653" spans="1:24" ht="15.75" customHeight="1" x14ac:dyDescent="0.2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</row>
    <row r="654" spans="1:24" ht="15.75" customHeight="1" x14ac:dyDescent="0.2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</row>
    <row r="655" spans="1:24" ht="15.75" customHeight="1" x14ac:dyDescent="0.2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</row>
    <row r="656" spans="1:24" ht="15.75" customHeight="1" x14ac:dyDescent="0.2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</row>
    <row r="657" spans="1:24" ht="15.75" customHeight="1" x14ac:dyDescent="0.2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</row>
    <row r="658" spans="1:24" ht="15.75" customHeight="1" x14ac:dyDescent="0.2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</row>
    <row r="659" spans="1:24" ht="15.75" customHeight="1" x14ac:dyDescent="0.2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</row>
    <row r="660" spans="1:24" ht="15.75" customHeight="1" x14ac:dyDescent="0.2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</row>
    <row r="661" spans="1:24" ht="15.75" customHeight="1" x14ac:dyDescent="0.2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</row>
    <row r="662" spans="1:24" ht="15.75" customHeight="1" x14ac:dyDescent="0.2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</row>
    <row r="663" spans="1:24" ht="15.75" customHeight="1" x14ac:dyDescent="0.2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</row>
    <row r="664" spans="1:24" ht="15.75" customHeight="1" x14ac:dyDescent="0.2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</row>
    <row r="665" spans="1:24" ht="15.75" customHeight="1" x14ac:dyDescent="0.2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</row>
    <row r="666" spans="1:24" ht="15.75" customHeight="1" x14ac:dyDescent="0.2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</row>
    <row r="667" spans="1:24" ht="15.75" customHeight="1" x14ac:dyDescent="0.2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</row>
    <row r="668" spans="1:24" ht="15.75" customHeight="1" x14ac:dyDescent="0.2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</row>
    <row r="669" spans="1:24" ht="15.75" customHeight="1" x14ac:dyDescent="0.2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</row>
    <row r="670" spans="1:24" ht="15.75" customHeight="1" x14ac:dyDescent="0.2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</row>
    <row r="671" spans="1:24" ht="15.75" customHeight="1" x14ac:dyDescent="0.2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</row>
    <row r="672" spans="1:24" ht="15.75" customHeight="1" x14ac:dyDescent="0.2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</row>
    <row r="673" spans="1:24" ht="15.75" customHeight="1" x14ac:dyDescent="0.2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</row>
    <row r="674" spans="1:24" ht="15.75" customHeight="1" x14ac:dyDescent="0.2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</row>
    <row r="675" spans="1:24" ht="15.75" customHeight="1" x14ac:dyDescent="0.2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</row>
    <row r="676" spans="1:24" ht="15.75" customHeight="1" x14ac:dyDescent="0.2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</row>
    <row r="677" spans="1:24" ht="15.75" customHeight="1" x14ac:dyDescent="0.2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</row>
    <row r="678" spans="1:24" ht="15.75" customHeight="1" x14ac:dyDescent="0.2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</row>
    <row r="679" spans="1:24" ht="15.75" customHeight="1" x14ac:dyDescent="0.2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</row>
    <row r="680" spans="1:24" ht="15.75" customHeight="1" x14ac:dyDescent="0.2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</row>
    <row r="681" spans="1:24" ht="15.75" customHeight="1" x14ac:dyDescent="0.2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</row>
    <row r="682" spans="1:24" ht="15.75" customHeight="1" x14ac:dyDescent="0.2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</row>
    <row r="683" spans="1:24" ht="15.75" customHeight="1" x14ac:dyDescent="0.2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</row>
    <row r="684" spans="1:24" ht="15.75" customHeight="1" x14ac:dyDescent="0.2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</row>
    <row r="685" spans="1:24" ht="15.75" customHeight="1" x14ac:dyDescent="0.2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</row>
    <row r="686" spans="1:24" ht="15.75" customHeight="1" x14ac:dyDescent="0.2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</row>
    <row r="687" spans="1:24" ht="15.75" customHeight="1" x14ac:dyDescent="0.2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</row>
    <row r="688" spans="1:24" ht="15.75" customHeight="1" x14ac:dyDescent="0.2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</row>
    <row r="689" spans="1:24" ht="15.75" customHeight="1" x14ac:dyDescent="0.2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</row>
    <row r="690" spans="1:24" ht="15.75" customHeight="1" x14ac:dyDescent="0.2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</row>
    <row r="691" spans="1:24" ht="15.75" customHeight="1" x14ac:dyDescent="0.2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</row>
    <row r="692" spans="1:24" ht="15.75" customHeight="1" x14ac:dyDescent="0.2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</row>
    <row r="693" spans="1:24" ht="15.75" customHeight="1" x14ac:dyDescent="0.2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</row>
    <row r="694" spans="1:24" ht="15.75" customHeight="1" x14ac:dyDescent="0.2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</row>
    <row r="695" spans="1:24" ht="15.75" customHeight="1" x14ac:dyDescent="0.2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</row>
    <row r="696" spans="1:24" ht="15.75" customHeight="1" x14ac:dyDescent="0.2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</row>
    <row r="697" spans="1:24" ht="15.75" customHeight="1" x14ac:dyDescent="0.2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</row>
    <row r="698" spans="1:24" ht="15.75" customHeight="1" x14ac:dyDescent="0.2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</row>
    <row r="699" spans="1:24" ht="15.75" customHeight="1" x14ac:dyDescent="0.2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</row>
    <row r="700" spans="1:24" ht="15.75" customHeight="1" x14ac:dyDescent="0.2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</row>
    <row r="701" spans="1:24" ht="15.75" customHeight="1" x14ac:dyDescent="0.2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</row>
    <row r="702" spans="1:24" ht="15.75" customHeight="1" x14ac:dyDescent="0.2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</row>
    <row r="703" spans="1:24" ht="15.75" customHeight="1" x14ac:dyDescent="0.2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</row>
    <row r="704" spans="1:24" ht="15.75" customHeight="1" x14ac:dyDescent="0.2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</row>
    <row r="705" spans="1:24" ht="15.75" customHeight="1" x14ac:dyDescent="0.2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</row>
    <row r="706" spans="1:24" ht="15.75" customHeight="1" x14ac:dyDescent="0.2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</row>
    <row r="707" spans="1:24" ht="15.75" customHeight="1" x14ac:dyDescent="0.2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</row>
    <row r="708" spans="1:24" ht="15.75" customHeight="1" x14ac:dyDescent="0.2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</row>
    <row r="709" spans="1:24" ht="15.75" customHeight="1" x14ac:dyDescent="0.2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</row>
    <row r="710" spans="1:24" ht="15.75" customHeight="1" x14ac:dyDescent="0.2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</row>
    <row r="711" spans="1:24" ht="15.75" customHeight="1" x14ac:dyDescent="0.2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</row>
    <row r="712" spans="1:24" ht="15.75" customHeight="1" x14ac:dyDescent="0.2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</row>
    <row r="713" spans="1:24" ht="15.75" customHeight="1" x14ac:dyDescent="0.2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</row>
    <row r="714" spans="1:24" ht="15.75" customHeight="1" x14ac:dyDescent="0.2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</row>
    <row r="715" spans="1:24" ht="15.75" customHeight="1" x14ac:dyDescent="0.2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</row>
    <row r="716" spans="1:24" ht="15.75" customHeight="1" x14ac:dyDescent="0.2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</row>
    <row r="717" spans="1:24" ht="15.75" customHeight="1" x14ac:dyDescent="0.2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</row>
    <row r="718" spans="1:24" ht="15.75" customHeight="1" x14ac:dyDescent="0.2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</row>
    <row r="719" spans="1:24" ht="15.75" customHeight="1" x14ac:dyDescent="0.2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</row>
    <row r="720" spans="1:24" ht="15.75" customHeight="1" x14ac:dyDescent="0.2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</row>
    <row r="721" spans="1:24" ht="15.75" customHeight="1" x14ac:dyDescent="0.2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</row>
    <row r="722" spans="1:24" ht="15.75" customHeight="1" x14ac:dyDescent="0.2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</row>
    <row r="723" spans="1:24" ht="15.75" customHeight="1" x14ac:dyDescent="0.2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</row>
    <row r="724" spans="1:24" ht="15.75" customHeight="1" x14ac:dyDescent="0.2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</row>
    <row r="725" spans="1:24" ht="15.75" customHeight="1" x14ac:dyDescent="0.2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</row>
    <row r="726" spans="1:24" ht="15.75" customHeight="1" x14ac:dyDescent="0.2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</row>
    <row r="727" spans="1:24" ht="15.75" customHeight="1" x14ac:dyDescent="0.2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</row>
    <row r="728" spans="1:24" ht="15.75" customHeight="1" x14ac:dyDescent="0.2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</row>
    <row r="729" spans="1:24" ht="15.75" customHeight="1" x14ac:dyDescent="0.2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</row>
    <row r="730" spans="1:24" ht="15.75" customHeight="1" x14ac:dyDescent="0.2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</row>
    <row r="731" spans="1:24" ht="15.75" customHeight="1" x14ac:dyDescent="0.2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</row>
    <row r="732" spans="1:24" ht="15.75" customHeight="1" x14ac:dyDescent="0.2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</row>
    <row r="733" spans="1:24" ht="15.75" customHeight="1" x14ac:dyDescent="0.2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</row>
    <row r="734" spans="1:24" ht="15.75" customHeight="1" x14ac:dyDescent="0.2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</row>
    <row r="735" spans="1:24" ht="15.75" customHeight="1" x14ac:dyDescent="0.2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</row>
    <row r="736" spans="1:24" ht="15.75" customHeight="1" x14ac:dyDescent="0.2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</row>
    <row r="737" spans="1:24" ht="15.75" customHeight="1" x14ac:dyDescent="0.2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</row>
    <row r="738" spans="1:24" ht="15.75" customHeight="1" x14ac:dyDescent="0.2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</row>
    <row r="739" spans="1:24" ht="15.75" customHeight="1" x14ac:dyDescent="0.2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</row>
    <row r="740" spans="1:24" ht="15.75" customHeight="1" x14ac:dyDescent="0.2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</row>
    <row r="741" spans="1:24" ht="15.75" customHeight="1" x14ac:dyDescent="0.2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</row>
    <row r="742" spans="1:24" ht="15.75" customHeight="1" x14ac:dyDescent="0.2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</row>
    <row r="743" spans="1:24" ht="15.75" customHeight="1" x14ac:dyDescent="0.2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</row>
    <row r="744" spans="1:24" ht="15.75" customHeight="1" x14ac:dyDescent="0.2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</row>
    <row r="745" spans="1:24" ht="15.75" customHeight="1" x14ac:dyDescent="0.2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</row>
    <row r="746" spans="1:24" ht="15.75" customHeight="1" x14ac:dyDescent="0.2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</row>
    <row r="747" spans="1:24" ht="15.75" customHeight="1" x14ac:dyDescent="0.2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</row>
    <row r="748" spans="1:24" ht="15.75" customHeight="1" x14ac:dyDescent="0.2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</row>
    <row r="749" spans="1:24" ht="15.75" customHeight="1" x14ac:dyDescent="0.2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</row>
    <row r="750" spans="1:24" ht="15.75" customHeight="1" x14ac:dyDescent="0.2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</row>
    <row r="751" spans="1:24" ht="15.75" customHeight="1" x14ac:dyDescent="0.2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</row>
    <row r="752" spans="1:24" ht="15.75" customHeight="1" x14ac:dyDescent="0.2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</row>
    <row r="753" spans="1:24" ht="15.75" customHeight="1" x14ac:dyDescent="0.2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</row>
    <row r="754" spans="1:24" ht="15.75" customHeight="1" x14ac:dyDescent="0.2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</row>
    <row r="755" spans="1:24" ht="15.75" customHeight="1" x14ac:dyDescent="0.2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</row>
    <row r="756" spans="1:24" ht="15.75" customHeight="1" x14ac:dyDescent="0.2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</row>
    <row r="757" spans="1:24" ht="15.75" customHeight="1" x14ac:dyDescent="0.2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</row>
    <row r="758" spans="1:24" ht="15.75" customHeight="1" x14ac:dyDescent="0.2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</row>
    <row r="759" spans="1:24" ht="15.75" customHeight="1" x14ac:dyDescent="0.2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</row>
    <row r="760" spans="1:24" ht="15.75" customHeight="1" x14ac:dyDescent="0.2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</row>
    <row r="761" spans="1:24" ht="15.75" customHeight="1" x14ac:dyDescent="0.2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</row>
    <row r="762" spans="1:24" ht="15.75" customHeight="1" x14ac:dyDescent="0.2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</row>
    <row r="763" spans="1:24" ht="15.75" customHeight="1" x14ac:dyDescent="0.2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</row>
    <row r="764" spans="1:24" ht="15.75" customHeight="1" x14ac:dyDescent="0.2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</row>
    <row r="765" spans="1:24" ht="15.75" customHeight="1" x14ac:dyDescent="0.2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</row>
    <row r="766" spans="1:24" ht="15.75" customHeight="1" x14ac:dyDescent="0.2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</row>
    <row r="767" spans="1:24" ht="15.75" customHeight="1" x14ac:dyDescent="0.2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</row>
    <row r="768" spans="1:24" ht="15.75" customHeight="1" x14ac:dyDescent="0.2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</row>
    <row r="769" spans="1:24" ht="15.75" customHeight="1" x14ac:dyDescent="0.2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</row>
    <row r="770" spans="1:24" ht="15.75" customHeight="1" x14ac:dyDescent="0.2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</row>
    <row r="771" spans="1:24" ht="15.75" customHeight="1" x14ac:dyDescent="0.2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</row>
    <row r="772" spans="1:24" ht="15.75" customHeight="1" x14ac:dyDescent="0.2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</row>
    <row r="773" spans="1:24" ht="15.75" customHeight="1" x14ac:dyDescent="0.2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</row>
    <row r="774" spans="1:24" ht="15.75" customHeight="1" x14ac:dyDescent="0.2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</row>
    <row r="775" spans="1:24" ht="15.75" customHeight="1" x14ac:dyDescent="0.2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</row>
    <row r="776" spans="1:24" ht="15.75" customHeight="1" x14ac:dyDescent="0.2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</row>
    <row r="777" spans="1:24" ht="15.75" customHeight="1" x14ac:dyDescent="0.2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</row>
    <row r="778" spans="1:24" ht="15.75" customHeight="1" x14ac:dyDescent="0.2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</row>
    <row r="779" spans="1:24" ht="15.75" customHeight="1" x14ac:dyDescent="0.2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</row>
    <row r="780" spans="1:24" ht="15.75" customHeight="1" x14ac:dyDescent="0.2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</row>
    <row r="781" spans="1:24" ht="15.75" customHeight="1" x14ac:dyDescent="0.2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</row>
    <row r="782" spans="1:24" ht="15.75" customHeight="1" x14ac:dyDescent="0.2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</row>
    <row r="783" spans="1:24" ht="15.75" customHeight="1" x14ac:dyDescent="0.2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</row>
    <row r="784" spans="1:24" ht="15.75" customHeight="1" x14ac:dyDescent="0.2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</row>
    <row r="785" spans="1:24" ht="15.75" customHeight="1" x14ac:dyDescent="0.2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</row>
    <row r="786" spans="1:24" ht="15.75" customHeight="1" x14ac:dyDescent="0.2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</row>
    <row r="787" spans="1:24" ht="15.75" customHeight="1" x14ac:dyDescent="0.2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</row>
    <row r="788" spans="1:24" ht="15.75" customHeight="1" x14ac:dyDescent="0.2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</row>
    <row r="789" spans="1:24" ht="15.75" customHeight="1" x14ac:dyDescent="0.2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</row>
    <row r="790" spans="1:24" ht="15.75" customHeight="1" x14ac:dyDescent="0.2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</row>
    <row r="791" spans="1:24" ht="15.75" customHeight="1" x14ac:dyDescent="0.2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</row>
    <row r="792" spans="1:24" ht="15.75" customHeight="1" x14ac:dyDescent="0.2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</row>
    <row r="793" spans="1:24" ht="15.75" customHeight="1" x14ac:dyDescent="0.2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</row>
    <row r="794" spans="1:24" ht="15.75" customHeight="1" x14ac:dyDescent="0.2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</row>
    <row r="795" spans="1:24" ht="15.75" customHeight="1" x14ac:dyDescent="0.2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</row>
    <row r="796" spans="1:24" ht="15.75" customHeight="1" x14ac:dyDescent="0.2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</row>
    <row r="797" spans="1:24" ht="15.75" customHeight="1" x14ac:dyDescent="0.2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</row>
    <row r="798" spans="1:24" ht="15.75" customHeight="1" x14ac:dyDescent="0.2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</row>
    <row r="799" spans="1:24" ht="15.75" customHeight="1" x14ac:dyDescent="0.2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</row>
    <row r="800" spans="1:24" ht="15.75" customHeight="1" x14ac:dyDescent="0.2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</row>
    <row r="801" spans="1:24" ht="15.75" customHeight="1" x14ac:dyDescent="0.2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</row>
    <row r="802" spans="1:24" ht="15.75" customHeight="1" x14ac:dyDescent="0.2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</row>
    <row r="803" spans="1:24" ht="15.75" customHeight="1" x14ac:dyDescent="0.2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</row>
    <row r="804" spans="1:24" ht="15.75" customHeight="1" x14ac:dyDescent="0.2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</row>
    <row r="805" spans="1:24" ht="15.75" customHeight="1" x14ac:dyDescent="0.2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</row>
    <row r="806" spans="1:24" ht="15.75" customHeight="1" x14ac:dyDescent="0.2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</row>
    <row r="807" spans="1:24" ht="15.75" customHeight="1" x14ac:dyDescent="0.2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</row>
    <row r="808" spans="1:24" ht="15.75" customHeight="1" x14ac:dyDescent="0.2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</row>
    <row r="809" spans="1:24" ht="15.75" customHeight="1" x14ac:dyDescent="0.2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</row>
    <row r="810" spans="1:24" ht="15.75" customHeight="1" x14ac:dyDescent="0.2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</row>
    <row r="811" spans="1:24" ht="15.75" customHeight="1" x14ac:dyDescent="0.2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</row>
    <row r="812" spans="1:24" ht="15.75" customHeight="1" x14ac:dyDescent="0.2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</row>
    <row r="813" spans="1:24" ht="15.75" customHeight="1" x14ac:dyDescent="0.2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</row>
    <row r="814" spans="1:24" ht="15.75" customHeight="1" x14ac:dyDescent="0.2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</row>
    <row r="815" spans="1:24" ht="15.75" customHeight="1" x14ac:dyDescent="0.2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</row>
    <row r="816" spans="1:24" ht="15.75" customHeight="1" x14ac:dyDescent="0.2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</row>
    <row r="817" spans="1:24" ht="15.75" customHeight="1" x14ac:dyDescent="0.2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</row>
    <row r="818" spans="1:24" ht="15.75" customHeight="1" x14ac:dyDescent="0.2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</row>
    <row r="819" spans="1:24" ht="15.75" customHeight="1" x14ac:dyDescent="0.2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</row>
    <row r="820" spans="1:24" ht="15.75" customHeight="1" x14ac:dyDescent="0.2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</row>
    <row r="821" spans="1:24" ht="15.75" customHeight="1" x14ac:dyDescent="0.2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</row>
    <row r="822" spans="1:24" ht="15.75" customHeight="1" x14ac:dyDescent="0.2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</row>
    <row r="823" spans="1:24" ht="15.75" customHeight="1" x14ac:dyDescent="0.2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</row>
    <row r="824" spans="1:24" ht="15.75" customHeight="1" x14ac:dyDescent="0.2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</row>
    <row r="825" spans="1:24" ht="15.75" customHeight="1" x14ac:dyDescent="0.2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</row>
    <row r="826" spans="1:24" ht="15.75" customHeight="1" x14ac:dyDescent="0.2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</row>
    <row r="827" spans="1:24" ht="15.75" customHeight="1" x14ac:dyDescent="0.2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</row>
    <row r="828" spans="1:24" ht="15.75" customHeight="1" x14ac:dyDescent="0.2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</row>
    <row r="829" spans="1:24" ht="15.75" customHeight="1" x14ac:dyDescent="0.2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</row>
    <row r="830" spans="1:24" ht="15.75" customHeight="1" x14ac:dyDescent="0.2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</row>
    <row r="831" spans="1:24" ht="15.75" customHeight="1" x14ac:dyDescent="0.2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</row>
    <row r="832" spans="1:24" ht="15.75" customHeight="1" x14ac:dyDescent="0.2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</row>
    <row r="833" spans="1:24" ht="15.75" customHeight="1" x14ac:dyDescent="0.2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</row>
    <row r="834" spans="1:24" ht="15.75" customHeight="1" x14ac:dyDescent="0.2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</row>
    <row r="835" spans="1:24" ht="15.75" customHeight="1" x14ac:dyDescent="0.2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</row>
    <row r="836" spans="1:24" ht="15.75" customHeight="1" x14ac:dyDescent="0.2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</row>
    <row r="837" spans="1:24" ht="15.75" customHeight="1" x14ac:dyDescent="0.2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</row>
    <row r="838" spans="1:24" ht="15.75" customHeight="1" x14ac:dyDescent="0.2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</row>
    <row r="839" spans="1:24" ht="15.75" customHeight="1" x14ac:dyDescent="0.2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</row>
    <row r="840" spans="1:24" ht="15.75" customHeight="1" x14ac:dyDescent="0.2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</row>
    <row r="841" spans="1:24" ht="15.75" customHeight="1" x14ac:dyDescent="0.2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</row>
    <row r="842" spans="1:24" ht="15.75" customHeight="1" x14ac:dyDescent="0.2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</row>
    <row r="843" spans="1:24" ht="15.75" customHeight="1" x14ac:dyDescent="0.2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</row>
    <row r="844" spans="1:24" ht="15.75" customHeight="1" x14ac:dyDescent="0.2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</row>
    <row r="845" spans="1:24" ht="15.75" customHeight="1" x14ac:dyDescent="0.2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</row>
    <row r="846" spans="1:24" ht="15.75" customHeight="1" x14ac:dyDescent="0.2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</row>
    <row r="847" spans="1:24" ht="15.75" customHeight="1" x14ac:dyDescent="0.2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</row>
    <row r="848" spans="1:24" ht="15.75" customHeight="1" x14ac:dyDescent="0.2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</row>
    <row r="849" spans="1:24" ht="15.75" customHeight="1" x14ac:dyDescent="0.2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</row>
    <row r="850" spans="1:24" ht="15.75" customHeight="1" x14ac:dyDescent="0.2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</row>
    <row r="851" spans="1:24" ht="15.75" customHeight="1" x14ac:dyDescent="0.2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</row>
    <row r="852" spans="1:24" ht="15.75" customHeight="1" x14ac:dyDescent="0.2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</row>
    <row r="853" spans="1:24" ht="15.75" customHeight="1" x14ac:dyDescent="0.2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</row>
    <row r="854" spans="1:24" ht="15.75" customHeight="1" x14ac:dyDescent="0.2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</row>
    <row r="855" spans="1:24" ht="15.75" customHeight="1" x14ac:dyDescent="0.2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</row>
    <row r="856" spans="1:24" ht="15.75" customHeight="1" x14ac:dyDescent="0.2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</row>
    <row r="857" spans="1:24" ht="15.75" customHeight="1" x14ac:dyDescent="0.2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</row>
    <row r="858" spans="1:24" ht="15.75" customHeight="1" x14ac:dyDescent="0.2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</row>
    <row r="859" spans="1:24" ht="15.75" customHeight="1" x14ac:dyDescent="0.2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</row>
    <row r="860" spans="1:24" ht="15.75" customHeight="1" x14ac:dyDescent="0.2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</row>
    <row r="861" spans="1:24" ht="15.75" customHeight="1" x14ac:dyDescent="0.2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</row>
    <row r="862" spans="1:24" ht="15.75" customHeight="1" x14ac:dyDescent="0.2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</row>
    <row r="863" spans="1:24" ht="15.75" customHeight="1" x14ac:dyDescent="0.2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</row>
    <row r="864" spans="1:24" ht="15.75" customHeight="1" x14ac:dyDescent="0.2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</row>
    <row r="865" spans="1:24" ht="15.75" customHeight="1" x14ac:dyDescent="0.2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</row>
    <row r="866" spans="1:24" ht="15.75" customHeight="1" x14ac:dyDescent="0.2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</row>
    <row r="867" spans="1:24" ht="15.75" customHeight="1" x14ac:dyDescent="0.2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</row>
    <row r="868" spans="1:24" ht="15.75" customHeight="1" x14ac:dyDescent="0.2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</row>
    <row r="869" spans="1:24" ht="15.75" customHeight="1" x14ac:dyDescent="0.2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</row>
    <row r="870" spans="1:24" ht="15.75" customHeight="1" x14ac:dyDescent="0.2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</row>
    <row r="871" spans="1:24" ht="15.75" customHeight="1" x14ac:dyDescent="0.2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</row>
    <row r="872" spans="1:24" ht="15.75" customHeight="1" x14ac:dyDescent="0.2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</row>
    <row r="873" spans="1:24" ht="15" customHeight="1" x14ac:dyDescent="0.2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</row>
    <row r="874" spans="1:24" ht="15" customHeight="1" x14ac:dyDescent="0.2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</row>
    <row r="875" spans="1:24" ht="15" customHeight="1" x14ac:dyDescent="0.2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</row>
    <row r="876" spans="1:24" ht="15" customHeight="1" x14ac:dyDescent="0.2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</row>
    <row r="877" spans="1:24" ht="15" customHeight="1" x14ac:dyDescent="0.2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</row>
    <row r="878" spans="1:24" ht="15" customHeight="1" x14ac:dyDescent="0.2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</row>
    <row r="879" spans="1:24" ht="15" customHeight="1" x14ac:dyDescent="0.2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</row>
    <row r="880" spans="1:24" ht="15" customHeight="1" x14ac:dyDescent="0.2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</row>
    <row r="881" spans="1:24" ht="15" customHeight="1" x14ac:dyDescent="0.2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</row>
    <row r="882" spans="1:24" ht="15" customHeight="1" x14ac:dyDescent="0.2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</row>
    <row r="883" spans="1:24" ht="15" customHeight="1" x14ac:dyDescent="0.2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</row>
    <row r="884" spans="1:24" ht="15" customHeight="1" x14ac:dyDescent="0.2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</row>
    <row r="885" spans="1:24" ht="15" customHeight="1" x14ac:dyDescent="0.2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</row>
    <row r="886" spans="1:24" ht="15" customHeight="1" x14ac:dyDescent="0.2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</row>
    <row r="887" spans="1:24" ht="15" customHeight="1" x14ac:dyDescent="0.2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</row>
    <row r="888" spans="1:24" ht="15" customHeight="1" x14ac:dyDescent="0.2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</row>
    <row r="889" spans="1:24" ht="15" customHeight="1" x14ac:dyDescent="0.2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</row>
    <row r="890" spans="1:24" ht="15" customHeight="1" x14ac:dyDescent="0.2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</row>
    <row r="891" spans="1:24" ht="15" customHeight="1" x14ac:dyDescent="0.2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</row>
    <row r="892" spans="1:24" ht="15" customHeight="1" x14ac:dyDescent="0.2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</row>
    <row r="893" spans="1:24" ht="15" customHeight="1" x14ac:dyDescent="0.2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</row>
    <row r="894" spans="1:24" ht="15" customHeight="1" x14ac:dyDescent="0.2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</row>
    <row r="895" spans="1:24" ht="15" customHeight="1" x14ac:dyDescent="0.2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</row>
    <row r="896" spans="1:24" ht="15" customHeight="1" x14ac:dyDescent="0.2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</row>
    <row r="897" spans="1:24" ht="15" customHeight="1" x14ac:dyDescent="0.2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</row>
    <row r="898" spans="1:24" ht="15" customHeight="1" x14ac:dyDescent="0.2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</row>
    <row r="899" spans="1:24" ht="15" customHeight="1" x14ac:dyDescent="0.2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</row>
    <row r="900" spans="1:24" ht="15" customHeight="1" x14ac:dyDescent="0.2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</row>
    <row r="901" spans="1:24" ht="15" customHeight="1" x14ac:dyDescent="0.2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</row>
    <row r="902" spans="1:24" ht="15" customHeight="1" x14ac:dyDescent="0.2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</row>
    <row r="903" spans="1:24" ht="15" customHeight="1" x14ac:dyDescent="0.2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</row>
    <row r="904" spans="1:24" ht="15" customHeight="1" x14ac:dyDescent="0.2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</row>
    <row r="905" spans="1:24" ht="15" customHeight="1" x14ac:dyDescent="0.2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</row>
    <row r="906" spans="1:24" ht="15" customHeight="1" x14ac:dyDescent="0.2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</row>
    <row r="907" spans="1:24" ht="15" customHeight="1" x14ac:dyDescent="0.2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</row>
    <row r="908" spans="1:24" ht="15" customHeight="1" x14ac:dyDescent="0.2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</row>
    <row r="909" spans="1:24" ht="15" customHeight="1" x14ac:dyDescent="0.2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</row>
    <row r="910" spans="1:24" ht="15" customHeight="1" x14ac:dyDescent="0.2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</row>
    <row r="911" spans="1:24" ht="15" customHeight="1" x14ac:dyDescent="0.2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</row>
    <row r="912" spans="1:24" ht="15" customHeight="1" x14ac:dyDescent="0.2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</row>
    <row r="913" spans="1:24" ht="15" customHeight="1" x14ac:dyDescent="0.2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</row>
    <row r="914" spans="1:24" ht="15" customHeight="1" x14ac:dyDescent="0.2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</row>
    <row r="915" spans="1:24" ht="15" customHeight="1" x14ac:dyDescent="0.2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</row>
    <row r="916" spans="1:24" ht="15" customHeight="1" x14ac:dyDescent="0.2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</row>
    <row r="917" spans="1:24" ht="15" customHeight="1" x14ac:dyDescent="0.2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</row>
    <row r="918" spans="1:24" ht="15" customHeight="1" x14ac:dyDescent="0.2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</row>
    <row r="919" spans="1:24" ht="15" customHeight="1" x14ac:dyDescent="0.2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</row>
    <row r="920" spans="1:24" ht="15" customHeight="1" x14ac:dyDescent="0.2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</row>
    <row r="921" spans="1:24" ht="15" customHeight="1" x14ac:dyDescent="0.2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</row>
    <row r="922" spans="1:24" ht="15" customHeight="1" x14ac:dyDescent="0.2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</row>
    <row r="923" spans="1:24" ht="15" customHeight="1" x14ac:dyDescent="0.2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</row>
    <row r="924" spans="1:24" ht="15" customHeight="1" x14ac:dyDescent="0.2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</row>
    <row r="925" spans="1:24" ht="15" customHeight="1" x14ac:dyDescent="0.2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</row>
    <row r="926" spans="1:24" ht="15" customHeight="1" x14ac:dyDescent="0.2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</row>
    <row r="927" spans="1:24" ht="15" customHeight="1" x14ac:dyDescent="0.2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</row>
    <row r="928" spans="1:24" ht="15" customHeight="1" x14ac:dyDescent="0.2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</row>
    <row r="929" spans="1:24" ht="15" customHeight="1" x14ac:dyDescent="0.2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</row>
    <row r="930" spans="1:24" ht="15" customHeight="1" x14ac:dyDescent="0.2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</row>
    <row r="931" spans="1:24" ht="15" customHeight="1" x14ac:dyDescent="0.2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</row>
    <row r="932" spans="1:24" ht="15" customHeight="1" x14ac:dyDescent="0.2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</row>
    <row r="933" spans="1:24" ht="15" customHeight="1" x14ac:dyDescent="0.2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</row>
    <row r="934" spans="1:24" ht="15" customHeight="1" x14ac:dyDescent="0.2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</row>
    <row r="935" spans="1:24" ht="15" customHeight="1" x14ac:dyDescent="0.2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</row>
    <row r="936" spans="1:24" ht="15" customHeight="1" x14ac:dyDescent="0.2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</row>
    <row r="937" spans="1:24" ht="15" customHeight="1" x14ac:dyDescent="0.2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</row>
    <row r="938" spans="1:24" ht="15" customHeight="1" x14ac:dyDescent="0.2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</row>
    <row r="939" spans="1:24" ht="15" customHeight="1" x14ac:dyDescent="0.2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</row>
    <row r="940" spans="1:24" ht="15" customHeight="1" x14ac:dyDescent="0.2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</row>
    <row r="941" spans="1:24" ht="15" customHeight="1" x14ac:dyDescent="0.2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</row>
    <row r="942" spans="1:24" ht="15" customHeight="1" x14ac:dyDescent="0.2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</row>
    <row r="943" spans="1:24" ht="15" customHeight="1" x14ac:dyDescent="0.2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</row>
    <row r="944" spans="1:24" ht="15" customHeight="1" x14ac:dyDescent="0.2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</row>
    <row r="945" spans="1:24" ht="15" customHeight="1" x14ac:dyDescent="0.2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</row>
    <row r="946" spans="1:24" ht="15" customHeight="1" x14ac:dyDescent="0.2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</row>
    <row r="947" spans="1:24" ht="15" customHeight="1" x14ac:dyDescent="0.2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</row>
    <row r="948" spans="1:24" ht="15" customHeight="1" x14ac:dyDescent="0.2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</row>
    <row r="949" spans="1:24" ht="15" customHeight="1" x14ac:dyDescent="0.2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</row>
    <row r="950" spans="1:24" ht="15" customHeight="1" x14ac:dyDescent="0.2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</row>
    <row r="951" spans="1:24" ht="15" customHeight="1" x14ac:dyDescent="0.2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</row>
    <row r="952" spans="1:24" ht="15" customHeight="1" x14ac:dyDescent="0.2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</row>
    <row r="953" spans="1:24" ht="15" customHeight="1" x14ac:dyDescent="0.2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</row>
    <row r="954" spans="1:24" ht="15" customHeight="1" x14ac:dyDescent="0.2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</row>
    <row r="955" spans="1:24" ht="15" customHeight="1" x14ac:dyDescent="0.2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</row>
    <row r="956" spans="1:24" ht="15" customHeight="1" x14ac:dyDescent="0.2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</row>
    <row r="957" spans="1:24" ht="15" customHeight="1" x14ac:dyDescent="0.2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</row>
    <row r="958" spans="1:24" ht="15" customHeight="1" x14ac:dyDescent="0.2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</row>
    <row r="959" spans="1:24" ht="15" customHeight="1" x14ac:dyDescent="0.2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</row>
    <row r="960" spans="1:24" ht="15" customHeight="1" x14ac:dyDescent="0.2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</row>
    <row r="961" spans="1:24" ht="15" customHeight="1" x14ac:dyDescent="0.2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</row>
    <row r="962" spans="1:24" ht="15" customHeight="1" x14ac:dyDescent="0.2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</row>
    <row r="963" spans="1:24" ht="15" customHeight="1" x14ac:dyDescent="0.2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</row>
    <row r="964" spans="1:24" ht="15" customHeight="1" x14ac:dyDescent="0.2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</row>
    <row r="965" spans="1:24" ht="15" customHeight="1" x14ac:dyDescent="0.2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</row>
    <row r="966" spans="1:24" ht="15" customHeight="1" x14ac:dyDescent="0.2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</row>
    <row r="967" spans="1:24" ht="15" customHeight="1" x14ac:dyDescent="0.2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</row>
    <row r="968" spans="1:24" ht="15" customHeight="1" x14ac:dyDescent="0.2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</row>
    <row r="969" spans="1:24" ht="15" customHeight="1" x14ac:dyDescent="0.2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</row>
    <row r="970" spans="1:24" ht="15" customHeight="1" x14ac:dyDescent="0.2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</row>
    <row r="971" spans="1:24" ht="15" customHeight="1" x14ac:dyDescent="0.2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</row>
    <row r="972" spans="1:24" ht="15" customHeight="1" x14ac:dyDescent="0.2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</row>
    <row r="973" spans="1:24" ht="15" customHeight="1" x14ac:dyDescent="0.2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</row>
    <row r="974" spans="1:24" ht="15" customHeight="1" x14ac:dyDescent="0.2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</row>
    <row r="975" spans="1:24" ht="15" customHeight="1" x14ac:dyDescent="0.2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</row>
    <row r="976" spans="1:24" ht="15" customHeight="1" x14ac:dyDescent="0.2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</row>
    <row r="977" spans="1:24" ht="15" customHeight="1" x14ac:dyDescent="0.2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</row>
    <row r="978" spans="1:24" ht="15" customHeight="1" x14ac:dyDescent="0.2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</row>
    <row r="979" spans="1:24" ht="15" customHeight="1" x14ac:dyDescent="0.2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</row>
    <row r="980" spans="1:24" ht="15" customHeight="1" x14ac:dyDescent="0.2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</row>
    <row r="981" spans="1:24" ht="15" customHeight="1" x14ac:dyDescent="0.2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</row>
    <row r="982" spans="1:24" ht="15" customHeight="1" x14ac:dyDescent="0.2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</row>
    <row r="983" spans="1:24" ht="15" customHeight="1" x14ac:dyDescent="0.2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</row>
    <row r="984" spans="1:24" ht="15" customHeight="1" x14ac:dyDescent="0.2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</row>
    <row r="985" spans="1:24" ht="15" customHeight="1" x14ac:dyDescent="0.2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</row>
    <row r="986" spans="1:24" ht="15" customHeight="1" x14ac:dyDescent="0.2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</row>
    <row r="987" spans="1:24" ht="15" customHeight="1" x14ac:dyDescent="0.2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</row>
    <row r="988" spans="1:24" ht="15" customHeight="1" x14ac:dyDescent="0.2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</row>
    <row r="989" spans="1:24" ht="15" customHeight="1" x14ac:dyDescent="0.2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</row>
    <row r="990" spans="1:24" ht="15" customHeight="1" x14ac:dyDescent="0.2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</row>
    <row r="991" spans="1:24" ht="15" customHeight="1" x14ac:dyDescent="0.2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</row>
    <row r="992" spans="1:24" ht="15" customHeight="1" x14ac:dyDescent="0.2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</row>
    <row r="993" spans="1:24" ht="15" customHeight="1" x14ac:dyDescent="0.2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</row>
    <row r="994" spans="1:24" ht="15" customHeight="1" x14ac:dyDescent="0.2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</row>
    <row r="995" spans="1:24" ht="15" customHeight="1" x14ac:dyDescent="0.2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</row>
    <row r="996" spans="1:24" ht="15" customHeight="1" x14ac:dyDescent="0.2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</row>
    <row r="997" spans="1:24" ht="15" customHeight="1" x14ac:dyDescent="0.2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</row>
    <row r="998" spans="1:24" ht="15" customHeight="1" x14ac:dyDescent="0.2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</row>
    <row r="999" spans="1:24" ht="15" customHeight="1" x14ac:dyDescent="0.2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</row>
    <row r="1000" spans="1:24" ht="15" customHeight="1" x14ac:dyDescent="0.2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</row>
    <row r="1001" spans="1:24" ht="15" customHeight="1" x14ac:dyDescent="0.2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</row>
    <row r="1002" spans="1:24" ht="15" customHeight="1" x14ac:dyDescent="0.2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</row>
    <row r="1003" spans="1:24" ht="15" customHeight="1" x14ac:dyDescent="0.2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</row>
  </sheetData>
  <printOptions horizontalCentered="1"/>
  <pageMargins left="0.39370078740157483" right="0.39370078740157483" top="0.35433070866141736" bottom="7.874015748031496E-2" header="0" footer="0"/>
  <pageSetup paperSize="14" scale="97" fitToHeight="0" orientation="landscape" r:id="rId1"/>
  <headerFooter>
    <oddFooter>&amp;RPage &amp;P of</oddFooter>
  </headerFooter>
  <rowBreaks count="17" manualBreakCount="17">
    <brk id="20" max="13" man="1"/>
    <brk id="43" max="13" man="1"/>
    <brk id="90" max="13" man="1"/>
    <brk id="115" max="13" man="1"/>
    <brk id="222" max="13" man="1"/>
    <brk id="247" max="13" man="1"/>
    <brk id="274" max="13" man="1"/>
    <brk id="302" max="13" man="1"/>
    <brk id="352" max="13" man="1"/>
    <brk id="378" max="13" man="1"/>
    <brk id="407" max="13" man="1"/>
    <brk id="619" max="13" man="1"/>
    <brk id="503" max="13" man="1"/>
    <brk id="530" max="13" man="1"/>
    <brk id="558" max="13" man="1"/>
    <brk id="585" max="13" man="1"/>
    <brk id="61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88EC-FEE2-427C-A0A9-02A7855DD0D7}">
  <dimension ref="A1:B199"/>
  <sheetViews>
    <sheetView workbookViewId="0">
      <selection activeCell="B1" sqref="B1:B25"/>
    </sheetView>
  </sheetViews>
  <sheetFormatPr defaultRowHeight="12.75" x14ac:dyDescent="0.2"/>
  <cols>
    <col min="2" max="2" width="17.85546875" customWidth="1"/>
  </cols>
  <sheetData>
    <row r="1" spans="1:2" x14ac:dyDescent="0.2">
      <c r="A1" s="134" t="s">
        <v>1063</v>
      </c>
      <c r="B1" s="189" t="s">
        <v>1063</v>
      </c>
    </row>
    <row r="2" spans="1:2" x14ac:dyDescent="0.2">
      <c r="A2" s="134" t="s">
        <v>304</v>
      </c>
      <c r="B2" s="189" t="s">
        <v>304</v>
      </c>
    </row>
    <row r="3" spans="1:2" x14ac:dyDescent="0.2">
      <c r="A3" s="134" t="s">
        <v>1192</v>
      </c>
      <c r="B3" s="189" t="s">
        <v>1192</v>
      </c>
    </row>
    <row r="4" spans="1:2" x14ac:dyDescent="0.2">
      <c r="A4" s="162" t="s">
        <v>1834</v>
      </c>
      <c r="B4" s="189" t="s">
        <v>1834</v>
      </c>
    </row>
    <row r="5" spans="1:2" ht="25.5" x14ac:dyDescent="0.2">
      <c r="A5" s="142" t="s">
        <v>2371</v>
      </c>
      <c r="B5" s="189" t="s">
        <v>2371</v>
      </c>
    </row>
    <row r="6" spans="1:2" x14ac:dyDescent="0.2">
      <c r="A6" s="134" t="s">
        <v>1948</v>
      </c>
      <c r="B6" s="189" t="s">
        <v>1948</v>
      </c>
    </row>
    <row r="7" spans="1:2" x14ac:dyDescent="0.2">
      <c r="A7" s="134" t="s">
        <v>2564</v>
      </c>
      <c r="B7" s="189" t="s">
        <v>2564</v>
      </c>
    </row>
    <row r="8" spans="1:2" x14ac:dyDescent="0.2">
      <c r="A8" s="131" t="s">
        <v>2559</v>
      </c>
      <c r="B8" s="189" t="s">
        <v>2559</v>
      </c>
    </row>
    <row r="9" spans="1:2" x14ac:dyDescent="0.2">
      <c r="A9" s="134" t="s">
        <v>1995</v>
      </c>
      <c r="B9" s="189" t="s">
        <v>1995</v>
      </c>
    </row>
    <row r="10" spans="1:2" x14ac:dyDescent="0.2">
      <c r="A10" s="134" t="s">
        <v>755</v>
      </c>
      <c r="B10" s="189" t="s">
        <v>755</v>
      </c>
    </row>
    <row r="11" spans="1:2" x14ac:dyDescent="0.2">
      <c r="A11" s="134" t="s">
        <v>740</v>
      </c>
      <c r="B11" s="189" t="s">
        <v>740</v>
      </c>
    </row>
    <row r="12" spans="1:2" x14ac:dyDescent="0.2">
      <c r="A12" s="134" t="s">
        <v>1708</v>
      </c>
      <c r="B12" s="189" t="s">
        <v>1708</v>
      </c>
    </row>
    <row r="13" spans="1:2" x14ac:dyDescent="0.2">
      <c r="A13" s="134" t="s">
        <v>2462</v>
      </c>
      <c r="B13" s="189" t="s">
        <v>2462</v>
      </c>
    </row>
    <row r="14" spans="1:2" x14ac:dyDescent="0.2">
      <c r="A14" s="134" t="s">
        <v>1604</v>
      </c>
      <c r="B14" s="189" t="s">
        <v>1604</v>
      </c>
    </row>
    <row r="15" spans="1:2" x14ac:dyDescent="0.2">
      <c r="A15" s="134" t="s">
        <v>1451</v>
      </c>
      <c r="B15" s="189" t="s">
        <v>1451</v>
      </c>
    </row>
    <row r="16" spans="1:2" x14ac:dyDescent="0.2">
      <c r="A16" s="134" t="s">
        <v>842</v>
      </c>
      <c r="B16" s="190" t="s">
        <v>842</v>
      </c>
    </row>
    <row r="17" spans="1:2" x14ac:dyDescent="0.2">
      <c r="A17" s="134" t="s">
        <v>662</v>
      </c>
      <c r="B17" s="189" t="s">
        <v>662</v>
      </c>
    </row>
    <row r="18" spans="1:2" x14ac:dyDescent="0.2">
      <c r="A18" s="134" t="s">
        <v>1830</v>
      </c>
      <c r="B18" s="189" t="s">
        <v>1830</v>
      </c>
    </row>
    <row r="19" spans="1:2" x14ac:dyDescent="0.2">
      <c r="A19" s="131" t="s">
        <v>2375</v>
      </c>
      <c r="B19" s="189" t="s">
        <v>2375</v>
      </c>
    </row>
    <row r="20" spans="1:2" x14ac:dyDescent="0.2">
      <c r="A20" s="131" t="s">
        <v>1584</v>
      </c>
      <c r="B20" s="189" t="s">
        <v>1584</v>
      </c>
    </row>
    <row r="21" spans="1:2" x14ac:dyDescent="0.2">
      <c r="A21" s="134" t="s">
        <v>1609</v>
      </c>
      <c r="B21" s="189" t="s">
        <v>1609</v>
      </c>
    </row>
    <row r="22" spans="1:2" x14ac:dyDescent="0.2">
      <c r="A22" s="134" t="s">
        <v>1619</v>
      </c>
      <c r="B22" s="189" t="s">
        <v>1619</v>
      </c>
    </row>
    <row r="23" spans="1:2" x14ac:dyDescent="0.2">
      <c r="A23" s="131" t="s">
        <v>529</v>
      </c>
      <c r="B23" s="189" t="s">
        <v>529</v>
      </c>
    </row>
    <row r="24" spans="1:2" x14ac:dyDescent="0.2">
      <c r="A24" s="134" t="s">
        <v>1722</v>
      </c>
      <c r="B24" s="189" t="s">
        <v>1722</v>
      </c>
    </row>
    <row r="25" spans="1:2" x14ac:dyDescent="0.2">
      <c r="A25" s="134" t="s">
        <v>1627</v>
      </c>
      <c r="B25" s="189" t="s">
        <v>1627</v>
      </c>
    </row>
    <row r="26" spans="1:2" x14ac:dyDescent="0.2">
      <c r="A26" s="134"/>
      <c r="B26" s="189"/>
    </row>
    <row r="27" spans="1:2" x14ac:dyDescent="0.2">
      <c r="A27" s="134"/>
      <c r="B27" s="189"/>
    </row>
    <row r="28" spans="1:2" x14ac:dyDescent="0.2">
      <c r="A28" s="134"/>
      <c r="B28" s="189"/>
    </row>
    <row r="29" spans="1:2" x14ac:dyDescent="0.2">
      <c r="A29" s="134"/>
      <c r="B29" s="189"/>
    </row>
    <row r="30" spans="1:2" x14ac:dyDescent="0.2">
      <c r="A30" s="134"/>
      <c r="B30" s="189"/>
    </row>
    <row r="31" spans="1:2" x14ac:dyDescent="0.2">
      <c r="A31" s="142"/>
      <c r="B31" s="189"/>
    </row>
    <row r="32" spans="1:2" x14ac:dyDescent="0.2">
      <c r="A32" s="134"/>
      <c r="B32" s="189"/>
    </row>
    <row r="33" spans="1:2" x14ac:dyDescent="0.2">
      <c r="A33" s="134"/>
      <c r="B33" s="189"/>
    </row>
    <row r="34" spans="1:2" x14ac:dyDescent="0.2">
      <c r="A34" s="134"/>
      <c r="B34" s="189"/>
    </row>
    <row r="35" spans="1:2" x14ac:dyDescent="0.2">
      <c r="A35" s="134"/>
      <c r="B35" s="189"/>
    </row>
    <row r="36" spans="1:2" x14ac:dyDescent="0.2">
      <c r="A36" s="134"/>
      <c r="B36" s="189"/>
    </row>
    <row r="37" spans="1:2" x14ac:dyDescent="0.2">
      <c r="A37" s="134"/>
      <c r="B37" s="189"/>
    </row>
    <row r="38" spans="1:2" x14ac:dyDescent="0.2">
      <c r="A38" s="142"/>
    </row>
    <row r="39" spans="1:2" x14ac:dyDescent="0.2">
      <c r="A39" s="142"/>
      <c r="B39" s="189"/>
    </row>
    <row r="40" spans="1:2" x14ac:dyDescent="0.2">
      <c r="A40" s="134"/>
      <c r="B40" s="189"/>
    </row>
    <row r="41" spans="1:2" x14ac:dyDescent="0.2">
      <c r="A41" s="142"/>
      <c r="B41" s="189"/>
    </row>
    <row r="42" spans="1:2" x14ac:dyDescent="0.2">
      <c r="A42" s="142"/>
      <c r="B42" s="189"/>
    </row>
    <row r="43" spans="1:2" x14ac:dyDescent="0.2">
      <c r="A43" s="142"/>
      <c r="B43" s="189"/>
    </row>
    <row r="44" spans="1:2" x14ac:dyDescent="0.2">
      <c r="A44" s="142"/>
      <c r="B44" s="189"/>
    </row>
    <row r="45" spans="1:2" x14ac:dyDescent="0.2">
      <c r="A45" s="142" t="s">
        <v>673</v>
      </c>
      <c r="B45" s="189" t="s">
        <v>673</v>
      </c>
    </row>
    <row r="46" spans="1:2" x14ac:dyDescent="0.2">
      <c r="A46" s="142" t="s">
        <v>673</v>
      </c>
      <c r="B46" s="189" t="s">
        <v>673</v>
      </c>
    </row>
    <row r="47" spans="1:2" x14ac:dyDescent="0.2">
      <c r="A47" s="142" t="s">
        <v>128</v>
      </c>
      <c r="B47" s="189" t="s">
        <v>254</v>
      </c>
    </row>
    <row r="48" spans="1:2" x14ac:dyDescent="0.2">
      <c r="A48" s="142" t="s">
        <v>1741</v>
      </c>
      <c r="B48" s="189" t="s">
        <v>1741</v>
      </c>
    </row>
    <row r="49" spans="1:2" x14ac:dyDescent="0.2">
      <c r="A49" s="142" t="s">
        <v>1092</v>
      </c>
      <c r="B49" s="189" t="s">
        <v>1092</v>
      </c>
    </row>
    <row r="50" spans="1:2" x14ac:dyDescent="0.2">
      <c r="A50" s="142" t="s">
        <v>1754</v>
      </c>
      <c r="B50" s="189" t="s">
        <v>1754</v>
      </c>
    </row>
    <row r="51" spans="1:2" x14ac:dyDescent="0.2">
      <c r="A51" s="142" t="s">
        <v>1974</v>
      </c>
      <c r="B51" s="189" t="s">
        <v>1974</v>
      </c>
    </row>
    <row r="52" spans="1:2" x14ac:dyDescent="0.2">
      <c r="A52" s="134" t="s">
        <v>1785</v>
      </c>
      <c r="B52" s="189" t="s">
        <v>1785</v>
      </c>
    </row>
    <row r="53" spans="1:2" x14ac:dyDescent="0.2">
      <c r="A53" s="142" t="s">
        <v>1696</v>
      </c>
      <c r="B53" s="189" t="s">
        <v>1696</v>
      </c>
    </row>
    <row r="54" spans="1:2" ht="25.5" x14ac:dyDescent="0.2">
      <c r="A54" s="142" t="s">
        <v>1301</v>
      </c>
      <c r="B54" s="189" t="s">
        <v>1301</v>
      </c>
    </row>
    <row r="55" spans="1:2" x14ac:dyDescent="0.2">
      <c r="A55" s="134" t="s">
        <v>620</v>
      </c>
      <c r="B55" s="189" t="s">
        <v>620</v>
      </c>
    </row>
    <row r="56" spans="1:2" x14ac:dyDescent="0.2">
      <c r="A56" s="142" t="s">
        <v>1161</v>
      </c>
      <c r="B56" s="189" t="s">
        <v>1161</v>
      </c>
    </row>
    <row r="57" spans="1:2" x14ac:dyDescent="0.2">
      <c r="A57" s="134" t="s">
        <v>1307</v>
      </c>
      <c r="B57" s="189" t="s">
        <v>1307</v>
      </c>
    </row>
    <row r="58" spans="1:2" x14ac:dyDescent="0.2">
      <c r="A58" s="142" t="s">
        <v>1993</v>
      </c>
      <c r="B58" s="189" t="s">
        <v>1993</v>
      </c>
    </row>
    <row r="59" spans="1:2" x14ac:dyDescent="0.2">
      <c r="A59" s="142" t="s">
        <v>373</v>
      </c>
      <c r="B59" s="189" t="s">
        <v>373</v>
      </c>
    </row>
    <row r="60" spans="1:2" x14ac:dyDescent="0.2">
      <c r="A60" s="134" t="s">
        <v>1789</v>
      </c>
      <c r="B60" s="189" t="s">
        <v>1789</v>
      </c>
    </row>
    <row r="61" spans="1:2" x14ac:dyDescent="0.2">
      <c r="A61" s="142" t="s">
        <v>834</v>
      </c>
      <c r="B61" s="189" t="s">
        <v>834</v>
      </c>
    </row>
    <row r="62" spans="1:2" x14ac:dyDescent="0.2">
      <c r="A62" s="142" t="s">
        <v>1315</v>
      </c>
      <c r="B62" s="189" t="s">
        <v>1000</v>
      </c>
    </row>
    <row r="63" spans="1:2" x14ac:dyDescent="0.2">
      <c r="A63" s="142" t="s">
        <v>1550</v>
      </c>
      <c r="B63" s="189" t="s">
        <v>1550</v>
      </c>
    </row>
    <row r="64" spans="1:2" x14ac:dyDescent="0.2">
      <c r="A64" s="142" t="s">
        <v>2185</v>
      </c>
      <c r="B64" s="189" t="s">
        <v>2185</v>
      </c>
    </row>
    <row r="65" spans="1:2" x14ac:dyDescent="0.2">
      <c r="A65" s="134" t="s">
        <v>2026</v>
      </c>
      <c r="B65" s="189" t="s">
        <v>2026</v>
      </c>
    </row>
    <row r="66" spans="1:2" x14ac:dyDescent="0.2">
      <c r="A66" s="134" t="s">
        <v>968</v>
      </c>
      <c r="B66" s="189" t="s">
        <v>1132</v>
      </c>
    </row>
    <row r="67" spans="1:2" x14ac:dyDescent="0.2">
      <c r="A67" s="134" t="s">
        <v>1081</v>
      </c>
      <c r="B67" s="189" t="s">
        <v>1081</v>
      </c>
    </row>
    <row r="68" spans="1:2" x14ac:dyDescent="0.2">
      <c r="A68" s="142" t="s">
        <v>2134</v>
      </c>
      <c r="B68" s="189" t="s">
        <v>2134</v>
      </c>
    </row>
    <row r="69" spans="1:2" x14ac:dyDescent="0.2">
      <c r="A69" s="131" t="s">
        <v>605</v>
      </c>
      <c r="B69" s="189" t="s">
        <v>605</v>
      </c>
    </row>
    <row r="70" spans="1:2" x14ac:dyDescent="0.2">
      <c r="A70" s="134" t="s">
        <v>605</v>
      </c>
      <c r="B70" s="189" t="s">
        <v>605</v>
      </c>
    </row>
    <row r="71" spans="1:2" ht="25.5" x14ac:dyDescent="0.2">
      <c r="A71" s="142" t="s">
        <v>541</v>
      </c>
      <c r="B71" s="190" t="s">
        <v>541</v>
      </c>
    </row>
    <row r="72" spans="1:2" ht="25.5" x14ac:dyDescent="0.2">
      <c r="A72" s="142" t="s">
        <v>1434</v>
      </c>
      <c r="B72" s="190" t="s">
        <v>1434</v>
      </c>
    </row>
    <row r="73" spans="1:2" x14ac:dyDescent="0.2">
      <c r="A73" s="142" t="s">
        <v>1984</v>
      </c>
      <c r="B73" s="190" t="s">
        <v>1984</v>
      </c>
    </row>
    <row r="74" spans="1:2" x14ac:dyDescent="0.2">
      <c r="A74" s="134" t="s">
        <v>1460</v>
      </c>
      <c r="B74" s="190" t="s">
        <v>1460</v>
      </c>
    </row>
    <row r="75" spans="1:2" x14ac:dyDescent="0.2">
      <c r="A75" s="134" t="s">
        <v>287</v>
      </c>
      <c r="B75" s="190" t="s">
        <v>287</v>
      </c>
    </row>
    <row r="76" spans="1:2" x14ac:dyDescent="0.2">
      <c r="A76" s="134" t="s">
        <v>548</v>
      </c>
      <c r="B76" s="189" t="s">
        <v>548</v>
      </c>
    </row>
    <row r="77" spans="1:2" x14ac:dyDescent="0.2">
      <c r="A77" s="134" t="s">
        <v>87</v>
      </c>
      <c r="B77" s="189" t="s">
        <v>87</v>
      </c>
    </row>
    <row r="78" spans="1:2" x14ac:dyDescent="0.2">
      <c r="A78" s="142" t="s">
        <v>1988</v>
      </c>
      <c r="B78" s="189" t="s">
        <v>1988</v>
      </c>
    </row>
    <row r="79" spans="1:2" x14ac:dyDescent="0.2">
      <c r="A79" s="134" t="s">
        <v>567</v>
      </c>
      <c r="B79" s="189" t="s">
        <v>567</v>
      </c>
    </row>
    <row r="80" spans="1:2" x14ac:dyDescent="0.2">
      <c r="A80" s="134" t="s">
        <v>324</v>
      </c>
      <c r="B80" s="189" t="s">
        <v>324</v>
      </c>
    </row>
    <row r="81" spans="1:2" x14ac:dyDescent="0.2">
      <c r="A81" s="142" t="s">
        <v>1393</v>
      </c>
      <c r="B81" s="189" t="s">
        <v>1393</v>
      </c>
    </row>
    <row r="82" spans="1:2" ht="38.25" x14ac:dyDescent="0.2">
      <c r="A82" s="142" t="s">
        <v>522</v>
      </c>
      <c r="B82" s="189" t="s">
        <v>3234</v>
      </c>
    </row>
    <row r="83" spans="1:2" x14ac:dyDescent="0.2">
      <c r="A83" s="134" t="s">
        <v>1323</v>
      </c>
      <c r="B83" s="189" t="s">
        <v>1323</v>
      </c>
    </row>
    <row r="84" spans="1:2" x14ac:dyDescent="0.2">
      <c r="A84" s="142" t="s">
        <v>1818</v>
      </c>
      <c r="B84" s="189" t="s">
        <v>1818</v>
      </c>
    </row>
    <row r="85" spans="1:2" x14ac:dyDescent="0.2">
      <c r="A85" s="134" t="s">
        <v>892</v>
      </c>
      <c r="B85" s="189" t="s">
        <v>892</v>
      </c>
    </row>
    <row r="86" spans="1:2" x14ac:dyDescent="0.2">
      <c r="A86" s="142" t="s">
        <v>1587</v>
      </c>
      <c r="B86" s="189" t="s">
        <v>1587</v>
      </c>
    </row>
    <row r="87" spans="1:2" x14ac:dyDescent="0.2">
      <c r="A87" s="142" t="s">
        <v>1476</v>
      </c>
      <c r="B87" s="189" t="s">
        <v>1476</v>
      </c>
    </row>
    <row r="88" spans="1:2" x14ac:dyDescent="0.2">
      <c r="A88" s="142" t="s">
        <v>572</v>
      </c>
      <c r="B88" s="189" t="s">
        <v>572</v>
      </c>
    </row>
    <row r="89" spans="1:2" x14ac:dyDescent="0.2">
      <c r="A89" s="142" t="s">
        <v>897</v>
      </c>
      <c r="B89" s="189" t="s">
        <v>897</v>
      </c>
    </row>
    <row r="90" spans="1:2" x14ac:dyDescent="0.2">
      <c r="A90" s="142" t="s">
        <v>442</v>
      </c>
      <c r="B90" s="189" t="s">
        <v>442</v>
      </c>
    </row>
    <row r="91" spans="1:2" x14ac:dyDescent="0.2">
      <c r="A91" s="134" t="s">
        <v>1330</v>
      </c>
      <c r="B91" s="189" t="s">
        <v>1020</v>
      </c>
    </row>
    <row r="92" spans="1:2" x14ac:dyDescent="0.2">
      <c r="A92" s="134"/>
      <c r="B92" s="189"/>
    </row>
    <row r="93" spans="1:2" x14ac:dyDescent="0.2">
      <c r="A93" s="134"/>
      <c r="B93" s="189"/>
    </row>
    <row r="94" spans="1:2" x14ac:dyDescent="0.2">
      <c r="A94" s="142"/>
      <c r="B94" s="189"/>
    </row>
    <row r="95" spans="1:2" x14ac:dyDescent="0.2">
      <c r="A95" s="134" t="s">
        <v>2012</v>
      </c>
      <c r="B95" s="189" t="s">
        <v>2012</v>
      </c>
    </row>
    <row r="96" spans="1:2" x14ac:dyDescent="0.2">
      <c r="A96" s="134" t="s">
        <v>1858</v>
      </c>
      <c r="B96" s="189" t="s">
        <v>1858</v>
      </c>
    </row>
    <row r="97" spans="1:2" x14ac:dyDescent="0.2">
      <c r="A97" s="134" t="s">
        <v>610</v>
      </c>
      <c r="B97" s="189" t="s">
        <v>610</v>
      </c>
    </row>
    <row r="98" spans="1:2" x14ac:dyDescent="0.2">
      <c r="A98" s="134" t="s">
        <v>1772</v>
      </c>
      <c r="B98" s="189" t="s">
        <v>1772</v>
      </c>
    </row>
    <row r="99" spans="1:2" x14ac:dyDescent="0.2">
      <c r="A99" s="134" t="s">
        <v>433</v>
      </c>
      <c r="B99" s="189" t="s">
        <v>433</v>
      </c>
    </row>
    <row r="100" spans="1:2" x14ac:dyDescent="0.2">
      <c r="A100" s="134" t="s">
        <v>2042</v>
      </c>
      <c r="B100" s="189" t="s">
        <v>2042</v>
      </c>
    </row>
    <row r="101" spans="1:2" x14ac:dyDescent="0.2">
      <c r="A101" s="134" t="s">
        <v>937</v>
      </c>
      <c r="B101" s="189" t="s">
        <v>937</v>
      </c>
    </row>
    <row r="102" spans="1:2" x14ac:dyDescent="0.2">
      <c r="A102" s="134" t="s">
        <v>863</v>
      </c>
      <c r="B102" s="189" t="s">
        <v>863</v>
      </c>
    </row>
    <row r="103" spans="1:2" x14ac:dyDescent="0.2">
      <c r="A103" s="134" t="s">
        <v>2678</v>
      </c>
      <c r="B103" s="189" t="s">
        <v>2678</v>
      </c>
    </row>
    <row r="104" spans="1:2" x14ac:dyDescent="0.2">
      <c r="A104" s="134" t="s">
        <v>2402</v>
      </c>
      <c r="B104" s="189" t="s">
        <v>2402</v>
      </c>
    </row>
    <row r="105" spans="1:2" x14ac:dyDescent="0.2">
      <c r="A105" s="134" t="s">
        <v>2482</v>
      </c>
      <c r="B105" s="189" t="s">
        <v>2482</v>
      </c>
    </row>
    <row r="106" spans="1:2" x14ac:dyDescent="0.2">
      <c r="A106" s="134" t="s">
        <v>873</v>
      </c>
      <c r="B106" s="189" t="s">
        <v>873</v>
      </c>
    </row>
    <row r="107" spans="1:2" x14ac:dyDescent="0.2">
      <c r="A107" s="134" t="s">
        <v>2578</v>
      </c>
      <c r="B107" s="189" t="s">
        <v>2578</v>
      </c>
    </row>
    <row r="108" spans="1:2" x14ac:dyDescent="0.2">
      <c r="A108" s="134" t="s">
        <v>2129</v>
      </c>
      <c r="B108" s="189" t="s">
        <v>2129</v>
      </c>
    </row>
    <row r="109" spans="1:2" x14ac:dyDescent="0.2">
      <c r="A109" s="134" t="s">
        <v>157</v>
      </c>
      <c r="B109" s="189" t="s">
        <v>157</v>
      </c>
    </row>
    <row r="110" spans="1:2" x14ac:dyDescent="0.2">
      <c r="A110" s="131" t="s">
        <v>246</v>
      </c>
      <c r="B110" s="189" t="s">
        <v>246</v>
      </c>
    </row>
    <row r="111" spans="1:2" x14ac:dyDescent="0.2">
      <c r="A111" s="134" t="s">
        <v>1907</v>
      </c>
      <c r="B111" s="189" t="s">
        <v>1907</v>
      </c>
    </row>
    <row r="112" spans="1:2" x14ac:dyDescent="0.2">
      <c r="A112" s="131" t="s">
        <v>1757</v>
      </c>
      <c r="B112" s="4" t="s">
        <v>1757</v>
      </c>
    </row>
    <row r="113" spans="1:2" x14ac:dyDescent="0.2">
      <c r="A113" s="134" t="s">
        <v>1757</v>
      </c>
      <c r="B113" s="189" t="s">
        <v>1757</v>
      </c>
    </row>
    <row r="114" spans="1:2" x14ac:dyDescent="0.2">
      <c r="A114" s="134" t="s">
        <v>1021</v>
      </c>
      <c r="B114" s="189" t="s">
        <v>1021</v>
      </c>
    </row>
    <row r="115" spans="1:2" x14ac:dyDescent="0.2">
      <c r="A115" s="131" t="s">
        <v>3774</v>
      </c>
      <c r="B115" s="4" t="s">
        <v>3774</v>
      </c>
    </row>
    <row r="116" spans="1:2" x14ac:dyDescent="0.2">
      <c r="A116" s="134" t="s">
        <v>2585</v>
      </c>
      <c r="B116" s="189" t="s">
        <v>2585</v>
      </c>
    </row>
    <row r="117" spans="1:2" x14ac:dyDescent="0.2">
      <c r="A117" s="134" t="s">
        <v>547</v>
      </c>
      <c r="B117" s="189" t="s">
        <v>547</v>
      </c>
    </row>
    <row r="118" spans="1:2" x14ac:dyDescent="0.2">
      <c r="A118" s="134" t="s">
        <v>2071</v>
      </c>
      <c r="B118" s="189" t="s">
        <v>2071</v>
      </c>
    </row>
    <row r="119" spans="1:2" x14ac:dyDescent="0.2">
      <c r="A119" s="134" t="s">
        <v>559</v>
      </c>
      <c r="B119" s="189" t="s">
        <v>559</v>
      </c>
    </row>
    <row r="120" spans="1:2" x14ac:dyDescent="0.2">
      <c r="A120" s="131" t="s">
        <v>3777</v>
      </c>
      <c r="B120" s="4" t="s">
        <v>3777</v>
      </c>
    </row>
    <row r="121" spans="1:2" x14ac:dyDescent="0.2">
      <c r="A121" s="134" t="s">
        <v>1960</v>
      </c>
      <c r="B121" s="189" t="s">
        <v>1960</v>
      </c>
    </row>
    <row r="122" spans="1:2" x14ac:dyDescent="0.2">
      <c r="A122" s="134" t="s">
        <v>2018</v>
      </c>
      <c r="B122" s="189" t="s">
        <v>2018</v>
      </c>
    </row>
    <row r="123" spans="1:2" x14ac:dyDescent="0.2">
      <c r="A123" s="134" t="s">
        <v>2589</v>
      </c>
      <c r="B123" s="189" t="s">
        <v>2589</v>
      </c>
    </row>
    <row r="124" spans="1:2" x14ac:dyDescent="0.2">
      <c r="A124" s="134" t="s">
        <v>2219</v>
      </c>
      <c r="B124" s="189" t="s">
        <v>2219</v>
      </c>
    </row>
    <row r="125" spans="1:2" x14ac:dyDescent="0.2">
      <c r="A125" s="134" t="s">
        <v>635</v>
      </c>
      <c r="B125" s="189" t="s">
        <v>635</v>
      </c>
    </row>
    <row r="126" spans="1:2" x14ac:dyDescent="0.2">
      <c r="A126" s="134" t="s">
        <v>2174</v>
      </c>
      <c r="B126" s="189" t="s">
        <v>2174</v>
      </c>
    </row>
    <row r="127" spans="1:2" x14ac:dyDescent="0.2">
      <c r="A127" s="134" t="s">
        <v>353</v>
      </c>
      <c r="B127" s="189" t="s">
        <v>353</v>
      </c>
    </row>
    <row r="128" spans="1:2" x14ac:dyDescent="0.2">
      <c r="A128" s="134" t="s">
        <v>2252</v>
      </c>
      <c r="B128" s="189" t="s">
        <v>2252</v>
      </c>
    </row>
    <row r="129" spans="1:2" x14ac:dyDescent="0.2">
      <c r="A129" s="134" t="s">
        <v>747</v>
      </c>
      <c r="B129" s="189" t="s">
        <v>747</v>
      </c>
    </row>
    <row r="130" spans="1:2" x14ac:dyDescent="0.2">
      <c r="A130" s="134" t="s">
        <v>942</v>
      </c>
      <c r="B130" s="189" t="s">
        <v>942</v>
      </c>
    </row>
    <row r="131" spans="1:2" x14ac:dyDescent="0.2">
      <c r="A131" s="134" t="s">
        <v>2717</v>
      </c>
      <c r="B131" s="189" t="s">
        <v>2717</v>
      </c>
    </row>
    <row r="132" spans="1:2" x14ac:dyDescent="0.2">
      <c r="A132" s="131" t="s">
        <v>241</v>
      </c>
      <c r="B132" s="189" t="s">
        <v>241</v>
      </c>
    </row>
    <row r="133" spans="1:2" x14ac:dyDescent="0.2">
      <c r="A133" s="134" t="s">
        <v>1400</v>
      </c>
      <c r="B133" s="189" t="s">
        <v>1400</v>
      </c>
    </row>
    <row r="134" spans="1:2" x14ac:dyDescent="0.2">
      <c r="A134" s="134" t="s">
        <v>1404</v>
      </c>
      <c r="B134" s="189" t="s">
        <v>1404</v>
      </c>
    </row>
    <row r="135" spans="1:2" x14ac:dyDescent="0.2">
      <c r="A135" s="134" t="s">
        <v>1411</v>
      </c>
      <c r="B135" s="189" t="s">
        <v>1411</v>
      </c>
    </row>
    <row r="136" spans="1:2" x14ac:dyDescent="0.2">
      <c r="A136" s="134" t="s">
        <v>1414</v>
      </c>
      <c r="B136" s="189" t="s">
        <v>1414</v>
      </c>
    </row>
    <row r="137" spans="1:2" x14ac:dyDescent="0.2">
      <c r="A137" s="134" t="s">
        <v>488</v>
      </c>
      <c r="B137" s="189" t="s">
        <v>1421</v>
      </c>
    </row>
    <row r="138" spans="1:2" ht="25.5" x14ac:dyDescent="0.2">
      <c r="A138" s="134" t="s">
        <v>1424</v>
      </c>
      <c r="B138" s="189" t="s">
        <v>1424</v>
      </c>
    </row>
    <row r="139" spans="1:2" x14ac:dyDescent="0.2">
      <c r="A139" s="134" t="s">
        <v>1431</v>
      </c>
      <c r="B139" s="189" t="s">
        <v>1431</v>
      </c>
    </row>
    <row r="140" spans="1:2" x14ac:dyDescent="0.2">
      <c r="A140" s="134" t="s">
        <v>1442</v>
      </c>
      <c r="B140" s="189" t="s">
        <v>1442</v>
      </c>
    </row>
    <row r="141" spans="1:2" x14ac:dyDescent="0.2">
      <c r="A141" s="134" t="s">
        <v>1451</v>
      </c>
      <c r="B141" s="189" t="s">
        <v>1451</v>
      </c>
    </row>
    <row r="142" spans="1:2" x14ac:dyDescent="0.2">
      <c r="A142" s="134" t="s">
        <v>1457</v>
      </c>
      <c r="B142" s="189" t="s">
        <v>1457</v>
      </c>
    </row>
    <row r="143" spans="1:2" ht="25.5" x14ac:dyDescent="0.2">
      <c r="A143" s="134" t="s">
        <v>1461</v>
      </c>
      <c r="B143" s="189" t="s">
        <v>1461</v>
      </c>
    </row>
    <row r="144" spans="1:2" x14ac:dyDescent="0.2">
      <c r="A144" s="134" t="s">
        <v>1472</v>
      </c>
      <c r="B144" s="189" t="s">
        <v>1472</v>
      </c>
    </row>
    <row r="145" spans="1:2" x14ac:dyDescent="0.2">
      <c r="A145" s="134" t="s">
        <v>1480</v>
      </c>
      <c r="B145" s="189" t="s">
        <v>1480</v>
      </c>
    </row>
    <row r="146" spans="1:2" x14ac:dyDescent="0.2">
      <c r="A146" s="142" t="s">
        <v>1486</v>
      </c>
      <c r="B146" s="189" t="s">
        <v>1486</v>
      </c>
    </row>
    <row r="147" spans="1:2" x14ac:dyDescent="0.2">
      <c r="A147" s="134" t="s">
        <v>1491</v>
      </c>
      <c r="B147" s="189" t="s">
        <v>1491</v>
      </c>
    </row>
    <row r="148" spans="1:2" x14ac:dyDescent="0.2">
      <c r="A148" s="134" t="s">
        <v>1497</v>
      </c>
      <c r="B148" s="189" t="s">
        <v>1497</v>
      </c>
    </row>
    <row r="149" spans="1:2" x14ac:dyDescent="0.2">
      <c r="A149" s="134" t="s">
        <v>642</v>
      </c>
      <c r="B149" s="189" t="s">
        <v>642</v>
      </c>
    </row>
    <row r="150" spans="1:2" ht="25.5" x14ac:dyDescent="0.2">
      <c r="A150" s="134" t="s">
        <v>261</v>
      </c>
      <c r="B150" s="189" t="s">
        <v>261</v>
      </c>
    </row>
    <row r="151" spans="1:2" x14ac:dyDescent="0.2">
      <c r="A151" s="134" t="s">
        <v>1511</v>
      </c>
      <c r="B151" s="189" t="s">
        <v>1511</v>
      </c>
    </row>
    <row r="152" spans="1:2" x14ac:dyDescent="0.2">
      <c r="A152" s="134" t="s">
        <v>1511</v>
      </c>
      <c r="B152" s="189" t="s">
        <v>1511</v>
      </c>
    </row>
    <row r="153" spans="1:2" x14ac:dyDescent="0.2">
      <c r="A153" s="142" t="s">
        <v>1524</v>
      </c>
      <c r="B153" s="189" t="s">
        <v>1524</v>
      </c>
    </row>
    <row r="154" spans="1:2" x14ac:dyDescent="0.2">
      <c r="A154" s="134" t="s">
        <v>1533</v>
      </c>
      <c r="B154" s="189" t="s">
        <v>1533</v>
      </c>
    </row>
    <row r="155" spans="1:2" x14ac:dyDescent="0.2">
      <c r="A155" s="134" t="s">
        <v>455</v>
      </c>
      <c r="B155" s="190" t="s">
        <v>455</v>
      </c>
    </row>
    <row r="156" spans="1:2" x14ac:dyDescent="0.2">
      <c r="A156" s="134" t="s">
        <v>1535</v>
      </c>
      <c r="B156" s="190" t="s">
        <v>1535</v>
      </c>
    </row>
    <row r="157" spans="1:2" x14ac:dyDescent="0.2">
      <c r="A157" s="134" t="s">
        <v>1540</v>
      </c>
      <c r="B157" s="190" t="s">
        <v>1540</v>
      </c>
    </row>
    <row r="158" spans="1:2" x14ac:dyDescent="0.2">
      <c r="A158" s="134" t="s">
        <v>194</v>
      </c>
      <c r="B158" s="189" t="s">
        <v>194</v>
      </c>
    </row>
    <row r="159" spans="1:2" x14ac:dyDescent="0.2">
      <c r="A159" s="134" t="s">
        <v>194</v>
      </c>
      <c r="B159" s="189" t="s">
        <v>194</v>
      </c>
    </row>
    <row r="160" spans="1:2" x14ac:dyDescent="0.2">
      <c r="A160" s="134" t="s">
        <v>194</v>
      </c>
      <c r="B160" s="189" t="s">
        <v>194</v>
      </c>
    </row>
    <row r="161" spans="1:2" x14ac:dyDescent="0.2">
      <c r="A161" s="134" t="s">
        <v>194</v>
      </c>
      <c r="B161" s="189" t="s">
        <v>194</v>
      </c>
    </row>
    <row r="162" spans="1:2" x14ac:dyDescent="0.2">
      <c r="A162" s="134" t="s">
        <v>1561</v>
      </c>
      <c r="B162" s="189" t="s">
        <v>1561</v>
      </c>
    </row>
    <row r="163" spans="1:2" ht="25.5" x14ac:dyDescent="0.2">
      <c r="A163" s="134" t="s">
        <v>1565</v>
      </c>
      <c r="B163" s="189" t="s">
        <v>1565</v>
      </c>
    </row>
    <row r="164" spans="1:2" x14ac:dyDescent="0.2">
      <c r="A164" s="134" t="s">
        <v>1495</v>
      </c>
      <c r="B164" s="189" t="s">
        <v>1495</v>
      </c>
    </row>
    <row r="165" spans="1:2" ht="25.5" x14ac:dyDescent="0.2">
      <c r="A165" s="134" t="s">
        <v>1580</v>
      </c>
      <c r="B165" s="189" t="s">
        <v>1580</v>
      </c>
    </row>
    <row r="166" spans="1:2" x14ac:dyDescent="0.2">
      <c r="A166" s="134" t="s">
        <v>1585</v>
      </c>
      <c r="B166" s="189" t="s">
        <v>1585</v>
      </c>
    </row>
    <row r="167" spans="1:2" x14ac:dyDescent="0.2">
      <c r="A167" s="134" t="s">
        <v>1592</v>
      </c>
      <c r="B167" s="189" t="s">
        <v>1592</v>
      </c>
    </row>
    <row r="168" spans="1:2" x14ac:dyDescent="0.2">
      <c r="A168" s="134" t="s">
        <v>1596</v>
      </c>
      <c r="B168" s="189" t="s">
        <v>1596</v>
      </c>
    </row>
    <row r="169" spans="1:2" x14ac:dyDescent="0.2">
      <c r="A169" s="134" t="s">
        <v>1603</v>
      </c>
      <c r="B169" s="189" t="s">
        <v>1603</v>
      </c>
    </row>
    <row r="170" spans="1:2" x14ac:dyDescent="0.2">
      <c r="A170" s="134" t="s">
        <v>3783</v>
      </c>
      <c r="B170" s="189" t="s">
        <v>1608</v>
      </c>
    </row>
    <row r="171" spans="1:2" x14ac:dyDescent="0.2">
      <c r="A171" s="134" t="s">
        <v>171</v>
      </c>
      <c r="B171" s="189" t="s">
        <v>171</v>
      </c>
    </row>
    <row r="172" spans="1:2" x14ac:dyDescent="0.2">
      <c r="A172" s="134" t="s">
        <v>1624</v>
      </c>
      <c r="B172" s="189" t="s">
        <v>1624</v>
      </c>
    </row>
    <row r="173" spans="1:2" x14ac:dyDescent="0.2">
      <c r="A173" s="134" t="s">
        <v>2544</v>
      </c>
    </row>
    <row r="174" spans="1:2" x14ac:dyDescent="0.2">
      <c r="A174" s="134" t="s">
        <v>1630</v>
      </c>
      <c r="B174" s="189" t="s">
        <v>1630</v>
      </c>
    </row>
    <row r="175" spans="1:2" x14ac:dyDescent="0.2">
      <c r="A175" s="134" t="s">
        <v>1636</v>
      </c>
      <c r="B175" s="189" t="s">
        <v>1636</v>
      </c>
    </row>
    <row r="176" spans="1:2" x14ac:dyDescent="0.2">
      <c r="A176" s="134" t="s">
        <v>1645</v>
      </c>
      <c r="B176" s="189" t="s">
        <v>1645</v>
      </c>
    </row>
    <row r="177" spans="1:2" ht="25.5" x14ac:dyDescent="0.2">
      <c r="A177" s="142" t="s">
        <v>2320</v>
      </c>
      <c r="B177" s="189" t="s">
        <v>1649</v>
      </c>
    </row>
    <row r="178" spans="1:2" x14ac:dyDescent="0.2">
      <c r="A178" s="134" t="s">
        <v>707</v>
      </c>
      <c r="B178" s="189" t="s">
        <v>707</v>
      </c>
    </row>
    <row r="179" spans="1:2" x14ac:dyDescent="0.2">
      <c r="A179" s="134" t="s">
        <v>1663</v>
      </c>
      <c r="B179" s="189" t="s">
        <v>1663</v>
      </c>
    </row>
    <row r="180" spans="1:2" x14ac:dyDescent="0.2">
      <c r="A180" s="134" t="s">
        <v>97</v>
      </c>
      <c r="B180" s="189" t="s">
        <v>97</v>
      </c>
    </row>
    <row r="181" spans="1:2" x14ac:dyDescent="0.2">
      <c r="A181" s="142" t="s">
        <v>1671</v>
      </c>
      <c r="B181" s="189" t="s">
        <v>1671</v>
      </c>
    </row>
    <row r="182" spans="1:2" x14ac:dyDescent="0.2">
      <c r="A182" s="134" t="s">
        <v>1671</v>
      </c>
      <c r="B182" s="189" t="s">
        <v>1671</v>
      </c>
    </row>
    <row r="183" spans="1:2" x14ac:dyDescent="0.2">
      <c r="A183" s="134" t="s">
        <v>1677</v>
      </c>
      <c r="B183" s="189" t="s">
        <v>1677</v>
      </c>
    </row>
    <row r="184" spans="1:2" x14ac:dyDescent="0.2">
      <c r="A184" s="134" t="s">
        <v>1683</v>
      </c>
      <c r="B184" s="189" t="s">
        <v>1683</v>
      </c>
    </row>
    <row r="185" spans="1:2" x14ac:dyDescent="0.2">
      <c r="A185" s="134" t="s">
        <v>575</v>
      </c>
      <c r="B185" s="189" t="s">
        <v>1687</v>
      </c>
    </row>
    <row r="186" spans="1:2" ht="25.5" x14ac:dyDescent="0.2">
      <c r="A186" s="142" t="s">
        <v>1693</v>
      </c>
      <c r="B186" s="189" t="s">
        <v>1693</v>
      </c>
    </row>
    <row r="187" spans="1:2" x14ac:dyDescent="0.2">
      <c r="A187" s="134" t="s">
        <v>635</v>
      </c>
      <c r="B187" s="189" t="s">
        <v>635</v>
      </c>
    </row>
    <row r="188" spans="1:2" x14ac:dyDescent="0.2">
      <c r="A188" s="134" t="s">
        <v>1709</v>
      </c>
      <c r="B188" s="189" t="s">
        <v>1709</v>
      </c>
    </row>
    <row r="189" spans="1:2" x14ac:dyDescent="0.2">
      <c r="A189" s="134" t="s">
        <v>1716</v>
      </c>
      <c r="B189" s="189" t="s">
        <v>1716</v>
      </c>
    </row>
    <row r="190" spans="1:2" x14ac:dyDescent="0.2">
      <c r="A190" s="134" t="s">
        <v>496</v>
      </c>
      <c r="B190" s="189" t="s">
        <v>496</v>
      </c>
    </row>
    <row r="191" spans="1:2" x14ac:dyDescent="0.2">
      <c r="A191" s="134" t="s">
        <v>1725</v>
      </c>
      <c r="B191" s="189" t="s">
        <v>1725</v>
      </c>
    </row>
    <row r="192" spans="1:2" x14ac:dyDescent="0.2">
      <c r="A192" s="134" t="s">
        <v>2418</v>
      </c>
      <c r="B192" s="189" t="s">
        <v>1284</v>
      </c>
    </row>
    <row r="193" spans="1:2" x14ac:dyDescent="0.2">
      <c r="A193" s="134" t="s">
        <v>192</v>
      </c>
      <c r="B193" s="189" t="s">
        <v>192</v>
      </c>
    </row>
    <row r="194" spans="1:2" x14ac:dyDescent="0.2">
      <c r="A194" s="134" t="s">
        <v>1750</v>
      </c>
      <c r="B194" s="189" t="s">
        <v>1750</v>
      </c>
    </row>
    <row r="195" spans="1:2" x14ac:dyDescent="0.2">
      <c r="A195" s="134" t="s">
        <v>1760</v>
      </c>
      <c r="B195" s="189" t="s">
        <v>1760</v>
      </c>
    </row>
    <row r="196" spans="1:2" x14ac:dyDescent="0.2">
      <c r="A196" s="134" t="s">
        <v>1183</v>
      </c>
      <c r="B196" s="189" t="s">
        <v>1183</v>
      </c>
    </row>
    <row r="197" spans="1:2" x14ac:dyDescent="0.2">
      <c r="A197" s="134" t="s">
        <v>1770</v>
      </c>
      <c r="B197" s="189" t="s">
        <v>1770</v>
      </c>
    </row>
    <row r="198" spans="1:2" x14ac:dyDescent="0.2">
      <c r="A198" s="134" t="s">
        <v>1776</v>
      </c>
      <c r="B198" s="189" t="s">
        <v>1776</v>
      </c>
    </row>
    <row r="199" spans="1:2" x14ac:dyDescent="0.2">
      <c r="A199" s="142" t="s">
        <v>1778</v>
      </c>
      <c r="B199" s="189" t="s">
        <v>1778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L1000"/>
  <sheetViews>
    <sheetView workbookViewId="0"/>
  </sheetViews>
  <sheetFormatPr defaultColWidth="12.5703125" defaultRowHeight="15" customHeight="1" x14ac:dyDescent="0.2"/>
  <cols>
    <col min="1" max="1" width="6" customWidth="1"/>
    <col min="2" max="5" width="14.28515625" customWidth="1"/>
    <col min="6" max="6" width="10.42578125" customWidth="1"/>
    <col min="7" max="7" width="20.42578125" customWidth="1"/>
    <col min="8" max="9" width="21.28515625" customWidth="1"/>
    <col min="10" max="10" width="14.28515625" customWidth="1"/>
    <col min="11" max="11" width="48.5703125" customWidth="1"/>
    <col min="12" max="12" width="14.28515625" customWidth="1"/>
    <col min="13" max="26" width="14.42578125" customWidth="1"/>
  </cols>
  <sheetData>
    <row r="1" spans="1:12" ht="12.75" customHeight="1" x14ac:dyDescent="0.2">
      <c r="I1" s="17" t="s">
        <v>2774</v>
      </c>
    </row>
    <row r="2" spans="1:12" ht="12.75" hidden="1" customHeight="1" x14ac:dyDescent="0.2">
      <c r="A2" s="3">
        <v>114</v>
      </c>
      <c r="B2" s="3" t="s">
        <v>62</v>
      </c>
      <c r="C2" s="4" t="s">
        <v>590</v>
      </c>
      <c r="D2" s="4" t="s">
        <v>591</v>
      </c>
      <c r="E2" s="4" t="s">
        <v>194</v>
      </c>
      <c r="F2" s="3"/>
      <c r="G2" s="20" t="s">
        <v>2778</v>
      </c>
      <c r="H2" s="10" t="s">
        <v>2171</v>
      </c>
      <c r="I2" s="21" t="str">
        <f t="shared" ref="I2:I99" si="0">DATEDIF(J2,DATE(2021,11,30),"y")&amp;" years, "&amp;DATEDIF(J2,DATE(2021,11,30),"ym")&amp;" month(s), "&amp;DATEDIF(J2,DATE(2021,11,30),"md")&amp;" day(s)"</f>
        <v>0 years, 1 month(s), 18 day(s)</v>
      </c>
      <c r="J2" s="6">
        <v>44481</v>
      </c>
      <c r="K2" s="4" t="s">
        <v>2793</v>
      </c>
      <c r="L2" s="4"/>
    </row>
    <row r="3" spans="1:12" ht="12.75" hidden="1" customHeight="1" x14ac:dyDescent="0.2">
      <c r="A3" s="3">
        <v>116</v>
      </c>
      <c r="B3" s="3" t="s">
        <v>62</v>
      </c>
      <c r="C3" s="4" t="s">
        <v>590</v>
      </c>
      <c r="D3" s="4" t="s">
        <v>615</v>
      </c>
      <c r="E3" s="4" t="s">
        <v>367</v>
      </c>
      <c r="F3" s="3"/>
      <c r="G3" s="20" t="s">
        <v>302</v>
      </c>
      <c r="H3" s="10" t="s">
        <v>259</v>
      </c>
      <c r="I3" s="21" t="str">
        <f t="shared" si="0"/>
        <v>0 years, 6 month(s), 20 day(s)</v>
      </c>
      <c r="J3" s="6">
        <v>44326</v>
      </c>
      <c r="K3" s="22" t="s">
        <v>2796</v>
      </c>
      <c r="L3" s="4"/>
    </row>
    <row r="4" spans="1:12" ht="12.75" hidden="1" customHeight="1" x14ac:dyDescent="0.2">
      <c r="A4" s="3">
        <v>118</v>
      </c>
      <c r="B4" s="3" t="s">
        <v>62</v>
      </c>
      <c r="C4" s="4" t="s">
        <v>656</v>
      </c>
      <c r="D4" s="4" t="s">
        <v>657</v>
      </c>
      <c r="E4" s="4" t="s">
        <v>659</v>
      </c>
      <c r="F4" s="10"/>
      <c r="G4" s="20" t="s">
        <v>2801</v>
      </c>
      <c r="H4" s="10" t="s">
        <v>259</v>
      </c>
      <c r="I4" s="21" t="str">
        <f t="shared" si="0"/>
        <v>0 years, 9 month(s), 19 day(s)</v>
      </c>
      <c r="J4" s="6">
        <v>44238</v>
      </c>
      <c r="K4" s="4" t="s">
        <v>2803</v>
      </c>
      <c r="L4" s="4"/>
    </row>
    <row r="5" spans="1:12" ht="12.75" customHeight="1" x14ac:dyDescent="0.2">
      <c r="A5" s="3">
        <v>119</v>
      </c>
      <c r="B5" s="3" t="s">
        <v>62</v>
      </c>
      <c r="C5" s="5" t="s">
        <v>722</v>
      </c>
      <c r="D5" s="5" t="s">
        <v>723</v>
      </c>
      <c r="E5" s="5" t="s">
        <v>724</v>
      </c>
      <c r="F5" s="3"/>
      <c r="G5" s="20" t="s">
        <v>2806</v>
      </c>
      <c r="H5" s="10" t="s">
        <v>259</v>
      </c>
      <c r="I5" s="21" t="str">
        <f t="shared" si="0"/>
        <v>2 years, 4 month(s), 29 day(s)</v>
      </c>
      <c r="J5" s="6">
        <v>43647</v>
      </c>
      <c r="K5" s="22" t="s">
        <v>2807</v>
      </c>
      <c r="L5" s="4"/>
    </row>
    <row r="6" spans="1:12" ht="12.75" hidden="1" customHeight="1" x14ac:dyDescent="0.2">
      <c r="A6" s="3">
        <v>120</v>
      </c>
      <c r="B6" s="3" t="s">
        <v>62</v>
      </c>
      <c r="C6" s="4" t="s">
        <v>795</v>
      </c>
      <c r="D6" s="4" t="s">
        <v>893</v>
      </c>
      <c r="E6" s="4" t="s">
        <v>894</v>
      </c>
      <c r="F6" s="3"/>
      <c r="G6" s="20" t="s">
        <v>2810</v>
      </c>
      <c r="H6" s="10" t="s">
        <v>2811</v>
      </c>
      <c r="I6" s="21" t="str">
        <f t="shared" si="0"/>
        <v>0 years, 1 month(s), 29 day(s)</v>
      </c>
      <c r="J6" s="6">
        <v>44470</v>
      </c>
      <c r="K6" s="22" t="s">
        <v>2813</v>
      </c>
      <c r="L6" s="4"/>
    </row>
    <row r="7" spans="1:12" ht="12.75" hidden="1" customHeight="1" x14ac:dyDescent="0.2">
      <c r="A7" s="3">
        <v>121</v>
      </c>
      <c r="B7" s="3" t="s">
        <v>62</v>
      </c>
      <c r="C7" s="4" t="s">
        <v>2814</v>
      </c>
      <c r="D7" s="4" t="s">
        <v>2815</v>
      </c>
      <c r="E7" s="4" t="s">
        <v>2816</v>
      </c>
      <c r="F7" s="3"/>
      <c r="G7" s="20" t="s">
        <v>1888</v>
      </c>
      <c r="H7" s="10" t="s">
        <v>2817</v>
      </c>
      <c r="I7" s="21" t="str">
        <f t="shared" si="0"/>
        <v>0 years, 10 month(s), 12 day(s)</v>
      </c>
      <c r="J7" s="6">
        <v>44214</v>
      </c>
      <c r="K7" s="4" t="s">
        <v>2819</v>
      </c>
      <c r="L7" s="4"/>
    </row>
    <row r="8" spans="1:12" ht="12.75" hidden="1" customHeight="1" x14ac:dyDescent="0.2">
      <c r="A8" s="3">
        <v>122</v>
      </c>
      <c r="B8" s="3" t="s">
        <v>62</v>
      </c>
      <c r="C8" s="4" t="s">
        <v>1703</v>
      </c>
      <c r="D8" s="4" t="s">
        <v>1704</v>
      </c>
      <c r="E8" s="4" t="s">
        <v>1080</v>
      </c>
      <c r="F8" s="3"/>
      <c r="G8" s="20" t="s">
        <v>1888</v>
      </c>
      <c r="H8" s="10" t="s">
        <v>2817</v>
      </c>
      <c r="I8" s="21" t="str">
        <f t="shared" si="0"/>
        <v>0 years, 8 month(s), 12 day(s)</v>
      </c>
      <c r="J8" s="16">
        <v>44273</v>
      </c>
      <c r="K8" s="22" t="s">
        <v>2821</v>
      </c>
      <c r="L8" s="4"/>
    </row>
    <row r="9" spans="1:12" ht="12.75" hidden="1" customHeight="1" x14ac:dyDescent="0.2">
      <c r="A9" s="3">
        <v>132</v>
      </c>
      <c r="B9" s="3" t="s">
        <v>62</v>
      </c>
      <c r="C9" s="4" t="s">
        <v>2823</v>
      </c>
      <c r="D9" s="4" t="s">
        <v>2824</v>
      </c>
      <c r="E9" s="4" t="s">
        <v>2825</v>
      </c>
      <c r="F9" s="3"/>
      <c r="G9" s="20" t="s">
        <v>2826</v>
      </c>
      <c r="H9" s="10" t="s">
        <v>259</v>
      </c>
      <c r="I9" s="21" t="str">
        <f t="shared" si="0"/>
        <v>0 years, 9 month(s), 22 day(s)</v>
      </c>
      <c r="J9" s="6">
        <v>44235</v>
      </c>
      <c r="K9" s="22" t="s">
        <v>2827</v>
      </c>
      <c r="L9" s="4"/>
    </row>
    <row r="10" spans="1:12" ht="12.75" hidden="1" customHeight="1" x14ac:dyDescent="0.2">
      <c r="A10" s="3">
        <v>145</v>
      </c>
      <c r="B10" s="3" t="s">
        <v>62</v>
      </c>
      <c r="C10" s="4" t="s">
        <v>2828</v>
      </c>
      <c r="D10" s="4" t="s">
        <v>2829</v>
      </c>
      <c r="E10" s="4" t="s">
        <v>2830</v>
      </c>
      <c r="F10" s="3"/>
      <c r="G10" s="23" t="s">
        <v>2831</v>
      </c>
      <c r="H10" s="10" t="s">
        <v>2832</v>
      </c>
      <c r="I10" s="21" t="str">
        <f t="shared" si="0"/>
        <v>0 years, 9 month(s), 22 day(s)</v>
      </c>
      <c r="J10" s="13">
        <v>44235</v>
      </c>
      <c r="K10" s="22" t="s">
        <v>2833</v>
      </c>
      <c r="L10" s="4"/>
    </row>
    <row r="11" spans="1:12" ht="12.75" customHeight="1" x14ac:dyDescent="0.2">
      <c r="A11" s="3">
        <v>148</v>
      </c>
      <c r="B11" s="3" t="s">
        <v>62</v>
      </c>
      <c r="C11" s="4" t="s">
        <v>70</v>
      </c>
      <c r="D11" s="4" t="s">
        <v>257</v>
      </c>
      <c r="E11" s="4" t="s">
        <v>470</v>
      </c>
      <c r="F11" s="3" t="s">
        <v>1385</v>
      </c>
      <c r="G11" s="20" t="s">
        <v>2835</v>
      </c>
      <c r="H11" s="10" t="s">
        <v>259</v>
      </c>
      <c r="I11" s="21" t="str">
        <f t="shared" si="0"/>
        <v>2 years, 4 month(s), 29 day(s)</v>
      </c>
      <c r="J11" s="13">
        <v>43647</v>
      </c>
      <c r="K11" s="8" t="s">
        <v>2837</v>
      </c>
      <c r="L11" s="4"/>
    </row>
    <row r="12" spans="1:12" ht="12.75" hidden="1" customHeight="1" x14ac:dyDescent="0.2">
      <c r="A12" s="3">
        <v>155</v>
      </c>
      <c r="B12" s="3" t="s">
        <v>62</v>
      </c>
      <c r="C12" s="4" t="s">
        <v>1221</v>
      </c>
      <c r="D12" s="4" t="s">
        <v>1891</v>
      </c>
      <c r="E12" s="4" t="s">
        <v>1892</v>
      </c>
      <c r="F12" s="3"/>
      <c r="G12" s="20" t="s">
        <v>1109</v>
      </c>
      <c r="H12" s="10" t="s">
        <v>259</v>
      </c>
      <c r="I12" s="21" t="str">
        <f t="shared" si="0"/>
        <v>0 years, 10 month(s), 26 day(s)</v>
      </c>
      <c r="J12" s="6">
        <v>44200</v>
      </c>
      <c r="K12" s="4" t="s">
        <v>2838</v>
      </c>
      <c r="L12" s="4"/>
    </row>
    <row r="13" spans="1:12" ht="12.75" hidden="1" customHeight="1" x14ac:dyDescent="0.2">
      <c r="A13" s="3">
        <v>156</v>
      </c>
      <c r="B13" s="3" t="s">
        <v>62</v>
      </c>
      <c r="C13" s="22" t="s">
        <v>1895</v>
      </c>
      <c r="D13" s="22" t="s">
        <v>2839</v>
      </c>
      <c r="E13" s="22" t="s">
        <v>1897</v>
      </c>
      <c r="F13" s="7"/>
      <c r="G13" s="20" t="s">
        <v>592</v>
      </c>
      <c r="H13" s="10" t="s">
        <v>2750</v>
      </c>
      <c r="I13" s="21" t="str">
        <f t="shared" si="0"/>
        <v>0 years, 1 month(s), 29 day(s)</v>
      </c>
      <c r="J13" s="6">
        <v>44470</v>
      </c>
      <c r="K13" s="4" t="s">
        <v>2840</v>
      </c>
      <c r="L13" s="4"/>
    </row>
    <row r="14" spans="1:12" ht="12.75" hidden="1" customHeight="1" x14ac:dyDescent="0.2">
      <c r="A14" s="3">
        <v>161</v>
      </c>
      <c r="B14" s="3" t="s">
        <v>62</v>
      </c>
      <c r="C14" s="4" t="s">
        <v>251</v>
      </c>
      <c r="D14" s="4" t="s">
        <v>252</v>
      </c>
      <c r="E14" s="4" t="s">
        <v>253</v>
      </c>
      <c r="F14" s="3" t="s">
        <v>181</v>
      </c>
      <c r="G14" s="20" t="s">
        <v>2841</v>
      </c>
      <c r="H14" s="10" t="s">
        <v>259</v>
      </c>
      <c r="I14" s="21" t="str">
        <f t="shared" si="0"/>
        <v>0 years, 2 month(s), 23 day(s)</v>
      </c>
      <c r="J14" s="6">
        <v>44446</v>
      </c>
      <c r="K14" s="22" t="s">
        <v>2842</v>
      </c>
      <c r="L14" s="4"/>
    </row>
    <row r="15" spans="1:12" ht="12.75" hidden="1" customHeight="1" x14ac:dyDescent="0.2">
      <c r="A15" s="3">
        <v>162</v>
      </c>
      <c r="B15" s="3" t="s">
        <v>62</v>
      </c>
      <c r="C15" s="4" t="s">
        <v>2843</v>
      </c>
      <c r="D15" s="4" t="s">
        <v>1977</v>
      </c>
      <c r="E15" s="4" t="s">
        <v>2844</v>
      </c>
      <c r="F15" s="3"/>
      <c r="G15" s="23" t="s">
        <v>2845</v>
      </c>
      <c r="H15" s="10" t="s">
        <v>2846</v>
      </c>
      <c r="I15" s="21" t="str">
        <f t="shared" si="0"/>
        <v>0 years, 9 month(s), 22 day(s)</v>
      </c>
      <c r="J15" s="6">
        <v>44235</v>
      </c>
      <c r="K15" s="4" t="s">
        <v>2847</v>
      </c>
      <c r="L15" s="4"/>
    </row>
    <row r="16" spans="1:12" ht="12.75" hidden="1" customHeight="1" x14ac:dyDescent="0.2">
      <c r="A16" s="3">
        <v>165</v>
      </c>
      <c r="B16" s="3" t="s">
        <v>62</v>
      </c>
      <c r="C16" s="4" t="s">
        <v>2848</v>
      </c>
      <c r="D16" s="4" t="s">
        <v>2849</v>
      </c>
      <c r="E16" s="4" t="s">
        <v>1645</v>
      </c>
      <c r="F16" s="3" t="s">
        <v>181</v>
      </c>
      <c r="G16" s="20" t="s">
        <v>617</v>
      </c>
      <c r="H16" s="10" t="s">
        <v>2850</v>
      </c>
      <c r="I16" s="21" t="str">
        <f t="shared" si="0"/>
        <v>0 years, 1 month(s), 18 day(s)</v>
      </c>
      <c r="J16" s="6">
        <v>44481</v>
      </c>
      <c r="K16" s="4" t="s">
        <v>2851</v>
      </c>
      <c r="L16" s="4"/>
    </row>
    <row r="17" spans="1:12" ht="12.75" hidden="1" customHeight="1" x14ac:dyDescent="0.2">
      <c r="A17" s="3">
        <v>166</v>
      </c>
      <c r="B17" s="3" t="s">
        <v>62</v>
      </c>
      <c r="C17" s="4" t="s">
        <v>286</v>
      </c>
      <c r="D17" s="4" t="s">
        <v>153</v>
      </c>
      <c r="E17" s="4" t="s">
        <v>154</v>
      </c>
      <c r="F17" s="3"/>
      <c r="G17" s="20" t="s">
        <v>2852</v>
      </c>
      <c r="H17" s="10" t="s">
        <v>259</v>
      </c>
      <c r="I17" s="21" t="str">
        <f t="shared" si="0"/>
        <v>0 years, 1 month(s), 10 day(s)</v>
      </c>
      <c r="J17" s="6">
        <v>44489</v>
      </c>
      <c r="K17" s="22" t="s">
        <v>2853</v>
      </c>
      <c r="L17" s="4"/>
    </row>
    <row r="18" spans="1:12" ht="12.75" hidden="1" customHeight="1" x14ac:dyDescent="0.2">
      <c r="A18" s="3">
        <v>168</v>
      </c>
      <c r="B18" s="3" t="s">
        <v>62</v>
      </c>
      <c r="C18" s="4" t="s">
        <v>1673</v>
      </c>
      <c r="D18" s="4" t="s">
        <v>236</v>
      </c>
      <c r="E18" s="4" t="s">
        <v>2098</v>
      </c>
      <c r="F18" s="3"/>
      <c r="G18" s="23" t="s">
        <v>2854</v>
      </c>
      <c r="H18" s="10" t="s">
        <v>2846</v>
      </c>
      <c r="I18" s="21" t="str">
        <f t="shared" si="0"/>
        <v>0 years, 9 month(s), 22 day(s)</v>
      </c>
      <c r="J18" s="13">
        <v>44235</v>
      </c>
      <c r="K18" s="8" t="s">
        <v>2855</v>
      </c>
      <c r="L18" s="4"/>
    </row>
    <row r="19" spans="1:12" ht="12.75" hidden="1" customHeight="1" x14ac:dyDescent="0.2">
      <c r="A19" s="3">
        <v>172</v>
      </c>
      <c r="B19" s="3" t="s">
        <v>62</v>
      </c>
      <c r="C19" s="4" t="s">
        <v>640</v>
      </c>
      <c r="D19" s="4" t="s">
        <v>641</v>
      </c>
      <c r="E19" s="4" t="s">
        <v>642</v>
      </c>
      <c r="F19" s="3"/>
      <c r="G19" s="27" t="s">
        <v>2856</v>
      </c>
      <c r="H19" s="10" t="s">
        <v>259</v>
      </c>
      <c r="I19" s="21" t="str">
        <f t="shared" si="0"/>
        <v>0 years, 9 month(s), 22 day(s)</v>
      </c>
      <c r="J19" s="13">
        <v>44235</v>
      </c>
      <c r="K19" s="22" t="s">
        <v>2857</v>
      </c>
      <c r="L19" s="4"/>
    </row>
    <row r="20" spans="1:12" ht="12.75" hidden="1" customHeight="1" x14ac:dyDescent="0.2">
      <c r="A20" s="3">
        <v>173</v>
      </c>
      <c r="B20" s="3" t="s">
        <v>62</v>
      </c>
      <c r="C20" s="4" t="s">
        <v>2858</v>
      </c>
      <c r="D20" s="4" t="s">
        <v>2859</v>
      </c>
      <c r="E20" s="4" t="s">
        <v>2860</v>
      </c>
      <c r="F20" s="3"/>
      <c r="G20" s="20" t="s">
        <v>2778</v>
      </c>
      <c r="H20" s="10" t="s">
        <v>2669</v>
      </c>
      <c r="I20" s="21" t="str">
        <f t="shared" si="0"/>
        <v>0 years, 1 month(s), 18 day(s)</v>
      </c>
      <c r="J20" s="6">
        <v>44481</v>
      </c>
      <c r="K20" s="4" t="s">
        <v>2851</v>
      </c>
      <c r="L20" s="4"/>
    </row>
    <row r="21" spans="1:12" ht="12.75" hidden="1" customHeight="1" x14ac:dyDescent="0.2">
      <c r="A21" s="3">
        <v>184</v>
      </c>
      <c r="B21" s="3" t="s">
        <v>62</v>
      </c>
      <c r="C21" s="4" t="s">
        <v>1912</v>
      </c>
      <c r="D21" s="4" t="s">
        <v>1913</v>
      </c>
      <c r="E21" s="4" t="s">
        <v>1914</v>
      </c>
      <c r="F21" s="3"/>
      <c r="G21" s="20" t="s">
        <v>2861</v>
      </c>
      <c r="H21" s="10" t="s">
        <v>2862</v>
      </c>
      <c r="I21" s="21" t="str">
        <f t="shared" si="0"/>
        <v>0 years, 8 month(s), 29 day(s)</v>
      </c>
      <c r="J21" s="6">
        <v>44256</v>
      </c>
      <c r="K21" s="8" t="s">
        <v>2863</v>
      </c>
      <c r="L21" s="4"/>
    </row>
    <row r="22" spans="1:12" ht="12.75" hidden="1" customHeight="1" x14ac:dyDescent="0.2">
      <c r="A22" s="3">
        <v>187</v>
      </c>
      <c r="B22" s="3" t="s">
        <v>62</v>
      </c>
      <c r="C22" s="4" t="s">
        <v>2864</v>
      </c>
      <c r="D22" s="4" t="s">
        <v>2865</v>
      </c>
      <c r="E22" s="4" t="s">
        <v>2866</v>
      </c>
      <c r="F22" s="3"/>
      <c r="G22" s="20" t="s">
        <v>2456</v>
      </c>
      <c r="H22" s="10" t="s">
        <v>2846</v>
      </c>
      <c r="I22" s="21" t="str">
        <f t="shared" si="0"/>
        <v>0 years, 9 month(s), 22 day(s)</v>
      </c>
      <c r="J22" s="6">
        <v>44235</v>
      </c>
      <c r="K22" s="4" t="s">
        <v>2847</v>
      </c>
      <c r="L22" s="4"/>
    </row>
    <row r="23" spans="1:12" ht="12.75" hidden="1" customHeight="1" x14ac:dyDescent="0.2">
      <c r="A23" s="3">
        <v>188</v>
      </c>
      <c r="B23" s="3" t="s">
        <v>62</v>
      </c>
      <c r="C23" s="4" t="s">
        <v>2867</v>
      </c>
      <c r="D23" s="4" t="s">
        <v>2868</v>
      </c>
      <c r="E23" s="4" t="s">
        <v>2869</v>
      </c>
      <c r="F23" s="3"/>
      <c r="G23" s="20" t="s">
        <v>2870</v>
      </c>
      <c r="H23" s="10" t="s">
        <v>259</v>
      </c>
      <c r="I23" s="21" t="str">
        <f t="shared" si="0"/>
        <v>0 years, 9 month(s), 22 day(s)</v>
      </c>
      <c r="J23" s="6">
        <v>44235</v>
      </c>
      <c r="K23" s="22" t="s">
        <v>2871</v>
      </c>
      <c r="L23" s="4"/>
    </row>
    <row r="24" spans="1:12" ht="12.75" hidden="1" customHeight="1" x14ac:dyDescent="0.2">
      <c r="A24" s="3">
        <v>191</v>
      </c>
      <c r="B24" s="3" t="s">
        <v>62</v>
      </c>
      <c r="C24" s="4" t="s">
        <v>2867</v>
      </c>
      <c r="D24" s="4" t="s">
        <v>2872</v>
      </c>
      <c r="E24" s="4" t="s">
        <v>2873</v>
      </c>
      <c r="F24" s="3"/>
      <c r="G24" s="20" t="s">
        <v>2874</v>
      </c>
      <c r="H24" s="10" t="s">
        <v>2862</v>
      </c>
      <c r="I24" s="21" t="str">
        <f t="shared" si="0"/>
        <v>0 years, 3 month(s), 19 day(s)</v>
      </c>
      <c r="J24" s="6">
        <v>44419</v>
      </c>
      <c r="K24" s="4" t="s">
        <v>2875</v>
      </c>
      <c r="L24" s="4"/>
    </row>
    <row r="25" spans="1:12" ht="12.75" customHeight="1" x14ac:dyDescent="0.2">
      <c r="A25" s="3">
        <v>195</v>
      </c>
      <c r="B25" s="3" t="s">
        <v>62</v>
      </c>
      <c r="C25" s="5" t="s">
        <v>2050</v>
      </c>
      <c r="D25" s="5" t="s">
        <v>2051</v>
      </c>
      <c r="E25" s="5" t="s">
        <v>2052</v>
      </c>
      <c r="F25" s="3"/>
      <c r="G25" s="20" t="s">
        <v>2876</v>
      </c>
      <c r="H25" s="10" t="s">
        <v>259</v>
      </c>
      <c r="I25" s="21" t="str">
        <f t="shared" si="0"/>
        <v>1 years, 4 month(s), 6 day(s)</v>
      </c>
      <c r="J25" s="13">
        <v>44036</v>
      </c>
      <c r="K25" s="8" t="s">
        <v>2877</v>
      </c>
      <c r="L25" s="4"/>
    </row>
    <row r="26" spans="1:12" ht="12.75" hidden="1" customHeight="1" x14ac:dyDescent="0.2">
      <c r="A26" s="3">
        <v>196</v>
      </c>
      <c r="B26" s="3" t="s">
        <v>62</v>
      </c>
      <c r="C26" s="4" t="s">
        <v>2878</v>
      </c>
      <c r="D26" s="4" t="s">
        <v>854</v>
      </c>
      <c r="E26" s="4" t="s">
        <v>2879</v>
      </c>
      <c r="F26" s="3"/>
      <c r="G26" s="23" t="s">
        <v>2880</v>
      </c>
      <c r="H26" s="10" t="s">
        <v>259</v>
      </c>
      <c r="I26" s="21" t="str">
        <f t="shared" si="0"/>
        <v>0 years, 4 month(s), 25 day(s)</v>
      </c>
      <c r="J26" s="16">
        <v>44382</v>
      </c>
      <c r="K26" s="22" t="s">
        <v>2881</v>
      </c>
      <c r="L26" s="4"/>
    </row>
    <row r="27" spans="1:12" ht="12.75" hidden="1" customHeight="1" x14ac:dyDescent="0.2">
      <c r="A27" s="3">
        <v>200</v>
      </c>
      <c r="B27" s="3" t="s">
        <v>62</v>
      </c>
      <c r="C27" s="4" t="s">
        <v>199</v>
      </c>
      <c r="D27" s="4" t="s">
        <v>34</v>
      </c>
      <c r="E27" s="4" t="s">
        <v>2041</v>
      </c>
      <c r="F27" s="3"/>
      <c r="G27" s="20" t="s">
        <v>2882</v>
      </c>
      <c r="H27" s="10" t="s">
        <v>2832</v>
      </c>
      <c r="I27" s="21" t="str">
        <f t="shared" si="0"/>
        <v>0 years, 9 month(s), 22 day(s)</v>
      </c>
      <c r="J27" s="6">
        <v>44235</v>
      </c>
      <c r="K27" s="4" t="s">
        <v>2833</v>
      </c>
      <c r="L27" s="4"/>
    </row>
    <row r="28" spans="1:12" ht="12.75" hidden="1" customHeight="1" x14ac:dyDescent="0.2">
      <c r="A28" s="3">
        <v>207</v>
      </c>
      <c r="B28" s="3" t="s">
        <v>62</v>
      </c>
      <c r="C28" s="4" t="s">
        <v>2883</v>
      </c>
      <c r="D28" s="4" t="s">
        <v>2884</v>
      </c>
      <c r="E28" s="4" t="s">
        <v>2885</v>
      </c>
      <c r="F28" s="4"/>
      <c r="G28" s="20" t="s">
        <v>2886</v>
      </c>
      <c r="H28" s="10" t="s">
        <v>259</v>
      </c>
      <c r="I28" s="21" t="str">
        <f t="shared" si="0"/>
        <v>0 years, 9 month(s), 22 day(s)</v>
      </c>
      <c r="J28" s="6">
        <v>44235</v>
      </c>
      <c r="K28" s="4" t="s">
        <v>2887</v>
      </c>
      <c r="L28" s="4"/>
    </row>
    <row r="29" spans="1:12" ht="12.75" hidden="1" customHeight="1" x14ac:dyDescent="0.2">
      <c r="A29" s="3">
        <v>210</v>
      </c>
      <c r="B29" s="3" t="s">
        <v>62</v>
      </c>
      <c r="C29" s="15" t="s">
        <v>1319</v>
      </c>
      <c r="D29" s="15" t="s">
        <v>508</v>
      </c>
      <c r="E29" s="15" t="s">
        <v>1320</v>
      </c>
      <c r="F29" s="28"/>
      <c r="G29" s="23" t="s">
        <v>2888</v>
      </c>
      <c r="H29" s="10" t="s">
        <v>2889</v>
      </c>
      <c r="I29" s="21" t="str">
        <f t="shared" si="0"/>
        <v>0 years, 9 month(s), 22 day(s)</v>
      </c>
      <c r="J29" s="6">
        <v>44235</v>
      </c>
      <c r="K29" s="4" t="s">
        <v>2890</v>
      </c>
      <c r="L29" s="4"/>
    </row>
    <row r="30" spans="1:12" ht="12.75" hidden="1" customHeight="1" x14ac:dyDescent="0.2">
      <c r="A30" s="3">
        <v>212</v>
      </c>
      <c r="B30" s="3" t="s">
        <v>62</v>
      </c>
      <c r="C30" s="5" t="s">
        <v>1417</v>
      </c>
      <c r="D30" s="5" t="s">
        <v>1418</v>
      </c>
      <c r="E30" s="5" t="s">
        <v>1419</v>
      </c>
      <c r="F30" s="3"/>
      <c r="G30" s="23" t="s">
        <v>2891</v>
      </c>
      <c r="H30" s="10" t="s">
        <v>2832</v>
      </c>
      <c r="I30" s="21" t="str">
        <f t="shared" si="0"/>
        <v>0 years, 9 month(s), 22 day(s)</v>
      </c>
      <c r="J30" s="13">
        <v>44235</v>
      </c>
      <c r="K30" s="8" t="s">
        <v>2892</v>
      </c>
      <c r="L30" s="4"/>
    </row>
    <row r="31" spans="1:12" ht="12.75" hidden="1" customHeight="1" x14ac:dyDescent="0.2">
      <c r="A31" s="3">
        <v>215</v>
      </c>
      <c r="B31" s="3" t="s">
        <v>62</v>
      </c>
      <c r="C31" s="4" t="s">
        <v>238</v>
      </c>
      <c r="D31" s="4" t="s">
        <v>122</v>
      </c>
      <c r="E31" s="5" t="s">
        <v>123</v>
      </c>
      <c r="F31" s="3"/>
      <c r="G31" s="20" t="s">
        <v>1888</v>
      </c>
      <c r="H31" s="10" t="s">
        <v>259</v>
      </c>
      <c r="I31" s="21" t="str">
        <f t="shared" si="0"/>
        <v>0 years, 8 month(s), 12 day(s)</v>
      </c>
      <c r="J31" s="6">
        <v>44273</v>
      </c>
      <c r="K31" s="4" t="s">
        <v>2821</v>
      </c>
      <c r="L31" s="29"/>
    </row>
    <row r="32" spans="1:12" ht="12.75" hidden="1" customHeight="1" x14ac:dyDescent="0.2">
      <c r="A32" s="3">
        <v>219</v>
      </c>
      <c r="B32" s="3" t="s">
        <v>62</v>
      </c>
      <c r="C32" s="4" t="s">
        <v>2022</v>
      </c>
      <c r="D32" s="4" t="s">
        <v>2023</v>
      </c>
      <c r="E32" s="4" t="s">
        <v>2893</v>
      </c>
      <c r="F32" s="3"/>
      <c r="G32" s="20" t="s">
        <v>2894</v>
      </c>
      <c r="H32" s="10" t="s">
        <v>259</v>
      </c>
      <c r="I32" s="21" t="str">
        <f t="shared" si="0"/>
        <v>0 years, 9 month(s), 22 day(s)</v>
      </c>
      <c r="J32" s="6">
        <v>44235</v>
      </c>
      <c r="K32" s="8" t="s">
        <v>2887</v>
      </c>
      <c r="L32" s="4"/>
    </row>
    <row r="33" spans="1:12" ht="12.75" hidden="1" customHeight="1" x14ac:dyDescent="0.2">
      <c r="A33" s="3">
        <v>220</v>
      </c>
      <c r="B33" s="3" t="s">
        <v>62</v>
      </c>
      <c r="C33" s="4" t="s">
        <v>2177</v>
      </c>
      <c r="D33" s="4" t="s">
        <v>1237</v>
      </c>
      <c r="E33" s="4" t="s">
        <v>2179</v>
      </c>
      <c r="F33" s="3"/>
      <c r="G33" s="20" t="s">
        <v>2047</v>
      </c>
      <c r="H33" s="10" t="s">
        <v>2846</v>
      </c>
      <c r="I33" s="21" t="str">
        <f t="shared" si="0"/>
        <v>0 years, 9 month(s), 22 day(s)</v>
      </c>
      <c r="J33" s="13">
        <v>44235</v>
      </c>
      <c r="K33" s="4" t="s">
        <v>2847</v>
      </c>
      <c r="L33" s="4"/>
    </row>
    <row r="34" spans="1:12" ht="12.75" hidden="1" customHeight="1" x14ac:dyDescent="0.2">
      <c r="A34" s="3">
        <v>232</v>
      </c>
      <c r="B34" s="3" t="s">
        <v>62</v>
      </c>
      <c r="C34" s="4" t="s">
        <v>1592</v>
      </c>
      <c r="D34" s="4" t="s">
        <v>2031</v>
      </c>
      <c r="E34" s="4" t="s">
        <v>2032</v>
      </c>
      <c r="F34" s="3"/>
      <c r="G34" s="20" t="s">
        <v>2895</v>
      </c>
      <c r="H34" s="10" t="s">
        <v>2832</v>
      </c>
      <c r="I34" s="21" t="str">
        <f t="shared" si="0"/>
        <v>0 years, 9 month(s), 22 day(s)</v>
      </c>
      <c r="J34" s="13">
        <v>44235</v>
      </c>
      <c r="K34" s="4" t="s">
        <v>2833</v>
      </c>
      <c r="L34" s="4"/>
    </row>
    <row r="35" spans="1:12" ht="12.75" hidden="1" customHeight="1" x14ac:dyDescent="0.2">
      <c r="A35" s="3">
        <v>238</v>
      </c>
      <c r="B35" s="3" t="s">
        <v>62</v>
      </c>
      <c r="C35" s="4" t="s">
        <v>2169</v>
      </c>
      <c r="D35" s="4" t="s">
        <v>2170</v>
      </c>
      <c r="E35" s="4" t="s">
        <v>220</v>
      </c>
      <c r="F35" s="3"/>
      <c r="G35" s="20" t="s">
        <v>2896</v>
      </c>
      <c r="H35" s="10" t="s">
        <v>259</v>
      </c>
      <c r="I35" s="21" t="str">
        <f t="shared" si="0"/>
        <v>0 years, 4 month(s), 25 day(s)</v>
      </c>
      <c r="J35" s="16">
        <v>44382</v>
      </c>
      <c r="K35" s="22" t="s">
        <v>2881</v>
      </c>
      <c r="L35" s="4"/>
    </row>
    <row r="36" spans="1:12" ht="12.75" hidden="1" customHeight="1" x14ac:dyDescent="0.2">
      <c r="A36" s="3">
        <v>240</v>
      </c>
      <c r="B36" s="3" t="s">
        <v>62</v>
      </c>
      <c r="C36" s="4" t="s">
        <v>2897</v>
      </c>
      <c r="D36" s="4" t="s">
        <v>64</v>
      </c>
      <c r="E36" s="4" t="s">
        <v>404</v>
      </c>
      <c r="F36" s="3"/>
      <c r="G36" s="20" t="s">
        <v>2898</v>
      </c>
      <c r="H36" s="10" t="s">
        <v>259</v>
      </c>
      <c r="I36" s="21" t="str">
        <f t="shared" si="0"/>
        <v>0 years, 9 month(s), 22 day(s)</v>
      </c>
      <c r="J36" s="6">
        <v>44235</v>
      </c>
      <c r="K36" s="22" t="s">
        <v>2899</v>
      </c>
      <c r="L36" s="4"/>
    </row>
    <row r="37" spans="1:12" ht="12.75" hidden="1" customHeight="1" x14ac:dyDescent="0.2">
      <c r="A37" s="3">
        <v>241</v>
      </c>
      <c r="B37" s="3" t="s">
        <v>62</v>
      </c>
      <c r="C37" s="4" t="s">
        <v>707</v>
      </c>
      <c r="D37" s="4" t="s">
        <v>1925</v>
      </c>
      <c r="E37" s="4" t="s">
        <v>1323</v>
      </c>
      <c r="F37" s="3"/>
      <c r="G37" s="20" t="s">
        <v>2900</v>
      </c>
      <c r="H37" s="10" t="s">
        <v>2901</v>
      </c>
      <c r="I37" s="21" t="str">
        <f t="shared" si="0"/>
        <v>0 years, 9 month(s), 22 day(s)</v>
      </c>
      <c r="J37" s="6">
        <v>44235</v>
      </c>
      <c r="K37" s="8" t="s">
        <v>2902</v>
      </c>
      <c r="L37" s="4"/>
    </row>
    <row r="38" spans="1:12" ht="12.75" hidden="1" customHeight="1" x14ac:dyDescent="0.2">
      <c r="A38" s="3">
        <v>244</v>
      </c>
      <c r="B38" s="3" t="s">
        <v>62</v>
      </c>
      <c r="C38" s="4" t="s">
        <v>745</v>
      </c>
      <c r="D38" s="4" t="s">
        <v>746</v>
      </c>
      <c r="E38" s="4" t="s">
        <v>748</v>
      </c>
      <c r="F38" s="3"/>
      <c r="G38" s="20" t="s">
        <v>2454</v>
      </c>
      <c r="H38" s="10" t="s">
        <v>2846</v>
      </c>
      <c r="I38" s="21" t="str">
        <f t="shared" si="0"/>
        <v>0 years, 9 month(s), 22 day(s)</v>
      </c>
      <c r="J38" s="6">
        <v>44235</v>
      </c>
      <c r="K38" s="22" t="s">
        <v>2847</v>
      </c>
      <c r="L38" s="4"/>
    </row>
    <row r="39" spans="1:12" ht="12.75" hidden="1" customHeight="1" x14ac:dyDescent="0.2">
      <c r="A39" s="3">
        <v>247</v>
      </c>
      <c r="B39" s="3" t="s">
        <v>62</v>
      </c>
      <c r="C39" s="4" t="s">
        <v>1808</v>
      </c>
      <c r="D39" s="4" t="s">
        <v>1810</v>
      </c>
      <c r="E39" s="4" t="s">
        <v>1811</v>
      </c>
      <c r="F39" s="3"/>
      <c r="G39" s="20" t="s">
        <v>1489</v>
      </c>
      <c r="H39" s="10" t="s">
        <v>2903</v>
      </c>
      <c r="I39" s="21" t="str">
        <f t="shared" si="0"/>
        <v>0 years, 1 month(s), 18 day(s)</v>
      </c>
      <c r="J39" s="6">
        <v>44481</v>
      </c>
      <c r="K39" s="4" t="s">
        <v>2851</v>
      </c>
      <c r="L39" s="4"/>
    </row>
    <row r="40" spans="1:12" ht="12.75" hidden="1" customHeight="1" x14ac:dyDescent="0.2">
      <c r="A40" s="3">
        <v>248</v>
      </c>
      <c r="B40" s="3" t="s">
        <v>62</v>
      </c>
      <c r="C40" s="4" t="s">
        <v>2904</v>
      </c>
      <c r="D40" s="4" t="s">
        <v>2905</v>
      </c>
      <c r="E40" s="4" t="s">
        <v>2906</v>
      </c>
      <c r="F40" s="3"/>
      <c r="G40" s="20" t="s">
        <v>2907</v>
      </c>
      <c r="H40" s="10" t="s">
        <v>2846</v>
      </c>
      <c r="I40" s="21" t="str">
        <f t="shared" si="0"/>
        <v>0 years, 9 month(s), 22 day(s)</v>
      </c>
      <c r="J40" s="6">
        <v>44235</v>
      </c>
      <c r="K40" s="4" t="s">
        <v>2847</v>
      </c>
      <c r="L40" s="4"/>
    </row>
    <row r="41" spans="1:12" ht="12.75" hidden="1" customHeight="1" x14ac:dyDescent="0.2">
      <c r="A41" s="3">
        <v>250</v>
      </c>
      <c r="B41" s="3" t="s">
        <v>62</v>
      </c>
      <c r="C41" s="4" t="s">
        <v>2112</v>
      </c>
      <c r="D41" s="4" t="s">
        <v>588</v>
      </c>
      <c r="E41" s="4" t="s">
        <v>2113</v>
      </c>
      <c r="F41" s="3"/>
      <c r="G41" s="7" t="s">
        <v>2908</v>
      </c>
      <c r="H41" s="10" t="s">
        <v>2063</v>
      </c>
      <c r="I41" s="21" t="str">
        <f t="shared" si="0"/>
        <v>0 years, 9 month(s), 22 day(s)</v>
      </c>
      <c r="J41" s="6">
        <v>44235</v>
      </c>
      <c r="K41" s="22" t="s">
        <v>2909</v>
      </c>
      <c r="L41" s="4"/>
    </row>
    <row r="42" spans="1:12" ht="12.75" customHeight="1" x14ac:dyDescent="0.2">
      <c r="A42" s="3">
        <v>251</v>
      </c>
      <c r="B42" s="3" t="s">
        <v>318</v>
      </c>
      <c r="C42" s="4" t="s">
        <v>520</v>
      </c>
      <c r="D42" s="4" t="s">
        <v>521</v>
      </c>
      <c r="E42" s="4" t="s">
        <v>523</v>
      </c>
      <c r="F42" s="3" t="s">
        <v>181</v>
      </c>
      <c r="G42" s="20" t="s">
        <v>870</v>
      </c>
      <c r="H42" s="10" t="s">
        <v>259</v>
      </c>
      <c r="I42" s="21" t="str">
        <f t="shared" si="0"/>
        <v>3 years, 5 month(s), 19 day(s)</v>
      </c>
      <c r="J42" s="6">
        <v>43262</v>
      </c>
      <c r="K42" s="4" t="s">
        <v>2910</v>
      </c>
      <c r="L42" s="4"/>
    </row>
    <row r="43" spans="1:12" ht="12.75" hidden="1" customHeight="1" x14ac:dyDescent="0.2">
      <c r="A43" s="3">
        <v>252</v>
      </c>
      <c r="B43" s="3" t="s">
        <v>318</v>
      </c>
      <c r="C43" s="4" t="s">
        <v>2911</v>
      </c>
      <c r="D43" s="4" t="s">
        <v>2912</v>
      </c>
      <c r="E43" s="4" t="s">
        <v>2913</v>
      </c>
      <c r="F43" s="3"/>
      <c r="G43" s="23" t="s">
        <v>2914</v>
      </c>
      <c r="H43" s="10" t="s">
        <v>259</v>
      </c>
      <c r="I43" s="21" t="str">
        <f t="shared" si="0"/>
        <v>0 years, 10 month(s), 11 day(s)</v>
      </c>
      <c r="J43" s="16">
        <v>44215</v>
      </c>
      <c r="K43" s="22" t="s">
        <v>2915</v>
      </c>
      <c r="L43" s="4"/>
    </row>
    <row r="44" spans="1:12" ht="12.75" hidden="1" customHeight="1" x14ac:dyDescent="0.2">
      <c r="A44" s="3">
        <v>253</v>
      </c>
      <c r="B44" s="3" t="s">
        <v>318</v>
      </c>
      <c r="C44" s="4" t="s">
        <v>813</v>
      </c>
      <c r="D44" s="4" t="s">
        <v>815</v>
      </c>
      <c r="E44" s="4" t="s">
        <v>817</v>
      </c>
      <c r="F44" s="3"/>
      <c r="G44" s="23" t="s">
        <v>2916</v>
      </c>
      <c r="H44" s="10" t="s">
        <v>2832</v>
      </c>
      <c r="I44" s="21" t="str">
        <f t="shared" si="0"/>
        <v>0 years, 5 month(s), 16 day(s)</v>
      </c>
      <c r="J44" s="6">
        <v>44361</v>
      </c>
      <c r="K44" s="22" t="s">
        <v>2917</v>
      </c>
      <c r="L44" s="4"/>
    </row>
    <row r="45" spans="1:12" ht="12.75" hidden="1" customHeight="1" x14ac:dyDescent="0.2">
      <c r="A45" s="3">
        <v>256</v>
      </c>
      <c r="B45" s="3" t="s">
        <v>318</v>
      </c>
      <c r="C45" s="4" t="s">
        <v>2918</v>
      </c>
      <c r="D45" s="4" t="s">
        <v>2919</v>
      </c>
      <c r="E45" s="4" t="s">
        <v>2920</v>
      </c>
      <c r="F45" s="3"/>
      <c r="G45" s="20" t="s">
        <v>617</v>
      </c>
      <c r="H45" s="10" t="s">
        <v>2921</v>
      </c>
      <c r="I45" s="21" t="str">
        <f t="shared" si="0"/>
        <v>0 years, 9 month(s), 22 day(s)</v>
      </c>
      <c r="J45" s="16">
        <v>44235</v>
      </c>
      <c r="K45" s="22" t="s">
        <v>2922</v>
      </c>
      <c r="L45" s="4"/>
    </row>
    <row r="46" spans="1:12" ht="12.75" hidden="1" customHeight="1" x14ac:dyDescent="0.2">
      <c r="A46" s="3">
        <v>263</v>
      </c>
      <c r="B46" s="3" t="s">
        <v>318</v>
      </c>
      <c r="C46" s="4" t="s">
        <v>1408</v>
      </c>
      <c r="D46" s="4" t="s">
        <v>1409</v>
      </c>
      <c r="E46" s="4" t="s">
        <v>1410</v>
      </c>
      <c r="F46" s="3"/>
      <c r="G46" s="20" t="s">
        <v>372</v>
      </c>
      <c r="H46" s="10" t="s">
        <v>259</v>
      </c>
      <c r="I46" s="21" t="str">
        <f t="shared" si="0"/>
        <v>0 years, 6 month(s), 13 day(s)</v>
      </c>
      <c r="J46" s="6">
        <v>44333</v>
      </c>
      <c r="K46" s="8" t="s">
        <v>2923</v>
      </c>
      <c r="L46" s="4"/>
    </row>
    <row r="47" spans="1:12" ht="12.75" hidden="1" customHeight="1" x14ac:dyDescent="0.2">
      <c r="A47" s="3">
        <v>265</v>
      </c>
      <c r="B47" s="3" t="s">
        <v>318</v>
      </c>
      <c r="C47" s="4" t="s">
        <v>2060</v>
      </c>
      <c r="D47" s="4" t="s">
        <v>2061</v>
      </c>
      <c r="E47" s="4" t="s">
        <v>2062</v>
      </c>
      <c r="F47" s="3"/>
      <c r="G47" s="20" t="s">
        <v>2924</v>
      </c>
      <c r="H47" s="10" t="s">
        <v>2862</v>
      </c>
      <c r="I47" s="21" t="str">
        <f t="shared" si="0"/>
        <v>0 years, 8 month(s), 1 day(s)</v>
      </c>
      <c r="J47" s="13">
        <v>44284</v>
      </c>
      <c r="K47" s="22" t="s">
        <v>2925</v>
      </c>
      <c r="L47" s="4"/>
    </row>
    <row r="48" spans="1:12" ht="12.75" hidden="1" customHeight="1" x14ac:dyDescent="0.2">
      <c r="A48" s="3">
        <v>269</v>
      </c>
      <c r="B48" s="3" t="s">
        <v>318</v>
      </c>
      <c r="C48" s="4" t="s">
        <v>2079</v>
      </c>
      <c r="D48" s="4" t="s">
        <v>59</v>
      </c>
      <c r="E48" s="4" t="s">
        <v>2080</v>
      </c>
      <c r="F48" s="3"/>
      <c r="G48" s="23" t="s">
        <v>890</v>
      </c>
      <c r="H48" s="10" t="s">
        <v>259</v>
      </c>
      <c r="I48" s="21" t="str">
        <f t="shared" si="0"/>
        <v>0 years, 1 month(s), 10 day(s)</v>
      </c>
      <c r="J48" s="6">
        <v>44489</v>
      </c>
      <c r="K48" s="22" t="s">
        <v>2853</v>
      </c>
      <c r="L48" s="4"/>
    </row>
    <row r="49" spans="1:12" ht="12.75" hidden="1" customHeight="1" x14ac:dyDescent="0.2">
      <c r="A49" s="3">
        <v>273</v>
      </c>
      <c r="B49" s="3" t="s">
        <v>318</v>
      </c>
      <c r="C49" s="4" t="s">
        <v>2043</v>
      </c>
      <c r="D49" s="4" t="s">
        <v>2926</v>
      </c>
      <c r="E49" s="4" t="s">
        <v>2927</v>
      </c>
      <c r="F49" s="3"/>
      <c r="G49" s="27" t="s">
        <v>2928</v>
      </c>
      <c r="H49" s="10" t="s">
        <v>259</v>
      </c>
      <c r="I49" s="21" t="str">
        <f t="shared" si="0"/>
        <v>0 years, 9 month(s), 22 day(s)</v>
      </c>
      <c r="J49" s="16">
        <v>44235</v>
      </c>
      <c r="K49" s="22" t="s">
        <v>2929</v>
      </c>
      <c r="L49" s="4"/>
    </row>
    <row r="50" spans="1:12" ht="12.75" hidden="1" customHeight="1" x14ac:dyDescent="0.2">
      <c r="A50" s="3">
        <v>279</v>
      </c>
      <c r="B50" s="3" t="s">
        <v>318</v>
      </c>
      <c r="C50" s="4" t="s">
        <v>587</v>
      </c>
      <c r="D50" s="4" t="s">
        <v>588</v>
      </c>
      <c r="E50" s="4" t="s">
        <v>589</v>
      </c>
      <c r="F50" s="3"/>
      <c r="G50" s="20" t="s">
        <v>2930</v>
      </c>
      <c r="H50" s="10" t="s">
        <v>259</v>
      </c>
      <c r="I50" s="21" t="str">
        <f t="shared" si="0"/>
        <v>0 years, 1 month(s), 10 day(s)</v>
      </c>
      <c r="J50" s="16">
        <v>44489</v>
      </c>
      <c r="K50" s="22" t="s">
        <v>2931</v>
      </c>
      <c r="L50" s="4"/>
    </row>
    <row r="51" spans="1:12" ht="12.75" customHeight="1" x14ac:dyDescent="0.2">
      <c r="A51" s="3">
        <v>280</v>
      </c>
      <c r="B51" s="3" t="s">
        <v>318</v>
      </c>
      <c r="C51" s="4" t="s">
        <v>2076</v>
      </c>
      <c r="D51" s="4" t="s">
        <v>1944</v>
      </c>
      <c r="E51" s="4" t="s">
        <v>1945</v>
      </c>
      <c r="F51" s="3"/>
      <c r="G51" s="20" t="s">
        <v>1344</v>
      </c>
      <c r="H51" s="10" t="s">
        <v>259</v>
      </c>
      <c r="I51" s="21" t="str">
        <f t="shared" si="0"/>
        <v>3 years, 2 month(s), 18 day(s)</v>
      </c>
      <c r="J51" s="6">
        <v>43355</v>
      </c>
      <c r="K51" s="8" t="s">
        <v>2932</v>
      </c>
      <c r="L51" s="4"/>
    </row>
    <row r="52" spans="1:12" ht="12.75" customHeight="1" x14ac:dyDescent="0.2">
      <c r="A52" s="3">
        <v>282</v>
      </c>
      <c r="B52" s="3" t="s">
        <v>318</v>
      </c>
      <c r="C52" s="4" t="s">
        <v>2933</v>
      </c>
      <c r="D52" s="4" t="s">
        <v>1110</v>
      </c>
      <c r="E52" s="4" t="s">
        <v>2934</v>
      </c>
      <c r="F52" s="3" t="s">
        <v>502</v>
      </c>
      <c r="G52" s="3" t="s">
        <v>2935</v>
      </c>
      <c r="H52" s="10" t="s">
        <v>2936</v>
      </c>
      <c r="I52" s="21" t="str">
        <f t="shared" si="0"/>
        <v>1 years, 2 month(s), 15 day(s)</v>
      </c>
      <c r="J52" s="6">
        <v>44089</v>
      </c>
      <c r="K52" s="4" t="s">
        <v>2937</v>
      </c>
      <c r="L52" s="4"/>
    </row>
    <row r="53" spans="1:12" ht="12.75" hidden="1" customHeight="1" x14ac:dyDescent="0.2">
      <c r="A53" s="3">
        <v>283</v>
      </c>
      <c r="B53" s="3" t="s">
        <v>318</v>
      </c>
      <c r="C53" s="4" t="s">
        <v>1883</v>
      </c>
      <c r="D53" s="4" t="s">
        <v>1885</v>
      </c>
      <c r="E53" s="4" t="s">
        <v>1886</v>
      </c>
      <c r="F53" s="3"/>
      <c r="G53" s="20" t="s">
        <v>2017</v>
      </c>
      <c r="H53" s="10" t="s">
        <v>2817</v>
      </c>
      <c r="I53" s="21" t="str">
        <f t="shared" si="0"/>
        <v>0 years, 8 month(s), 29 day(s)</v>
      </c>
      <c r="J53" s="6">
        <v>44256</v>
      </c>
      <c r="K53" s="22" t="s">
        <v>2938</v>
      </c>
      <c r="L53" s="4"/>
    </row>
    <row r="54" spans="1:12" ht="12.75" customHeight="1" x14ac:dyDescent="0.2">
      <c r="A54" s="3">
        <v>294</v>
      </c>
      <c r="B54" s="3" t="s">
        <v>318</v>
      </c>
      <c r="C54" s="4" t="s">
        <v>1611</v>
      </c>
      <c r="D54" s="4" t="s">
        <v>1615</v>
      </c>
      <c r="E54" s="4" t="s">
        <v>1616</v>
      </c>
      <c r="F54" s="3"/>
      <c r="G54" s="20" t="s">
        <v>648</v>
      </c>
      <c r="H54" s="10" t="s">
        <v>259</v>
      </c>
      <c r="I54" s="21" t="str">
        <f t="shared" si="0"/>
        <v>3 years, 0 month(s), 15 day(s)</v>
      </c>
      <c r="J54" s="6">
        <v>43419</v>
      </c>
      <c r="K54" s="4" t="s">
        <v>2939</v>
      </c>
      <c r="L54" s="30"/>
    </row>
    <row r="55" spans="1:12" ht="12.75" customHeight="1" x14ac:dyDescent="0.2">
      <c r="A55" s="3">
        <v>296</v>
      </c>
      <c r="B55" s="3" t="s">
        <v>318</v>
      </c>
      <c r="C55" s="4" t="s">
        <v>2940</v>
      </c>
      <c r="D55" s="4" t="s">
        <v>2130</v>
      </c>
      <c r="E55" s="4" t="s">
        <v>2941</v>
      </c>
      <c r="F55" s="3"/>
      <c r="G55" s="20" t="s">
        <v>344</v>
      </c>
      <c r="H55" s="10" t="s">
        <v>259</v>
      </c>
      <c r="I55" s="21" t="str">
        <f t="shared" si="0"/>
        <v>3 years, 10 month(s), 7 day(s)</v>
      </c>
      <c r="J55" s="6">
        <v>43123</v>
      </c>
      <c r="K55" s="8" t="s">
        <v>2942</v>
      </c>
      <c r="L55" s="4"/>
    </row>
    <row r="56" spans="1:12" ht="12.75" customHeight="1" x14ac:dyDescent="0.2">
      <c r="A56" s="3">
        <v>300</v>
      </c>
      <c r="B56" s="3" t="s">
        <v>318</v>
      </c>
      <c r="C56" s="4" t="s">
        <v>2943</v>
      </c>
      <c r="D56" s="4" t="s">
        <v>2944</v>
      </c>
      <c r="E56" s="4" t="s">
        <v>2945</v>
      </c>
      <c r="F56" s="3"/>
      <c r="G56" s="20" t="s">
        <v>2946</v>
      </c>
      <c r="H56" s="10" t="s">
        <v>259</v>
      </c>
      <c r="I56" s="21" t="str">
        <f t="shared" si="0"/>
        <v>2 years, 0 month(s), 15 day(s)</v>
      </c>
      <c r="J56" s="6">
        <v>43784</v>
      </c>
      <c r="K56" s="4" t="s">
        <v>2947</v>
      </c>
      <c r="L56" s="4"/>
    </row>
    <row r="57" spans="1:12" ht="12.75" hidden="1" customHeight="1" x14ac:dyDescent="0.2">
      <c r="B57" s="2" t="s">
        <v>127</v>
      </c>
      <c r="C57" s="1" t="s">
        <v>1369</v>
      </c>
      <c r="D57" s="1" t="s">
        <v>733</v>
      </c>
      <c r="E57" s="1" t="s">
        <v>1370</v>
      </c>
      <c r="F57" s="2"/>
      <c r="G57" s="31" t="s">
        <v>487</v>
      </c>
      <c r="H57" s="32" t="s">
        <v>73</v>
      </c>
      <c r="I57" s="21" t="str">
        <f t="shared" si="0"/>
        <v>0 years, 2 month(s), 29 day(s)</v>
      </c>
      <c r="J57" s="33">
        <v>44440</v>
      </c>
      <c r="K57" s="1" t="s">
        <v>2948</v>
      </c>
      <c r="L57" s="1"/>
    </row>
    <row r="58" spans="1:12" ht="12.75" hidden="1" customHeight="1" x14ac:dyDescent="0.2">
      <c r="A58" s="3">
        <v>7</v>
      </c>
      <c r="B58" s="3" t="s">
        <v>127</v>
      </c>
      <c r="C58" s="4" t="s">
        <v>455</v>
      </c>
      <c r="D58" s="4" t="s">
        <v>2949</v>
      </c>
      <c r="E58" s="4" t="s">
        <v>707</v>
      </c>
      <c r="F58" s="3"/>
      <c r="G58" s="20" t="s">
        <v>2950</v>
      </c>
      <c r="H58" s="10" t="s">
        <v>2951</v>
      </c>
      <c r="I58" s="21" t="str">
        <f t="shared" si="0"/>
        <v>0 years, 7 month(s), 18 day(s)</v>
      </c>
      <c r="J58" s="13">
        <v>44298</v>
      </c>
      <c r="K58" s="22" t="s">
        <v>2952</v>
      </c>
      <c r="L58" s="4"/>
    </row>
    <row r="59" spans="1:12" ht="12.75" hidden="1" customHeight="1" x14ac:dyDescent="0.2">
      <c r="A59" s="3">
        <v>9</v>
      </c>
      <c r="B59" s="3" t="s">
        <v>127</v>
      </c>
      <c r="C59" s="4" t="s">
        <v>707</v>
      </c>
      <c r="D59" s="4" t="s">
        <v>2055</v>
      </c>
      <c r="E59" s="4" t="s">
        <v>1649</v>
      </c>
      <c r="F59" s="3"/>
      <c r="G59" s="20" t="s">
        <v>500</v>
      </c>
      <c r="H59" s="10" t="s">
        <v>259</v>
      </c>
      <c r="I59" s="21" t="str">
        <f t="shared" si="0"/>
        <v>0 years, 6 month(s), 6 day(s)</v>
      </c>
      <c r="J59" s="6">
        <v>44340</v>
      </c>
      <c r="K59" s="8" t="s">
        <v>2953</v>
      </c>
      <c r="L59" s="4"/>
    </row>
    <row r="60" spans="1:12" ht="12.75" hidden="1" customHeight="1" x14ac:dyDescent="0.2">
      <c r="A60" s="3">
        <v>12</v>
      </c>
      <c r="B60" s="3" t="s">
        <v>323</v>
      </c>
      <c r="C60" s="4" t="s">
        <v>386</v>
      </c>
      <c r="D60" s="4" t="s">
        <v>387</v>
      </c>
      <c r="E60" s="4" t="s">
        <v>388</v>
      </c>
      <c r="F60" s="3"/>
      <c r="G60" s="20" t="s">
        <v>380</v>
      </c>
      <c r="H60" s="10" t="s">
        <v>259</v>
      </c>
      <c r="I60" s="21" t="str">
        <f t="shared" si="0"/>
        <v>0 years, 8 month(s), 29 day(s)</v>
      </c>
      <c r="J60" s="6">
        <v>44256</v>
      </c>
      <c r="K60" s="4" t="s">
        <v>2954</v>
      </c>
      <c r="L60" s="29"/>
    </row>
    <row r="61" spans="1:12" ht="12.75" customHeight="1" x14ac:dyDescent="0.2">
      <c r="A61" s="3">
        <v>13</v>
      </c>
      <c r="B61" s="3" t="s">
        <v>323</v>
      </c>
      <c r="C61" s="4" t="s">
        <v>710</v>
      </c>
      <c r="D61" s="4" t="s">
        <v>711</v>
      </c>
      <c r="E61" s="4" t="s">
        <v>712</v>
      </c>
      <c r="F61" s="3"/>
      <c r="G61" s="20" t="s">
        <v>2955</v>
      </c>
      <c r="H61" s="10" t="s">
        <v>259</v>
      </c>
      <c r="I61" s="21" t="str">
        <f t="shared" si="0"/>
        <v>1 years, 10 month(s), 1 day(s)</v>
      </c>
      <c r="J61" s="6">
        <v>43859</v>
      </c>
      <c r="K61" s="4" t="s">
        <v>2956</v>
      </c>
      <c r="L61" s="29"/>
    </row>
    <row r="62" spans="1:12" ht="12.75" hidden="1" customHeight="1" x14ac:dyDescent="0.2">
      <c r="A62" s="3">
        <v>15</v>
      </c>
      <c r="B62" s="3" t="s">
        <v>323</v>
      </c>
      <c r="C62" s="4" t="s">
        <v>952</v>
      </c>
      <c r="D62" s="4" t="s">
        <v>2957</v>
      </c>
      <c r="E62" s="4" t="s">
        <v>954</v>
      </c>
      <c r="F62" s="3"/>
      <c r="G62" s="20" t="s">
        <v>2958</v>
      </c>
      <c r="H62" s="10" t="s">
        <v>259</v>
      </c>
      <c r="I62" s="21" t="str">
        <f t="shared" si="0"/>
        <v>0 years, 4 month(s), 18 day(s)</v>
      </c>
      <c r="J62" s="6">
        <v>44389</v>
      </c>
      <c r="K62" s="22" t="s">
        <v>2959</v>
      </c>
      <c r="L62" s="4"/>
    </row>
    <row r="63" spans="1:12" ht="12.75" customHeight="1" x14ac:dyDescent="0.2">
      <c r="A63" s="3">
        <v>16</v>
      </c>
      <c r="B63" s="3" t="s">
        <v>323</v>
      </c>
      <c r="C63" s="4" t="s">
        <v>1291</v>
      </c>
      <c r="D63" s="4" t="s">
        <v>1292</v>
      </c>
      <c r="E63" s="4" t="s">
        <v>1293</v>
      </c>
      <c r="F63" s="3"/>
      <c r="G63" s="20" t="s">
        <v>585</v>
      </c>
      <c r="H63" s="8" t="s">
        <v>2960</v>
      </c>
      <c r="I63" s="21" t="str">
        <f t="shared" si="0"/>
        <v>1 years, 10 month(s), 2 day(s)</v>
      </c>
      <c r="J63" s="6">
        <v>43858</v>
      </c>
      <c r="K63" s="4" t="s">
        <v>2961</v>
      </c>
      <c r="L63" s="29"/>
    </row>
    <row r="64" spans="1:12" ht="21.75" hidden="1" customHeight="1" x14ac:dyDescent="0.2">
      <c r="A64" s="3">
        <v>17</v>
      </c>
      <c r="B64" s="3" t="s">
        <v>323</v>
      </c>
      <c r="C64" s="4" t="s">
        <v>1236</v>
      </c>
      <c r="D64" s="4" t="s">
        <v>1237</v>
      </c>
      <c r="E64" s="4" t="s">
        <v>1239</v>
      </c>
      <c r="F64" s="3"/>
      <c r="G64" s="20" t="s">
        <v>951</v>
      </c>
      <c r="H64" s="10" t="s">
        <v>259</v>
      </c>
      <c r="I64" s="21" t="str">
        <f t="shared" si="0"/>
        <v>0 years, 7 month(s), 0 day(s)</v>
      </c>
      <c r="J64" s="6">
        <v>44316</v>
      </c>
      <c r="K64" s="22" t="s">
        <v>2962</v>
      </c>
      <c r="L64" s="29"/>
    </row>
    <row r="65" spans="1:12" ht="12.75" customHeight="1" x14ac:dyDescent="0.2">
      <c r="A65" s="3">
        <v>18</v>
      </c>
      <c r="B65" s="3" t="s">
        <v>323</v>
      </c>
      <c r="C65" s="4" t="s">
        <v>1380</v>
      </c>
      <c r="D65" s="4" t="s">
        <v>1381</v>
      </c>
      <c r="E65" s="4" t="s">
        <v>1383</v>
      </c>
      <c r="F65" s="3" t="s">
        <v>1385</v>
      </c>
      <c r="G65" s="20" t="s">
        <v>828</v>
      </c>
      <c r="H65" s="10" t="s">
        <v>333</v>
      </c>
      <c r="I65" s="21" t="str">
        <f t="shared" si="0"/>
        <v>1 years, 4 month(s), 27 day(s)</v>
      </c>
      <c r="J65" s="6">
        <v>44015</v>
      </c>
      <c r="K65" s="4" t="s">
        <v>2963</v>
      </c>
      <c r="L65" s="4"/>
    </row>
    <row r="66" spans="1:12" ht="12.75" customHeight="1" x14ac:dyDescent="0.2">
      <c r="A66" s="3">
        <v>20</v>
      </c>
      <c r="B66" s="3" t="s">
        <v>323</v>
      </c>
      <c r="C66" s="4" t="s">
        <v>1600</v>
      </c>
      <c r="D66" s="4" t="s">
        <v>1601</v>
      </c>
      <c r="E66" s="4" t="s">
        <v>1602</v>
      </c>
      <c r="F66" s="3"/>
      <c r="G66" s="20" t="s">
        <v>1558</v>
      </c>
      <c r="H66" s="10" t="s">
        <v>2489</v>
      </c>
      <c r="I66" s="21" t="str">
        <f t="shared" si="0"/>
        <v>1 years, 2 month(s), 2 day(s)</v>
      </c>
      <c r="J66" s="6">
        <v>44102</v>
      </c>
      <c r="K66" s="4" t="s">
        <v>2964</v>
      </c>
      <c r="L66" s="4"/>
    </row>
    <row r="67" spans="1:12" ht="12.75" customHeight="1" x14ac:dyDescent="0.2">
      <c r="A67" s="3">
        <v>21</v>
      </c>
      <c r="B67" s="3" t="s">
        <v>323</v>
      </c>
      <c r="C67" s="4" t="s">
        <v>1507</v>
      </c>
      <c r="D67" s="4" t="s">
        <v>634</v>
      </c>
      <c r="E67" s="4" t="s">
        <v>1508</v>
      </c>
      <c r="F67" s="3"/>
      <c r="G67" s="20" t="s">
        <v>1008</v>
      </c>
      <c r="H67" s="10" t="s">
        <v>259</v>
      </c>
      <c r="I67" s="21" t="str">
        <f t="shared" si="0"/>
        <v>1 years, 0 month(s), 14 day(s)</v>
      </c>
      <c r="J67" s="6">
        <v>44151</v>
      </c>
      <c r="K67" s="22" t="s">
        <v>2965</v>
      </c>
      <c r="L67" s="29"/>
    </row>
    <row r="68" spans="1:12" ht="12.75" hidden="1" customHeight="1" x14ac:dyDescent="0.2">
      <c r="A68" s="3">
        <v>22</v>
      </c>
      <c r="B68" s="3" t="s">
        <v>323</v>
      </c>
      <c r="C68" s="4" t="s">
        <v>1527</v>
      </c>
      <c r="D68" s="4" t="s">
        <v>1528</v>
      </c>
      <c r="E68" s="4" t="s">
        <v>1529</v>
      </c>
      <c r="F68" s="3"/>
      <c r="G68" s="20" t="s">
        <v>1676</v>
      </c>
      <c r="H68" s="10" t="s">
        <v>259</v>
      </c>
      <c r="I68" s="21" t="str">
        <f t="shared" si="0"/>
        <v>0 years, 5 month(s), 7 day(s)</v>
      </c>
      <c r="J68" s="6">
        <v>44370</v>
      </c>
      <c r="K68" s="4" t="s">
        <v>2966</v>
      </c>
      <c r="L68" s="29"/>
    </row>
    <row r="69" spans="1:12" ht="12.75" customHeight="1" x14ac:dyDescent="0.2">
      <c r="A69" s="3">
        <v>23</v>
      </c>
      <c r="B69" s="3" t="s">
        <v>323</v>
      </c>
      <c r="C69" s="4" t="s">
        <v>1568</v>
      </c>
      <c r="D69" s="4" t="s">
        <v>1569</v>
      </c>
      <c r="E69" s="4" t="s">
        <v>1570</v>
      </c>
      <c r="F69" s="3"/>
      <c r="G69" s="20" t="s">
        <v>402</v>
      </c>
      <c r="H69" s="10" t="s">
        <v>2489</v>
      </c>
      <c r="I69" s="21" t="str">
        <f t="shared" si="0"/>
        <v>1 years, 2 month(s), 2 day(s)</v>
      </c>
      <c r="J69" s="6">
        <v>44102</v>
      </c>
      <c r="K69" s="4" t="s">
        <v>2964</v>
      </c>
      <c r="L69" s="4"/>
    </row>
    <row r="70" spans="1:12" ht="12.75" hidden="1" customHeight="1" x14ac:dyDescent="0.2">
      <c r="A70" s="3">
        <v>37</v>
      </c>
      <c r="B70" s="3" t="s">
        <v>323</v>
      </c>
      <c r="C70" s="5" t="s">
        <v>1537</v>
      </c>
      <c r="D70" s="4" t="s">
        <v>1538</v>
      </c>
      <c r="E70" s="4" t="s">
        <v>1539</v>
      </c>
      <c r="F70" s="3"/>
      <c r="G70" s="20" t="s">
        <v>2967</v>
      </c>
      <c r="H70" s="8" t="s">
        <v>259</v>
      </c>
      <c r="I70" s="21" t="str">
        <f t="shared" si="0"/>
        <v>0 years, 5 month(s), 16 day(s)</v>
      </c>
      <c r="J70" s="6">
        <v>44361</v>
      </c>
      <c r="K70" s="4" t="s">
        <v>2968</v>
      </c>
      <c r="L70" s="4"/>
    </row>
    <row r="71" spans="1:12" ht="12.75" hidden="1" customHeight="1" x14ac:dyDescent="0.2">
      <c r="A71" s="3">
        <v>38</v>
      </c>
      <c r="B71" s="3" t="s">
        <v>323</v>
      </c>
      <c r="C71" s="4" t="s">
        <v>1571</v>
      </c>
      <c r="D71" s="4" t="s">
        <v>1065</v>
      </c>
      <c r="E71" s="4" t="s">
        <v>1573</v>
      </c>
      <c r="F71" s="3"/>
      <c r="G71" s="20" t="s">
        <v>2969</v>
      </c>
      <c r="H71" s="10" t="s">
        <v>259</v>
      </c>
      <c r="I71" s="21" t="str">
        <f t="shared" si="0"/>
        <v>0 years, 2 month(s), 29 day(s)</v>
      </c>
      <c r="J71" s="6">
        <v>44440</v>
      </c>
      <c r="K71" s="4" t="s">
        <v>2970</v>
      </c>
      <c r="L71" s="29"/>
    </row>
    <row r="72" spans="1:12" ht="12.75" customHeight="1" x14ac:dyDescent="0.2">
      <c r="A72" s="3">
        <v>42</v>
      </c>
      <c r="B72" s="3" t="s">
        <v>323</v>
      </c>
      <c r="C72" s="4" t="s">
        <v>1688</v>
      </c>
      <c r="D72" s="4" t="s">
        <v>1689</v>
      </c>
      <c r="E72" s="4" t="s">
        <v>1691</v>
      </c>
      <c r="F72" s="3"/>
      <c r="G72" s="20" t="s">
        <v>2971</v>
      </c>
      <c r="H72" s="10" t="s">
        <v>259</v>
      </c>
      <c r="I72" s="21" t="str">
        <f t="shared" si="0"/>
        <v>1 years, 10 month(s), 6 day(s)</v>
      </c>
      <c r="J72" s="6">
        <v>43854</v>
      </c>
      <c r="K72" s="22" t="s">
        <v>2972</v>
      </c>
      <c r="L72" s="29"/>
    </row>
    <row r="73" spans="1:12" ht="12.75" hidden="1" customHeight="1" x14ac:dyDescent="0.2">
      <c r="A73" s="3">
        <v>43</v>
      </c>
      <c r="B73" s="3" t="s">
        <v>323</v>
      </c>
      <c r="C73" s="4" t="s">
        <v>2108</v>
      </c>
      <c r="D73" s="4" t="s">
        <v>2110</v>
      </c>
      <c r="E73" s="4" t="s">
        <v>2111</v>
      </c>
      <c r="F73" s="3"/>
      <c r="G73" s="20" t="s">
        <v>2973</v>
      </c>
      <c r="H73" s="10" t="s">
        <v>259</v>
      </c>
      <c r="I73" s="21" t="str">
        <f t="shared" si="0"/>
        <v>0 years, 4 month(s), 4 day(s)</v>
      </c>
      <c r="J73" s="6">
        <v>44403</v>
      </c>
      <c r="K73" s="4" t="s">
        <v>2974</v>
      </c>
      <c r="L73" s="4"/>
    </row>
    <row r="74" spans="1:12" ht="12.75" hidden="1" customHeight="1" x14ac:dyDescent="0.2">
      <c r="A74" s="3">
        <v>46</v>
      </c>
      <c r="B74" s="3" t="s">
        <v>323</v>
      </c>
      <c r="C74" s="4" t="s">
        <v>449</v>
      </c>
      <c r="D74" s="4" t="s">
        <v>2975</v>
      </c>
      <c r="E74" s="4" t="s">
        <v>2976</v>
      </c>
      <c r="F74" s="3"/>
      <c r="G74" s="20" t="s">
        <v>417</v>
      </c>
      <c r="H74" s="10" t="s">
        <v>259</v>
      </c>
      <c r="I74" s="21" t="str">
        <f t="shared" si="0"/>
        <v>0 years, 9 month(s), 22 day(s)</v>
      </c>
      <c r="J74" s="6">
        <v>44235</v>
      </c>
      <c r="K74" s="4" t="s">
        <v>2922</v>
      </c>
      <c r="L74" s="29"/>
    </row>
    <row r="75" spans="1:12" ht="12.75" customHeight="1" x14ac:dyDescent="0.2">
      <c r="A75" s="3">
        <v>47</v>
      </c>
      <c r="B75" s="3" t="s">
        <v>323</v>
      </c>
      <c r="C75" s="4" t="s">
        <v>449</v>
      </c>
      <c r="D75" s="4" t="s">
        <v>1929</v>
      </c>
      <c r="E75" s="4" t="s">
        <v>1930</v>
      </c>
      <c r="F75" s="3"/>
      <c r="G75" s="3" t="s">
        <v>2977</v>
      </c>
      <c r="H75" s="4" t="s">
        <v>2836</v>
      </c>
      <c r="I75" s="21" t="str">
        <f t="shared" si="0"/>
        <v>1 years, 8 month(s), 25 day(s)</v>
      </c>
      <c r="J75" s="6">
        <v>43895</v>
      </c>
      <c r="K75" s="4" t="s">
        <v>2978</v>
      </c>
      <c r="L75" s="29"/>
    </row>
    <row r="76" spans="1:12" ht="12.75" customHeight="1" x14ac:dyDescent="0.2">
      <c r="A76" s="3">
        <v>48</v>
      </c>
      <c r="B76" s="3" t="s">
        <v>323</v>
      </c>
      <c r="C76" s="4" t="s">
        <v>404</v>
      </c>
      <c r="D76" s="4" t="s">
        <v>405</v>
      </c>
      <c r="E76" s="4" t="s">
        <v>406</v>
      </c>
      <c r="F76" s="3"/>
      <c r="G76" s="20" t="s">
        <v>585</v>
      </c>
      <c r="H76" s="10" t="s">
        <v>2979</v>
      </c>
      <c r="I76" s="21" t="str">
        <f t="shared" si="0"/>
        <v>1 years, 0 month(s), 27 day(s)</v>
      </c>
      <c r="J76" s="6">
        <v>44138</v>
      </c>
      <c r="K76" s="4" t="s">
        <v>2980</v>
      </c>
      <c r="L76" s="29"/>
    </row>
    <row r="77" spans="1:12" ht="12.75" hidden="1" customHeight="1" x14ac:dyDescent="0.2">
      <c r="A77" s="3">
        <v>49</v>
      </c>
      <c r="B77" s="3" t="s">
        <v>323</v>
      </c>
      <c r="C77" s="4" t="s">
        <v>412</v>
      </c>
      <c r="D77" s="4" t="s">
        <v>413</v>
      </c>
      <c r="E77" s="4" t="s">
        <v>414</v>
      </c>
      <c r="F77" s="3"/>
      <c r="G77" s="20" t="s">
        <v>402</v>
      </c>
      <c r="H77" s="10" t="s">
        <v>259</v>
      </c>
      <c r="I77" s="21" t="str">
        <f t="shared" si="0"/>
        <v>0 years, 10 month(s), 12 day(s)</v>
      </c>
      <c r="J77" s="6">
        <v>44214</v>
      </c>
      <c r="K77" s="4" t="s">
        <v>415</v>
      </c>
      <c r="L77" s="29"/>
    </row>
    <row r="78" spans="1:12" ht="12.75" hidden="1" customHeight="1" x14ac:dyDescent="0.2">
      <c r="A78" s="3">
        <v>53</v>
      </c>
      <c r="B78" s="3" t="s">
        <v>323</v>
      </c>
      <c r="C78" s="4" t="s">
        <v>653</v>
      </c>
      <c r="D78" s="4" t="s">
        <v>654</v>
      </c>
      <c r="E78" s="4" t="s">
        <v>655</v>
      </c>
      <c r="F78" s="3"/>
      <c r="G78" s="20" t="s">
        <v>793</v>
      </c>
      <c r="H78" s="8" t="s">
        <v>259</v>
      </c>
      <c r="I78" s="21" t="str">
        <f t="shared" si="0"/>
        <v>0 years, 8 month(s), 2 day(s)</v>
      </c>
      <c r="J78" s="6">
        <v>44283</v>
      </c>
      <c r="K78" s="4" t="s">
        <v>2981</v>
      </c>
      <c r="L78" s="29"/>
    </row>
    <row r="79" spans="1:12" ht="12.75" hidden="1" customHeight="1" x14ac:dyDescent="0.2">
      <c r="A79" s="3">
        <v>54</v>
      </c>
      <c r="B79" s="3" t="s">
        <v>323</v>
      </c>
      <c r="C79" s="4" t="s">
        <v>982</v>
      </c>
      <c r="D79" s="4" t="s">
        <v>983</v>
      </c>
      <c r="E79" s="4" t="s">
        <v>984</v>
      </c>
      <c r="F79" s="4"/>
      <c r="G79" s="20" t="s">
        <v>592</v>
      </c>
      <c r="H79" s="10" t="s">
        <v>2982</v>
      </c>
      <c r="I79" s="21" t="str">
        <f t="shared" si="0"/>
        <v>0 years, 4 month(s), 14 day(s)</v>
      </c>
      <c r="J79" s="13">
        <v>44393</v>
      </c>
      <c r="K79" s="22" t="s">
        <v>1506</v>
      </c>
      <c r="L79" s="29"/>
    </row>
    <row r="80" spans="1:12" ht="12.75" hidden="1" customHeight="1" x14ac:dyDescent="0.2">
      <c r="A80" s="3">
        <v>60</v>
      </c>
      <c r="B80" s="3" t="s">
        <v>323</v>
      </c>
      <c r="C80" s="4" t="s">
        <v>1423</v>
      </c>
      <c r="D80" s="4" t="s">
        <v>1425</v>
      </c>
      <c r="E80" s="4" t="s">
        <v>1427</v>
      </c>
      <c r="F80" s="3"/>
      <c r="G80" s="20" t="s">
        <v>2983</v>
      </c>
      <c r="H80" s="10" t="s">
        <v>259</v>
      </c>
      <c r="I80" s="21" t="str">
        <f t="shared" si="0"/>
        <v>0 years, 5 month(s), 16 day(s)</v>
      </c>
      <c r="J80" s="16">
        <v>44361</v>
      </c>
      <c r="K80" s="22" t="s">
        <v>2968</v>
      </c>
      <c r="L80" s="29"/>
    </row>
    <row r="81" spans="1:12" ht="12.75" customHeight="1" x14ac:dyDescent="0.2">
      <c r="A81" s="3">
        <v>61</v>
      </c>
      <c r="B81" s="3" t="s">
        <v>323</v>
      </c>
      <c r="C81" s="4" t="s">
        <v>2984</v>
      </c>
      <c r="D81" s="4" t="s">
        <v>2985</v>
      </c>
      <c r="E81" s="4" t="s">
        <v>2986</v>
      </c>
      <c r="F81" s="3"/>
      <c r="G81" s="20" t="s">
        <v>1637</v>
      </c>
      <c r="H81" s="8" t="s">
        <v>2489</v>
      </c>
      <c r="I81" s="21" t="str">
        <f t="shared" si="0"/>
        <v>1 years, 0 month(s), 14 day(s)</v>
      </c>
      <c r="J81" s="6">
        <v>44151</v>
      </c>
      <c r="K81" s="22" t="s">
        <v>2965</v>
      </c>
      <c r="L81" s="4"/>
    </row>
    <row r="82" spans="1:12" ht="12.75" customHeight="1" x14ac:dyDescent="0.2">
      <c r="A82" s="3">
        <v>62</v>
      </c>
      <c r="B82" s="3" t="s">
        <v>323</v>
      </c>
      <c r="C82" s="5" t="s">
        <v>1657</v>
      </c>
      <c r="D82" s="5" t="s">
        <v>1659</v>
      </c>
      <c r="E82" s="5" t="s">
        <v>707</v>
      </c>
      <c r="F82" s="3" t="s">
        <v>1385</v>
      </c>
      <c r="G82" s="3" t="s">
        <v>1485</v>
      </c>
      <c r="H82" s="10" t="s">
        <v>259</v>
      </c>
      <c r="I82" s="21" t="str">
        <f t="shared" si="0"/>
        <v>1 years, 1 month(s), 25 day(s)</v>
      </c>
      <c r="J82" s="6">
        <v>44109</v>
      </c>
      <c r="K82" s="4" t="s">
        <v>2987</v>
      </c>
      <c r="L82" s="4"/>
    </row>
    <row r="83" spans="1:12" ht="12.75" customHeight="1" x14ac:dyDescent="0.2">
      <c r="A83" s="3">
        <v>64</v>
      </c>
      <c r="B83" s="3" t="s">
        <v>323</v>
      </c>
      <c r="C83" s="4" t="s">
        <v>501</v>
      </c>
      <c r="D83" s="4" t="s">
        <v>2988</v>
      </c>
      <c r="E83" s="4" t="s">
        <v>404</v>
      </c>
      <c r="F83" s="3" t="s">
        <v>502</v>
      </c>
      <c r="G83" s="20" t="s">
        <v>2989</v>
      </c>
      <c r="H83" s="10" t="s">
        <v>259</v>
      </c>
      <c r="I83" s="21" t="str">
        <f t="shared" si="0"/>
        <v>1 years, 1 month(s), 24 day(s)</v>
      </c>
      <c r="J83" s="6">
        <v>44110</v>
      </c>
      <c r="K83" s="22" t="s">
        <v>2990</v>
      </c>
      <c r="L83" s="29"/>
    </row>
    <row r="84" spans="1:12" ht="12.75" customHeight="1" x14ac:dyDescent="0.2">
      <c r="A84" s="3">
        <v>71</v>
      </c>
      <c r="B84" s="3" t="s">
        <v>323</v>
      </c>
      <c r="C84" s="4" t="s">
        <v>620</v>
      </c>
      <c r="D84" s="4" t="s">
        <v>622</v>
      </c>
      <c r="E84" s="4" t="s">
        <v>623</v>
      </c>
      <c r="F84" s="3"/>
      <c r="G84" s="20" t="s">
        <v>585</v>
      </c>
      <c r="H84" s="10" t="s">
        <v>2979</v>
      </c>
      <c r="I84" s="21" t="str">
        <f t="shared" si="0"/>
        <v>1 years, 0 month(s), 27 day(s)</v>
      </c>
      <c r="J84" s="6">
        <v>44138</v>
      </c>
      <c r="K84" s="4" t="s">
        <v>2980</v>
      </c>
      <c r="L84" s="4"/>
    </row>
    <row r="85" spans="1:12" ht="12.75" hidden="1" customHeight="1" x14ac:dyDescent="0.2">
      <c r="A85" s="3">
        <v>72</v>
      </c>
      <c r="B85" s="3" t="s">
        <v>323</v>
      </c>
      <c r="C85" s="4" t="s">
        <v>1389</v>
      </c>
      <c r="D85" s="4" t="s">
        <v>2991</v>
      </c>
      <c r="E85" s="4" t="s">
        <v>1395</v>
      </c>
      <c r="F85" s="3"/>
      <c r="G85" s="3" t="s">
        <v>2992</v>
      </c>
      <c r="H85" s="10" t="s">
        <v>2993</v>
      </c>
      <c r="I85" s="21" t="str">
        <f t="shared" si="0"/>
        <v>0 years, 9 month(s), 28 day(s)</v>
      </c>
      <c r="J85" s="16">
        <v>44229</v>
      </c>
      <c r="K85" s="22" t="s">
        <v>2994</v>
      </c>
      <c r="L85" s="4"/>
    </row>
    <row r="86" spans="1:12" ht="12.75" customHeight="1" x14ac:dyDescent="0.2">
      <c r="A86" s="3">
        <v>76</v>
      </c>
      <c r="B86" s="3" t="s">
        <v>323</v>
      </c>
      <c r="C86" s="4" t="s">
        <v>461</v>
      </c>
      <c r="D86" s="4" t="s">
        <v>462</v>
      </c>
      <c r="E86" s="4" t="s">
        <v>463</v>
      </c>
      <c r="F86" s="3"/>
      <c r="G86" s="3" t="s">
        <v>390</v>
      </c>
      <c r="H86" s="10" t="s">
        <v>259</v>
      </c>
      <c r="I86" s="21" t="str">
        <f t="shared" si="0"/>
        <v>1 years, 2 month(s), 2 day(s)</v>
      </c>
      <c r="J86" s="6">
        <v>44102</v>
      </c>
      <c r="K86" s="4" t="s">
        <v>2995</v>
      </c>
      <c r="L86" s="4"/>
    </row>
    <row r="87" spans="1:12" ht="12.75" customHeight="1" x14ac:dyDescent="0.2">
      <c r="A87" s="3">
        <v>77</v>
      </c>
      <c r="B87" s="3" t="s">
        <v>323</v>
      </c>
      <c r="C87" s="4" t="s">
        <v>423</v>
      </c>
      <c r="D87" s="4" t="s">
        <v>236</v>
      </c>
      <c r="E87" s="4" t="s">
        <v>424</v>
      </c>
      <c r="F87" s="3"/>
      <c r="G87" s="3" t="s">
        <v>1288</v>
      </c>
      <c r="H87" s="10" t="s">
        <v>259</v>
      </c>
      <c r="I87" s="21" t="str">
        <f t="shared" si="0"/>
        <v>1 years, 2 month(s), 2 day(s)</v>
      </c>
      <c r="J87" s="6">
        <v>44102</v>
      </c>
      <c r="K87" s="4" t="s">
        <v>2996</v>
      </c>
      <c r="L87" s="29"/>
    </row>
    <row r="88" spans="1:12" ht="12.75" customHeight="1" x14ac:dyDescent="0.2">
      <c r="A88" s="3">
        <v>84</v>
      </c>
      <c r="B88" s="3" t="s">
        <v>323</v>
      </c>
      <c r="C88" s="4" t="s">
        <v>703</v>
      </c>
      <c r="D88" s="4" t="s">
        <v>704</v>
      </c>
      <c r="E88" s="4" t="s">
        <v>705</v>
      </c>
      <c r="F88" s="3" t="s">
        <v>181</v>
      </c>
      <c r="G88" s="20" t="s">
        <v>487</v>
      </c>
      <c r="H88" s="10" t="s">
        <v>73</v>
      </c>
      <c r="I88" s="21" t="str">
        <f t="shared" si="0"/>
        <v>1 years, 1 month(s), 25 day(s)</v>
      </c>
      <c r="J88" s="6">
        <v>44109</v>
      </c>
      <c r="K88" s="4" t="s">
        <v>2987</v>
      </c>
      <c r="L88" s="29"/>
    </row>
    <row r="89" spans="1:12" ht="12.75" customHeight="1" x14ac:dyDescent="0.2">
      <c r="A89" s="3">
        <v>85</v>
      </c>
      <c r="B89" s="3" t="s">
        <v>323</v>
      </c>
      <c r="C89" s="4" t="s">
        <v>1211</v>
      </c>
      <c r="D89" s="4" t="s">
        <v>1212</v>
      </c>
      <c r="E89" s="5" t="s">
        <v>1213</v>
      </c>
      <c r="F89" s="3"/>
      <c r="G89" s="20" t="s">
        <v>660</v>
      </c>
      <c r="H89" s="10" t="s">
        <v>259</v>
      </c>
      <c r="I89" s="21" t="str">
        <f t="shared" si="0"/>
        <v>1 years, 10 month(s), 1 day(s)</v>
      </c>
      <c r="J89" s="6">
        <v>43859</v>
      </c>
      <c r="K89" s="4" t="s">
        <v>2956</v>
      </c>
      <c r="L89" s="29"/>
    </row>
    <row r="90" spans="1:12" ht="12.75" customHeight="1" x14ac:dyDescent="0.2">
      <c r="A90" s="3">
        <v>86</v>
      </c>
      <c r="B90" s="3" t="s">
        <v>323</v>
      </c>
      <c r="C90" s="4" t="s">
        <v>2997</v>
      </c>
      <c r="D90" s="4" t="s">
        <v>2998</v>
      </c>
      <c r="E90" s="4" t="s">
        <v>2999</v>
      </c>
      <c r="F90" s="3"/>
      <c r="G90" s="20" t="s">
        <v>1333</v>
      </c>
      <c r="H90" s="10" t="s">
        <v>259</v>
      </c>
      <c r="I90" s="21" t="str">
        <f t="shared" si="0"/>
        <v>1 years, 10 month(s), 1 day(s)</v>
      </c>
      <c r="J90" s="6">
        <v>43859</v>
      </c>
      <c r="K90" s="22" t="s">
        <v>2956</v>
      </c>
      <c r="L90" s="29"/>
    </row>
    <row r="91" spans="1:12" ht="12.75" hidden="1" customHeight="1" x14ac:dyDescent="0.2">
      <c r="A91" s="3">
        <v>88</v>
      </c>
      <c r="B91" s="3" t="s">
        <v>323</v>
      </c>
      <c r="C91" s="4" t="s">
        <v>548</v>
      </c>
      <c r="D91" s="4" t="s">
        <v>550</v>
      </c>
      <c r="E91" s="4" t="s">
        <v>552</v>
      </c>
      <c r="F91" s="3"/>
      <c r="G91" s="20" t="s">
        <v>3000</v>
      </c>
      <c r="H91" s="10" t="s">
        <v>3001</v>
      </c>
      <c r="I91" s="21" t="str">
        <f t="shared" si="0"/>
        <v>0 years, 4 month(s), 4 day(s)</v>
      </c>
      <c r="J91" s="6">
        <v>44403</v>
      </c>
      <c r="K91" s="22" t="s">
        <v>3002</v>
      </c>
      <c r="L91" s="34"/>
    </row>
    <row r="92" spans="1:12" ht="12.75" customHeight="1" x14ac:dyDescent="0.2">
      <c r="A92" s="3">
        <v>89</v>
      </c>
      <c r="B92" s="3" t="s">
        <v>323</v>
      </c>
      <c r="C92" s="4" t="s">
        <v>87</v>
      </c>
      <c r="D92" s="4" t="s">
        <v>366</v>
      </c>
      <c r="E92" s="4" t="s">
        <v>367</v>
      </c>
      <c r="F92" s="3"/>
      <c r="G92" s="20" t="s">
        <v>250</v>
      </c>
      <c r="H92" s="8" t="s">
        <v>3003</v>
      </c>
      <c r="I92" s="21" t="str">
        <f t="shared" si="0"/>
        <v>1 years, 2 month(s), 2 day(s)</v>
      </c>
      <c r="J92" s="6">
        <v>44102</v>
      </c>
      <c r="K92" s="4" t="s">
        <v>2996</v>
      </c>
      <c r="L92" s="4"/>
    </row>
    <row r="93" spans="1:12" ht="12.75" hidden="1" customHeight="1" x14ac:dyDescent="0.2">
      <c r="A93" s="3">
        <v>90</v>
      </c>
      <c r="B93" s="3" t="s">
        <v>323</v>
      </c>
      <c r="C93" s="5" t="s">
        <v>567</v>
      </c>
      <c r="D93" s="11" t="s">
        <v>3004</v>
      </c>
      <c r="E93" s="5" t="s">
        <v>570</v>
      </c>
      <c r="F93" s="3"/>
      <c r="G93" s="20" t="s">
        <v>535</v>
      </c>
      <c r="H93" s="10" t="s">
        <v>259</v>
      </c>
      <c r="I93" s="21" t="str">
        <f t="shared" si="0"/>
        <v>0 years, 3 month(s), 28 day(s)</v>
      </c>
      <c r="J93" s="6">
        <v>44410</v>
      </c>
      <c r="K93" s="4" t="s">
        <v>3005</v>
      </c>
      <c r="L93" s="4"/>
    </row>
    <row r="94" spans="1:12" ht="12.75" customHeight="1" x14ac:dyDescent="0.2">
      <c r="A94" s="3">
        <v>92</v>
      </c>
      <c r="B94" s="3" t="s">
        <v>323</v>
      </c>
      <c r="C94" s="4" t="s">
        <v>324</v>
      </c>
      <c r="D94" s="4" t="s">
        <v>326</v>
      </c>
      <c r="E94" s="4" t="s">
        <v>328</v>
      </c>
      <c r="F94" s="3"/>
      <c r="G94" s="20" t="s">
        <v>2778</v>
      </c>
      <c r="H94" s="8" t="s">
        <v>3003</v>
      </c>
      <c r="I94" s="21" t="str">
        <f t="shared" si="0"/>
        <v>1 years, 2 month(s), 2 day(s)</v>
      </c>
      <c r="J94" s="6">
        <v>44102</v>
      </c>
      <c r="K94" s="4" t="s">
        <v>2996</v>
      </c>
      <c r="L94" s="4"/>
    </row>
    <row r="95" spans="1:12" ht="12.75" customHeight="1" x14ac:dyDescent="0.2">
      <c r="A95" s="3">
        <v>96</v>
      </c>
      <c r="B95" s="3" t="s">
        <v>323</v>
      </c>
      <c r="C95" s="4" t="s">
        <v>469</v>
      </c>
      <c r="D95" s="4" t="s">
        <v>64</v>
      </c>
      <c r="E95" s="4" t="s">
        <v>470</v>
      </c>
      <c r="F95" s="3"/>
      <c r="G95" s="3" t="s">
        <v>3006</v>
      </c>
      <c r="H95" s="4" t="s">
        <v>3007</v>
      </c>
      <c r="I95" s="21" t="str">
        <f t="shared" si="0"/>
        <v>2 years, 0 month(s), 15 day(s)</v>
      </c>
      <c r="J95" s="6">
        <v>43784</v>
      </c>
      <c r="K95" s="4" t="s">
        <v>2947</v>
      </c>
      <c r="L95" s="29"/>
    </row>
    <row r="96" spans="1:12" ht="12.75" hidden="1" customHeight="1" x14ac:dyDescent="0.2">
      <c r="A96" s="3">
        <v>98</v>
      </c>
      <c r="B96" s="3" t="s">
        <v>323</v>
      </c>
      <c r="C96" s="4" t="s">
        <v>892</v>
      </c>
      <c r="D96" s="4" t="s">
        <v>963</v>
      </c>
      <c r="E96" s="4" t="s">
        <v>964</v>
      </c>
      <c r="F96" s="3"/>
      <c r="G96" s="20" t="s">
        <v>3008</v>
      </c>
      <c r="H96" s="10" t="s">
        <v>3009</v>
      </c>
      <c r="I96" s="21" t="str">
        <f t="shared" si="0"/>
        <v>0 years, 4 month(s), 15 day(s)</v>
      </c>
      <c r="J96" s="6">
        <v>44392</v>
      </c>
      <c r="K96" s="22" t="s">
        <v>3010</v>
      </c>
      <c r="L96" s="4"/>
    </row>
    <row r="97" spans="1:12" ht="12.75" hidden="1" customHeight="1" x14ac:dyDescent="0.2">
      <c r="A97" s="3">
        <v>103</v>
      </c>
      <c r="B97" s="3" t="s">
        <v>323</v>
      </c>
      <c r="C97" s="4" t="s">
        <v>1934</v>
      </c>
      <c r="D97" s="4" t="s">
        <v>1936</v>
      </c>
      <c r="E97" s="4" t="s">
        <v>1937</v>
      </c>
      <c r="F97" s="3"/>
      <c r="G97" s="3" t="s">
        <v>198</v>
      </c>
      <c r="H97" s="10" t="s">
        <v>73</v>
      </c>
      <c r="I97" s="21" t="str">
        <f t="shared" si="0"/>
        <v>0 years, 3 month(s), 21 day(s)</v>
      </c>
      <c r="J97" s="6">
        <v>44417</v>
      </c>
      <c r="K97" s="4" t="s">
        <v>3011</v>
      </c>
      <c r="L97" s="29"/>
    </row>
    <row r="98" spans="1:12" ht="12.75" hidden="1" customHeight="1" x14ac:dyDescent="0.2">
      <c r="A98" s="3">
        <v>105</v>
      </c>
      <c r="B98" s="3" t="s">
        <v>323</v>
      </c>
      <c r="C98" s="4" t="s">
        <v>319</v>
      </c>
      <c r="D98" s="4" t="s">
        <v>3012</v>
      </c>
      <c r="E98" s="4" t="s">
        <v>321</v>
      </c>
      <c r="F98" s="3"/>
      <c r="G98" s="20" t="s">
        <v>3013</v>
      </c>
      <c r="H98" s="8" t="s">
        <v>3014</v>
      </c>
      <c r="I98" s="21" t="str">
        <f t="shared" si="0"/>
        <v>0 years, 9 month(s), 28 day(s)</v>
      </c>
      <c r="J98" s="6">
        <v>44229</v>
      </c>
      <c r="K98" s="4" t="s">
        <v>2994</v>
      </c>
      <c r="L98" s="35"/>
    </row>
    <row r="99" spans="1:12" ht="12.75" hidden="1" customHeight="1" x14ac:dyDescent="0.2">
      <c r="A99" s="3">
        <v>111</v>
      </c>
      <c r="B99" s="3" t="s">
        <v>323</v>
      </c>
      <c r="C99" s="4" t="s">
        <v>319</v>
      </c>
      <c r="D99" s="36" t="s">
        <v>1689</v>
      </c>
      <c r="E99" s="36" t="s">
        <v>1942</v>
      </c>
      <c r="F99" s="37"/>
      <c r="G99" s="37" t="s">
        <v>1069</v>
      </c>
      <c r="H99" s="10" t="s">
        <v>259</v>
      </c>
      <c r="I99" s="21" t="str">
        <f t="shared" si="0"/>
        <v>0 years, 10 month(s), 10 day(s)</v>
      </c>
      <c r="J99" s="6">
        <v>44216</v>
      </c>
      <c r="K99" s="38" t="s">
        <v>3015</v>
      </c>
      <c r="L99" s="39"/>
    </row>
    <row r="100" spans="1:12" ht="12.75" customHeight="1" x14ac:dyDescent="0.2">
      <c r="A100" s="3">
        <v>302</v>
      </c>
      <c r="B100" s="40" t="s">
        <v>2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1:12" ht="15.75" customHeight="1" x14ac:dyDescent="0.2"/>
    <row r="102" spans="1:12" ht="15.75" customHeight="1" x14ac:dyDescent="0.2"/>
    <row r="103" spans="1:12" ht="15.75" customHeight="1" x14ac:dyDescent="0.2"/>
    <row r="104" spans="1:12" ht="15.75" customHeight="1" x14ac:dyDescent="0.2"/>
    <row r="105" spans="1:12" ht="15.75" customHeight="1" x14ac:dyDescent="0.2"/>
    <row r="106" spans="1:12" ht="15.75" customHeight="1" x14ac:dyDescent="0.2"/>
    <row r="107" spans="1:12" ht="15.75" customHeight="1" x14ac:dyDescent="0.2"/>
    <row r="108" spans="1:12" ht="15.75" customHeight="1" x14ac:dyDescent="0.2"/>
    <row r="109" spans="1:12" ht="15.75" customHeight="1" x14ac:dyDescent="0.2"/>
    <row r="110" spans="1:12" ht="15.75" customHeight="1" x14ac:dyDescent="0.2"/>
    <row r="111" spans="1:12" ht="15.75" customHeight="1" x14ac:dyDescent="0.2"/>
    <row r="112" spans="1: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I1:I100" xr:uid="{00000000-0009-0000-0000-000005000000}">
    <filterColumn colId="0">
      <filters blank="1">
        <filter val="1 years, 0 month(s), 14 day(s)"/>
        <filter val="1 years, 0 month(s), 27 day(s)"/>
        <filter val="1 years, 1 month(s), 24 day(s)"/>
        <filter val="1 years, 1 month(s), 25 day(s)"/>
        <filter val="1 years, 10 month(s), 1 day(s)"/>
        <filter val="1 years, 10 month(s), 2 day(s)"/>
        <filter val="1 years, 10 month(s), 6 day(s)"/>
        <filter val="1 years, 2 month(s), 15 day(s)"/>
        <filter val="1 years, 2 month(s), 2 day(s)"/>
        <filter val="1 years, 4 month(s), 27 day(s)"/>
        <filter val="1 years, 4 month(s), 6 day(s)"/>
        <filter val="1 years, 8 month(s), 25 day(s)"/>
        <filter val="2 years, 0 month(s), 15 day(s)"/>
        <filter val="2 years, 4 month(s), 29 day(s)"/>
        <filter val="3 years, 0 month(s), 15 day(s)"/>
        <filter val="3 years, 10 month(s), 7 day(s)"/>
        <filter val="3 years, 2 month(s), 18 day(s)"/>
        <filter val="3 years, 5 month(s), 19 day(s)"/>
      </filters>
    </filterColumn>
  </autoFilter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/>
  </sheetViews>
  <sheetFormatPr defaultColWidth="12.5703125" defaultRowHeight="15" customHeight="1" x14ac:dyDescent="0.2"/>
  <cols>
    <col min="1" max="1" width="30.7109375" customWidth="1"/>
    <col min="2" max="2" width="16.5703125" customWidth="1"/>
    <col min="3" max="3" width="18.28515625" customWidth="1"/>
    <col min="4" max="6" width="16.7109375" customWidth="1"/>
    <col min="7" max="8" width="9" customWidth="1"/>
    <col min="9" max="9" width="19.85546875" customWidth="1"/>
    <col min="10" max="11" width="9" customWidth="1"/>
    <col min="12" max="26" width="14.42578125" customWidth="1"/>
  </cols>
  <sheetData>
    <row r="1" spans="1:11" ht="12.75" customHeight="1" x14ac:dyDescent="0.25">
      <c r="A1" s="178" t="s">
        <v>0</v>
      </c>
      <c r="B1" s="172"/>
      <c r="C1" s="172"/>
      <c r="D1" s="172"/>
      <c r="E1" s="172"/>
      <c r="F1" s="41"/>
      <c r="G1" s="42"/>
      <c r="K1" s="14"/>
    </row>
    <row r="2" spans="1:11" ht="12.75" customHeight="1" x14ac:dyDescent="0.25">
      <c r="A2" s="178" t="s">
        <v>116</v>
      </c>
      <c r="B2" s="172"/>
      <c r="C2" s="172"/>
      <c r="D2" s="172"/>
      <c r="E2" s="172"/>
      <c r="F2" s="41"/>
      <c r="G2" s="42"/>
      <c r="K2" s="14"/>
    </row>
    <row r="3" spans="1:11" ht="9.75" customHeight="1" x14ac:dyDescent="0.2">
      <c r="A3" s="179"/>
      <c r="B3" s="172"/>
      <c r="C3" s="172"/>
      <c r="D3" s="172"/>
      <c r="E3" s="43"/>
      <c r="F3" s="43"/>
      <c r="K3" s="14"/>
    </row>
    <row r="4" spans="1:11" ht="13.5" customHeight="1" x14ac:dyDescent="0.2">
      <c r="A4" s="44"/>
      <c r="B4" s="44"/>
      <c r="C4" s="44"/>
      <c r="D4" s="44"/>
      <c r="E4" s="45"/>
      <c r="F4" s="45"/>
      <c r="K4" s="14"/>
    </row>
    <row r="5" spans="1:11" ht="12.75" customHeight="1" x14ac:dyDescent="0.2">
      <c r="A5" s="179" t="s">
        <v>3016</v>
      </c>
      <c r="B5" s="172"/>
      <c r="C5" s="172"/>
      <c r="D5" s="172"/>
      <c r="E5" s="172"/>
      <c r="F5" s="43"/>
      <c r="K5" s="14"/>
    </row>
    <row r="6" spans="1:11" ht="12.75" customHeight="1" x14ac:dyDescent="0.2">
      <c r="A6" s="179" t="s">
        <v>3017</v>
      </c>
      <c r="B6" s="172"/>
      <c r="C6" s="172"/>
      <c r="D6" s="172"/>
      <c r="E6" s="172"/>
      <c r="F6" s="43"/>
      <c r="K6" s="14"/>
    </row>
    <row r="7" spans="1:11" ht="12.75" customHeight="1" x14ac:dyDescent="0.2">
      <c r="A7" s="180" t="s">
        <v>3018</v>
      </c>
      <c r="B7" s="172"/>
      <c r="C7" s="172"/>
      <c r="D7" s="172"/>
      <c r="E7" s="172"/>
      <c r="F7" s="47"/>
      <c r="K7" s="14"/>
    </row>
    <row r="8" spans="1:11" ht="10.5" customHeight="1" x14ac:dyDescent="0.2">
      <c r="A8" s="46"/>
      <c r="B8" s="46"/>
      <c r="C8" s="46"/>
      <c r="D8" s="46"/>
      <c r="E8" s="45"/>
      <c r="F8" s="45"/>
      <c r="K8" s="14"/>
    </row>
    <row r="9" spans="1:11" ht="18" customHeight="1" x14ac:dyDescent="0.2">
      <c r="A9" s="181" t="s">
        <v>2</v>
      </c>
      <c r="B9" s="176" t="s">
        <v>3019</v>
      </c>
      <c r="C9" s="177" t="s">
        <v>3020</v>
      </c>
      <c r="D9" s="173"/>
      <c r="E9" s="174"/>
      <c r="F9" s="48"/>
      <c r="G9" s="14"/>
      <c r="H9" s="14"/>
      <c r="I9" s="14"/>
      <c r="J9" s="14"/>
      <c r="K9" s="14"/>
    </row>
    <row r="10" spans="1:11" ht="18" customHeight="1" x14ac:dyDescent="0.2">
      <c r="A10" s="175"/>
      <c r="B10" s="175"/>
      <c r="C10" s="49" t="s">
        <v>3021</v>
      </c>
      <c r="D10" s="50" t="s">
        <v>3022</v>
      </c>
      <c r="E10" s="50" t="s">
        <v>3023</v>
      </c>
      <c r="F10" s="51"/>
      <c r="G10" s="14"/>
      <c r="H10" s="14"/>
      <c r="I10" s="14"/>
      <c r="J10" s="14"/>
      <c r="K10" s="14"/>
    </row>
    <row r="11" spans="1:11" ht="21.75" customHeight="1" x14ac:dyDescent="0.2">
      <c r="A11" s="52" t="s">
        <v>3024</v>
      </c>
      <c r="B11" s="50">
        <v>1</v>
      </c>
      <c r="C11" s="53">
        <v>1</v>
      </c>
      <c r="D11" s="53">
        <v>0</v>
      </c>
      <c r="E11" s="53" t="e">
        <f>COUNTIF(#REF!,"PBGEN")</f>
        <v>#REF!</v>
      </c>
      <c r="F11" s="54"/>
      <c r="G11" s="14">
        <v>1</v>
      </c>
      <c r="H11" s="14"/>
      <c r="I11" s="14"/>
      <c r="J11" s="14"/>
      <c r="K11" s="14"/>
    </row>
    <row r="12" spans="1:11" ht="21.75" customHeight="1" x14ac:dyDescent="0.2">
      <c r="A12" s="52" t="s">
        <v>3025</v>
      </c>
      <c r="B12" s="50">
        <v>11</v>
      </c>
      <c r="C12" s="53">
        <v>4</v>
      </c>
      <c r="D12" s="53">
        <v>1</v>
      </c>
      <c r="E12" s="53" t="e">
        <f>COUNTIF(#REF!,"PCOL")</f>
        <v>#REF!</v>
      </c>
      <c r="F12" s="54"/>
      <c r="G12" s="14">
        <v>11</v>
      </c>
      <c r="H12" s="14"/>
      <c r="I12" s="14"/>
      <c r="J12" s="14"/>
      <c r="K12" s="14"/>
    </row>
    <row r="13" spans="1:11" ht="21.75" customHeight="1" x14ac:dyDescent="0.2">
      <c r="A13" s="52" t="s">
        <v>92</v>
      </c>
      <c r="B13" s="50">
        <v>43</v>
      </c>
      <c r="C13" s="53">
        <v>24</v>
      </c>
      <c r="D13" s="53">
        <v>6</v>
      </c>
      <c r="E13" s="53" t="e">
        <f>COUNTIF(#REF!,"PLTCOL")</f>
        <v>#REF!</v>
      </c>
      <c r="F13" s="54"/>
      <c r="G13" s="14">
        <v>43</v>
      </c>
      <c r="H13" s="14"/>
      <c r="I13" s="9" t="s">
        <v>3026</v>
      </c>
      <c r="J13" s="14"/>
      <c r="K13" s="14"/>
    </row>
    <row r="14" spans="1:11" ht="21.75" customHeight="1" x14ac:dyDescent="0.2">
      <c r="A14" s="52" t="s">
        <v>3027</v>
      </c>
      <c r="B14" s="50">
        <v>102</v>
      </c>
      <c r="C14" s="53">
        <v>34</v>
      </c>
      <c r="D14" s="53">
        <v>5</v>
      </c>
      <c r="E14" s="53" t="e">
        <f>COUNTIF(#REF!,"PMAJ")</f>
        <v>#REF!</v>
      </c>
      <c r="F14" s="54"/>
      <c r="G14" s="14">
        <v>102</v>
      </c>
      <c r="H14" s="14"/>
      <c r="I14" s="14"/>
      <c r="J14" s="14"/>
      <c r="K14" s="14"/>
    </row>
    <row r="15" spans="1:11" ht="21.75" customHeight="1" x14ac:dyDescent="0.2">
      <c r="A15" s="52" t="s">
        <v>3028</v>
      </c>
      <c r="B15" s="50">
        <v>76</v>
      </c>
      <c r="C15" s="53">
        <v>4</v>
      </c>
      <c r="D15" s="53">
        <v>0</v>
      </c>
      <c r="E15" s="53" t="e">
        <f>COUNTIF(#REF!,"PCPT")</f>
        <v>#REF!</v>
      </c>
      <c r="F15" s="54"/>
      <c r="G15" s="14">
        <v>76</v>
      </c>
      <c r="H15" s="14"/>
      <c r="I15" s="14"/>
      <c r="J15" s="14"/>
      <c r="K15" s="14"/>
    </row>
    <row r="16" spans="1:11" ht="21.75" customHeight="1" x14ac:dyDescent="0.2">
      <c r="A16" s="52" t="s">
        <v>3029</v>
      </c>
      <c r="B16" s="50">
        <v>70</v>
      </c>
      <c r="C16" s="53">
        <v>33</v>
      </c>
      <c r="D16" s="53">
        <v>8</v>
      </c>
      <c r="E16" s="53" t="e">
        <f>COUNTIF(#REF!,"PLT")</f>
        <v>#REF!</v>
      </c>
      <c r="F16" s="54"/>
      <c r="G16" s="14">
        <v>70</v>
      </c>
      <c r="H16" s="14"/>
      <c r="I16" s="14"/>
      <c r="J16" s="14"/>
      <c r="K16" s="14"/>
    </row>
    <row r="17" spans="1:11" ht="21.75" customHeight="1" x14ac:dyDescent="0.2">
      <c r="A17" s="55" t="s">
        <v>3030</v>
      </c>
      <c r="B17" s="56">
        <f t="shared" ref="B17:D17" si="0">SUM(B11:B16)</f>
        <v>303</v>
      </c>
      <c r="C17" s="50">
        <f t="shared" si="0"/>
        <v>100</v>
      </c>
      <c r="D17" s="50">
        <f t="shared" si="0"/>
        <v>20</v>
      </c>
      <c r="E17" s="50">
        <f>C17+D17</f>
        <v>120</v>
      </c>
      <c r="F17" s="51"/>
      <c r="G17" s="57"/>
      <c r="H17" s="57">
        <f>SUM(G11:G16)</f>
        <v>303</v>
      </c>
      <c r="I17" s="57"/>
      <c r="J17" s="57"/>
      <c r="K17" s="14"/>
    </row>
    <row r="18" spans="1:11" ht="21.75" customHeight="1" x14ac:dyDescent="0.2">
      <c r="A18" s="52" t="s">
        <v>3031</v>
      </c>
      <c r="B18" s="50">
        <v>3</v>
      </c>
      <c r="C18" s="53">
        <v>0</v>
      </c>
      <c r="D18" s="53">
        <v>0</v>
      </c>
      <c r="E18" s="56" t="e">
        <f>COUNTIF(#REF!,"PEMS")</f>
        <v>#REF!</v>
      </c>
      <c r="F18" s="58"/>
      <c r="G18" s="14">
        <v>3</v>
      </c>
      <c r="H18" s="14"/>
      <c r="I18" s="14"/>
      <c r="J18" s="14"/>
      <c r="K18" s="14"/>
    </row>
    <row r="19" spans="1:11" ht="21.75" customHeight="1" x14ac:dyDescent="0.2">
      <c r="A19" s="52" t="s">
        <v>3032</v>
      </c>
      <c r="B19" s="50">
        <v>6</v>
      </c>
      <c r="C19" s="53">
        <v>2</v>
      </c>
      <c r="D19" s="53">
        <v>2</v>
      </c>
      <c r="E19" s="56" t="e">
        <f>COUNTIF(#REF!,"PCMS")</f>
        <v>#REF!</v>
      </c>
      <c r="F19" s="58"/>
      <c r="G19" s="14">
        <v>6</v>
      </c>
      <c r="H19" s="14"/>
      <c r="I19" s="14"/>
      <c r="J19" s="14"/>
      <c r="K19" s="14"/>
    </row>
    <row r="20" spans="1:11" ht="21.75" customHeight="1" x14ac:dyDescent="0.2">
      <c r="A20" s="52" t="s">
        <v>3033</v>
      </c>
      <c r="B20" s="50">
        <v>10</v>
      </c>
      <c r="C20" s="53">
        <v>9</v>
      </c>
      <c r="D20" s="53">
        <v>1</v>
      </c>
      <c r="E20" s="56" t="e">
        <f>COUNTIF(#REF!,"PSMS")</f>
        <v>#REF!</v>
      </c>
      <c r="F20" s="58"/>
      <c r="G20" s="14">
        <v>10</v>
      </c>
      <c r="H20" s="14"/>
      <c r="I20" s="59"/>
      <c r="J20" s="14" t="s">
        <v>3034</v>
      </c>
      <c r="K20" s="14"/>
    </row>
    <row r="21" spans="1:11" ht="21.75" customHeight="1" x14ac:dyDescent="0.2">
      <c r="A21" s="52" t="s">
        <v>3035</v>
      </c>
      <c r="B21" s="50">
        <v>24</v>
      </c>
      <c r="C21" s="53">
        <v>13</v>
      </c>
      <c r="D21" s="53">
        <v>3</v>
      </c>
      <c r="E21" s="56" t="e">
        <f>COUNTIF(#REF!,"PMSG")</f>
        <v>#REF!</v>
      </c>
      <c r="F21" s="58"/>
      <c r="G21" s="14">
        <v>24</v>
      </c>
      <c r="H21" s="14"/>
      <c r="I21" s="59"/>
      <c r="J21" s="14"/>
      <c r="K21" s="14"/>
    </row>
    <row r="22" spans="1:11" ht="21.75" customHeight="1" x14ac:dyDescent="0.2">
      <c r="A22" s="52" t="s">
        <v>3036</v>
      </c>
      <c r="B22" s="50">
        <v>27</v>
      </c>
      <c r="C22" s="53">
        <v>39</v>
      </c>
      <c r="D22" s="53">
        <v>6</v>
      </c>
      <c r="E22" s="56" t="e">
        <f>COUNTIF(#REF!,"PSSG")</f>
        <v>#REF!</v>
      </c>
      <c r="F22" s="58"/>
      <c r="G22" s="14">
        <v>27</v>
      </c>
      <c r="H22" s="14"/>
      <c r="I22" s="14"/>
      <c r="J22" s="14"/>
      <c r="K22" s="14"/>
    </row>
    <row r="23" spans="1:11" ht="21.75" customHeight="1" x14ac:dyDescent="0.2">
      <c r="A23" s="52" t="s">
        <v>3037</v>
      </c>
      <c r="B23" s="50">
        <v>42</v>
      </c>
      <c r="C23" s="53">
        <v>21</v>
      </c>
      <c r="D23" s="53">
        <v>3</v>
      </c>
      <c r="E23" s="56" t="e">
        <f>COUNTIF(#REF!,"PCPL")</f>
        <v>#REF!</v>
      </c>
      <c r="F23" s="58"/>
      <c r="G23" s="14">
        <v>42</v>
      </c>
      <c r="H23" s="14"/>
      <c r="I23" s="14"/>
      <c r="J23" s="14"/>
      <c r="K23" s="14"/>
    </row>
    <row r="24" spans="1:11" ht="21.75" customHeight="1" x14ac:dyDescent="0.2">
      <c r="A24" s="52" t="s">
        <v>3038</v>
      </c>
      <c r="B24" s="50">
        <v>44</v>
      </c>
      <c r="C24" s="53">
        <v>43</v>
      </c>
      <c r="D24" s="53">
        <v>26</v>
      </c>
      <c r="E24" s="56" t="e">
        <f>COUNTIF(#REF!,"PAT")</f>
        <v>#REF!</v>
      </c>
      <c r="F24" s="58"/>
      <c r="G24" s="14">
        <v>44</v>
      </c>
      <c r="H24" s="14"/>
      <c r="I24" s="14"/>
      <c r="J24" s="14"/>
      <c r="K24" s="14"/>
    </row>
    <row r="25" spans="1:11" ht="21.75" customHeight="1" x14ac:dyDescent="0.2">
      <c r="A25" s="55" t="s">
        <v>3039</v>
      </c>
      <c r="B25" s="56">
        <f t="shared" ref="B25:E25" si="1">SUM(B18:B24)</f>
        <v>156</v>
      </c>
      <c r="C25" s="50">
        <f t="shared" si="1"/>
        <v>127</v>
      </c>
      <c r="D25" s="50">
        <f t="shared" si="1"/>
        <v>41</v>
      </c>
      <c r="E25" s="50" t="e">
        <f t="shared" si="1"/>
        <v>#REF!</v>
      </c>
      <c r="F25" s="51"/>
      <c r="G25" s="14"/>
      <c r="H25" s="14">
        <f>SUM(G18:G24)</f>
        <v>156</v>
      </c>
      <c r="I25" s="14"/>
      <c r="J25" s="14"/>
      <c r="K25" s="14"/>
    </row>
    <row r="26" spans="1:11" ht="21.75" customHeight="1" x14ac:dyDescent="0.2">
      <c r="A26" s="55" t="s">
        <v>3040</v>
      </c>
      <c r="B26" s="51">
        <v>226</v>
      </c>
      <c r="C26" s="50">
        <v>65</v>
      </c>
      <c r="D26" s="50">
        <v>118</v>
      </c>
      <c r="E26" s="56" t="e">
        <f>COUNTIF(#REF!,"NUP")</f>
        <v>#REF!</v>
      </c>
      <c r="F26" s="58"/>
      <c r="G26" s="14">
        <v>226</v>
      </c>
      <c r="H26" s="14"/>
      <c r="I26" s="1" t="s">
        <v>3041</v>
      </c>
      <c r="J26" s="14"/>
      <c r="K26" s="14"/>
    </row>
    <row r="27" spans="1:11" ht="21.75" customHeight="1" x14ac:dyDescent="0.2">
      <c r="A27" s="49" t="s">
        <v>56</v>
      </c>
      <c r="B27" s="56">
        <f t="shared" ref="B27:E27" si="2">B17+B25+B26</f>
        <v>685</v>
      </c>
      <c r="C27" s="50">
        <f t="shared" si="2"/>
        <v>292</v>
      </c>
      <c r="D27" s="50">
        <f t="shared" si="2"/>
        <v>179</v>
      </c>
      <c r="E27" s="50" t="e">
        <f t="shared" si="2"/>
        <v>#REF!</v>
      </c>
      <c r="F27" s="60"/>
      <c r="G27" s="60">
        <f>SUM(G11:G26)</f>
        <v>685</v>
      </c>
      <c r="K27" s="14"/>
    </row>
    <row r="28" spans="1:11" ht="24" customHeight="1" x14ac:dyDescent="0.2">
      <c r="A28" s="48"/>
      <c r="B28" s="51"/>
      <c r="C28" s="51"/>
      <c r="D28" s="51"/>
      <c r="E28" s="51"/>
      <c r="F28" s="51"/>
      <c r="K28" s="14"/>
    </row>
    <row r="29" spans="1:11" ht="12.75" customHeight="1" x14ac:dyDescent="0.3">
      <c r="A29" s="61" t="s">
        <v>82</v>
      </c>
      <c r="B29" s="62"/>
      <c r="C29" s="26" t="s">
        <v>84</v>
      </c>
      <c r="D29" s="45"/>
      <c r="E29" s="63"/>
      <c r="F29" s="63"/>
      <c r="K29" s="14"/>
    </row>
    <row r="30" spans="1:11" ht="12" customHeight="1" x14ac:dyDescent="0.3">
      <c r="A30" s="61"/>
      <c r="B30" s="62"/>
      <c r="C30" s="26"/>
      <c r="D30" s="45"/>
      <c r="E30" s="63"/>
      <c r="F30" s="63"/>
      <c r="K30" s="14"/>
    </row>
    <row r="31" spans="1:11" ht="12" customHeight="1" x14ac:dyDescent="0.3">
      <c r="A31" s="61"/>
      <c r="B31" s="63"/>
      <c r="C31" s="62"/>
      <c r="D31" s="45"/>
      <c r="E31" s="63"/>
      <c r="F31" s="63"/>
      <c r="K31" s="14"/>
    </row>
    <row r="32" spans="1:11" ht="12" customHeight="1" x14ac:dyDescent="0.3">
      <c r="A32" s="61"/>
      <c r="B32" s="63"/>
      <c r="C32" s="45"/>
      <c r="D32" s="45"/>
      <c r="E32" s="63"/>
      <c r="F32" s="63"/>
      <c r="K32" s="14"/>
    </row>
    <row r="33" spans="1:11" ht="14.25" customHeight="1" x14ac:dyDescent="0.3">
      <c r="A33" s="64" t="s">
        <v>3042</v>
      </c>
      <c r="B33" s="65"/>
      <c r="C33" s="65" t="s">
        <v>3043</v>
      </c>
      <c r="D33" s="66"/>
      <c r="E33" s="67"/>
      <c r="F33" s="67"/>
      <c r="G33" s="66"/>
      <c r="H33" s="66"/>
      <c r="I33" s="66"/>
      <c r="J33" s="66"/>
      <c r="K33" s="14"/>
    </row>
    <row r="34" spans="1:11" ht="15.75" customHeight="1" x14ac:dyDescent="0.3">
      <c r="A34" s="68" t="s">
        <v>3038</v>
      </c>
      <c r="B34" s="26"/>
      <c r="C34" s="26" t="s">
        <v>3044</v>
      </c>
      <c r="D34" s="45"/>
      <c r="E34" s="63"/>
      <c r="F34" s="63"/>
      <c r="K34" s="14"/>
    </row>
    <row r="35" spans="1:11" ht="21.75" customHeight="1" x14ac:dyDescent="0.2">
      <c r="A35" s="68" t="s">
        <v>138</v>
      </c>
      <c r="B35" s="69"/>
      <c r="C35" s="69" t="s">
        <v>3045</v>
      </c>
      <c r="D35" s="70"/>
      <c r="E35" s="69"/>
      <c r="F35" s="69"/>
      <c r="G35" s="70"/>
      <c r="H35" s="70"/>
      <c r="I35" s="70"/>
      <c r="J35" s="70"/>
      <c r="K35" s="14"/>
    </row>
    <row r="36" spans="1:11" ht="12.75" customHeight="1" x14ac:dyDescent="0.2">
      <c r="B36" s="45"/>
      <c r="C36" s="45"/>
      <c r="D36" s="45"/>
      <c r="E36" s="45"/>
      <c r="F36" s="45"/>
      <c r="K36" s="14"/>
    </row>
    <row r="37" spans="1:11" ht="12.75" customHeight="1" x14ac:dyDescent="0.2">
      <c r="B37" s="45"/>
      <c r="C37" s="45"/>
      <c r="D37" s="45"/>
      <c r="E37" s="45"/>
      <c r="F37" s="45"/>
      <c r="K37" s="14"/>
    </row>
    <row r="38" spans="1:11" ht="12.75" customHeight="1" x14ac:dyDescent="0.2">
      <c r="B38" s="45"/>
      <c r="C38" s="45"/>
      <c r="D38" s="45"/>
      <c r="E38" s="45"/>
      <c r="F38" s="45"/>
      <c r="K38" s="14"/>
    </row>
    <row r="39" spans="1:11" ht="12.75" customHeight="1" x14ac:dyDescent="0.2">
      <c r="B39" s="45"/>
      <c r="C39" s="45"/>
      <c r="D39" s="45"/>
      <c r="E39" s="45"/>
      <c r="F39" s="45"/>
      <c r="K39" s="14"/>
    </row>
    <row r="40" spans="1:11" ht="12.75" customHeight="1" x14ac:dyDescent="0.2">
      <c r="B40" s="45"/>
      <c r="C40" s="45"/>
      <c r="D40" s="45"/>
      <c r="E40" s="45"/>
      <c r="F40" s="45"/>
      <c r="K40" s="14"/>
    </row>
    <row r="41" spans="1:11" ht="12.75" customHeight="1" x14ac:dyDescent="0.2">
      <c r="B41" s="45"/>
      <c r="C41" s="45"/>
      <c r="D41" s="45"/>
      <c r="E41" s="45"/>
      <c r="F41" s="45"/>
      <c r="K41" s="14"/>
    </row>
    <row r="42" spans="1:11" ht="12.75" customHeight="1" x14ac:dyDescent="0.2">
      <c r="B42" s="45"/>
      <c r="C42" s="45"/>
      <c r="D42" s="45"/>
      <c r="E42" s="45"/>
      <c r="F42" s="45"/>
      <c r="K42" s="14"/>
    </row>
    <row r="43" spans="1:11" ht="12.75" customHeight="1" x14ac:dyDescent="0.2">
      <c r="B43" s="45"/>
      <c r="C43" s="45"/>
      <c r="D43" s="45"/>
      <c r="E43" s="45"/>
      <c r="F43" s="45"/>
      <c r="K43" s="14"/>
    </row>
    <row r="44" spans="1:11" ht="12.75" customHeight="1" x14ac:dyDescent="0.2">
      <c r="B44" s="45"/>
      <c r="C44" s="45"/>
      <c r="D44" s="45"/>
      <c r="E44" s="45"/>
      <c r="F44" s="45"/>
      <c r="K44" s="14"/>
    </row>
    <row r="45" spans="1:11" ht="12.75" customHeight="1" x14ac:dyDescent="0.2">
      <c r="B45" s="45"/>
      <c r="C45" s="45"/>
      <c r="D45" s="45"/>
      <c r="E45" s="45"/>
      <c r="F45" s="45"/>
      <c r="K45" s="14"/>
    </row>
    <row r="46" spans="1:11" ht="12.75" customHeight="1" x14ac:dyDescent="0.2">
      <c r="B46" s="45"/>
      <c r="C46" s="45"/>
      <c r="D46" s="45"/>
      <c r="E46" s="45"/>
      <c r="F46" s="45"/>
      <c r="K46" s="14"/>
    </row>
    <row r="47" spans="1:11" ht="12.75" customHeight="1" x14ac:dyDescent="0.2">
      <c r="B47" s="45"/>
      <c r="C47" s="45"/>
      <c r="D47" s="45"/>
      <c r="E47" s="45"/>
      <c r="F47" s="45"/>
      <c r="K47" s="14"/>
    </row>
    <row r="48" spans="1:11" ht="12.75" customHeight="1" x14ac:dyDescent="0.2">
      <c r="B48" s="45"/>
      <c r="C48" s="45"/>
      <c r="D48" s="45"/>
      <c r="E48" s="45"/>
      <c r="F48" s="45"/>
      <c r="K48" s="14"/>
    </row>
    <row r="49" spans="2:11" ht="12.75" customHeight="1" x14ac:dyDescent="0.2">
      <c r="B49" s="45"/>
      <c r="C49" s="45"/>
      <c r="D49" s="45"/>
      <c r="E49" s="45"/>
      <c r="F49" s="45"/>
      <c r="K49" s="14"/>
    </row>
    <row r="50" spans="2:11" ht="12.75" customHeight="1" x14ac:dyDescent="0.2">
      <c r="B50" s="45"/>
      <c r="C50" s="45"/>
      <c r="D50" s="45"/>
      <c r="E50" s="45"/>
      <c r="F50" s="45"/>
      <c r="K50" s="14"/>
    </row>
    <row r="51" spans="2:11" ht="12.75" customHeight="1" x14ac:dyDescent="0.2">
      <c r="B51" s="45"/>
      <c r="C51" s="45"/>
      <c r="D51" s="45"/>
      <c r="E51" s="45"/>
      <c r="F51" s="45"/>
      <c r="K51" s="14"/>
    </row>
    <row r="52" spans="2:11" ht="12.75" customHeight="1" x14ac:dyDescent="0.2">
      <c r="B52" s="45"/>
      <c r="C52" s="45"/>
      <c r="D52" s="45"/>
      <c r="E52" s="45"/>
      <c r="F52" s="45"/>
      <c r="K52" s="14"/>
    </row>
    <row r="53" spans="2:11" ht="12.75" customHeight="1" x14ac:dyDescent="0.2">
      <c r="B53" s="45"/>
      <c r="C53" s="45"/>
      <c r="D53" s="45"/>
      <c r="E53" s="45"/>
      <c r="F53" s="45"/>
      <c r="K53" s="14"/>
    </row>
    <row r="54" spans="2:11" ht="12.75" customHeight="1" x14ac:dyDescent="0.2">
      <c r="B54" s="45"/>
      <c r="C54" s="45"/>
      <c r="D54" s="45"/>
      <c r="E54" s="45"/>
      <c r="F54" s="45"/>
      <c r="K54" s="14"/>
    </row>
    <row r="55" spans="2:11" ht="12.75" customHeight="1" x14ac:dyDescent="0.2">
      <c r="B55" s="45"/>
      <c r="C55" s="45"/>
      <c r="D55" s="45"/>
      <c r="E55" s="45"/>
      <c r="F55" s="45"/>
      <c r="K55" s="14"/>
    </row>
    <row r="56" spans="2:11" ht="12.75" customHeight="1" x14ac:dyDescent="0.2">
      <c r="B56" s="45"/>
      <c r="C56" s="45"/>
      <c r="D56" s="45"/>
      <c r="E56" s="45"/>
      <c r="F56" s="45"/>
      <c r="K56" s="14"/>
    </row>
    <row r="57" spans="2:11" ht="12.75" customHeight="1" x14ac:dyDescent="0.2">
      <c r="B57" s="45"/>
      <c r="C57" s="45"/>
      <c r="D57" s="45"/>
      <c r="E57" s="45"/>
      <c r="F57" s="45"/>
      <c r="K57" s="14"/>
    </row>
    <row r="58" spans="2:11" ht="12.75" customHeight="1" x14ac:dyDescent="0.2">
      <c r="B58" s="45"/>
      <c r="C58" s="45"/>
      <c r="D58" s="45"/>
      <c r="E58" s="45"/>
      <c r="F58" s="45"/>
      <c r="K58" s="14"/>
    </row>
    <row r="59" spans="2:11" ht="12.75" customHeight="1" x14ac:dyDescent="0.2">
      <c r="B59" s="45"/>
      <c r="C59" s="45"/>
      <c r="D59" s="45"/>
      <c r="E59" s="45"/>
      <c r="F59" s="45"/>
      <c r="K59" s="14"/>
    </row>
    <row r="60" spans="2:11" ht="12.75" customHeight="1" x14ac:dyDescent="0.2">
      <c r="B60" s="45"/>
      <c r="C60" s="45"/>
      <c r="D60" s="45"/>
      <c r="E60" s="45"/>
      <c r="F60" s="45"/>
      <c r="K60" s="14"/>
    </row>
    <row r="61" spans="2:11" ht="12.75" customHeight="1" x14ac:dyDescent="0.2">
      <c r="B61" s="45"/>
      <c r="C61" s="45"/>
      <c r="D61" s="45"/>
      <c r="E61" s="45"/>
      <c r="F61" s="45"/>
      <c r="K61" s="14"/>
    </row>
    <row r="62" spans="2:11" ht="12.75" customHeight="1" x14ac:dyDescent="0.2">
      <c r="B62" s="45"/>
      <c r="C62" s="45"/>
      <c r="D62" s="45"/>
      <c r="E62" s="45"/>
      <c r="F62" s="45"/>
      <c r="K62" s="14"/>
    </row>
    <row r="63" spans="2:11" ht="12.75" customHeight="1" x14ac:dyDescent="0.2">
      <c r="B63" s="45"/>
      <c r="C63" s="45"/>
      <c r="D63" s="45"/>
      <c r="E63" s="45"/>
      <c r="F63" s="45"/>
      <c r="K63" s="14"/>
    </row>
    <row r="64" spans="2:11" ht="12.75" customHeight="1" x14ac:dyDescent="0.2">
      <c r="B64" s="45"/>
      <c r="C64" s="45"/>
      <c r="D64" s="45"/>
      <c r="E64" s="45"/>
      <c r="F64" s="45"/>
      <c r="K64" s="14"/>
    </row>
    <row r="65" spans="2:11" ht="12.75" customHeight="1" x14ac:dyDescent="0.2">
      <c r="B65" s="45"/>
      <c r="C65" s="45"/>
      <c r="D65" s="45"/>
      <c r="E65" s="45"/>
      <c r="F65" s="45"/>
      <c r="K65" s="14"/>
    </row>
    <row r="66" spans="2:11" ht="12.75" customHeight="1" x14ac:dyDescent="0.2">
      <c r="B66" s="45"/>
      <c r="C66" s="45"/>
      <c r="D66" s="45"/>
      <c r="E66" s="45"/>
      <c r="F66" s="45"/>
      <c r="K66" s="14"/>
    </row>
    <row r="67" spans="2:11" ht="12.75" customHeight="1" x14ac:dyDescent="0.2">
      <c r="B67" s="45"/>
      <c r="C67" s="45"/>
      <c r="D67" s="45"/>
      <c r="E67" s="45"/>
      <c r="F67" s="45"/>
      <c r="K67" s="14"/>
    </row>
    <row r="68" spans="2:11" ht="12.75" customHeight="1" x14ac:dyDescent="0.2">
      <c r="B68" s="45"/>
      <c r="C68" s="45"/>
      <c r="D68" s="45"/>
      <c r="E68" s="45"/>
      <c r="F68" s="45"/>
      <c r="K68" s="14"/>
    </row>
    <row r="69" spans="2:11" ht="12.75" customHeight="1" x14ac:dyDescent="0.2">
      <c r="B69" s="45"/>
      <c r="C69" s="45"/>
      <c r="D69" s="45"/>
      <c r="E69" s="45"/>
      <c r="F69" s="45"/>
      <c r="K69" s="14"/>
    </row>
    <row r="70" spans="2:11" ht="12.75" customHeight="1" x14ac:dyDescent="0.2">
      <c r="B70" s="45"/>
      <c r="C70" s="45"/>
      <c r="D70" s="45"/>
      <c r="E70" s="45"/>
      <c r="F70" s="45"/>
      <c r="K70" s="14"/>
    </row>
    <row r="71" spans="2:11" ht="12.75" customHeight="1" x14ac:dyDescent="0.2">
      <c r="B71" s="45"/>
      <c r="C71" s="45"/>
      <c r="D71" s="45"/>
      <c r="E71" s="45"/>
      <c r="F71" s="45"/>
      <c r="K71" s="14"/>
    </row>
    <row r="72" spans="2:11" ht="12.75" customHeight="1" x14ac:dyDescent="0.2">
      <c r="B72" s="45"/>
      <c r="C72" s="45"/>
      <c r="D72" s="45"/>
      <c r="E72" s="45"/>
      <c r="F72" s="45"/>
      <c r="K72" s="14"/>
    </row>
    <row r="73" spans="2:11" ht="12.75" customHeight="1" x14ac:dyDescent="0.2">
      <c r="B73" s="45"/>
      <c r="C73" s="45"/>
      <c r="D73" s="45"/>
      <c r="E73" s="45"/>
      <c r="F73" s="45"/>
      <c r="K73" s="14"/>
    </row>
    <row r="74" spans="2:11" ht="12.75" customHeight="1" x14ac:dyDescent="0.2">
      <c r="B74" s="45"/>
      <c r="C74" s="45"/>
      <c r="D74" s="45"/>
      <c r="E74" s="45"/>
      <c r="F74" s="45"/>
      <c r="K74" s="14"/>
    </row>
    <row r="75" spans="2:11" ht="12.75" customHeight="1" x14ac:dyDescent="0.2">
      <c r="B75" s="45"/>
      <c r="C75" s="45"/>
      <c r="D75" s="45"/>
      <c r="E75" s="45"/>
      <c r="F75" s="45"/>
      <c r="K75" s="14"/>
    </row>
    <row r="76" spans="2:11" ht="12.75" customHeight="1" x14ac:dyDescent="0.2">
      <c r="B76" s="45"/>
      <c r="C76" s="45"/>
      <c r="D76" s="45"/>
      <c r="E76" s="45"/>
      <c r="F76" s="45"/>
      <c r="K76" s="14"/>
    </row>
    <row r="77" spans="2:11" ht="12.75" customHeight="1" x14ac:dyDescent="0.2">
      <c r="B77" s="45"/>
      <c r="C77" s="45"/>
      <c r="D77" s="45"/>
      <c r="E77" s="45"/>
      <c r="F77" s="45"/>
      <c r="K77" s="14"/>
    </row>
    <row r="78" spans="2:11" ht="12.75" customHeight="1" x14ac:dyDescent="0.2">
      <c r="B78" s="45"/>
      <c r="C78" s="45"/>
      <c r="D78" s="45"/>
      <c r="E78" s="45"/>
      <c r="F78" s="45"/>
      <c r="K78" s="14"/>
    </row>
    <row r="79" spans="2:11" ht="12.75" customHeight="1" x14ac:dyDescent="0.2">
      <c r="B79" s="45"/>
      <c r="C79" s="45"/>
      <c r="D79" s="45"/>
      <c r="E79" s="45"/>
      <c r="F79" s="45"/>
      <c r="K79" s="14"/>
    </row>
    <row r="80" spans="2:11" ht="12.75" customHeight="1" x14ac:dyDescent="0.2">
      <c r="B80" s="45"/>
      <c r="C80" s="45"/>
      <c r="D80" s="45"/>
      <c r="E80" s="45"/>
      <c r="F80" s="45"/>
      <c r="K80" s="14"/>
    </row>
    <row r="81" spans="2:11" ht="12.75" customHeight="1" x14ac:dyDescent="0.2">
      <c r="B81" s="45"/>
      <c r="C81" s="45"/>
      <c r="D81" s="45"/>
      <c r="E81" s="45"/>
      <c r="F81" s="45"/>
      <c r="K81" s="14"/>
    </row>
    <row r="82" spans="2:11" ht="12.75" customHeight="1" x14ac:dyDescent="0.2">
      <c r="B82" s="45"/>
      <c r="C82" s="45"/>
      <c r="D82" s="45"/>
      <c r="E82" s="45"/>
      <c r="F82" s="45"/>
      <c r="K82" s="14"/>
    </row>
    <row r="83" spans="2:11" ht="12.75" customHeight="1" x14ac:dyDescent="0.2">
      <c r="B83" s="45"/>
      <c r="C83" s="45"/>
      <c r="D83" s="45"/>
      <c r="E83" s="45"/>
      <c r="F83" s="45"/>
      <c r="K83" s="14"/>
    </row>
    <row r="84" spans="2:11" ht="12.75" customHeight="1" x14ac:dyDescent="0.2">
      <c r="B84" s="45"/>
      <c r="C84" s="45"/>
      <c r="D84" s="45"/>
      <c r="E84" s="45"/>
      <c r="F84" s="45"/>
      <c r="K84" s="14"/>
    </row>
    <row r="85" spans="2:11" ht="12.75" customHeight="1" x14ac:dyDescent="0.2">
      <c r="B85" s="45"/>
      <c r="C85" s="45"/>
      <c r="D85" s="45"/>
      <c r="E85" s="45"/>
      <c r="F85" s="45"/>
      <c r="K85" s="14"/>
    </row>
    <row r="86" spans="2:11" ht="12.75" customHeight="1" x14ac:dyDescent="0.2">
      <c r="B86" s="45"/>
      <c r="C86" s="45"/>
      <c r="D86" s="45"/>
      <c r="E86" s="45"/>
      <c r="F86" s="45"/>
      <c r="K86" s="14"/>
    </row>
    <row r="87" spans="2:11" ht="12.75" customHeight="1" x14ac:dyDescent="0.2">
      <c r="B87" s="45"/>
      <c r="C87" s="45"/>
      <c r="D87" s="45"/>
      <c r="E87" s="45"/>
      <c r="F87" s="45"/>
      <c r="K87" s="14"/>
    </row>
    <row r="88" spans="2:11" ht="12.75" customHeight="1" x14ac:dyDescent="0.2">
      <c r="B88" s="45"/>
      <c r="C88" s="45"/>
      <c r="D88" s="45"/>
      <c r="E88" s="45"/>
      <c r="F88" s="45"/>
      <c r="K88" s="14"/>
    </row>
    <row r="89" spans="2:11" ht="12.75" customHeight="1" x14ac:dyDescent="0.2">
      <c r="B89" s="45"/>
      <c r="C89" s="45"/>
      <c r="D89" s="45"/>
      <c r="E89" s="45"/>
      <c r="F89" s="45"/>
      <c r="K89" s="14"/>
    </row>
    <row r="90" spans="2:11" ht="12.75" customHeight="1" x14ac:dyDescent="0.2">
      <c r="B90" s="45"/>
      <c r="C90" s="45"/>
      <c r="D90" s="45"/>
      <c r="E90" s="45"/>
      <c r="F90" s="45"/>
      <c r="K90" s="14"/>
    </row>
    <row r="91" spans="2:11" ht="12.75" customHeight="1" x14ac:dyDescent="0.2">
      <c r="B91" s="45"/>
      <c r="C91" s="45"/>
      <c r="D91" s="45"/>
      <c r="E91" s="45"/>
      <c r="F91" s="45"/>
      <c r="K91" s="14"/>
    </row>
    <row r="92" spans="2:11" ht="12.75" customHeight="1" x14ac:dyDescent="0.2">
      <c r="B92" s="45"/>
      <c r="C92" s="45"/>
      <c r="D92" s="45"/>
      <c r="E92" s="45"/>
      <c r="F92" s="45"/>
      <c r="K92" s="14"/>
    </row>
    <row r="93" spans="2:11" ht="12.75" customHeight="1" x14ac:dyDescent="0.2">
      <c r="B93" s="45"/>
      <c r="C93" s="45"/>
      <c r="D93" s="45"/>
      <c r="E93" s="45"/>
      <c r="F93" s="45"/>
      <c r="K93" s="14"/>
    </row>
    <row r="94" spans="2:11" ht="12.75" customHeight="1" x14ac:dyDescent="0.2">
      <c r="B94" s="45"/>
      <c r="C94" s="45"/>
      <c r="D94" s="45"/>
      <c r="E94" s="45"/>
      <c r="F94" s="45"/>
      <c r="K94" s="14"/>
    </row>
    <row r="95" spans="2:11" ht="12.75" customHeight="1" x14ac:dyDescent="0.2">
      <c r="B95" s="45"/>
      <c r="C95" s="45"/>
      <c r="D95" s="45"/>
      <c r="E95" s="45"/>
      <c r="F95" s="45"/>
      <c r="K95" s="14"/>
    </row>
    <row r="96" spans="2:11" ht="12.75" customHeight="1" x14ac:dyDescent="0.2">
      <c r="B96" s="45"/>
      <c r="C96" s="45"/>
      <c r="D96" s="45"/>
      <c r="E96" s="45"/>
      <c r="F96" s="45"/>
      <c r="K96" s="14"/>
    </row>
    <row r="97" spans="2:11" ht="12.75" customHeight="1" x14ac:dyDescent="0.2">
      <c r="B97" s="45"/>
      <c r="C97" s="45"/>
      <c r="D97" s="45"/>
      <c r="E97" s="45"/>
      <c r="F97" s="45"/>
      <c r="K97" s="14"/>
    </row>
    <row r="98" spans="2:11" ht="12.75" customHeight="1" x14ac:dyDescent="0.2">
      <c r="B98" s="45"/>
      <c r="C98" s="45"/>
      <c r="D98" s="45"/>
      <c r="E98" s="45"/>
      <c r="F98" s="45"/>
      <c r="K98" s="14"/>
    </row>
    <row r="99" spans="2:11" ht="12.75" customHeight="1" x14ac:dyDescent="0.2">
      <c r="B99" s="45"/>
      <c r="C99" s="45"/>
      <c r="D99" s="45"/>
      <c r="E99" s="45"/>
      <c r="F99" s="45"/>
      <c r="K99" s="14"/>
    </row>
    <row r="100" spans="2:11" ht="12.75" customHeight="1" x14ac:dyDescent="0.2">
      <c r="B100" s="45"/>
      <c r="C100" s="45"/>
      <c r="D100" s="45"/>
      <c r="E100" s="45"/>
      <c r="F100" s="45"/>
      <c r="K100" s="14"/>
    </row>
    <row r="101" spans="2:11" ht="12.75" customHeight="1" x14ac:dyDescent="0.2">
      <c r="B101" s="45"/>
      <c r="C101" s="45"/>
      <c r="D101" s="45"/>
      <c r="E101" s="45"/>
      <c r="F101" s="45"/>
      <c r="K101" s="14"/>
    </row>
    <row r="102" spans="2:11" ht="12.75" customHeight="1" x14ac:dyDescent="0.2">
      <c r="B102" s="45"/>
      <c r="C102" s="45"/>
      <c r="D102" s="45"/>
      <c r="E102" s="45"/>
      <c r="F102" s="45"/>
      <c r="K102" s="14"/>
    </row>
    <row r="103" spans="2:11" ht="12.75" customHeight="1" x14ac:dyDescent="0.2">
      <c r="B103" s="45"/>
      <c r="C103" s="45"/>
      <c r="D103" s="45"/>
      <c r="E103" s="45"/>
      <c r="F103" s="45"/>
      <c r="K103" s="14"/>
    </row>
    <row r="104" spans="2:11" ht="12.75" customHeight="1" x14ac:dyDescent="0.2">
      <c r="B104" s="45"/>
      <c r="C104" s="45"/>
      <c r="D104" s="45"/>
      <c r="E104" s="45"/>
      <c r="F104" s="45"/>
      <c r="K104" s="14"/>
    </row>
    <row r="105" spans="2:11" ht="12.75" customHeight="1" x14ac:dyDescent="0.2">
      <c r="B105" s="45"/>
      <c r="C105" s="45"/>
      <c r="D105" s="45"/>
      <c r="E105" s="45"/>
      <c r="F105" s="45"/>
      <c r="K105" s="14"/>
    </row>
    <row r="106" spans="2:11" ht="12.75" customHeight="1" x14ac:dyDescent="0.2">
      <c r="B106" s="45"/>
      <c r="C106" s="45"/>
      <c r="D106" s="45"/>
      <c r="E106" s="45"/>
      <c r="F106" s="45"/>
      <c r="K106" s="14"/>
    </row>
    <row r="107" spans="2:11" ht="12.75" customHeight="1" x14ac:dyDescent="0.2">
      <c r="B107" s="45"/>
      <c r="C107" s="45"/>
      <c r="D107" s="45"/>
      <c r="E107" s="45"/>
      <c r="F107" s="45"/>
      <c r="K107" s="14"/>
    </row>
    <row r="108" spans="2:11" ht="12.75" customHeight="1" x14ac:dyDescent="0.2">
      <c r="B108" s="45"/>
      <c r="C108" s="45"/>
      <c r="D108" s="45"/>
      <c r="E108" s="45"/>
      <c r="F108" s="45"/>
      <c r="K108" s="14"/>
    </row>
    <row r="109" spans="2:11" ht="12.75" customHeight="1" x14ac:dyDescent="0.2">
      <c r="B109" s="45"/>
      <c r="C109" s="45"/>
      <c r="D109" s="45"/>
      <c r="E109" s="45"/>
      <c r="F109" s="45"/>
      <c r="K109" s="14"/>
    </row>
    <row r="110" spans="2:11" ht="12.75" customHeight="1" x14ac:dyDescent="0.2">
      <c r="B110" s="45"/>
      <c r="C110" s="45"/>
      <c r="D110" s="45"/>
      <c r="E110" s="45"/>
      <c r="F110" s="45"/>
      <c r="K110" s="14"/>
    </row>
    <row r="111" spans="2:11" ht="12.75" customHeight="1" x14ac:dyDescent="0.2">
      <c r="B111" s="45"/>
      <c r="C111" s="45"/>
      <c r="D111" s="45"/>
      <c r="E111" s="45"/>
      <c r="F111" s="45"/>
      <c r="K111" s="14"/>
    </row>
    <row r="112" spans="2:11" ht="12.75" customHeight="1" x14ac:dyDescent="0.2">
      <c r="B112" s="45"/>
      <c r="C112" s="45"/>
      <c r="D112" s="45"/>
      <c r="E112" s="45"/>
      <c r="F112" s="45"/>
      <c r="K112" s="14"/>
    </row>
    <row r="113" spans="2:11" ht="12.75" customHeight="1" x14ac:dyDescent="0.2">
      <c r="B113" s="45"/>
      <c r="C113" s="45"/>
      <c r="D113" s="45"/>
      <c r="E113" s="45"/>
      <c r="F113" s="45"/>
      <c r="K113" s="14"/>
    </row>
    <row r="114" spans="2:11" ht="12.75" customHeight="1" x14ac:dyDescent="0.2">
      <c r="B114" s="45"/>
      <c r="C114" s="45"/>
      <c r="D114" s="45"/>
      <c r="E114" s="45"/>
      <c r="F114" s="45"/>
      <c r="K114" s="14"/>
    </row>
    <row r="115" spans="2:11" ht="12.75" customHeight="1" x14ac:dyDescent="0.2">
      <c r="B115" s="45"/>
      <c r="C115" s="45"/>
      <c r="D115" s="45"/>
      <c r="E115" s="45"/>
      <c r="F115" s="45"/>
      <c r="K115" s="14"/>
    </row>
    <row r="116" spans="2:11" ht="12.75" customHeight="1" x14ac:dyDescent="0.2">
      <c r="B116" s="45"/>
      <c r="C116" s="45"/>
      <c r="D116" s="45"/>
      <c r="E116" s="45"/>
      <c r="F116" s="45"/>
      <c r="K116" s="14"/>
    </row>
    <row r="117" spans="2:11" ht="12.75" customHeight="1" x14ac:dyDescent="0.2">
      <c r="B117" s="45"/>
      <c r="C117" s="45"/>
      <c r="D117" s="45"/>
      <c r="E117" s="45"/>
      <c r="F117" s="45"/>
      <c r="K117" s="14"/>
    </row>
    <row r="118" spans="2:11" ht="12.75" customHeight="1" x14ac:dyDescent="0.2">
      <c r="B118" s="45"/>
      <c r="C118" s="45"/>
      <c r="D118" s="45"/>
      <c r="E118" s="45"/>
      <c r="F118" s="45"/>
      <c r="K118" s="14"/>
    </row>
    <row r="119" spans="2:11" ht="12.75" customHeight="1" x14ac:dyDescent="0.2">
      <c r="B119" s="45"/>
      <c r="C119" s="45"/>
      <c r="D119" s="45"/>
      <c r="E119" s="45"/>
      <c r="F119" s="45"/>
      <c r="K119" s="14"/>
    </row>
    <row r="120" spans="2:11" ht="12.75" customHeight="1" x14ac:dyDescent="0.2">
      <c r="B120" s="45"/>
      <c r="C120" s="45"/>
      <c r="D120" s="45"/>
      <c r="E120" s="45"/>
      <c r="F120" s="45"/>
      <c r="K120" s="14"/>
    </row>
    <row r="121" spans="2:11" ht="12.75" customHeight="1" x14ac:dyDescent="0.2">
      <c r="B121" s="45"/>
      <c r="C121" s="45"/>
      <c r="D121" s="45"/>
      <c r="E121" s="45"/>
      <c r="F121" s="45"/>
      <c r="K121" s="14"/>
    </row>
    <row r="122" spans="2:11" ht="12.75" customHeight="1" x14ac:dyDescent="0.2">
      <c r="B122" s="45"/>
      <c r="C122" s="45"/>
      <c r="D122" s="45"/>
      <c r="E122" s="45"/>
      <c r="F122" s="45"/>
      <c r="K122" s="14"/>
    </row>
    <row r="123" spans="2:11" ht="12.75" customHeight="1" x14ac:dyDescent="0.2">
      <c r="B123" s="45"/>
      <c r="C123" s="45"/>
      <c r="D123" s="45"/>
      <c r="E123" s="45"/>
      <c r="F123" s="45"/>
      <c r="K123" s="14"/>
    </row>
    <row r="124" spans="2:11" ht="12.75" customHeight="1" x14ac:dyDescent="0.2">
      <c r="B124" s="45"/>
      <c r="C124" s="45"/>
      <c r="D124" s="45"/>
      <c r="E124" s="45"/>
      <c r="F124" s="45"/>
      <c r="K124" s="14"/>
    </row>
    <row r="125" spans="2:11" ht="12.75" customHeight="1" x14ac:dyDescent="0.2">
      <c r="B125" s="45"/>
      <c r="C125" s="45"/>
      <c r="D125" s="45"/>
      <c r="E125" s="45"/>
      <c r="F125" s="45"/>
      <c r="K125" s="14"/>
    </row>
    <row r="126" spans="2:11" ht="12.75" customHeight="1" x14ac:dyDescent="0.2">
      <c r="B126" s="45"/>
      <c r="C126" s="45"/>
      <c r="D126" s="45"/>
      <c r="E126" s="45"/>
      <c r="F126" s="45"/>
      <c r="K126" s="14"/>
    </row>
    <row r="127" spans="2:11" ht="12.75" customHeight="1" x14ac:dyDescent="0.2">
      <c r="B127" s="45"/>
      <c r="C127" s="45"/>
      <c r="D127" s="45"/>
      <c r="E127" s="45"/>
      <c r="F127" s="45"/>
      <c r="K127" s="14"/>
    </row>
    <row r="128" spans="2:11" ht="12.75" customHeight="1" x14ac:dyDescent="0.2">
      <c r="B128" s="45"/>
      <c r="C128" s="45"/>
      <c r="D128" s="45"/>
      <c r="E128" s="45"/>
      <c r="F128" s="45"/>
      <c r="K128" s="14"/>
    </row>
    <row r="129" spans="2:11" ht="12.75" customHeight="1" x14ac:dyDescent="0.2">
      <c r="B129" s="45"/>
      <c r="C129" s="45"/>
      <c r="D129" s="45"/>
      <c r="E129" s="45"/>
      <c r="F129" s="45"/>
      <c r="K129" s="14"/>
    </row>
    <row r="130" spans="2:11" ht="12.75" customHeight="1" x14ac:dyDescent="0.2">
      <c r="B130" s="45"/>
      <c r="C130" s="45"/>
      <c r="D130" s="45"/>
      <c r="E130" s="45"/>
      <c r="F130" s="45"/>
      <c r="K130" s="14"/>
    </row>
    <row r="131" spans="2:11" ht="12.75" customHeight="1" x14ac:dyDescent="0.2">
      <c r="B131" s="45"/>
      <c r="C131" s="45"/>
      <c r="D131" s="45"/>
      <c r="E131" s="45"/>
      <c r="F131" s="45"/>
      <c r="K131" s="14"/>
    </row>
    <row r="132" spans="2:11" ht="12.75" customHeight="1" x14ac:dyDescent="0.2">
      <c r="B132" s="45"/>
      <c r="C132" s="45"/>
      <c r="D132" s="45"/>
      <c r="E132" s="45"/>
      <c r="F132" s="45"/>
      <c r="K132" s="14"/>
    </row>
    <row r="133" spans="2:11" ht="12.75" customHeight="1" x14ac:dyDescent="0.2">
      <c r="B133" s="45"/>
      <c r="C133" s="45"/>
      <c r="D133" s="45"/>
      <c r="E133" s="45"/>
      <c r="F133" s="45"/>
      <c r="K133" s="14"/>
    </row>
    <row r="134" spans="2:11" ht="12.75" customHeight="1" x14ac:dyDescent="0.2">
      <c r="B134" s="45"/>
      <c r="C134" s="45"/>
      <c r="D134" s="45"/>
      <c r="E134" s="45"/>
      <c r="F134" s="45"/>
      <c r="K134" s="14"/>
    </row>
    <row r="135" spans="2:11" ht="12.75" customHeight="1" x14ac:dyDescent="0.2">
      <c r="B135" s="45"/>
      <c r="C135" s="45"/>
      <c r="D135" s="45"/>
      <c r="E135" s="45"/>
      <c r="F135" s="45"/>
      <c r="K135" s="14"/>
    </row>
    <row r="136" spans="2:11" ht="12.75" customHeight="1" x14ac:dyDescent="0.2">
      <c r="B136" s="45"/>
      <c r="C136" s="45"/>
      <c r="D136" s="45"/>
      <c r="E136" s="45"/>
      <c r="F136" s="45"/>
      <c r="K136" s="14"/>
    </row>
    <row r="137" spans="2:11" ht="12.75" customHeight="1" x14ac:dyDescent="0.2">
      <c r="B137" s="45"/>
      <c r="C137" s="45"/>
      <c r="D137" s="45"/>
      <c r="E137" s="45"/>
      <c r="F137" s="45"/>
      <c r="K137" s="14"/>
    </row>
    <row r="138" spans="2:11" ht="12.75" customHeight="1" x14ac:dyDescent="0.2">
      <c r="B138" s="45"/>
      <c r="C138" s="45"/>
      <c r="D138" s="45"/>
      <c r="E138" s="45"/>
      <c r="F138" s="45"/>
      <c r="K138" s="14"/>
    </row>
    <row r="139" spans="2:11" ht="12.75" customHeight="1" x14ac:dyDescent="0.2">
      <c r="B139" s="45"/>
      <c r="C139" s="45"/>
      <c r="D139" s="45"/>
      <c r="E139" s="45"/>
      <c r="F139" s="45"/>
      <c r="K139" s="14"/>
    </row>
    <row r="140" spans="2:11" ht="12.75" customHeight="1" x14ac:dyDescent="0.2">
      <c r="B140" s="45"/>
      <c r="C140" s="45"/>
      <c r="D140" s="45"/>
      <c r="E140" s="45"/>
      <c r="F140" s="45"/>
      <c r="K140" s="14"/>
    </row>
    <row r="141" spans="2:11" ht="12.75" customHeight="1" x14ac:dyDescent="0.2">
      <c r="B141" s="45"/>
      <c r="C141" s="45"/>
      <c r="D141" s="45"/>
      <c r="E141" s="45"/>
      <c r="F141" s="45"/>
      <c r="K141" s="14"/>
    </row>
    <row r="142" spans="2:11" ht="12.75" customHeight="1" x14ac:dyDescent="0.2">
      <c r="B142" s="45"/>
      <c r="C142" s="45"/>
      <c r="D142" s="45"/>
      <c r="E142" s="45"/>
      <c r="F142" s="45"/>
      <c r="K142" s="14"/>
    </row>
    <row r="143" spans="2:11" ht="12.75" customHeight="1" x14ac:dyDescent="0.2">
      <c r="B143" s="45"/>
      <c r="C143" s="45"/>
      <c r="D143" s="45"/>
      <c r="E143" s="45"/>
      <c r="F143" s="45"/>
      <c r="K143" s="14"/>
    </row>
    <row r="144" spans="2:11" ht="12.75" customHeight="1" x14ac:dyDescent="0.2">
      <c r="B144" s="45"/>
      <c r="C144" s="45"/>
      <c r="D144" s="45"/>
      <c r="E144" s="45"/>
      <c r="F144" s="45"/>
      <c r="K144" s="14"/>
    </row>
    <row r="145" spans="2:11" ht="12.75" customHeight="1" x14ac:dyDescent="0.2">
      <c r="B145" s="45"/>
      <c r="C145" s="45"/>
      <c r="D145" s="45"/>
      <c r="E145" s="45"/>
      <c r="F145" s="45"/>
      <c r="K145" s="14"/>
    </row>
    <row r="146" spans="2:11" ht="12.75" customHeight="1" x14ac:dyDescent="0.2">
      <c r="B146" s="45"/>
      <c r="C146" s="45"/>
      <c r="D146" s="45"/>
      <c r="E146" s="45"/>
      <c r="F146" s="45"/>
      <c r="K146" s="14"/>
    </row>
    <row r="147" spans="2:11" ht="12.75" customHeight="1" x14ac:dyDescent="0.2">
      <c r="B147" s="45"/>
      <c r="C147" s="45"/>
      <c r="D147" s="45"/>
      <c r="E147" s="45"/>
      <c r="F147" s="45"/>
      <c r="K147" s="14"/>
    </row>
    <row r="148" spans="2:11" ht="12.75" customHeight="1" x14ac:dyDescent="0.2">
      <c r="B148" s="45"/>
      <c r="C148" s="45"/>
      <c r="D148" s="45"/>
      <c r="E148" s="45"/>
      <c r="F148" s="45"/>
      <c r="K148" s="14"/>
    </row>
    <row r="149" spans="2:11" ht="12.75" customHeight="1" x14ac:dyDescent="0.2">
      <c r="B149" s="45"/>
      <c r="C149" s="45"/>
      <c r="D149" s="45"/>
      <c r="E149" s="45"/>
      <c r="F149" s="45"/>
      <c r="K149" s="14"/>
    </row>
    <row r="150" spans="2:11" ht="12.75" customHeight="1" x14ac:dyDescent="0.2">
      <c r="B150" s="45"/>
      <c r="C150" s="45"/>
      <c r="D150" s="45"/>
      <c r="E150" s="45"/>
      <c r="F150" s="45"/>
      <c r="K150" s="14"/>
    </row>
    <row r="151" spans="2:11" ht="12.75" customHeight="1" x14ac:dyDescent="0.2">
      <c r="B151" s="45"/>
      <c r="C151" s="45"/>
      <c r="D151" s="45"/>
      <c r="E151" s="45"/>
      <c r="F151" s="45"/>
      <c r="K151" s="14"/>
    </row>
    <row r="152" spans="2:11" ht="12.75" customHeight="1" x14ac:dyDescent="0.2">
      <c r="B152" s="45"/>
      <c r="C152" s="45"/>
      <c r="D152" s="45"/>
      <c r="E152" s="45"/>
      <c r="F152" s="45"/>
      <c r="K152" s="14"/>
    </row>
    <row r="153" spans="2:11" ht="12.75" customHeight="1" x14ac:dyDescent="0.2">
      <c r="B153" s="45"/>
      <c r="C153" s="45"/>
      <c r="D153" s="45"/>
      <c r="E153" s="45"/>
      <c r="F153" s="45"/>
      <c r="K153" s="14"/>
    </row>
    <row r="154" spans="2:11" ht="12.75" customHeight="1" x14ac:dyDescent="0.2">
      <c r="B154" s="45"/>
      <c r="C154" s="45"/>
      <c r="D154" s="45"/>
      <c r="E154" s="45"/>
      <c r="F154" s="45"/>
      <c r="K154" s="14"/>
    </row>
    <row r="155" spans="2:11" ht="12.75" customHeight="1" x14ac:dyDescent="0.2">
      <c r="B155" s="45"/>
      <c r="C155" s="45"/>
      <c r="D155" s="45"/>
      <c r="E155" s="45"/>
      <c r="F155" s="45"/>
      <c r="K155" s="14"/>
    </row>
    <row r="156" spans="2:11" ht="12.75" customHeight="1" x14ac:dyDescent="0.2">
      <c r="B156" s="45"/>
      <c r="C156" s="45"/>
      <c r="D156" s="45"/>
      <c r="E156" s="45"/>
      <c r="F156" s="45"/>
      <c r="K156" s="14"/>
    </row>
    <row r="157" spans="2:11" ht="12.75" customHeight="1" x14ac:dyDescent="0.2">
      <c r="B157" s="45"/>
      <c r="C157" s="45"/>
      <c r="D157" s="45"/>
      <c r="E157" s="45"/>
      <c r="F157" s="45"/>
      <c r="K157" s="14"/>
    </row>
    <row r="158" spans="2:11" ht="12.75" customHeight="1" x14ac:dyDescent="0.2">
      <c r="B158" s="45"/>
      <c r="C158" s="45"/>
      <c r="D158" s="45"/>
      <c r="E158" s="45"/>
      <c r="F158" s="45"/>
      <c r="K158" s="14"/>
    </row>
    <row r="159" spans="2:11" ht="12.75" customHeight="1" x14ac:dyDescent="0.2">
      <c r="B159" s="45"/>
      <c r="C159" s="45"/>
      <c r="D159" s="45"/>
      <c r="E159" s="45"/>
      <c r="F159" s="45"/>
      <c r="K159" s="14"/>
    </row>
    <row r="160" spans="2:11" ht="12.75" customHeight="1" x14ac:dyDescent="0.2">
      <c r="B160" s="45"/>
      <c r="C160" s="45"/>
      <c r="D160" s="45"/>
      <c r="E160" s="45"/>
      <c r="F160" s="45"/>
      <c r="K160" s="14"/>
    </row>
    <row r="161" spans="2:11" ht="12.75" customHeight="1" x14ac:dyDescent="0.2">
      <c r="B161" s="45"/>
      <c r="C161" s="45"/>
      <c r="D161" s="45"/>
      <c r="E161" s="45"/>
      <c r="F161" s="45"/>
      <c r="K161" s="14"/>
    </row>
    <row r="162" spans="2:11" ht="12.75" customHeight="1" x14ac:dyDescent="0.2">
      <c r="B162" s="45"/>
      <c r="C162" s="45"/>
      <c r="D162" s="45"/>
      <c r="E162" s="45"/>
      <c r="F162" s="45"/>
      <c r="K162" s="14"/>
    </row>
    <row r="163" spans="2:11" ht="12.75" customHeight="1" x14ac:dyDescent="0.2">
      <c r="B163" s="45"/>
      <c r="C163" s="45"/>
      <c r="D163" s="45"/>
      <c r="E163" s="45"/>
      <c r="F163" s="45"/>
      <c r="K163" s="14"/>
    </row>
    <row r="164" spans="2:11" ht="12.75" customHeight="1" x14ac:dyDescent="0.2">
      <c r="B164" s="45"/>
      <c r="C164" s="45"/>
      <c r="D164" s="45"/>
      <c r="E164" s="45"/>
      <c r="F164" s="45"/>
      <c r="K164" s="14"/>
    </row>
    <row r="165" spans="2:11" ht="12.75" customHeight="1" x14ac:dyDescent="0.2">
      <c r="B165" s="45"/>
      <c r="C165" s="45"/>
      <c r="D165" s="45"/>
      <c r="E165" s="45"/>
      <c r="F165" s="45"/>
      <c r="K165" s="14"/>
    </row>
    <row r="166" spans="2:11" ht="12.75" customHeight="1" x14ac:dyDescent="0.2">
      <c r="B166" s="45"/>
      <c r="C166" s="45"/>
      <c r="D166" s="45"/>
      <c r="E166" s="45"/>
      <c r="F166" s="45"/>
      <c r="K166" s="14"/>
    </row>
    <row r="167" spans="2:11" ht="12.75" customHeight="1" x14ac:dyDescent="0.2">
      <c r="B167" s="45"/>
      <c r="C167" s="45"/>
      <c r="D167" s="45"/>
      <c r="E167" s="45"/>
      <c r="F167" s="45"/>
      <c r="K167" s="14"/>
    </row>
    <row r="168" spans="2:11" ht="12.75" customHeight="1" x14ac:dyDescent="0.2">
      <c r="B168" s="45"/>
      <c r="C168" s="45"/>
      <c r="D168" s="45"/>
      <c r="E168" s="45"/>
      <c r="F168" s="45"/>
      <c r="K168" s="14"/>
    </row>
    <row r="169" spans="2:11" ht="12.75" customHeight="1" x14ac:dyDescent="0.2">
      <c r="B169" s="45"/>
      <c r="C169" s="45"/>
      <c r="D169" s="45"/>
      <c r="E169" s="45"/>
      <c r="F169" s="45"/>
      <c r="K169" s="14"/>
    </row>
    <row r="170" spans="2:11" ht="12.75" customHeight="1" x14ac:dyDescent="0.2">
      <c r="B170" s="45"/>
      <c r="C170" s="45"/>
      <c r="D170" s="45"/>
      <c r="E170" s="45"/>
      <c r="F170" s="45"/>
      <c r="K170" s="14"/>
    </row>
    <row r="171" spans="2:11" ht="12.75" customHeight="1" x14ac:dyDescent="0.2">
      <c r="B171" s="45"/>
      <c r="C171" s="45"/>
      <c r="D171" s="45"/>
      <c r="E171" s="45"/>
      <c r="F171" s="45"/>
      <c r="K171" s="14"/>
    </row>
    <row r="172" spans="2:11" ht="12.75" customHeight="1" x14ac:dyDescent="0.2">
      <c r="B172" s="45"/>
      <c r="C172" s="45"/>
      <c r="D172" s="45"/>
      <c r="E172" s="45"/>
      <c r="F172" s="45"/>
      <c r="K172" s="14"/>
    </row>
    <row r="173" spans="2:11" ht="12.75" customHeight="1" x14ac:dyDescent="0.2">
      <c r="B173" s="45"/>
      <c r="C173" s="45"/>
      <c r="D173" s="45"/>
      <c r="E173" s="45"/>
      <c r="F173" s="45"/>
      <c r="K173" s="14"/>
    </row>
    <row r="174" spans="2:11" ht="12.75" customHeight="1" x14ac:dyDescent="0.2">
      <c r="B174" s="45"/>
      <c r="C174" s="45"/>
      <c r="D174" s="45"/>
      <c r="E174" s="45"/>
      <c r="F174" s="45"/>
      <c r="K174" s="14"/>
    </row>
    <row r="175" spans="2:11" ht="12.75" customHeight="1" x14ac:dyDescent="0.2">
      <c r="B175" s="45"/>
      <c r="C175" s="45"/>
      <c r="D175" s="45"/>
      <c r="E175" s="45"/>
      <c r="F175" s="45"/>
      <c r="K175" s="14"/>
    </row>
    <row r="176" spans="2:11" ht="12.75" customHeight="1" x14ac:dyDescent="0.2">
      <c r="B176" s="45"/>
      <c r="C176" s="45"/>
      <c r="D176" s="45"/>
      <c r="E176" s="45"/>
      <c r="F176" s="45"/>
      <c r="K176" s="14"/>
    </row>
    <row r="177" spans="2:11" ht="12.75" customHeight="1" x14ac:dyDescent="0.2">
      <c r="B177" s="45"/>
      <c r="C177" s="45"/>
      <c r="D177" s="45"/>
      <c r="E177" s="45"/>
      <c r="F177" s="45"/>
      <c r="K177" s="14"/>
    </row>
    <row r="178" spans="2:11" ht="12.75" customHeight="1" x14ac:dyDescent="0.2">
      <c r="B178" s="45"/>
      <c r="C178" s="45"/>
      <c r="D178" s="45"/>
      <c r="E178" s="45"/>
      <c r="F178" s="45"/>
      <c r="K178" s="14"/>
    </row>
    <row r="179" spans="2:11" ht="12.75" customHeight="1" x14ac:dyDescent="0.2">
      <c r="B179" s="45"/>
      <c r="C179" s="45"/>
      <c r="D179" s="45"/>
      <c r="E179" s="45"/>
      <c r="F179" s="45"/>
      <c r="K179" s="14"/>
    </row>
    <row r="180" spans="2:11" ht="12.75" customHeight="1" x14ac:dyDescent="0.2">
      <c r="B180" s="45"/>
      <c r="C180" s="45"/>
      <c r="D180" s="45"/>
      <c r="E180" s="45"/>
      <c r="F180" s="45"/>
      <c r="K180" s="14"/>
    </row>
    <row r="181" spans="2:11" ht="12.75" customHeight="1" x14ac:dyDescent="0.2">
      <c r="B181" s="45"/>
      <c r="C181" s="45"/>
      <c r="D181" s="45"/>
      <c r="E181" s="45"/>
      <c r="F181" s="45"/>
      <c r="K181" s="14"/>
    </row>
    <row r="182" spans="2:11" ht="12.75" customHeight="1" x14ac:dyDescent="0.2">
      <c r="B182" s="45"/>
      <c r="C182" s="45"/>
      <c r="D182" s="45"/>
      <c r="E182" s="45"/>
      <c r="F182" s="45"/>
      <c r="K182" s="14"/>
    </row>
    <row r="183" spans="2:11" ht="12.75" customHeight="1" x14ac:dyDescent="0.2">
      <c r="B183" s="45"/>
      <c r="C183" s="45"/>
      <c r="D183" s="45"/>
      <c r="E183" s="45"/>
      <c r="F183" s="45"/>
      <c r="K183" s="14"/>
    </row>
    <row r="184" spans="2:11" ht="12.75" customHeight="1" x14ac:dyDescent="0.2">
      <c r="B184" s="45"/>
      <c r="C184" s="45"/>
      <c r="D184" s="45"/>
      <c r="E184" s="45"/>
      <c r="F184" s="45"/>
      <c r="K184" s="14"/>
    </row>
    <row r="185" spans="2:11" ht="12.75" customHeight="1" x14ac:dyDescent="0.2">
      <c r="B185" s="45"/>
      <c r="C185" s="45"/>
      <c r="D185" s="45"/>
      <c r="E185" s="45"/>
      <c r="F185" s="45"/>
      <c r="K185" s="14"/>
    </row>
    <row r="186" spans="2:11" ht="12.75" customHeight="1" x14ac:dyDescent="0.2">
      <c r="B186" s="45"/>
      <c r="C186" s="45"/>
      <c r="D186" s="45"/>
      <c r="E186" s="45"/>
      <c r="F186" s="45"/>
      <c r="K186" s="14"/>
    </row>
    <row r="187" spans="2:11" ht="12.75" customHeight="1" x14ac:dyDescent="0.2">
      <c r="B187" s="45"/>
      <c r="C187" s="45"/>
      <c r="D187" s="45"/>
      <c r="E187" s="45"/>
      <c r="F187" s="45"/>
      <c r="K187" s="14"/>
    </row>
    <row r="188" spans="2:11" ht="12.75" customHeight="1" x14ac:dyDescent="0.2">
      <c r="B188" s="45"/>
      <c r="C188" s="45"/>
      <c r="D188" s="45"/>
      <c r="E188" s="45"/>
      <c r="F188" s="45"/>
      <c r="K188" s="14"/>
    </row>
    <row r="189" spans="2:11" ht="12.75" customHeight="1" x14ac:dyDescent="0.2">
      <c r="B189" s="45"/>
      <c r="C189" s="45"/>
      <c r="D189" s="45"/>
      <c r="E189" s="45"/>
      <c r="F189" s="45"/>
      <c r="K189" s="14"/>
    </row>
    <row r="190" spans="2:11" ht="12.75" customHeight="1" x14ac:dyDescent="0.2">
      <c r="B190" s="45"/>
      <c r="C190" s="45"/>
      <c r="D190" s="45"/>
      <c r="E190" s="45"/>
      <c r="F190" s="45"/>
      <c r="K190" s="14"/>
    </row>
    <row r="191" spans="2:11" ht="12.75" customHeight="1" x14ac:dyDescent="0.2">
      <c r="B191" s="45"/>
      <c r="C191" s="45"/>
      <c r="D191" s="45"/>
      <c r="E191" s="45"/>
      <c r="F191" s="45"/>
      <c r="K191" s="14"/>
    </row>
    <row r="192" spans="2:11" ht="12.75" customHeight="1" x14ac:dyDescent="0.2">
      <c r="B192" s="45"/>
      <c r="C192" s="45"/>
      <c r="D192" s="45"/>
      <c r="E192" s="45"/>
      <c r="F192" s="45"/>
      <c r="K192" s="14"/>
    </row>
    <row r="193" spans="2:11" ht="12.75" customHeight="1" x14ac:dyDescent="0.2">
      <c r="B193" s="45"/>
      <c r="C193" s="45"/>
      <c r="D193" s="45"/>
      <c r="E193" s="45"/>
      <c r="F193" s="45"/>
      <c r="K193" s="14"/>
    </row>
    <row r="194" spans="2:11" ht="12.75" customHeight="1" x14ac:dyDescent="0.2">
      <c r="B194" s="45"/>
      <c r="C194" s="45"/>
      <c r="D194" s="45"/>
      <c r="E194" s="45"/>
      <c r="F194" s="45"/>
      <c r="K194" s="14"/>
    </row>
    <row r="195" spans="2:11" ht="12.75" customHeight="1" x14ac:dyDescent="0.2">
      <c r="B195" s="45"/>
      <c r="C195" s="45"/>
      <c r="D195" s="45"/>
      <c r="E195" s="45"/>
      <c r="F195" s="45"/>
      <c r="K195" s="14"/>
    </row>
    <row r="196" spans="2:11" ht="12.75" customHeight="1" x14ac:dyDescent="0.2">
      <c r="B196" s="45"/>
      <c r="C196" s="45"/>
      <c r="D196" s="45"/>
      <c r="E196" s="45"/>
      <c r="F196" s="45"/>
      <c r="K196" s="14"/>
    </row>
    <row r="197" spans="2:11" ht="12.75" customHeight="1" x14ac:dyDescent="0.2">
      <c r="B197" s="45"/>
      <c r="C197" s="45"/>
      <c r="D197" s="45"/>
      <c r="E197" s="45"/>
      <c r="F197" s="45"/>
      <c r="K197" s="14"/>
    </row>
    <row r="198" spans="2:11" ht="12.75" customHeight="1" x14ac:dyDescent="0.2">
      <c r="B198" s="45"/>
      <c r="C198" s="45"/>
      <c r="D198" s="45"/>
      <c r="E198" s="45"/>
      <c r="F198" s="45"/>
      <c r="K198" s="14"/>
    </row>
    <row r="199" spans="2:11" ht="12.75" customHeight="1" x14ac:dyDescent="0.2">
      <c r="B199" s="45"/>
      <c r="C199" s="45"/>
      <c r="D199" s="45"/>
      <c r="E199" s="45"/>
      <c r="F199" s="45"/>
      <c r="K199" s="14"/>
    </row>
    <row r="200" spans="2:11" ht="12.75" customHeight="1" x14ac:dyDescent="0.2">
      <c r="B200" s="45"/>
      <c r="C200" s="45"/>
      <c r="D200" s="45"/>
      <c r="E200" s="45"/>
      <c r="F200" s="45"/>
      <c r="K200" s="14"/>
    </row>
    <row r="201" spans="2:11" ht="12.75" customHeight="1" x14ac:dyDescent="0.2">
      <c r="B201" s="45"/>
      <c r="C201" s="45"/>
      <c r="D201" s="45"/>
      <c r="E201" s="45"/>
      <c r="F201" s="45"/>
      <c r="K201" s="14"/>
    </row>
    <row r="202" spans="2:11" ht="12.75" customHeight="1" x14ac:dyDescent="0.2">
      <c r="B202" s="45"/>
      <c r="C202" s="45"/>
      <c r="D202" s="45"/>
      <c r="E202" s="45"/>
      <c r="F202" s="45"/>
      <c r="K202" s="14"/>
    </row>
    <row r="203" spans="2:11" ht="12.75" customHeight="1" x14ac:dyDescent="0.2">
      <c r="B203" s="45"/>
      <c r="C203" s="45"/>
      <c r="D203" s="45"/>
      <c r="E203" s="45"/>
      <c r="F203" s="45"/>
      <c r="K203" s="14"/>
    </row>
    <row r="204" spans="2:11" ht="12.75" customHeight="1" x14ac:dyDescent="0.2">
      <c r="B204" s="45"/>
      <c r="C204" s="45"/>
      <c r="D204" s="45"/>
      <c r="E204" s="45"/>
      <c r="F204" s="45"/>
      <c r="K204" s="14"/>
    </row>
    <row r="205" spans="2:11" ht="12.75" customHeight="1" x14ac:dyDescent="0.2">
      <c r="B205" s="45"/>
      <c r="C205" s="45"/>
      <c r="D205" s="45"/>
      <c r="E205" s="45"/>
      <c r="F205" s="45"/>
      <c r="K205" s="14"/>
    </row>
    <row r="206" spans="2:11" ht="12.75" customHeight="1" x14ac:dyDescent="0.2">
      <c r="B206" s="45"/>
      <c r="C206" s="45"/>
      <c r="D206" s="45"/>
      <c r="E206" s="45"/>
      <c r="F206" s="45"/>
      <c r="K206" s="14"/>
    </row>
    <row r="207" spans="2:11" ht="12.75" customHeight="1" x14ac:dyDescent="0.2">
      <c r="B207" s="45"/>
      <c r="C207" s="45"/>
      <c r="D207" s="45"/>
      <c r="E207" s="45"/>
      <c r="F207" s="45"/>
      <c r="K207" s="14"/>
    </row>
    <row r="208" spans="2:11" ht="12.75" customHeight="1" x14ac:dyDescent="0.2">
      <c r="B208" s="45"/>
      <c r="C208" s="45"/>
      <c r="D208" s="45"/>
      <c r="E208" s="45"/>
      <c r="F208" s="45"/>
      <c r="K208" s="14"/>
    </row>
    <row r="209" spans="2:11" ht="12.75" customHeight="1" x14ac:dyDescent="0.2">
      <c r="B209" s="45"/>
      <c r="C209" s="45"/>
      <c r="D209" s="45"/>
      <c r="E209" s="45"/>
      <c r="F209" s="45"/>
      <c r="K209" s="14"/>
    </row>
    <row r="210" spans="2:11" ht="12.75" customHeight="1" x14ac:dyDescent="0.2">
      <c r="B210" s="45"/>
      <c r="C210" s="45"/>
      <c r="D210" s="45"/>
      <c r="E210" s="45"/>
      <c r="F210" s="45"/>
      <c r="K210" s="14"/>
    </row>
    <row r="211" spans="2:11" ht="12.75" customHeight="1" x14ac:dyDescent="0.2">
      <c r="B211" s="45"/>
      <c r="C211" s="45"/>
      <c r="D211" s="45"/>
      <c r="E211" s="45"/>
      <c r="F211" s="45"/>
      <c r="K211" s="14"/>
    </row>
    <row r="212" spans="2:11" ht="12.75" customHeight="1" x14ac:dyDescent="0.2">
      <c r="B212" s="45"/>
      <c r="C212" s="45"/>
      <c r="D212" s="45"/>
      <c r="E212" s="45"/>
      <c r="F212" s="45"/>
      <c r="K212" s="14"/>
    </row>
    <row r="213" spans="2:11" ht="12.75" customHeight="1" x14ac:dyDescent="0.2">
      <c r="B213" s="45"/>
      <c r="C213" s="45"/>
      <c r="D213" s="45"/>
      <c r="E213" s="45"/>
      <c r="F213" s="45"/>
      <c r="K213" s="14"/>
    </row>
    <row r="214" spans="2:11" ht="12.75" customHeight="1" x14ac:dyDescent="0.2">
      <c r="B214" s="45"/>
      <c r="C214" s="45"/>
      <c r="D214" s="45"/>
      <c r="E214" s="45"/>
      <c r="F214" s="45"/>
      <c r="K214" s="14"/>
    </row>
    <row r="215" spans="2:11" ht="12.75" customHeight="1" x14ac:dyDescent="0.2">
      <c r="B215" s="45"/>
      <c r="C215" s="45"/>
      <c r="D215" s="45"/>
      <c r="E215" s="45"/>
      <c r="F215" s="45"/>
      <c r="K215" s="14"/>
    </row>
    <row r="216" spans="2:11" ht="12.75" customHeight="1" x14ac:dyDescent="0.2">
      <c r="B216" s="45"/>
      <c r="C216" s="45"/>
      <c r="D216" s="45"/>
      <c r="E216" s="45"/>
      <c r="F216" s="45"/>
      <c r="K216" s="14"/>
    </row>
    <row r="217" spans="2:11" ht="12.75" customHeight="1" x14ac:dyDescent="0.2">
      <c r="B217" s="45"/>
      <c r="C217" s="45"/>
      <c r="D217" s="45"/>
      <c r="E217" s="45"/>
      <c r="F217" s="45"/>
      <c r="K217" s="14"/>
    </row>
    <row r="218" spans="2:11" ht="12.75" customHeight="1" x14ac:dyDescent="0.2">
      <c r="B218" s="45"/>
      <c r="C218" s="45"/>
      <c r="D218" s="45"/>
      <c r="E218" s="45"/>
      <c r="F218" s="45"/>
      <c r="K218" s="14"/>
    </row>
    <row r="219" spans="2:11" ht="12.75" customHeight="1" x14ac:dyDescent="0.2">
      <c r="B219" s="45"/>
      <c r="C219" s="45"/>
      <c r="D219" s="45"/>
      <c r="E219" s="45"/>
      <c r="F219" s="45"/>
      <c r="K219" s="14"/>
    </row>
    <row r="220" spans="2:11" ht="12.75" customHeight="1" x14ac:dyDescent="0.2">
      <c r="B220" s="45"/>
      <c r="C220" s="45"/>
      <c r="D220" s="45"/>
      <c r="E220" s="45"/>
      <c r="F220" s="45"/>
      <c r="K220" s="14"/>
    </row>
    <row r="221" spans="2:11" ht="12.75" customHeight="1" x14ac:dyDescent="0.2">
      <c r="B221" s="45"/>
      <c r="C221" s="45"/>
      <c r="D221" s="45"/>
      <c r="E221" s="45"/>
      <c r="F221" s="45"/>
      <c r="K221" s="14"/>
    </row>
    <row r="222" spans="2:11" ht="12.75" customHeight="1" x14ac:dyDescent="0.2">
      <c r="B222" s="45"/>
      <c r="C222" s="45"/>
      <c r="D222" s="45"/>
      <c r="E222" s="45"/>
      <c r="F222" s="45"/>
      <c r="K222" s="14"/>
    </row>
    <row r="223" spans="2:11" ht="12.75" customHeight="1" x14ac:dyDescent="0.2">
      <c r="B223" s="45"/>
      <c r="C223" s="45"/>
      <c r="D223" s="45"/>
      <c r="E223" s="45"/>
      <c r="F223" s="45"/>
      <c r="K223" s="14"/>
    </row>
    <row r="224" spans="2:11" ht="12.75" customHeight="1" x14ac:dyDescent="0.2">
      <c r="B224" s="45"/>
      <c r="C224" s="45"/>
      <c r="D224" s="45"/>
      <c r="E224" s="45"/>
      <c r="F224" s="45"/>
      <c r="K224" s="14"/>
    </row>
    <row r="225" spans="2:11" ht="12.75" customHeight="1" x14ac:dyDescent="0.2">
      <c r="B225" s="45"/>
      <c r="C225" s="45"/>
      <c r="D225" s="45"/>
      <c r="E225" s="45"/>
      <c r="F225" s="45"/>
      <c r="K225" s="14"/>
    </row>
    <row r="226" spans="2:11" ht="12.75" customHeight="1" x14ac:dyDescent="0.2">
      <c r="B226" s="45"/>
      <c r="C226" s="45"/>
      <c r="D226" s="45"/>
      <c r="E226" s="45"/>
      <c r="F226" s="45"/>
      <c r="K226" s="14"/>
    </row>
    <row r="227" spans="2:11" ht="12.75" customHeight="1" x14ac:dyDescent="0.2">
      <c r="B227" s="45"/>
      <c r="C227" s="45"/>
      <c r="D227" s="45"/>
      <c r="E227" s="45"/>
      <c r="F227" s="45"/>
      <c r="K227" s="14"/>
    </row>
    <row r="228" spans="2:11" ht="12.75" customHeight="1" x14ac:dyDescent="0.2">
      <c r="B228" s="45"/>
      <c r="C228" s="45"/>
      <c r="D228" s="45"/>
      <c r="E228" s="45"/>
      <c r="F228" s="45"/>
      <c r="K228" s="14"/>
    </row>
    <row r="229" spans="2:11" ht="12.75" customHeight="1" x14ac:dyDescent="0.2">
      <c r="B229" s="45"/>
      <c r="C229" s="45"/>
      <c r="D229" s="45"/>
      <c r="E229" s="45"/>
      <c r="F229" s="45"/>
      <c r="K229" s="14"/>
    </row>
    <row r="230" spans="2:11" ht="12.75" customHeight="1" x14ac:dyDescent="0.2">
      <c r="B230" s="45"/>
      <c r="C230" s="45"/>
      <c r="D230" s="45"/>
      <c r="E230" s="45"/>
      <c r="F230" s="45"/>
      <c r="K230" s="14"/>
    </row>
    <row r="231" spans="2:11" ht="12.75" customHeight="1" x14ac:dyDescent="0.2">
      <c r="B231" s="45"/>
      <c r="C231" s="45"/>
      <c r="D231" s="45"/>
      <c r="E231" s="45"/>
      <c r="F231" s="45"/>
      <c r="K231" s="14"/>
    </row>
    <row r="232" spans="2:11" ht="12.75" customHeight="1" x14ac:dyDescent="0.2">
      <c r="B232" s="45"/>
      <c r="C232" s="45"/>
      <c r="D232" s="45"/>
      <c r="E232" s="45"/>
      <c r="F232" s="45"/>
      <c r="K232" s="14"/>
    </row>
    <row r="233" spans="2:11" ht="12.75" customHeight="1" x14ac:dyDescent="0.2">
      <c r="B233" s="45"/>
      <c r="C233" s="45"/>
      <c r="D233" s="45"/>
      <c r="E233" s="45"/>
      <c r="F233" s="45"/>
      <c r="K233" s="14"/>
    </row>
    <row r="234" spans="2:11" ht="12.75" customHeight="1" x14ac:dyDescent="0.2">
      <c r="B234" s="45"/>
      <c r="C234" s="45"/>
      <c r="D234" s="45"/>
      <c r="E234" s="45"/>
      <c r="F234" s="45"/>
      <c r="K234" s="14"/>
    </row>
    <row r="235" spans="2:11" ht="12.75" customHeight="1" x14ac:dyDescent="0.2">
      <c r="B235" s="45"/>
      <c r="C235" s="45"/>
      <c r="D235" s="45"/>
      <c r="E235" s="45"/>
      <c r="F235" s="45"/>
      <c r="K235" s="14"/>
    </row>
    <row r="236" spans="2:11" ht="15.75" customHeight="1" x14ac:dyDescent="0.2"/>
    <row r="237" spans="2:11" ht="15.75" customHeight="1" x14ac:dyDescent="0.2"/>
    <row r="238" spans="2:11" ht="15.75" customHeight="1" x14ac:dyDescent="0.2"/>
    <row r="239" spans="2:11" ht="15.75" customHeight="1" x14ac:dyDescent="0.2"/>
    <row r="240" spans="2:11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B9:B10"/>
    <mergeCell ref="C9:E9"/>
    <mergeCell ref="A1:E1"/>
    <mergeCell ref="A2:E2"/>
    <mergeCell ref="A3:D3"/>
    <mergeCell ref="A5:E5"/>
    <mergeCell ref="A6:E6"/>
    <mergeCell ref="A7:E7"/>
    <mergeCell ref="A9:A10"/>
  </mergeCells>
  <printOptions horizontalCentered="1"/>
  <pageMargins left="0.35416666666666702" right="0.35416666666666702" top="0.78749999999999998" bottom="0.39374999999999999" header="0" footer="0"/>
  <pageSetup paperSize="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  <pageSetUpPr fitToPage="1"/>
  </sheetPr>
  <dimension ref="A1:AF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4" width="14.42578125" customWidth="1"/>
    <col min="5" max="5" width="42.5703125" customWidth="1"/>
    <col min="6" max="7" width="14.42578125" customWidth="1"/>
    <col min="8" max="8" width="70.5703125" customWidth="1"/>
    <col min="9" max="32" width="14.42578125" customWidth="1"/>
  </cols>
  <sheetData>
    <row r="1" spans="1:32" ht="15" customHeight="1" x14ac:dyDescent="0.2">
      <c r="A1" s="71"/>
      <c r="B1" s="71"/>
      <c r="C1" s="71"/>
      <c r="D1" s="71"/>
      <c r="E1" s="72" t="s">
        <v>3</v>
      </c>
      <c r="F1" s="72" t="s">
        <v>2</v>
      </c>
      <c r="G1" s="71"/>
      <c r="H1" s="72" t="s">
        <v>150</v>
      </c>
      <c r="I1" s="73" t="s">
        <v>2</v>
      </c>
      <c r="J1" s="71"/>
      <c r="K1" s="73" t="s">
        <v>2</v>
      </c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</row>
    <row r="2" spans="1:32" ht="15" customHeight="1" x14ac:dyDescent="0.2">
      <c r="A2" s="74" t="s">
        <v>301</v>
      </c>
      <c r="B2" s="74" t="s">
        <v>303</v>
      </c>
      <c r="C2" s="74" t="s">
        <v>304</v>
      </c>
      <c r="D2" s="75"/>
      <c r="E2" s="75" t="str">
        <f t="shared" ref="E2:E591" si="0">A2&amp;", "&amp;B2&amp;" "&amp;C2&amp;" "&amp;D2</f>
        <v xml:space="preserve">ABANILLA, FREDDIE BAUTISTA </v>
      </c>
      <c r="F2" s="2" t="s">
        <v>127</v>
      </c>
      <c r="G2" s="76" t="s">
        <v>301</v>
      </c>
      <c r="H2" s="25" t="s">
        <v>259</v>
      </c>
      <c r="I2" s="77" t="s">
        <v>3046</v>
      </c>
      <c r="J2" s="77"/>
      <c r="K2" s="77" t="s">
        <v>3046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</row>
    <row r="3" spans="1:32" ht="15" customHeight="1" x14ac:dyDescent="0.2">
      <c r="A3" s="74" t="s">
        <v>361</v>
      </c>
      <c r="B3" s="74" t="s">
        <v>362</v>
      </c>
      <c r="C3" s="74" t="s">
        <v>363</v>
      </c>
      <c r="D3" s="75"/>
      <c r="E3" s="75" t="str">
        <f t="shared" si="0"/>
        <v xml:space="preserve">ABDUHARI, AL-MITRA PUNGUTAN </v>
      </c>
      <c r="F3" s="2" t="s">
        <v>134</v>
      </c>
      <c r="G3" s="78" t="s">
        <v>361</v>
      </c>
      <c r="H3" s="25" t="s">
        <v>333</v>
      </c>
      <c r="I3" s="77" t="s">
        <v>3047</v>
      </c>
      <c r="J3" s="77"/>
      <c r="K3" s="77" t="s">
        <v>3047</v>
      </c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</row>
    <row r="4" spans="1:32" ht="15" customHeight="1" x14ac:dyDescent="0.2">
      <c r="A4" s="74" t="s">
        <v>377</v>
      </c>
      <c r="B4" s="74" t="s">
        <v>378</v>
      </c>
      <c r="C4" s="74" t="s">
        <v>379</v>
      </c>
      <c r="D4" s="75"/>
      <c r="E4" s="75" t="str">
        <f t="shared" si="0"/>
        <v xml:space="preserve">ABO, MARK JESSIE MELITANTE </v>
      </c>
      <c r="F4" s="2" t="s">
        <v>323</v>
      </c>
      <c r="G4" s="11" t="s">
        <v>377</v>
      </c>
      <c r="H4" s="25" t="s">
        <v>259</v>
      </c>
      <c r="I4" s="77" t="s">
        <v>3046</v>
      </c>
      <c r="J4" s="77"/>
      <c r="K4" s="77" t="s">
        <v>3046</v>
      </c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</row>
    <row r="5" spans="1:32" ht="15" customHeight="1" x14ac:dyDescent="0.2">
      <c r="A5" s="74" t="s">
        <v>391</v>
      </c>
      <c r="B5" s="74" t="s">
        <v>393</v>
      </c>
      <c r="C5" s="74" t="s">
        <v>94</v>
      </c>
      <c r="D5" s="75"/>
      <c r="E5" s="75" t="str">
        <f t="shared" si="0"/>
        <v xml:space="preserve">ABONG, MARK CLENTON (NO MIDDLE NAME) </v>
      </c>
      <c r="F5" s="2" t="s">
        <v>32</v>
      </c>
      <c r="G5" s="5" t="s">
        <v>391</v>
      </c>
      <c r="H5" s="25" t="s">
        <v>333</v>
      </c>
      <c r="I5" s="77" t="s">
        <v>3047</v>
      </c>
      <c r="J5" s="77"/>
      <c r="K5" s="77" t="s">
        <v>3047</v>
      </c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</row>
    <row r="6" spans="1:32" ht="15" customHeight="1" x14ac:dyDescent="0.2">
      <c r="A6" s="74" t="s">
        <v>408</v>
      </c>
      <c r="B6" s="74" t="s">
        <v>409</v>
      </c>
      <c r="C6" s="74" t="s">
        <v>410</v>
      </c>
      <c r="D6" s="75"/>
      <c r="E6" s="75" t="str">
        <f t="shared" si="0"/>
        <v xml:space="preserve">ABRIAM, ANNETH VALERIE MALNAT </v>
      </c>
      <c r="F6" s="2" t="s">
        <v>32</v>
      </c>
      <c r="G6" s="78" t="s">
        <v>408</v>
      </c>
      <c r="H6" s="25" t="s">
        <v>333</v>
      </c>
      <c r="I6" s="77" t="s">
        <v>3047</v>
      </c>
      <c r="J6" s="77"/>
      <c r="K6" s="77" t="s">
        <v>3047</v>
      </c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</row>
    <row r="7" spans="1:32" ht="15" customHeight="1" x14ac:dyDescent="0.2">
      <c r="A7" s="74" t="s">
        <v>429</v>
      </c>
      <c r="B7" s="74" t="s">
        <v>430</v>
      </c>
      <c r="C7" s="74" t="s">
        <v>431</v>
      </c>
      <c r="D7" s="75"/>
      <c r="E7" s="75" t="str">
        <f t="shared" si="0"/>
        <v xml:space="preserve">ABUAN, DICKSON CLEMENTE </v>
      </c>
      <c r="F7" s="2" t="s">
        <v>127</v>
      </c>
      <c r="G7" s="11" t="s">
        <v>429</v>
      </c>
      <c r="H7" s="25" t="s">
        <v>259</v>
      </c>
      <c r="I7" s="77" t="s">
        <v>3046</v>
      </c>
      <c r="J7" s="77"/>
      <c r="K7" s="77" t="s">
        <v>3046</v>
      </c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</row>
    <row r="8" spans="1:32" ht="15" customHeight="1" x14ac:dyDescent="0.2">
      <c r="A8" s="1" t="s">
        <v>665</v>
      </c>
      <c r="B8" s="1" t="s">
        <v>667</v>
      </c>
      <c r="C8" s="1" t="s">
        <v>668</v>
      </c>
      <c r="D8" s="2"/>
      <c r="E8" s="75" t="str">
        <f t="shared" si="0"/>
        <v xml:space="preserve">ACORDA, ELPIDIO PALARCA </v>
      </c>
      <c r="F8" s="2" t="s">
        <v>42</v>
      </c>
      <c r="G8" s="78" t="s">
        <v>665</v>
      </c>
      <c r="H8" s="25" t="s">
        <v>672</v>
      </c>
      <c r="I8" s="77" t="s">
        <v>3048</v>
      </c>
      <c r="J8" s="77"/>
      <c r="K8" s="77" t="s">
        <v>3048</v>
      </c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</row>
    <row r="9" spans="1:32" ht="15" customHeight="1" x14ac:dyDescent="0.2">
      <c r="A9" s="1" t="s">
        <v>681</v>
      </c>
      <c r="B9" s="1" t="s">
        <v>682</v>
      </c>
      <c r="C9" s="1" t="s">
        <v>683</v>
      </c>
      <c r="D9" s="2"/>
      <c r="E9" s="75" t="str">
        <f t="shared" si="0"/>
        <v xml:space="preserve">ACUESTA, ANA JUNE FORRO </v>
      </c>
      <c r="F9" s="2" t="s">
        <v>42</v>
      </c>
      <c r="G9" s="78" t="s">
        <v>681</v>
      </c>
      <c r="H9" s="25" t="s">
        <v>684</v>
      </c>
      <c r="I9" s="77" t="s">
        <v>3048</v>
      </c>
      <c r="J9" s="77"/>
      <c r="K9" s="77" t="s">
        <v>3048</v>
      </c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</row>
    <row r="10" spans="1:32" ht="15" customHeight="1" x14ac:dyDescent="0.2">
      <c r="A10" s="1" t="s">
        <v>689</v>
      </c>
      <c r="B10" s="1" t="s">
        <v>690</v>
      </c>
      <c r="C10" s="1" t="s">
        <v>692</v>
      </c>
      <c r="D10" s="1"/>
      <c r="E10" s="75" t="str">
        <f t="shared" si="0"/>
        <v xml:space="preserve">ADULTA, ARREN LEE CHACON </v>
      </c>
      <c r="F10" s="2" t="s">
        <v>42</v>
      </c>
      <c r="G10" s="78" t="s">
        <v>689</v>
      </c>
      <c r="H10" s="25" t="s">
        <v>696</v>
      </c>
      <c r="I10" s="77" t="s">
        <v>3048</v>
      </c>
      <c r="J10" s="77"/>
      <c r="K10" s="77" t="s">
        <v>3048</v>
      </c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</row>
    <row r="11" spans="1:32" ht="15" customHeight="1" x14ac:dyDescent="0.2">
      <c r="A11" s="74" t="s">
        <v>135</v>
      </c>
      <c r="B11" s="74" t="s">
        <v>136</v>
      </c>
      <c r="C11" s="74" t="s">
        <v>137</v>
      </c>
      <c r="D11" s="75"/>
      <c r="E11" s="75" t="str">
        <f t="shared" si="0"/>
        <v xml:space="preserve">AGGARAO, ALBERTO CALLANGAN </v>
      </c>
      <c r="F11" s="2" t="s">
        <v>134</v>
      </c>
      <c r="G11" s="78" t="s">
        <v>135</v>
      </c>
      <c r="H11" s="25" t="s">
        <v>138</v>
      </c>
      <c r="I11" s="77" t="s">
        <v>3047</v>
      </c>
      <c r="J11" s="77"/>
      <c r="K11" s="77" t="s">
        <v>3047</v>
      </c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</row>
    <row r="12" spans="1:32" ht="15" customHeight="1" x14ac:dyDescent="0.2">
      <c r="A12" s="74" t="s">
        <v>466</v>
      </c>
      <c r="B12" s="74" t="s">
        <v>467</v>
      </c>
      <c r="C12" s="74" t="s">
        <v>468</v>
      </c>
      <c r="D12" s="75" t="s">
        <v>181</v>
      </c>
      <c r="E12" s="75" t="str">
        <f t="shared" si="0"/>
        <v>AGOS, CELSO TAPONG JR</v>
      </c>
      <c r="F12" s="2" t="s">
        <v>32</v>
      </c>
      <c r="G12" s="11" t="s">
        <v>466</v>
      </c>
      <c r="H12" s="25" t="s">
        <v>471</v>
      </c>
      <c r="I12" s="77" t="s">
        <v>3047</v>
      </c>
      <c r="J12" s="77"/>
      <c r="K12" s="77" t="s">
        <v>3047</v>
      </c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</row>
    <row r="13" spans="1:32" ht="15" customHeight="1" x14ac:dyDescent="0.2">
      <c r="A13" s="1" t="s">
        <v>697</v>
      </c>
      <c r="B13" s="1" t="s">
        <v>698</v>
      </c>
      <c r="C13" s="1" t="s">
        <v>388</v>
      </c>
      <c r="D13" s="2"/>
      <c r="E13" s="75" t="str">
        <f t="shared" si="0"/>
        <v xml:space="preserve">AGRIPA, PAUL KENNETH DE GUZMAN </v>
      </c>
      <c r="F13" s="2" t="s">
        <v>42</v>
      </c>
      <c r="G13" s="11" t="s">
        <v>697</v>
      </c>
      <c r="H13" s="25" t="s">
        <v>227</v>
      </c>
      <c r="I13" s="77" t="s">
        <v>3048</v>
      </c>
      <c r="J13" s="77"/>
      <c r="K13" s="77" t="s">
        <v>3048</v>
      </c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</row>
    <row r="14" spans="1:32" ht="15" customHeight="1" x14ac:dyDescent="0.2">
      <c r="A14" s="1" t="s">
        <v>700</v>
      </c>
      <c r="B14" s="1" t="s">
        <v>701</v>
      </c>
      <c r="C14" s="1" t="s">
        <v>702</v>
      </c>
      <c r="D14" s="2"/>
      <c r="E14" s="75" t="str">
        <f t="shared" si="0"/>
        <v xml:space="preserve">AGUHO, MARK ANTHONY CAMBA </v>
      </c>
      <c r="F14" s="2" t="s">
        <v>42</v>
      </c>
      <c r="G14" s="78" t="s">
        <v>700</v>
      </c>
      <c r="H14" s="25" t="s">
        <v>1271</v>
      </c>
      <c r="I14" s="77" t="s">
        <v>3048</v>
      </c>
      <c r="J14" s="77"/>
      <c r="K14" s="77" t="s">
        <v>3048</v>
      </c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</row>
    <row r="15" spans="1:32" ht="15" customHeight="1" x14ac:dyDescent="0.2">
      <c r="A15" s="74" t="s">
        <v>482</v>
      </c>
      <c r="B15" s="74" t="s">
        <v>483</v>
      </c>
      <c r="C15" s="74" t="s">
        <v>485</v>
      </c>
      <c r="D15" s="75"/>
      <c r="E15" s="75" t="str">
        <f t="shared" si="0"/>
        <v xml:space="preserve">AGUILANDO, ADAMSON BANDONG </v>
      </c>
      <c r="F15" s="2" t="s">
        <v>32</v>
      </c>
      <c r="G15" s="5" t="s">
        <v>482</v>
      </c>
      <c r="H15" s="25" t="s">
        <v>333</v>
      </c>
      <c r="I15" s="77" t="s">
        <v>3047</v>
      </c>
      <c r="J15" s="77"/>
      <c r="K15" s="77" t="s">
        <v>3047</v>
      </c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</row>
    <row r="16" spans="1:32" ht="15" customHeight="1" x14ac:dyDescent="0.3">
      <c r="A16" s="1" t="s">
        <v>512</v>
      </c>
      <c r="B16" s="1" t="s">
        <v>706</v>
      </c>
      <c r="C16" s="1" t="s">
        <v>707</v>
      </c>
      <c r="D16" s="2"/>
      <c r="E16" s="75" t="str">
        <f t="shared" si="0"/>
        <v xml:space="preserve">AGUILAR, BERNARDINO SANTOS </v>
      </c>
      <c r="F16" s="2" t="s">
        <v>42</v>
      </c>
      <c r="G16" s="79" t="s">
        <v>512</v>
      </c>
      <c r="H16" s="25" t="s">
        <v>709</v>
      </c>
      <c r="I16" s="77" t="s">
        <v>3048</v>
      </c>
      <c r="J16" s="77"/>
      <c r="K16" s="77" t="s">
        <v>3048</v>
      </c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</row>
    <row r="17" spans="1:32" ht="15" customHeight="1" x14ac:dyDescent="0.2">
      <c r="A17" s="74" t="s">
        <v>512</v>
      </c>
      <c r="B17" s="74" t="s">
        <v>513</v>
      </c>
      <c r="C17" s="74" t="s">
        <v>514</v>
      </c>
      <c r="D17" s="75"/>
      <c r="E17" s="75" t="str">
        <f t="shared" si="0"/>
        <v xml:space="preserve">AGUILAR, JAMES BENEDICT GALVEZ </v>
      </c>
      <c r="F17" s="2" t="s">
        <v>69</v>
      </c>
      <c r="G17" s="78" t="s">
        <v>512</v>
      </c>
      <c r="H17" s="25" t="s">
        <v>515</v>
      </c>
      <c r="I17" s="77" t="s">
        <v>3047</v>
      </c>
      <c r="J17" s="77"/>
      <c r="K17" s="77" t="s">
        <v>3047</v>
      </c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</row>
    <row r="18" spans="1:32" ht="15" customHeight="1" x14ac:dyDescent="0.2">
      <c r="A18" s="74" t="s">
        <v>520</v>
      </c>
      <c r="B18" s="74" t="s">
        <v>521</v>
      </c>
      <c r="C18" s="74" t="s">
        <v>523</v>
      </c>
      <c r="D18" s="75" t="s">
        <v>181</v>
      </c>
      <c r="E18" s="75" t="str">
        <f t="shared" si="0"/>
        <v>AGUS, CARCIOLO CAJANDAB JR</v>
      </c>
      <c r="F18" s="2" t="s">
        <v>62</v>
      </c>
      <c r="G18" s="78" t="s">
        <v>520</v>
      </c>
      <c r="H18" s="25" t="s">
        <v>3049</v>
      </c>
      <c r="I18" s="77" t="s">
        <v>3046</v>
      </c>
      <c r="J18" s="77"/>
      <c r="K18" s="77" t="s">
        <v>3046</v>
      </c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</row>
    <row r="19" spans="1:32" ht="15" customHeight="1" x14ac:dyDescent="0.2">
      <c r="A19" s="74" t="s">
        <v>536</v>
      </c>
      <c r="B19" s="74" t="s">
        <v>537</v>
      </c>
      <c r="C19" s="74" t="s">
        <v>538</v>
      </c>
      <c r="D19" s="75"/>
      <c r="E19" s="75" t="str">
        <f t="shared" si="0"/>
        <v xml:space="preserve">AGUSTIN, RIZELLE INALDO </v>
      </c>
      <c r="F19" s="2" t="s">
        <v>127</v>
      </c>
      <c r="G19" s="11" t="s">
        <v>536</v>
      </c>
      <c r="H19" s="25" t="s">
        <v>539</v>
      </c>
      <c r="I19" s="77" t="s">
        <v>3046</v>
      </c>
      <c r="J19" s="77"/>
      <c r="K19" s="77" t="s">
        <v>3046</v>
      </c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</row>
    <row r="20" spans="1:32" ht="15" customHeight="1" x14ac:dyDescent="0.2">
      <c r="A20" s="74" t="s">
        <v>553</v>
      </c>
      <c r="B20" s="74" t="s">
        <v>555</v>
      </c>
      <c r="C20" s="74" t="s">
        <v>556</v>
      </c>
      <c r="D20" s="75"/>
      <c r="E20" s="75" t="str">
        <f t="shared" si="0"/>
        <v xml:space="preserve">ALABA, NIEL CAGAMPANG </v>
      </c>
      <c r="F20" s="2" t="s">
        <v>32</v>
      </c>
      <c r="G20" s="11" t="s">
        <v>553</v>
      </c>
      <c r="H20" s="25" t="s">
        <v>333</v>
      </c>
      <c r="I20" s="77" t="s">
        <v>3047</v>
      </c>
      <c r="J20" s="77"/>
      <c r="K20" s="77" t="s">
        <v>3047</v>
      </c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</row>
    <row r="21" spans="1:32" ht="15" customHeight="1" x14ac:dyDescent="0.2">
      <c r="A21" s="74" t="s">
        <v>577</v>
      </c>
      <c r="B21" s="74" t="s">
        <v>579</v>
      </c>
      <c r="C21" s="74" t="s">
        <v>580</v>
      </c>
      <c r="D21" s="75"/>
      <c r="E21" s="75" t="str">
        <f t="shared" si="0"/>
        <v xml:space="preserve">ALAWI, NABIL HAJINULLA </v>
      </c>
      <c r="F21" s="2" t="s">
        <v>32</v>
      </c>
      <c r="G21" s="11" t="s">
        <v>577</v>
      </c>
      <c r="H21" s="25" t="s">
        <v>333</v>
      </c>
      <c r="I21" s="77" t="s">
        <v>3047</v>
      </c>
      <c r="J21" s="77"/>
      <c r="K21" s="77" t="s">
        <v>3047</v>
      </c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</row>
    <row r="22" spans="1:32" ht="15" customHeight="1" x14ac:dyDescent="0.2">
      <c r="A22" s="1" t="s">
        <v>713</v>
      </c>
      <c r="B22" s="1" t="s">
        <v>714</v>
      </c>
      <c r="C22" s="1" t="s">
        <v>715</v>
      </c>
      <c r="D22" s="2"/>
      <c r="E22" s="75" t="str">
        <f t="shared" si="0"/>
        <v xml:space="preserve">ALCANTARA, JHINNA-LOU SAN ESTEBAN </v>
      </c>
      <c r="F22" s="2" t="s">
        <v>42</v>
      </c>
      <c r="G22" s="78" t="s">
        <v>713</v>
      </c>
      <c r="H22" s="25" t="s">
        <v>716</v>
      </c>
      <c r="I22" s="77" t="s">
        <v>3048</v>
      </c>
      <c r="J22" s="77"/>
      <c r="K22" s="77" t="s">
        <v>3048</v>
      </c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</row>
    <row r="23" spans="1:32" ht="15" customHeight="1" x14ac:dyDescent="0.2">
      <c r="A23" s="1" t="s">
        <v>719</v>
      </c>
      <c r="B23" s="1" t="s">
        <v>720</v>
      </c>
      <c r="C23" s="1" t="s">
        <v>721</v>
      </c>
      <c r="D23" s="2"/>
      <c r="E23" s="75" t="str">
        <f t="shared" si="0"/>
        <v xml:space="preserve">ALDE, MILA BERNADAS </v>
      </c>
      <c r="F23" s="2" t="s">
        <v>42</v>
      </c>
      <c r="G23" s="78" t="s">
        <v>719</v>
      </c>
      <c r="H23" s="25" t="s">
        <v>227</v>
      </c>
      <c r="I23" s="77" t="s">
        <v>3048</v>
      </c>
      <c r="J23" s="77"/>
      <c r="K23" s="77" t="s">
        <v>3048</v>
      </c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</row>
    <row r="24" spans="1:32" ht="15" customHeight="1" x14ac:dyDescent="0.2">
      <c r="A24" s="1" t="s">
        <v>625</v>
      </c>
      <c r="B24" s="1" t="s">
        <v>364</v>
      </c>
      <c r="C24" s="1" t="s">
        <v>365</v>
      </c>
      <c r="D24" s="2"/>
      <c r="E24" s="75" t="str">
        <f t="shared" si="0"/>
        <v xml:space="preserve">ALEGRE, JAYBEE BALASE </v>
      </c>
      <c r="F24" s="2" t="s">
        <v>42</v>
      </c>
      <c r="G24" s="78" t="s">
        <v>625</v>
      </c>
      <c r="H24" s="25" t="s">
        <v>1102</v>
      </c>
      <c r="I24" s="77" t="s">
        <v>3048</v>
      </c>
      <c r="J24" s="77"/>
      <c r="K24" s="77" t="s">
        <v>3048</v>
      </c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</row>
    <row r="25" spans="1:32" ht="15" customHeight="1" x14ac:dyDescent="0.2">
      <c r="A25" s="1" t="s">
        <v>730</v>
      </c>
      <c r="B25" s="1" t="s">
        <v>731</v>
      </c>
      <c r="C25" s="1" t="s">
        <v>735</v>
      </c>
      <c r="D25" s="2"/>
      <c r="E25" s="75" t="str">
        <f t="shared" si="0"/>
        <v xml:space="preserve">ALFABETO, LOUIE VAN ANASTACIO </v>
      </c>
      <c r="F25" s="2" t="s">
        <v>42</v>
      </c>
      <c r="G25" s="78" t="s">
        <v>730</v>
      </c>
      <c r="H25" s="80" t="s">
        <v>736</v>
      </c>
      <c r="I25" s="77" t="s">
        <v>3048</v>
      </c>
      <c r="J25" s="77"/>
      <c r="K25" s="77" t="s">
        <v>3048</v>
      </c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</row>
    <row r="26" spans="1:32" ht="15" customHeight="1" x14ac:dyDescent="0.2">
      <c r="A26" s="1" t="s">
        <v>741</v>
      </c>
      <c r="B26" s="1" t="s">
        <v>742</v>
      </c>
      <c r="C26" s="1" t="s">
        <v>743</v>
      </c>
      <c r="D26" s="2"/>
      <c r="E26" s="75" t="str">
        <f t="shared" si="0"/>
        <v xml:space="preserve">ALFONSO, IRANIE EMPEÑO </v>
      </c>
      <c r="F26" s="2" t="s">
        <v>42</v>
      </c>
      <c r="G26" s="78" t="s">
        <v>741</v>
      </c>
      <c r="H26" s="25" t="s">
        <v>1007</v>
      </c>
      <c r="I26" s="77" t="s">
        <v>3048</v>
      </c>
      <c r="J26" s="77"/>
      <c r="K26" s="77" t="s">
        <v>3048</v>
      </c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</row>
    <row r="27" spans="1:32" ht="15" customHeight="1" x14ac:dyDescent="0.2">
      <c r="A27" s="74" t="s">
        <v>590</v>
      </c>
      <c r="B27" s="74" t="s">
        <v>591</v>
      </c>
      <c r="C27" s="74" t="s">
        <v>194</v>
      </c>
      <c r="D27" s="75"/>
      <c r="E27" s="75" t="str">
        <f t="shared" si="0"/>
        <v xml:space="preserve">ALI, AMIR HASSAN RAMOS </v>
      </c>
      <c r="F27" s="2" t="s">
        <v>57</v>
      </c>
      <c r="G27" s="81" t="s">
        <v>590</v>
      </c>
      <c r="H27" s="25" t="s">
        <v>594</v>
      </c>
      <c r="I27" s="77" t="s">
        <v>3046</v>
      </c>
      <c r="J27" s="77"/>
      <c r="K27" s="77" t="s">
        <v>3046</v>
      </c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</row>
    <row r="28" spans="1:32" ht="15" customHeight="1" x14ac:dyDescent="0.2">
      <c r="A28" s="1" t="s">
        <v>590</v>
      </c>
      <c r="B28" s="1" t="s">
        <v>755</v>
      </c>
      <c r="C28" s="1" t="s">
        <v>194</v>
      </c>
      <c r="D28" s="1"/>
      <c r="E28" s="75" t="str">
        <f t="shared" si="0"/>
        <v xml:space="preserve">ALI, HUSSEIN RAMOS </v>
      </c>
      <c r="F28" s="2" t="s">
        <v>42</v>
      </c>
      <c r="G28" s="78" t="s">
        <v>590</v>
      </c>
      <c r="H28" s="25" t="s">
        <v>758</v>
      </c>
      <c r="I28" s="77" t="s">
        <v>3048</v>
      </c>
      <c r="J28" s="77"/>
      <c r="K28" s="77" t="s">
        <v>3048</v>
      </c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</row>
    <row r="29" spans="1:32" ht="15" customHeight="1" x14ac:dyDescent="0.2">
      <c r="A29" s="74" t="s">
        <v>590</v>
      </c>
      <c r="B29" s="74" t="s">
        <v>615</v>
      </c>
      <c r="C29" s="74" t="s">
        <v>367</v>
      </c>
      <c r="D29" s="75"/>
      <c r="E29" s="75" t="str">
        <f t="shared" si="0"/>
        <v xml:space="preserve">ALI, SHIRLEY MAE SALVADOR </v>
      </c>
      <c r="F29" s="2" t="s">
        <v>57</v>
      </c>
      <c r="G29" s="78" t="s">
        <v>590</v>
      </c>
      <c r="H29" s="25" t="s">
        <v>618</v>
      </c>
      <c r="I29" s="77" t="s">
        <v>3046</v>
      </c>
      <c r="J29" s="77"/>
      <c r="K29" s="77" t="s">
        <v>3046</v>
      </c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</row>
    <row r="30" spans="1:32" ht="15" customHeight="1" x14ac:dyDescent="0.2">
      <c r="A30" s="74" t="s">
        <v>338</v>
      </c>
      <c r="B30" s="74" t="s">
        <v>336</v>
      </c>
      <c r="C30" s="74" t="s">
        <v>337</v>
      </c>
      <c r="D30" s="75"/>
      <c r="E30" s="75" t="str">
        <f t="shared" si="0"/>
        <v xml:space="preserve">ALIMAMBO, JICK BONUAN </v>
      </c>
      <c r="F30" s="2" t="s">
        <v>127</v>
      </c>
      <c r="G30" s="11" t="s">
        <v>338</v>
      </c>
      <c r="H30" s="25" t="s">
        <v>259</v>
      </c>
      <c r="I30" s="77" t="s">
        <v>3046</v>
      </c>
      <c r="J30" s="77"/>
      <c r="K30" s="77" t="s">
        <v>3046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</row>
    <row r="31" spans="1:32" ht="15" customHeight="1" x14ac:dyDescent="0.2">
      <c r="A31" s="1" t="s">
        <v>762</v>
      </c>
      <c r="B31" s="1" t="s">
        <v>764</v>
      </c>
      <c r="C31" s="1" t="s">
        <v>765</v>
      </c>
      <c r="D31" s="2"/>
      <c r="E31" s="75" t="str">
        <f t="shared" si="0"/>
        <v xml:space="preserve">ALMACHAR, ARLENE ACIERTO </v>
      </c>
      <c r="F31" s="2" t="s">
        <v>42</v>
      </c>
      <c r="G31" s="78" t="s">
        <v>762</v>
      </c>
      <c r="H31" s="25" t="s">
        <v>766</v>
      </c>
      <c r="I31" s="77" t="s">
        <v>3048</v>
      </c>
      <c r="J31" s="77"/>
      <c r="K31" s="77" t="s">
        <v>3048</v>
      </c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</row>
    <row r="32" spans="1:32" ht="15" customHeight="1" x14ac:dyDescent="0.2">
      <c r="A32" s="1" t="s">
        <v>771</v>
      </c>
      <c r="B32" s="1" t="s">
        <v>599</v>
      </c>
      <c r="C32" s="1" t="s">
        <v>772</v>
      </c>
      <c r="D32" s="2"/>
      <c r="E32" s="75" t="str">
        <f t="shared" si="0"/>
        <v xml:space="preserve">ALMADEN, GILBERT CABACANG </v>
      </c>
      <c r="F32" s="2" t="s">
        <v>42</v>
      </c>
      <c r="G32" s="78" t="s">
        <v>771</v>
      </c>
      <c r="H32" s="25" t="s">
        <v>774</v>
      </c>
      <c r="I32" s="77" t="s">
        <v>3048</v>
      </c>
      <c r="J32" s="77"/>
      <c r="K32" s="77" t="s">
        <v>3048</v>
      </c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</row>
    <row r="33" spans="1:32" ht="15" customHeight="1" x14ac:dyDescent="0.2">
      <c r="A33" s="1" t="s">
        <v>164</v>
      </c>
      <c r="B33" s="1" t="s">
        <v>165</v>
      </c>
      <c r="C33" s="1" t="s">
        <v>166</v>
      </c>
      <c r="D33" s="2"/>
      <c r="E33" s="75" t="str">
        <f t="shared" si="0"/>
        <v xml:space="preserve">ALVAREZ, PAMELA CEREZO </v>
      </c>
      <c r="F33" s="2" t="s">
        <v>42</v>
      </c>
      <c r="G33" s="78" t="s">
        <v>164</v>
      </c>
      <c r="H33" s="25" t="s">
        <v>782</v>
      </c>
      <c r="I33" s="77" t="s">
        <v>3048</v>
      </c>
      <c r="J33" s="77"/>
      <c r="K33" s="77" t="s">
        <v>3048</v>
      </c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</row>
    <row r="34" spans="1:32" ht="15" customHeight="1" x14ac:dyDescent="0.2">
      <c r="A34" s="74" t="s">
        <v>386</v>
      </c>
      <c r="B34" s="74" t="s">
        <v>387</v>
      </c>
      <c r="C34" s="74" t="s">
        <v>388</v>
      </c>
      <c r="D34" s="75"/>
      <c r="E34" s="75" t="str">
        <f t="shared" si="0"/>
        <v xml:space="preserve">AMIT, ARIEL DE GUZMAN </v>
      </c>
      <c r="F34" s="2" t="s">
        <v>318</v>
      </c>
      <c r="G34" s="78" t="s">
        <v>386</v>
      </c>
      <c r="H34" s="25" t="s">
        <v>259</v>
      </c>
      <c r="I34" s="77" t="s">
        <v>3046</v>
      </c>
      <c r="J34" s="77"/>
      <c r="K34" s="77" t="s">
        <v>3046</v>
      </c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</row>
    <row r="35" spans="1:32" ht="15" customHeight="1" x14ac:dyDescent="0.2">
      <c r="A35" s="74" t="s">
        <v>656</v>
      </c>
      <c r="B35" s="74" t="s">
        <v>657</v>
      </c>
      <c r="C35" s="74" t="s">
        <v>659</v>
      </c>
      <c r="D35" s="75"/>
      <c r="E35" s="75" t="str">
        <f t="shared" si="0"/>
        <v xml:space="preserve">AN, SANTI RAYMUND NEVADO </v>
      </c>
      <c r="F35" s="2" t="s">
        <v>62</v>
      </c>
      <c r="G35" s="78" t="s">
        <v>656</v>
      </c>
      <c r="H35" s="25" t="s">
        <v>259</v>
      </c>
      <c r="I35" s="77" t="s">
        <v>3046</v>
      </c>
      <c r="J35" s="77"/>
      <c r="K35" s="77" t="s">
        <v>3046</v>
      </c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</row>
    <row r="36" spans="1:32" ht="15" customHeight="1" x14ac:dyDescent="0.2">
      <c r="A36" s="74" t="s">
        <v>677</v>
      </c>
      <c r="B36" s="74" t="s">
        <v>679</v>
      </c>
      <c r="C36" s="74" t="s">
        <v>680</v>
      </c>
      <c r="D36" s="75"/>
      <c r="E36" s="75" t="str">
        <f t="shared" si="0"/>
        <v xml:space="preserve">ANABON, LEVI ABAGGUE </v>
      </c>
      <c r="F36" s="2" t="s">
        <v>32</v>
      </c>
      <c r="G36" s="5" t="s">
        <v>677</v>
      </c>
      <c r="H36" s="25" t="s">
        <v>333</v>
      </c>
      <c r="I36" s="77" t="s">
        <v>3047</v>
      </c>
      <c r="J36" s="77"/>
      <c r="K36" s="77" t="s">
        <v>3047</v>
      </c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</row>
    <row r="37" spans="1:32" ht="15" customHeight="1" x14ac:dyDescent="0.2">
      <c r="A37" s="1" t="s">
        <v>788</v>
      </c>
      <c r="B37" s="1" t="s">
        <v>790</v>
      </c>
      <c r="C37" s="1" t="s">
        <v>791</v>
      </c>
      <c r="D37" s="2"/>
      <c r="E37" s="75" t="str">
        <f t="shared" si="0"/>
        <v xml:space="preserve">ANARNA, DARIA CALAMAYA </v>
      </c>
      <c r="F37" s="2" t="s">
        <v>42</v>
      </c>
      <c r="G37" s="78" t="s">
        <v>788</v>
      </c>
      <c r="H37" s="25" t="s">
        <v>792</v>
      </c>
      <c r="I37" s="77" t="s">
        <v>3048</v>
      </c>
      <c r="J37" s="77"/>
      <c r="K37" s="77" t="s">
        <v>3048</v>
      </c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</row>
    <row r="38" spans="1:32" ht="15" customHeight="1" x14ac:dyDescent="0.2">
      <c r="A38" s="74" t="s">
        <v>691</v>
      </c>
      <c r="B38" s="74" t="s">
        <v>693</v>
      </c>
      <c r="C38" s="74" t="s">
        <v>695</v>
      </c>
      <c r="D38" s="75"/>
      <c r="E38" s="75" t="str">
        <f t="shared" si="0"/>
        <v xml:space="preserve">ANCHOVAS, ESHIER QUIÑONES </v>
      </c>
      <c r="F38" s="2" t="s">
        <v>32</v>
      </c>
      <c r="G38" s="5" t="s">
        <v>691</v>
      </c>
      <c r="H38" s="25" t="s">
        <v>333</v>
      </c>
      <c r="I38" s="77" t="s">
        <v>3047</v>
      </c>
      <c r="J38" s="77"/>
      <c r="K38" s="77" t="s">
        <v>3047</v>
      </c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</row>
    <row r="39" spans="1:32" ht="15" customHeight="1" x14ac:dyDescent="0.2">
      <c r="A39" s="74" t="s">
        <v>710</v>
      </c>
      <c r="B39" s="74" t="s">
        <v>711</v>
      </c>
      <c r="C39" s="74" t="s">
        <v>712</v>
      </c>
      <c r="D39" s="75"/>
      <c r="E39" s="75" t="str">
        <f t="shared" si="0"/>
        <v xml:space="preserve">ANDANAR, JON JASON GORGOLON </v>
      </c>
      <c r="F39" s="2" t="s">
        <v>318</v>
      </c>
      <c r="G39" s="78" t="s">
        <v>710</v>
      </c>
      <c r="H39" s="25" t="s">
        <v>3050</v>
      </c>
      <c r="I39" s="77" t="s">
        <v>3046</v>
      </c>
      <c r="J39" s="77"/>
      <c r="K39" s="77" t="s">
        <v>3046</v>
      </c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</row>
    <row r="40" spans="1:32" ht="15" customHeight="1" x14ac:dyDescent="0.2">
      <c r="A40" s="74" t="s">
        <v>722</v>
      </c>
      <c r="B40" s="74" t="s">
        <v>723</v>
      </c>
      <c r="C40" s="74" t="s">
        <v>724</v>
      </c>
      <c r="D40" s="75"/>
      <c r="E40" s="75" t="str">
        <f t="shared" si="0"/>
        <v xml:space="preserve">ANDRES, JOSE WILSON HACIÑAS </v>
      </c>
      <c r="F40" s="2" t="s">
        <v>62</v>
      </c>
      <c r="G40" s="78" t="s">
        <v>722</v>
      </c>
      <c r="H40" s="25" t="s">
        <v>259</v>
      </c>
      <c r="I40" s="77" t="s">
        <v>3046</v>
      </c>
      <c r="J40" s="77"/>
      <c r="K40" s="77" t="s">
        <v>3046</v>
      </c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</row>
    <row r="41" spans="1:32" ht="15" customHeight="1" x14ac:dyDescent="0.2">
      <c r="A41" s="74" t="s">
        <v>751</v>
      </c>
      <c r="B41" s="74" t="s">
        <v>752</v>
      </c>
      <c r="C41" s="74" t="s">
        <v>753</v>
      </c>
      <c r="D41" s="75"/>
      <c r="E41" s="75" t="str">
        <f t="shared" si="0"/>
        <v xml:space="preserve">ANGELES, MARK DANIEL MAMITAG </v>
      </c>
      <c r="F41" s="2" t="s">
        <v>134</v>
      </c>
      <c r="G41" s="78" t="s">
        <v>751</v>
      </c>
      <c r="H41" s="25" t="s">
        <v>333</v>
      </c>
      <c r="I41" s="77" t="s">
        <v>3047</v>
      </c>
      <c r="J41" s="77"/>
      <c r="K41" s="77" t="s">
        <v>3047</v>
      </c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</row>
    <row r="42" spans="1:32" ht="15" customHeight="1" x14ac:dyDescent="0.2">
      <c r="A42" s="74" t="s">
        <v>780</v>
      </c>
      <c r="B42" s="74" t="s">
        <v>781</v>
      </c>
      <c r="C42" s="74" t="s">
        <v>783</v>
      </c>
      <c r="D42" s="75"/>
      <c r="E42" s="75" t="str">
        <f t="shared" si="0"/>
        <v xml:space="preserve">ANGLIGEN, MARLON PINANGI </v>
      </c>
      <c r="F42" s="2" t="s">
        <v>32</v>
      </c>
      <c r="G42" s="5" t="s">
        <v>780</v>
      </c>
      <c r="H42" s="25" t="s">
        <v>785</v>
      </c>
      <c r="I42" s="77" t="s">
        <v>3047</v>
      </c>
      <c r="J42" s="77"/>
      <c r="K42" s="77" t="s">
        <v>3047</v>
      </c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</row>
    <row r="43" spans="1:32" ht="15" customHeight="1" x14ac:dyDescent="0.2">
      <c r="A43" s="74" t="s">
        <v>802</v>
      </c>
      <c r="B43" s="74" t="s">
        <v>803</v>
      </c>
      <c r="C43" s="74" t="s">
        <v>804</v>
      </c>
      <c r="D43" s="75"/>
      <c r="E43" s="75" t="str">
        <f t="shared" si="0"/>
        <v xml:space="preserve">ANISCO, ARCHIE STO. DOMINGO </v>
      </c>
      <c r="F43" s="2" t="s">
        <v>127</v>
      </c>
      <c r="G43" s="11" t="s">
        <v>802</v>
      </c>
      <c r="H43" s="25" t="s">
        <v>2137</v>
      </c>
      <c r="I43" s="77" t="s">
        <v>3046</v>
      </c>
      <c r="J43" s="77"/>
      <c r="K43" s="77" t="s">
        <v>3046</v>
      </c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</row>
    <row r="44" spans="1:32" ht="15" customHeight="1" x14ac:dyDescent="0.2">
      <c r="A44" s="74" t="s">
        <v>813</v>
      </c>
      <c r="B44" s="74" t="s">
        <v>815</v>
      </c>
      <c r="C44" s="74" t="s">
        <v>817</v>
      </c>
      <c r="D44" s="75"/>
      <c r="E44" s="75" t="str">
        <f t="shared" si="0"/>
        <v xml:space="preserve">ANUNCIO, ALEJANDER TALAMPAS </v>
      </c>
      <c r="F44" s="2" t="s">
        <v>62</v>
      </c>
      <c r="G44" s="78" t="s">
        <v>813</v>
      </c>
      <c r="H44" s="25" t="s">
        <v>819</v>
      </c>
      <c r="I44" s="77" t="s">
        <v>3046</v>
      </c>
      <c r="J44" s="77"/>
      <c r="K44" s="77" t="s">
        <v>3046</v>
      </c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</row>
    <row r="45" spans="1:32" ht="15" customHeight="1" x14ac:dyDescent="0.2">
      <c r="A45" s="74" t="s">
        <v>952</v>
      </c>
      <c r="B45" s="74" t="s">
        <v>953</v>
      </c>
      <c r="C45" s="74" t="s">
        <v>954</v>
      </c>
      <c r="D45" s="75"/>
      <c r="E45" s="75" t="str">
        <f t="shared" si="0"/>
        <v xml:space="preserve">ANURAN, ADRIAN MIRASOL </v>
      </c>
      <c r="F45" s="2" t="s">
        <v>127</v>
      </c>
      <c r="G45" s="78" t="s">
        <v>952</v>
      </c>
      <c r="H45" s="25" t="s">
        <v>259</v>
      </c>
      <c r="I45" s="77" t="s">
        <v>3046</v>
      </c>
      <c r="J45" s="77"/>
      <c r="K45" s="77" t="s">
        <v>3046</v>
      </c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</row>
    <row r="46" spans="1:32" ht="15" customHeight="1" x14ac:dyDescent="0.2">
      <c r="A46" s="74" t="s">
        <v>868</v>
      </c>
      <c r="B46" s="74" t="s">
        <v>869</v>
      </c>
      <c r="C46" s="74" t="s">
        <v>872</v>
      </c>
      <c r="D46" s="75"/>
      <c r="E46" s="75" t="str">
        <f t="shared" si="0"/>
        <v xml:space="preserve">APACIBLE, KIM SANDELL CAMO </v>
      </c>
      <c r="F46" s="2" t="s">
        <v>32</v>
      </c>
      <c r="G46" s="5" t="s">
        <v>868</v>
      </c>
      <c r="H46" s="25" t="s">
        <v>785</v>
      </c>
      <c r="I46" s="77" t="s">
        <v>3047</v>
      </c>
      <c r="J46" s="77"/>
      <c r="K46" s="77" t="s">
        <v>3047</v>
      </c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</row>
    <row r="47" spans="1:32" ht="15" customHeight="1" x14ac:dyDescent="0.2">
      <c r="A47" s="74" t="s">
        <v>884</v>
      </c>
      <c r="B47" s="74" t="s">
        <v>886</v>
      </c>
      <c r="C47" s="74" t="s">
        <v>887</v>
      </c>
      <c r="D47" s="75"/>
      <c r="E47" s="75" t="str">
        <f t="shared" si="0"/>
        <v xml:space="preserve">APALLA, RUEL AMPIS </v>
      </c>
      <c r="F47" s="2" t="s">
        <v>32</v>
      </c>
      <c r="G47" s="5" t="s">
        <v>884</v>
      </c>
      <c r="H47" s="25" t="s">
        <v>3051</v>
      </c>
      <c r="I47" s="77" t="s">
        <v>3047</v>
      </c>
      <c r="J47" s="77"/>
      <c r="K47" s="77" t="s">
        <v>3047</v>
      </c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</row>
    <row r="48" spans="1:32" ht="15" customHeight="1" x14ac:dyDescent="0.2">
      <c r="A48" s="74" t="s">
        <v>795</v>
      </c>
      <c r="B48" s="74" t="s">
        <v>893</v>
      </c>
      <c r="C48" s="74" t="s">
        <v>894</v>
      </c>
      <c r="D48" s="75"/>
      <c r="E48" s="75" t="str">
        <f t="shared" si="0"/>
        <v xml:space="preserve">AQUINO, JOHANNES GOLD LUCERO </v>
      </c>
      <c r="F48" s="2" t="s">
        <v>62</v>
      </c>
      <c r="G48" s="78" t="s">
        <v>795</v>
      </c>
      <c r="H48" s="25" t="s">
        <v>895</v>
      </c>
      <c r="I48" s="77" t="s">
        <v>3046</v>
      </c>
      <c r="J48" s="77"/>
      <c r="K48" s="77" t="s">
        <v>3046</v>
      </c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49" spans="1:32" ht="15" customHeight="1" x14ac:dyDescent="0.2">
      <c r="A49" s="1" t="s">
        <v>795</v>
      </c>
      <c r="B49" s="1" t="s">
        <v>796</v>
      </c>
      <c r="C49" s="1" t="s">
        <v>238</v>
      </c>
      <c r="D49" s="2"/>
      <c r="E49" s="75" t="str">
        <f t="shared" si="0"/>
        <v xml:space="preserve">AQUINO, ROGELIO PATIÑO </v>
      </c>
      <c r="F49" s="2" t="s">
        <v>42</v>
      </c>
      <c r="G49" s="78" t="s">
        <v>3052</v>
      </c>
      <c r="H49" s="25" t="s">
        <v>798</v>
      </c>
      <c r="I49" s="77" t="s">
        <v>3048</v>
      </c>
      <c r="J49" s="77"/>
      <c r="K49" s="77" t="s">
        <v>3048</v>
      </c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</row>
    <row r="50" spans="1:32" ht="15" customHeight="1" x14ac:dyDescent="0.2">
      <c r="A50" s="74" t="s">
        <v>910</v>
      </c>
      <c r="B50" s="74" t="s">
        <v>911</v>
      </c>
      <c r="C50" s="74" t="s">
        <v>898</v>
      </c>
      <c r="D50" s="75"/>
      <c r="E50" s="75" t="str">
        <f t="shared" si="0"/>
        <v xml:space="preserve">ARCANGEL, OLIVER GARCIA </v>
      </c>
      <c r="F50" s="2" t="s">
        <v>134</v>
      </c>
      <c r="G50" s="78" t="s">
        <v>910</v>
      </c>
      <c r="H50" s="25" t="s">
        <v>138</v>
      </c>
      <c r="I50" s="77" t="s">
        <v>3047</v>
      </c>
      <c r="J50" s="77"/>
      <c r="K50" s="77" t="s">
        <v>3047</v>
      </c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</row>
    <row r="51" spans="1:32" ht="15" customHeight="1" x14ac:dyDescent="0.2">
      <c r="A51" s="1" t="s">
        <v>799</v>
      </c>
      <c r="B51" s="1" t="s">
        <v>800</v>
      </c>
      <c r="C51" s="1" t="s">
        <v>801</v>
      </c>
      <c r="D51" s="2"/>
      <c r="E51" s="75" t="str">
        <f t="shared" si="0"/>
        <v xml:space="preserve">ARCE, MARIE FRANCISSE THERESE ARMAMENTO </v>
      </c>
      <c r="F51" s="2" t="s">
        <v>42</v>
      </c>
      <c r="G51" s="78" t="s">
        <v>799</v>
      </c>
      <c r="H51" s="25" t="s">
        <v>3053</v>
      </c>
      <c r="I51" s="77" t="s">
        <v>3048</v>
      </c>
      <c r="J51" s="77"/>
      <c r="K51" s="77" t="s">
        <v>3048</v>
      </c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</row>
    <row r="52" spans="1:32" ht="15" customHeight="1" x14ac:dyDescent="0.2">
      <c r="A52" s="74" t="s">
        <v>932</v>
      </c>
      <c r="B52" s="74" t="s">
        <v>934</v>
      </c>
      <c r="C52" s="74" t="s">
        <v>935</v>
      </c>
      <c r="D52" s="75"/>
      <c r="E52" s="75" t="str">
        <f t="shared" si="0"/>
        <v xml:space="preserve">AREOLA, MARJORIE BALZA </v>
      </c>
      <c r="F52" s="2" t="s">
        <v>32</v>
      </c>
      <c r="G52" s="78" t="s">
        <v>932</v>
      </c>
      <c r="H52" s="25" t="s">
        <v>333</v>
      </c>
      <c r="I52" s="77" t="s">
        <v>3047</v>
      </c>
      <c r="J52" s="77"/>
      <c r="K52" s="77" t="s">
        <v>3047</v>
      </c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</row>
    <row r="53" spans="1:32" ht="15" customHeight="1" x14ac:dyDescent="0.2">
      <c r="A53" s="74" t="s">
        <v>1089</v>
      </c>
      <c r="B53" s="74" t="s">
        <v>1090</v>
      </c>
      <c r="C53" s="74" t="s">
        <v>1091</v>
      </c>
      <c r="D53" s="75"/>
      <c r="E53" s="75" t="str">
        <f t="shared" si="0"/>
        <v xml:space="preserve">AREVALO, RALPH LYNDON RESUELLO </v>
      </c>
      <c r="F53" s="2" t="s">
        <v>323</v>
      </c>
      <c r="G53" s="78" t="s">
        <v>1089</v>
      </c>
      <c r="H53" s="25" t="s">
        <v>259</v>
      </c>
      <c r="I53" s="77" t="s">
        <v>3046</v>
      </c>
      <c r="J53" s="77"/>
      <c r="K53" s="77" t="s">
        <v>3046</v>
      </c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</row>
    <row r="54" spans="1:32" ht="15" customHeight="1" x14ac:dyDescent="0.2">
      <c r="A54" s="74" t="s">
        <v>844</v>
      </c>
      <c r="B54" s="74" t="s">
        <v>847</v>
      </c>
      <c r="C54" s="74" t="s">
        <v>849</v>
      </c>
      <c r="D54" s="75"/>
      <c r="E54" s="75" t="str">
        <f t="shared" si="0"/>
        <v xml:space="preserve">ARGAWANON, JUNREY BOOC </v>
      </c>
      <c r="F54" s="2" t="s">
        <v>32</v>
      </c>
      <c r="G54" s="5" t="s">
        <v>844</v>
      </c>
      <c r="H54" s="25" t="s">
        <v>333</v>
      </c>
      <c r="I54" s="77" t="s">
        <v>3047</v>
      </c>
      <c r="J54" s="77"/>
      <c r="K54" s="77" t="s">
        <v>3047</v>
      </c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</row>
    <row r="55" spans="1:32" ht="15" customHeight="1" x14ac:dyDescent="0.2">
      <c r="A55" s="1" t="s">
        <v>805</v>
      </c>
      <c r="B55" s="1" t="s">
        <v>806</v>
      </c>
      <c r="C55" s="1" t="s">
        <v>807</v>
      </c>
      <c r="D55" s="2"/>
      <c r="E55" s="75" t="str">
        <f t="shared" si="0"/>
        <v xml:space="preserve">ARGETE, GRACIANO ROSILLO </v>
      </c>
      <c r="F55" s="2" t="s">
        <v>42</v>
      </c>
      <c r="G55" s="78" t="s">
        <v>805</v>
      </c>
      <c r="H55" s="25" t="s">
        <v>3054</v>
      </c>
      <c r="I55" s="77" t="s">
        <v>3048</v>
      </c>
      <c r="J55" s="77"/>
      <c r="K55" s="77" t="s">
        <v>3048</v>
      </c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</row>
    <row r="56" spans="1:32" ht="15" customHeight="1" x14ac:dyDescent="0.2">
      <c r="A56" s="74" t="s">
        <v>990</v>
      </c>
      <c r="B56" s="74" t="s">
        <v>991</v>
      </c>
      <c r="C56" s="74" t="s">
        <v>992</v>
      </c>
      <c r="D56" s="75"/>
      <c r="E56" s="75" t="str">
        <f t="shared" si="0"/>
        <v xml:space="preserve">ARIAS, AUDEN GOZUM </v>
      </c>
      <c r="F56" s="2" t="s">
        <v>323</v>
      </c>
      <c r="G56" s="78" t="s">
        <v>990</v>
      </c>
      <c r="H56" s="25" t="s">
        <v>993</v>
      </c>
      <c r="I56" s="77" t="s">
        <v>3046</v>
      </c>
      <c r="J56" s="77"/>
      <c r="K56" s="77" t="s">
        <v>3046</v>
      </c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</row>
    <row r="57" spans="1:32" ht="15" customHeight="1" x14ac:dyDescent="0.2">
      <c r="A57" s="74" t="s">
        <v>1018</v>
      </c>
      <c r="B57" s="74" t="s">
        <v>1019</v>
      </c>
      <c r="C57" s="74" t="s">
        <v>1021</v>
      </c>
      <c r="D57" s="75"/>
      <c r="E57" s="75" t="str">
        <f t="shared" si="0"/>
        <v xml:space="preserve">ARLES, VINZELL ROMANO </v>
      </c>
      <c r="F57" s="2" t="s">
        <v>32</v>
      </c>
      <c r="G57" s="78" t="s">
        <v>1018</v>
      </c>
      <c r="H57" s="25" t="s">
        <v>333</v>
      </c>
      <c r="I57" s="77" t="s">
        <v>3047</v>
      </c>
      <c r="J57" s="77"/>
      <c r="K57" s="77" t="s">
        <v>3047</v>
      </c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</row>
    <row r="58" spans="1:32" ht="15" customHeight="1" x14ac:dyDescent="0.2">
      <c r="A58" s="1" t="s">
        <v>809</v>
      </c>
      <c r="B58" s="1" t="s">
        <v>64</v>
      </c>
      <c r="C58" s="1" t="s">
        <v>810</v>
      </c>
      <c r="D58" s="2"/>
      <c r="E58" s="75" t="str">
        <f t="shared" si="0"/>
        <v xml:space="preserve">ARROYO, CHRISTIAN REMOLADO </v>
      </c>
      <c r="F58" s="2" t="s">
        <v>42</v>
      </c>
      <c r="G58" s="5" t="s">
        <v>809</v>
      </c>
      <c r="H58" s="25" t="s">
        <v>3055</v>
      </c>
      <c r="I58" s="77" t="s">
        <v>3048</v>
      </c>
      <c r="J58" s="77"/>
      <c r="K58" s="77" t="s">
        <v>3048</v>
      </c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</row>
    <row r="59" spans="1:32" ht="15" customHeight="1" x14ac:dyDescent="0.2">
      <c r="A59" s="74" t="s">
        <v>809</v>
      </c>
      <c r="B59" s="74" t="s">
        <v>1030</v>
      </c>
      <c r="C59" s="74" t="s">
        <v>1031</v>
      </c>
      <c r="D59" s="75" t="s">
        <v>181</v>
      </c>
      <c r="E59" s="75" t="str">
        <f t="shared" si="0"/>
        <v>ARROYO, REYNALDO PASCO JR</v>
      </c>
      <c r="F59" s="2" t="s">
        <v>32</v>
      </c>
      <c r="G59" s="78" t="s">
        <v>809</v>
      </c>
      <c r="H59" s="25" t="s">
        <v>333</v>
      </c>
      <c r="I59" s="77" t="s">
        <v>3047</v>
      </c>
      <c r="J59" s="77"/>
      <c r="K59" s="77" t="s">
        <v>3047</v>
      </c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</row>
    <row r="60" spans="1:32" ht="15" customHeight="1" x14ac:dyDescent="0.2">
      <c r="A60" s="74" t="s">
        <v>1052</v>
      </c>
      <c r="B60" s="74" t="s">
        <v>1053</v>
      </c>
      <c r="C60" s="74" t="s">
        <v>1054</v>
      </c>
      <c r="D60" s="75"/>
      <c r="E60" s="75" t="str">
        <f t="shared" si="0"/>
        <v xml:space="preserve">ASIRI, DELFAIZA SARAJAN </v>
      </c>
      <c r="F60" s="2" t="s">
        <v>32</v>
      </c>
      <c r="G60" s="78" t="s">
        <v>1052</v>
      </c>
      <c r="H60" s="25" t="s">
        <v>333</v>
      </c>
      <c r="I60" s="77" t="s">
        <v>3047</v>
      </c>
      <c r="J60" s="77"/>
      <c r="K60" s="77" t="s">
        <v>3047</v>
      </c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</row>
    <row r="61" spans="1:32" ht="15" customHeight="1" x14ac:dyDescent="0.2">
      <c r="A61" s="1" t="s">
        <v>43</v>
      </c>
      <c r="B61" s="1" t="s">
        <v>44</v>
      </c>
      <c r="C61" s="1" t="s">
        <v>45</v>
      </c>
      <c r="D61" s="2"/>
      <c r="E61" s="75" t="str">
        <f t="shared" si="0"/>
        <v xml:space="preserve">AVENDAÑO, MA. FRELIE JOY (no middle name) </v>
      </c>
      <c r="F61" s="2" t="s">
        <v>42</v>
      </c>
      <c r="G61" s="78" t="s">
        <v>43</v>
      </c>
      <c r="H61" s="25" t="s">
        <v>811</v>
      </c>
      <c r="I61" s="77" t="s">
        <v>3048</v>
      </c>
      <c r="J61" s="77"/>
      <c r="K61" s="77" t="s">
        <v>3048</v>
      </c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</row>
    <row r="62" spans="1:32" ht="15" customHeight="1" x14ac:dyDescent="0.2">
      <c r="A62" s="74" t="s">
        <v>1063</v>
      </c>
      <c r="B62" s="74" t="s">
        <v>1065</v>
      </c>
      <c r="C62" s="74" t="s">
        <v>1066</v>
      </c>
      <c r="D62" s="75"/>
      <c r="E62" s="75" t="str">
        <f t="shared" si="0"/>
        <v xml:space="preserve">AVILA, CHRISTOPHER BALEÑA </v>
      </c>
      <c r="F62" s="2" t="s">
        <v>528</v>
      </c>
      <c r="G62" s="78" t="s">
        <v>1063</v>
      </c>
      <c r="H62" s="25" t="s">
        <v>333</v>
      </c>
      <c r="I62" s="77" t="s">
        <v>3047</v>
      </c>
      <c r="J62" s="77"/>
      <c r="K62" s="77" t="s">
        <v>3047</v>
      </c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</row>
    <row r="63" spans="1:32" ht="15" customHeight="1" x14ac:dyDescent="0.2">
      <c r="A63" s="74" t="s">
        <v>1075</v>
      </c>
      <c r="B63" s="74" t="s">
        <v>1076</v>
      </c>
      <c r="C63" s="74" t="s">
        <v>1077</v>
      </c>
      <c r="D63" s="75"/>
      <c r="E63" s="75" t="str">
        <f t="shared" si="0"/>
        <v xml:space="preserve">AYUPAN, LAURENCE NOBLEZA </v>
      </c>
      <c r="F63" s="2" t="s">
        <v>32</v>
      </c>
      <c r="G63" s="5" t="s">
        <v>1075</v>
      </c>
      <c r="H63" s="25" t="s">
        <v>27</v>
      </c>
      <c r="I63" s="77" t="s">
        <v>3047</v>
      </c>
      <c r="J63" s="77"/>
      <c r="K63" s="77" t="s">
        <v>3047</v>
      </c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</row>
    <row r="64" spans="1:32" ht="15" customHeight="1" x14ac:dyDescent="0.2">
      <c r="A64" s="9" t="s">
        <v>1214</v>
      </c>
      <c r="B64" s="9" t="s">
        <v>1215</v>
      </c>
      <c r="C64" s="9" t="s">
        <v>1216</v>
      </c>
      <c r="D64" s="82"/>
      <c r="E64" s="75" t="str">
        <f t="shared" si="0"/>
        <v xml:space="preserve">BABATE, JAN NOEL ADUCA </v>
      </c>
      <c r="F64" s="2" t="s">
        <v>127</v>
      </c>
      <c r="G64" s="78" t="s">
        <v>1214</v>
      </c>
      <c r="H64" s="25" t="s">
        <v>259</v>
      </c>
      <c r="I64" s="77" t="s">
        <v>3046</v>
      </c>
      <c r="J64" s="77"/>
      <c r="K64" s="77" t="s">
        <v>3046</v>
      </c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</row>
    <row r="65" spans="1:32" ht="15" customHeight="1" x14ac:dyDescent="0.2">
      <c r="A65" s="1" t="s">
        <v>382</v>
      </c>
      <c r="B65" s="1" t="s">
        <v>383</v>
      </c>
      <c r="C65" s="1" t="s">
        <v>384</v>
      </c>
      <c r="D65" s="2" t="s">
        <v>181</v>
      </c>
      <c r="E65" s="75" t="str">
        <f t="shared" si="0"/>
        <v>BACATAN, FERDINAND JALOVA JR</v>
      </c>
      <c r="F65" s="2" t="s">
        <v>32</v>
      </c>
      <c r="G65" s="83" t="s">
        <v>382</v>
      </c>
      <c r="H65" s="25" t="s">
        <v>333</v>
      </c>
      <c r="I65" s="77" t="s">
        <v>3047</v>
      </c>
      <c r="J65" s="77"/>
      <c r="K65" s="77" t="s">
        <v>3047</v>
      </c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</row>
    <row r="66" spans="1:32" ht="15" customHeight="1" x14ac:dyDescent="0.2">
      <c r="A66" s="9" t="s">
        <v>1138</v>
      </c>
      <c r="B66" s="9" t="s">
        <v>1127</v>
      </c>
      <c r="C66" s="9" t="s">
        <v>1140</v>
      </c>
      <c r="D66" s="2"/>
      <c r="E66" s="75" t="str">
        <f t="shared" si="0"/>
        <v xml:space="preserve">BACCAY, PEDRO IQUIN </v>
      </c>
      <c r="F66" s="2" t="s">
        <v>62</v>
      </c>
      <c r="G66" s="78" t="s">
        <v>1138</v>
      </c>
      <c r="H66" s="25" t="s">
        <v>259</v>
      </c>
      <c r="I66" s="77" t="s">
        <v>3046</v>
      </c>
      <c r="J66" s="77"/>
      <c r="K66" s="77" t="s">
        <v>3046</v>
      </c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</row>
    <row r="67" spans="1:32" ht="15" customHeight="1" x14ac:dyDescent="0.2">
      <c r="A67" s="1" t="s">
        <v>812</v>
      </c>
      <c r="B67" s="1" t="s">
        <v>588</v>
      </c>
      <c r="C67" s="1" t="s">
        <v>404</v>
      </c>
      <c r="D67" s="2"/>
      <c r="E67" s="75" t="str">
        <f t="shared" si="0"/>
        <v xml:space="preserve">BACLIG, MICHAEL DELA CRUZ </v>
      </c>
      <c r="F67" s="2" t="s">
        <v>42</v>
      </c>
      <c r="G67" s="78" t="s">
        <v>812</v>
      </c>
      <c r="H67" s="25" t="s">
        <v>816</v>
      </c>
      <c r="I67" s="77" t="s">
        <v>3048</v>
      </c>
      <c r="J67" s="77"/>
      <c r="K67" s="77" t="s">
        <v>3048</v>
      </c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</row>
    <row r="68" spans="1:32" ht="15" customHeight="1" x14ac:dyDescent="0.2">
      <c r="A68" s="1" t="s">
        <v>812</v>
      </c>
      <c r="B68" s="1" t="s">
        <v>822</v>
      </c>
      <c r="C68" s="1" t="s">
        <v>823</v>
      </c>
      <c r="D68" s="2"/>
      <c r="E68" s="75" t="str">
        <f t="shared" si="0"/>
        <v xml:space="preserve">BACLIG, NEILJANE ADONA </v>
      </c>
      <c r="F68" s="2" t="s">
        <v>42</v>
      </c>
      <c r="G68" s="78" t="s">
        <v>812</v>
      </c>
      <c r="H68" s="25" t="s">
        <v>827</v>
      </c>
      <c r="I68" s="77" t="s">
        <v>3048</v>
      </c>
      <c r="J68" s="77"/>
      <c r="K68" s="77" t="s">
        <v>3048</v>
      </c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</row>
    <row r="69" spans="1:32" ht="15" customHeight="1" x14ac:dyDescent="0.2">
      <c r="A69" s="1" t="s">
        <v>109</v>
      </c>
      <c r="B69" s="1" t="s">
        <v>110</v>
      </c>
      <c r="C69" s="1" t="s">
        <v>111</v>
      </c>
      <c r="D69" s="2"/>
      <c r="E69" s="75" t="str">
        <f t="shared" si="0"/>
        <v xml:space="preserve">BAGO, REBECCA LLANEZA </v>
      </c>
      <c r="F69" s="2" t="s">
        <v>42</v>
      </c>
      <c r="G69" s="78" t="s">
        <v>109</v>
      </c>
      <c r="H69" s="25" t="s">
        <v>833</v>
      </c>
      <c r="I69" s="77" t="s">
        <v>3048</v>
      </c>
      <c r="J69" s="77"/>
      <c r="K69" s="77" t="s">
        <v>3048</v>
      </c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</row>
    <row r="70" spans="1:32" ht="15" customHeight="1" x14ac:dyDescent="0.2">
      <c r="A70" s="1" t="s">
        <v>839</v>
      </c>
      <c r="B70" s="1" t="s">
        <v>841</v>
      </c>
      <c r="C70" s="1" t="s">
        <v>842</v>
      </c>
      <c r="D70" s="2"/>
      <c r="E70" s="75" t="str">
        <f t="shared" si="0"/>
        <v xml:space="preserve">BAJAMONDE, CHRISTIAN JOHN  PLAZA </v>
      </c>
      <c r="F70" s="2" t="s">
        <v>42</v>
      </c>
      <c r="G70" s="78" t="s">
        <v>839</v>
      </c>
      <c r="H70" s="25" t="s">
        <v>3056</v>
      </c>
      <c r="I70" s="77" t="s">
        <v>3048</v>
      </c>
      <c r="J70" s="77"/>
      <c r="K70" s="77" t="s">
        <v>3048</v>
      </c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</row>
    <row r="71" spans="1:32" ht="15" customHeight="1" x14ac:dyDescent="0.2">
      <c r="A71" s="1" t="s">
        <v>1166</v>
      </c>
      <c r="B71" s="1" t="s">
        <v>1167</v>
      </c>
      <c r="C71" s="1" t="s">
        <v>627</v>
      </c>
      <c r="D71" s="2"/>
      <c r="E71" s="75" t="str">
        <f t="shared" si="0"/>
        <v xml:space="preserve">BALDERAMA, HARLEY GALANG </v>
      </c>
      <c r="F71" s="2" t="s">
        <v>134</v>
      </c>
      <c r="G71" s="78" t="s">
        <v>1166</v>
      </c>
      <c r="H71" s="25" t="s">
        <v>333</v>
      </c>
      <c r="I71" s="77" t="s">
        <v>3047</v>
      </c>
      <c r="J71" s="77"/>
      <c r="K71" s="77" t="s">
        <v>3047</v>
      </c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</row>
    <row r="72" spans="1:32" ht="15" customHeight="1" x14ac:dyDescent="0.2">
      <c r="A72" s="9" t="s">
        <v>1191</v>
      </c>
      <c r="B72" s="9" t="s">
        <v>701</v>
      </c>
      <c r="C72" s="9" t="s">
        <v>1193</v>
      </c>
      <c r="D72" s="2"/>
      <c r="E72" s="75" t="str">
        <f t="shared" si="0"/>
        <v xml:space="preserve">BALDOS, MARK ANTHONY BUNGAG </v>
      </c>
      <c r="F72" s="2" t="s">
        <v>32</v>
      </c>
      <c r="G72" s="5" t="s">
        <v>1191</v>
      </c>
      <c r="H72" s="25" t="s">
        <v>333</v>
      </c>
      <c r="I72" s="77" t="s">
        <v>3047</v>
      </c>
      <c r="J72" s="77"/>
      <c r="K72" s="77" t="s">
        <v>3047</v>
      </c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</row>
    <row r="73" spans="1:32" ht="15" customHeight="1" x14ac:dyDescent="0.2">
      <c r="A73" s="59" t="s">
        <v>256</v>
      </c>
      <c r="B73" s="59" t="s">
        <v>257</v>
      </c>
      <c r="C73" s="59" t="s">
        <v>258</v>
      </c>
      <c r="D73" s="2" t="s">
        <v>181</v>
      </c>
      <c r="E73" s="75" t="str">
        <f t="shared" si="0"/>
        <v>BALICAG, JOSE DAKETAN JR</v>
      </c>
      <c r="F73" s="2" t="s">
        <v>127</v>
      </c>
      <c r="G73" s="11" t="s">
        <v>256</v>
      </c>
      <c r="H73" s="25" t="s">
        <v>259</v>
      </c>
      <c r="I73" s="77" t="s">
        <v>3046</v>
      </c>
      <c r="J73" s="77"/>
      <c r="K73" s="77" t="s">
        <v>3046</v>
      </c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</row>
    <row r="74" spans="1:32" ht="15" customHeight="1" x14ac:dyDescent="0.2">
      <c r="A74" s="74" t="s">
        <v>1230</v>
      </c>
      <c r="B74" s="74" t="s">
        <v>1231</v>
      </c>
      <c r="C74" s="74" t="s">
        <v>1232</v>
      </c>
      <c r="D74" s="75" t="s">
        <v>502</v>
      </c>
      <c r="E74" s="75" t="str">
        <f t="shared" si="0"/>
        <v>BALINGIT, JOSE JEFFERSON LACSAM II</v>
      </c>
      <c r="F74" s="2" t="s">
        <v>177</v>
      </c>
      <c r="G74" s="78" t="s">
        <v>1230</v>
      </c>
      <c r="H74" s="25" t="s">
        <v>333</v>
      </c>
      <c r="I74" s="77" t="s">
        <v>3047</v>
      </c>
      <c r="J74" s="77"/>
      <c r="K74" s="77" t="s">
        <v>3047</v>
      </c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</row>
    <row r="75" spans="1:32" ht="15" customHeight="1" x14ac:dyDescent="0.2">
      <c r="A75" s="74" t="s">
        <v>503</v>
      </c>
      <c r="B75" s="74" t="s">
        <v>179</v>
      </c>
      <c r="C75" s="74" t="s">
        <v>504</v>
      </c>
      <c r="D75" s="75" t="s">
        <v>181</v>
      </c>
      <c r="E75" s="75" t="str">
        <f t="shared" si="0"/>
        <v>BALLENAS, ROBERTO ALPAS JR</v>
      </c>
      <c r="F75" s="2" t="s">
        <v>127</v>
      </c>
      <c r="G75" s="11" t="s">
        <v>503</v>
      </c>
      <c r="H75" s="25" t="s">
        <v>259</v>
      </c>
      <c r="I75" s="77" t="s">
        <v>3046</v>
      </c>
      <c r="J75" s="77"/>
      <c r="K75" s="77" t="s">
        <v>3046</v>
      </c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</row>
    <row r="76" spans="1:32" ht="15" customHeight="1" x14ac:dyDescent="0.2">
      <c r="A76" s="74" t="s">
        <v>1294</v>
      </c>
      <c r="B76" s="74" t="s">
        <v>1295</v>
      </c>
      <c r="C76" s="74" t="s">
        <v>1296</v>
      </c>
      <c r="D76" s="75"/>
      <c r="E76" s="75" t="str">
        <f t="shared" si="0"/>
        <v xml:space="preserve">BALLESTEROS, MHARK VISTA </v>
      </c>
      <c r="F76" s="2" t="s">
        <v>127</v>
      </c>
      <c r="G76" s="11" t="s">
        <v>1294</v>
      </c>
      <c r="H76" s="25" t="s">
        <v>259</v>
      </c>
      <c r="I76" s="77" t="s">
        <v>3046</v>
      </c>
      <c r="J76" s="77"/>
      <c r="K76" s="77" t="s">
        <v>3046</v>
      </c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</row>
    <row r="77" spans="1:32" ht="15" customHeight="1" x14ac:dyDescent="0.2">
      <c r="A77" s="74" t="s">
        <v>1270</v>
      </c>
      <c r="B77" s="74" t="s">
        <v>733</v>
      </c>
      <c r="C77" s="74" t="s">
        <v>1273</v>
      </c>
      <c r="D77" s="75"/>
      <c r="E77" s="75" t="str">
        <f t="shared" si="0"/>
        <v xml:space="preserve">BALMACEDA, ROMMEL BANGUILAN </v>
      </c>
      <c r="F77" s="2" t="s">
        <v>62</v>
      </c>
      <c r="G77" s="78" t="s">
        <v>1270</v>
      </c>
      <c r="H77" s="9" t="s">
        <v>1833</v>
      </c>
      <c r="I77" s="77" t="s">
        <v>3046</v>
      </c>
      <c r="J77" s="77"/>
      <c r="K77" s="77" t="s">
        <v>3046</v>
      </c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</row>
    <row r="78" spans="1:32" ht="15" customHeight="1" x14ac:dyDescent="0.2">
      <c r="A78" s="74" t="s">
        <v>945</v>
      </c>
      <c r="B78" s="74" t="s">
        <v>946</v>
      </c>
      <c r="C78" s="74" t="s">
        <v>947</v>
      </c>
      <c r="D78" s="75"/>
      <c r="E78" s="75" t="str">
        <f t="shared" si="0"/>
        <v xml:space="preserve">BALON, PHIL JEURGEN ILAN </v>
      </c>
      <c r="F78" s="2" t="s">
        <v>127</v>
      </c>
      <c r="G78" s="11" t="s">
        <v>945</v>
      </c>
      <c r="H78" s="25" t="s">
        <v>73</v>
      </c>
      <c r="I78" s="77" t="s">
        <v>3046</v>
      </c>
      <c r="J78" s="77"/>
      <c r="K78" s="77" t="s">
        <v>3046</v>
      </c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</row>
    <row r="79" spans="1:32" ht="15" customHeight="1" x14ac:dyDescent="0.2">
      <c r="A79" s="1" t="s">
        <v>845</v>
      </c>
      <c r="B79" s="1" t="s">
        <v>846</v>
      </c>
      <c r="C79" s="1" t="s">
        <v>848</v>
      </c>
      <c r="D79" s="2"/>
      <c r="E79" s="75" t="str">
        <f t="shared" si="0"/>
        <v xml:space="preserve">BALONGOY, RONALYN SOLDEVILLA </v>
      </c>
      <c r="F79" s="2" t="s">
        <v>42</v>
      </c>
      <c r="G79" s="78" t="s">
        <v>845</v>
      </c>
      <c r="H79" s="25" t="s">
        <v>850</v>
      </c>
      <c r="I79" s="77" t="s">
        <v>3048</v>
      </c>
      <c r="J79" s="77"/>
      <c r="K79" s="77" t="s">
        <v>3048</v>
      </c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</row>
    <row r="80" spans="1:32" ht="15" customHeight="1" x14ac:dyDescent="0.2">
      <c r="A80" s="1" t="s">
        <v>853</v>
      </c>
      <c r="B80" s="1" t="s">
        <v>854</v>
      </c>
      <c r="C80" s="1" t="s">
        <v>856</v>
      </c>
      <c r="D80" s="2"/>
      <c r="E80" s="75" t="str">
        <f t="shared" si="0"/>
        <v xml:space="preserve">BALUCANAG, GRACE EBARSABAL </v>
      </c>
      <c r="F80" s="2" t="s">
        <v>42</v>
      </c>
      <c r="G80" s="78" t="s">
        <v>853</v>
      </c>
      <c r="H80" s="25" t="s">
        <v>857</v>
      </c>
      <c r="I80" s="77" t="s">
        <v>3048</v>
      </c>
      <c r="J80" s="77"/>
      <c r="K80" s="77" t="s">
        <v>3048</v>
      </c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</row>
    <row r="81" spans="1:32" ht="15" customHeight="1" x14ac:dyDescent="0.2">
      <c r="A81" s="1" t="s">
        <v>1291</v>
      </c>
      <c r="B81" s="1" t="s">
        <v>1292</v>
      </c>
      <c r="C81" s="1" t="s">
        <v>1293</v>
      </c>
      <c r="D81" s="2"/>
      <c r="E81" s="75" t="str">
        <f t="shared" si="0"/>
        <v xml:space="preserve">BANDULA, MARIA GERLYINES CABRERA </v>
      </c>
      <c r="F81" s="2" t="s">
        <v>318</v>
      </c>
      <c r="G81" s="78" t="s">
        <v>1291</v>
      </c>
      <c r="H81" s="25" t="s">
        <v>259</v>
      </c>
      <c r="I81" s="77" t="s">
        <v>3046</v>
      </c>
      <c r="J81" s="77"/>
      <c r="K81" s="77" t="s">
        <v>3046</v>
      </c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</row>
    <row r="82" spans="1:32" ht="15" customHeight="1" x14ac:dyDescent="0.2">
      <c r="A82" s="1" t="s">
        <v>1236</v>
      </c>
      <c r="B82" s="1" t="s">
        <v>1237</v>
      </c>
      <c r="C82" s="1" t="s">
        <v>1239</v>
      </c>
      <c r="D82" s="2"/>
      <c r="E82" s="75" t="str">
        <f t="shared" si="0"/>
        <v xml:space="preserve">BANTIC, JUVENAL PULINNEK </v>
      </c>
      <c r="F82" s="2" t="s">
        <v>127</v>
      </c>
      <c r="G82" s="78" t="s">
        <v>1236</v>
      </c>
      <c r="H82" s="25" t="s">
        <v>259</v>
      </c>
      <c r="I82" s="77" t="s">
        <v>3046</v>
      </c>
      <c r="J82" s="77"/>
      <c r="K82" s="77" t="s">
        <v>3046</v>
      </c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</row>
    <row r="83" spans="1:32" ht="15" customHeight="1" x14ac:dyDescent="0.2">
      <c r="A83" s="1" t="s">
        <v>531</v>
      </c>
      <c r="B83" s="1" t="s">
        <v>1334</v>
      </c>
      <c r="C83" s="1" t="s">
        <v>534</v>
      </c>
      <c r="D83" s="2"/>
      <c r="E83" s="75" t="str">
        <f t="shared" si="0"/>
        <v xml:space="preserve">BANTIYAN, JEFTER  PAKID </v>
      </c>
      <c r="F83" s="2" t="s">
        <v>323</v>
      </c>
      <c r="G83" s="78" t="s">
        <v>531</v>
      </c>
      <c r="H83" s="25" t="s">
        <v>259</v>
      </c>
      <c r="I83" s="77" t="s">
        <v>3046</v>
      </c>
      <c r="J83" s="77"/>
      <c r="K83" s="77" t="s">
        <v>3046</v>
      </c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</row>
    <row r="84" spans="1:32" ht="15" customHeight="1" x14ac:dyDescent="0.2">
      <c r="A84" s="1" t="s">
        <v>1341</v>
      </c>
      <c r="B84" s="1" t="s">
        <v>1345</v>
      </c>
      <c r="C84" s="1" t="s">
        <v>1346</v>
      </c>
      <c r="D84" s="2"/>
      <c r="E84" s="75" t="str">
        <f t="shared" si="0"/>
        <v xml:space="preserve">BARQUIN, CHRISTIAN PAUL SAN VICENTE </v>
      </c>
      <c r="F84" s="2" t="s">
        <v>32</v>
      </c>
      <c r="G84" s="5" t="s">
        <v>1341</v>
      </c>
      <c r="H84" s="25" t="s">
        <v>27</v>
      </c>
      <c r="I84" s="77" t="s">
        <v>3047</v>
      </c>
      <c r="J84" s="77"/>
      <c r="K84" s="77" t="s">
        <v>3047</v>
      </c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</row>
    <row r="85" spans="1:32" ht="15" customHeight="1" x14ac:dyDescent="0.2">
      <c r="A85" s="1" t="s">
        <v>1380</v>
      </c>
      <c r="B85" s="1" t="s">
        <v>1381</v>
      </c>
      <c r="C85" s="1" t="s">
        <v>1383</v>
      </c>
      <c r="D85" s="2" t="s">
        <v>1385</v>
      </c>
      <c r="E85" s="75" t="str">
        <f t="shared" si="0"/>
        <v>BATALLER, SHERWIN SOLOMON BELLEN III</v>
      </c>
      <c r="F85" s="2" t="s">
        <v>127</v>
      </c>
      <c r="G85" s="78" t="s">
        <v>1380</v>
      </c>
      <c r="H85" s="25" t="s">
        <v>3063</v>
      </c>
      <c r="I85" s="77" t="s">
        <v>3046</v>
      </c>
      <c r="J85" s="77"/>
      <c r="K85" s="77" t="s">
        <v>3046</v>
      </c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</row>
    <row r="86" spans="1:32" ht="15" customHeight="1" x14ac:dyDescent="0.2">
      <c r="A86" s="59" t="s">
        <v>1465</v>
      </c>
      <c r="B86" s="59" t="s">
        <v>1467</v>
      </c>
      <c r="C86" s="59" t="s">
        <v>1468</v>
      </c>
      <c r="D86" s="2"/>
      <c r="E86" s="75" t="str">
        <f t="shared" si="0"/>
        <v xml:space="preserve">BATBAT, MATT KYNNPEARL CABURATAN </v>
      </c>
      <c r="F86" s="2" t="s">
        <v>127</v>
      </c>
      <c r="G86" s="11" t="s">
        <v>1465</v>
      </c>
      <c r="H86" s="25" t="s">
        <v>259</v>
      </c>
      <c r="I86" s="77" t="s">
        <v>3046</v>
      </c>
      <c r="J86" s="77"/>
      <c r="K86" s="77" t="s">
        <v>3046</v>
      </c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</row>
    <row r="87" spans="1:32" ht="15" customHeight="1" x14ac:dyDescent="0.2">
      <c r="A87" s="1" t="s">
        <v>862</v>
      </c>
      <c r="B87" s="1" t="s">
        <v>864</v>
      </c>
      <c r="C87" s="1" t="s">
        <v>866</v>
      </c>
      <c r="D87" s="2"/>
      <c r="E87" s="75" t="str">
        <f t="shared" si="0"/>
        <v xml:space="preserve">BATICADOS, IVY ELEGARLE </v>
      </c>
      <c r="F87" s="2" t="s">
        <v>42</v>
      </c>
      <c r="G87" s="78" t="s">
        <v>862</v>
      </c>
      <c r="H87" s="25" t="s">
        <v>716</v>
      </c>
      <c r="I87" s="77" t="s">
        <v>3048</v>
      </c>
      <c r="J87" s="77"/>
      <c r="K87" s="77" t="s">
        <v>3048</v>
      </c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</row>
    <row r="88" spans="1:32" ht="15" customHeight="1" x14ac:dyDescent="0.2">
      <c r="A88" s="1" t="s">
        <v>1408</v>
      </c>
      <c r="B88" s="1" t="s">
        <v>1409</v>
      </c>
      <c r="C88" s="1" t="s">
        <v>1410</v>
      </c>
      <c r="D88" s="2"/>
      <c r="E88" s="75" t="str">
        <f t="shared" si="0"/>
        <v xml:space="preserve">BAUSA, RIQUE ARCOS </v>
      </c>
      <c r="F88" s="2" t="s">
        <v>62</v>
      </c>
      <c r="G88" s="78" t="s">
        <v>1408</v>
      </c>
      <c r="H88" s="25" t="s">
        <v>821</v>
      </c>
      <c r="I88" s="77" t="s">
        <v>3046</v>
      </c>
      <c r="J88" s="77"/>
      <c r="K88" s="77" t="s">
        <v>3046</v>
      </c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</row>
    <row r="89" spans="1:32" ht="15" customHeight="1" x14ac:dyDescent="0.2">
      <c r="A89" s="74" t="s">
        <v>304</v>
      </c>
      <c r="B89" s="74" t="s">
        <v>1430</v>
      </c>
      <c r="C89" s="74" t="s">
        <v>1432</v>
      </c>
      <c r="D89" s="75"/>
      <c r="E89" s="75" t="str">
        <f t="shared" si="0"/>
        <v xml:space="preserve">BAUTISTA, CESAR ESCARZA </v>
      </c>
      <c r="F89" s="2" t="s">
        <v>528</v>
      </c>
      <c r="G89" s="78" t="s">
        <v>304</v>
      </c>
      <c r="H89" s="25" t="s">
        <v>3065</v>
      </c>
      <c r="I89" s="77" t="s">
        <v>3047</v>
      </c>
      <c r="J89" s="77"/>
      <c r="K89" s="77" t="s">
        <v>3047</v>
      </c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</row>
    <row r="90" spans="1:32" ht="15" customHeight="1" x14ac:dyDescent="0.2">
      <c r="A90" s="74" t="s">
        <v>1600</v>
      </c>
      <c r="B90" s="74" t="s">
        <v>1601</v>
      </c>
      <c r="C90" s="74" t="s">
        <v>1602</v>
      </c>
      <c r="D90" s="75"/>
      <c r="E90" s="75" t="str">
        <f t="shared" si="0"/>
        <v xml:space="preserve">BAYAUA, ANGELO ZALUN </v>
      </c>
      <c r="F90" s="2" t="s">
        <v>127</v>
      </c>
      <c r="G90" s="78" t="s">
        <v>1600</v>
      </c>
      <c r="H90" s="25" t="s">
        <v>73</v>
      </c>
      <c r="I90" s="77" t="s">
        <v>3046</v>
      </c>
      <c r="J90" s="77"/>
      <c r="K90" s="77" t="s">
        <v>3046</v>
      </c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</row>
    <row r="91" spans="1:32" ht="15" customHeight="1" x14ac:dyDescent="0.2">
      <c r="A91" s="74" t="s">
        <v>33</v>
      </c>
      <c r="B91" s="74" t="s">
        <v>34</v>
      </c>
      <c r="C91" s="74" t="s">
        <v>35</v>
      </c>
      <c r="D91" s="75"/>
      <c r="E91" s="75" t="str">
        <f t="shared" si="0"/>
        <v xml:space="preserve">BEJARIN, GERALD DADIRO </v>
      </c>
      <c r="F91" s="2" t="s">
        <v>32</v>
      </c>
      <c r="G91" s="5" t="s">
        <v>33</v>
      </c>
      <c r="H91" s="25" t="s">
        <v>27</v>
      </c>
      <c r="I91" s="77" t="s">
        <v>3047</v>
      </c>
      <c r="J91" s="77"/>
      <c r="K91" s="77" t="s">
        <v>3047</v>
      </c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</row>
    <row r="92" spans="1:32" ht="15" customHeight="1" x14ac:dyDescent="0.2">
      <c r="A92" s="74" t="s">
        <v>1507</v>
      </c>
      <c r="B92" s="74" t="s">
        <v>634</v>
      </c>
      <c r="C92" s="74" t="s">
        <v>1508</v>
      </c>
      <c r="D92" s="75"/>
      <c r="E92" s="75" t="str">
        <f t="shared" si="0"/>
        <v xml:space="preserve">BELLY, JOCELYN DEL BARRIO </v>
      </c>
      <c r="F92" s="2" t="s">
        <v>318</v>
      </c>
      <c r="G92" s="78" t="s">
        <v>1507</v>
      </c>
      <c r="H92" s="25" t="s">
        <v>636</v>
      </c>
      <c r="I92" s="77" t="s">
        <v>3046</v>
      </c>
      <c r="J92" s="77"/>
      <c r="K92" s="77" t="s">
        <v>3046</v>
      </c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</row>
    <row r="93" spans="1:32" ht="15" customHeight="1" x14ac:dyDescent="0.2">
      <c r="A93" s="74" t="s">
        <v>1527</v>
      </c>
      <c r="B93" s="74" t="s">
        <v>1528</v>
      </c>
      <c r="C93" s="74" t="s">
        <v>1529</v>
      </c>
      <c r="D93" s="75"/>
      <c r="E93" s="75" t="str">
        <f t="shared" si="0"/>
        <v xml:space="preserve">BELOYA, GENESON DORIENDES </v>
      </c>
      <c r="F93" s="2" t="s">
        <v>127</v>
      </c>
      <c r="G93" s="78" t="s">
        <v>1527</v>
      </c>
      <c r="H93" s="25" t="s">
        <v>1531</v>
      </c>
      <c r="I93" s="77" t="s">
        <v>3046</v>
      </c>
      <c r="J93" s="77"/>
      <c r="K93" s="77" t="s">
        <v>3046</v>
      </c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</row>
    <row r="94" spans="1:32" ht="15" customHeight="1" x14ac:dyDescent="0.2">
      <c r="A94" s="1" t="s">
        <v>267</v>
      </c>
      <c r="B94" s="1" t="s">
        <v>268</v>
      </c>
      <c r="C94" s="1" t="s">
        <v>269</v>
      </c>
      <c r="D94" s="2"/>
      <c r="E94" s="75" t="str">
        <f t="shared" si="0"/>
        <v xml:space="preserve">BERENGUEL, LUCHIE RELOYA </v>
      </c>
      <c r="F94" s="2" t="s">
        <v>42</v>
      </c>
      <c r="G94" s="78" t="s">
        <v>267</v>
      </c>
      <c r="H94" s="25" t="s">
        <v>880</v>
      </c>
      <c r="I94" s="77" t="s">
        <v>3048</v>
      </c>
      <c r="J94" s="77"/>
      <c r="K94" s="77" t="s">
        <v>3048</v>
      </c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</row>
    <row r="95" spans="1:32" ht="15" customHeight="1" x14ac:dyDescent="0.2">
      <c r="A95" s="74" t="s">
        <v>1238</v>
      </c>
      <c r="B95" s="74" t="s">
        <v>1240</v>
      </c>
      <c r="C95" s="74" t="s">
        <v>1242</v>
      </c>
      <c r="D95" s="75"/>
      <c r="E95" s="75" t="str">
        <f t="shared" si="0"/>
        <v xml:space="preserve">BERMUDEZ, PAUL ARNIE VIC DINEROS </v>
      </c>
      <c r="F95" s="2" t="s">
        <v>32</v>
      </c>
      <c r="G95" s="5" t="s">
        <v>1238</v>
      </c>
      <c r="H95" s="25" t="s">
        <v>333</v>
      </c>
      <c r="I95" s="77" t="s">
        <v>3047</v>
      </c>
      <c r="J95" s="77"/>
      <c r="K95" s="77" t="s">
        <v>3047</v>
      </c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</row>
    <row r="96" spans="1:32" ht="15" customHeight="1" x14ac:dyDescent="0.2">
      <c r="A96" s="1" t="s">
        <v>882</v>
      </c>
      <c r="B96" s="1" t="s">
        <v>883</v>
      </c>
      <c r="C96" s="1" t="s">
        <v>885</v>
      </c>
      <c r="D96" s="2"/>
      <c r="E96" s="75" t="str">
        <f t="shared" si="0"/>
        <v xml:space="preserve">BERNARDO, ROLAND JAY DUMAGAT </v>
      </c>
      <c r="F96" s="2" t="s">
        <v>42</v>
      </c>
      <c r="G96" s="11" t="s">
        <v>882</v>
      </c>
      <c r="H96" s="80" t="s">
        <v>888</v>
      </c>
      <c r="I96" s="77" t="s">
        <v>3048</v>
      </c>
      <c r="J96" s="77"/>
      <c r="K96" s="77" t="s">
        <v>3048</v>
      </c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</row>
    <row r="97" spans="1:32" ht="15" customHeight="1" x14ac:dyDescent="0.2">
      <c r="A97" s="1" t="s">
        <v>889</v>
      </c>
      <c r="B97" s="1" t="s">
        <v>215</v>
      </c>
      <c r="C97" s="1" t="s">
        <v>216</v>
      </c>
      <c r="D97" s="2"/>
      <c r="E97" s="75" t="str">
        <f t="shared" si="0"/>
        <v xml:space="preserve">BERSALES, ARJAY PAGUIA </v>
      </c>
      <c r="F97" s="2" t="s">
        <v>42</v>
      </c>
      <c r="G97" s="5" t="s">
        <v>889</v>
      </c>
      <c r="H97" s="25" t="s">
        <v>3068</v>
      </c>
      <c r="I97" s="77" t="s">
        <v>3048</v>
      </c>
      <c r="J97" s="77"/>
      <c r="K97" s="77" t="s">
        <v>3048</v>
      </c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</row>
    <row r="98" spans="1:32" ht="15" customHeight="1" x14ac:dyDescent="0.2">
      <c r="A98" s="74" t="s">
        <v>1564</v>
      </c>
      <c r="B98" s="74" t="s">
        <v>604</v>
      </c>
      <c r="C98" s="74" t="s">
        <v>606</v>
      </c>
      <c r="D98" s="75"/>
      <c r="E98" s="75" t="str">
        <f t="shared" si="0"/>
        <v xml:space="preserve">BILLOSO, AL ANTHONY CONSOLACION </v>
      </c>
      <c r="F98" s="2" t="s">
        <v>32</v>
      </c>
      <c r="G98" s="5" t="s">
        <v>1564</v>
      </c>
      <c r="H98" s="25" t="s">
        <v>333</v>
      </c>
      <c r="I98" s="77" t="s">
        <v>3047</v>
      </c>
      <c r="J98" s="77"/>
      <c r="K98" s="77" t="s">
        <v>3047</v>
      </c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</row>
    <row r="99" spans="1:32" ht="15" customHeight="1" x14ac:dyDescent="0.2">
      <c r="A99" s="74" t="s">
        <v>891</v>
      </c>
      <c r="B99" s="74" t="s">
        <v>1583</v>
      </c>
      <c r="C99" s="74" t="s">
        <v>1584</v>
      </c>
      <c r="D99" s="75"/>
      <c r="E99" s="75" t="str">
        <f t="shared" si="0"/>
        <v xml:space="preserve">BILLOTE, KYLE BENEDICT SORIANO </v>
      </c>
      <c r="F99" s="2" t="s">
        <v>323</v>
      </c>
      <c r="G99" s="76" t="s">
        <v>891</v>
      </c>
      <c r="H99" s="25" t="s">
        <v>636</v>
      </c>
      <c r="I99" s="77" t="s">
        <v>3046</v>
      </c>
      <c r="J99" s="77"/>
      <c r="K99" s="77" t="s">
        <v>3046</v>
      </c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</row>
    <row r="100" spans="1:32" ht="15" customHeight="1" x14ac:dyDescent="0.2">
      <c r="A100" s="1" t="s">
        <v>891</v>
      </c>
      <c r="B100" s="1" t="s">
        <v>189</v>
      </c>
      <c r="C100" s="1" t="s">
        <v>892</v>
      </c>
      <c r="D100" s="2"/>
      <c r="E100" s="75" t="str">
        <f t="shared" si="0"/>
        <v xml:space="preserve">BILLOTE, MARY GRACE TAEZA </v>
      </c>
      <c r="F100" s="2" t="s">
        <v>42</v>
      </c>
      <c r="G100" s="18" t="s">
        <v>891</v>
      </c>
      <c r="H100" s="25" t="s">
        <v>3054</v>
      </c>
      <c r="I100" s="77" t="s">
        <v>3048</v>
      </c>
      <c r="J100" s="77"/>
      <c r="K100" s="77" t="s">
        <v>3048</v>
      </c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</row>
    <row r="101" spans="1:32" ht="15" customHeight="1" x14ac:dyDescent="0.2">
      <c r="A101" s="1" t="s">
        <v>422</v>
      </c>
      <c r="B101" s="1" t="s">
        <v>896</v>
      </c>
      <c r="C101" s="1" t="s">
        <v>898</v>
      </c>
      <c r="D101" s="2"/>
      <c r="E101" s="75" t="str">
        <f t="shared" si="0"/>
        <v xml:space="preserve">BINARAO, SUNSHINE GARCIA </v>
      </c>
      <c r="F101" s="2" t="s">
        <v>42</v>
      </c>
      <c r="G101" s="78" t="s">
        <v>422</v>
      </c>
      <c r="H101" s="25" t="s">
        <v>902</v>
      </c>
      <c r="I101" s="77" t="s">
        <v>3048</v>
      </c>
      <c r="J101" s="77"/>
      <c r="K101" s="77" t="s">
        <v>3048</v>
      </c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</row>
    <row r="102" spans="1:32" ht="15" customHeight="1" x14ac:dyDescent="0.2">
      <c r="A102" s="9" t="s">
        <v>1277</v>
      </c>
      <c r="B102" s="9" t="s">
        <v>1279</v>
      </c>
      <c r="C102" s="9" t="s">
        <v>1280</v>
      </c>
      <c r="D102" s="82" t="s">
        <v>181</v>
      </c>
      <c r="E102" s="75" t="str">
        <f t="shared" si="0"/>
        <v>BIRUNG, PABLO LIGUTAN JR</v>
      </c>
      <c r="F102" s="2" t="s">
        <v>323</v>
      </c>
      <c r="G102" s="11" t="s">
        <v>1277</v>
      </c>
      <c r="H102" s="25" t="s">
        <v>259</v>
      </c>
      <c r="I102" s="77" t="s">
        <v>3046</v>
      </c>
      <c r="J102" s="77"/>
      <c r="K102" s="77" t="s">
        <v>3046</v>
      </c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</row>
    <row r="103" spans="1:32" ht="15" customHeight="1" x14ac:dyDescent="0.2">
      <c r="A103" s="1" t="s">
        <v>1147</v>
      </c>
      <c r="B103" s="1" t="s">
        <v>1149</v>
      </c>
      <c r="C103" s="1" t="s">
        <v>1151</v>
      </c>
      <c r="D103" s="2" t="s">
        <v>181</v>
      </c>
      <c r="E103" s="75" t="str">
        <f t="shared" si="0"/>
        <v>BOLISLIS, JIMMY BANG-AS JR</v>
      </c>
      <c r="F103" s="2" t="s">
        <v>32</v>
      </c>
      <c r="G103" s="5" t="s">
        <v>1147</v>
      </c>
      <c r="H103" s="25" t="s">
        <v>259</v>
      </c>
      <c r="I103" s="77" t="s">
        <v>3047</v>
      </c>
      <c r="J103" s="77"/>
      <c r="K103" s="77" t="s">
        <v>3047</v>
      </c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</row>
    <row r="104" spans="1:32" ht="15" customHeight="1" x14ac:dyDescent="0.2">
      <c r="A104" s="1" t="s">
        <v>1568</v>
      </c>
      <c r="B104" s="1" t="s">
        <v>1569</v>
      </c>
      <c r="C104" s="1" t="s">
        <v>1570</v>
      </c>
      <c r="D104" s="2"/>
      <c r="E104" s="75" t="str">
        <f t="shared" si="0"/>
        <v xml:space="preserve">BONTIA, ISAAC MEDEL AMAD </v>
      </c>
      <c r="F104" s="2" t="s">
        <v>127</v>
      </c>
      <c r="G104" s="78" t="s">
        <v>1568</v>
      </c>
      <c r="H104" s="25" t="s">
        <v>259</v>
      </c>
      <c r="I104" s="77" t="s">
        <v>3046</v>
      </c>
      <c r="J104" s="77"/>
      <c r="K104" s="77" t="s">
        <v>3046</v>
      </c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</row>
    <row r="105" spans="1:32" ht="15" customHeight="1" x14ac:dyDescent="0.2">
      <c r="A105" s="1" t="s">
        <v>1703</v>
      </c>
      <c r="B105" s="1" t="s">
        <v>1704</v>
      </c>
      <c r="C105" s="1" t="s">
        <v>1080</v>
      </c>
      <c r="D105" s="2"/>
      <c r="E105" s="75" t="str">
        <f t="shared" si="0"/>
        <v xml:space="preserve">BORJA, BRIAN THEO PANGANIBAN </v>
      </c>
      <c r="F105" s="2" t="s">
        <v>62</v>
      </c>
      <c r="G105" s="78" t="s">
        <v>1703</v>
      </c>
      <c r="H105" s="25" t="s">
        <v>1714</v>
      </c>
      <c r="I105" s="77" t="s">
        <v>3046</v>
      </c>
      <c r="J105" s="77"/>
      <c r="K105" s="77" t="s">
        <v>3046</v>
      </c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</row>
    <row r="106" spans="1:32" ht="15" customHeight="1" x14ac:dyDescent="0.2">
      <c r="A106" s="1" t="s">
        <v>1254</v>
      </c>
      <c r="B106" s="1" t="s">
        <v>1740</v>
      </c>
      <c r="C106" s="1" t="s">
        <v>1742</v>
      </c>
      <c r="D106" s="2"/>
      <c r="E106" s="75" t="str">
        <f t="shared" si="0"/>
        <v xml:space="preserve">BORRES, RUBEN BROSAS </v>
      </c>
      <c r="F106" s="2" t="s">
        <v>57</v>
      </c>
      <c r="G106" s="78" t="s">
        <v>1254</v>
      </c>
      <c r="H106" s="25" t="s">
        <v>3072</v>
      </c>
      <c r="I106" s="77" t="s">
        <v>3046</v>
      </c>
      <c r="J106" s="77"/>
      <c r="K106" s="77" t="s">
        <v>3046</v>
      </c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</row>
    <row r="107" spans="1:32" ht="15" customHeight="1" x14ac:dyDescent="0.2">
      <c r="A107" s="9" t="s">
        <v>1781</v>
      </c>
      <c r="B107" s="9" t="s">
        <v>1783</v>
      </c>
      <c r="C107" s="9" t="s">
        <v>1785</v>
      </c>
      <c r="D107" s="82"/>
      <c r="E107" s="75" t="str">
        <f t="shared" si="0"/>
        <v xml:space="preserve">BRONZAL, BRUCE KELLY LOZANO </v>
      </c>
      <c r="F107" s="2" t="s">
        <v>32</v>
      </c>
      <c r="G107" s="78" t="s">
        <v>1781</v>
      </c>
      <c r="H107" s="25" t="s">
        <v>1787</v>
      </c>
      <c r="I107" s="77" t="s">
        <v>3047</v>
      </c>
      <c r="J107" s="77"/>
      <c r="K107" s="77" t="s">
        <v>3047</v>
      </c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</row>
    <row r="108" spans="1:32" ht="15" customHeight="1" x14ac:dyDescent="0.2">
      <c r="A108" s="1" t="s">
        <v>1735</v>
      </c>
      <c r="B108" s="1" t="s">
        <v>1737</v>
      </c>
      <c r="C108" s="1" t="s">
        <v>1739</v>
      </c>
      <c r="D108" s="2"/>
      <c r="E108" s="75" t="str">
        <f t="shared" si="0"/>
        <v xml:space="preserve">BUCAG, JAMES TAGUBA </v>
      </c>
      <c r="F108" s="2" t="s">
        <v>177</v>
      </c>
      <c r="G108" s="78" t="s">
        <v>1735</v>
      </c>
      <c r="H108" s="25" t="s">
        <v>333</v>
      </c>
      <c r="I108" s="77" t="s">
        <v>3047</v>
      </c>
      <c r="J108" s="77"/>
      <c r="K108" s="77" t="s">
        <v>3047</v>
      </c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</row>
    <row r="109" spans="1:32" ht="15" customHeight="1" x14ac:dyDescent="0.2">
      <c r="A109" s="1" t="s">
        <v>1103</v>
      </c>
      <c r="B109" s="1" t="s">
        <v>1104</v>
      </c>
      <c r="C109" s="1" t="s">
        <v>1105</v>
      </c>
      <c r="D109" s="2"/>
      <c r="E109" s="75" t="str">
        <f t="shared" si="0"/>
        <v xml:space="preserve">BUENO, CHIER BRYAN MARCOS </v>
      </c>
      <c r="F109" s="2" t="s">
        <v>32</v>
      </c>
      <c r="G109" s="11" t="s">
        <v>1103</v>
      </c>
      <c r="H109" s="25" t="s">
        <v>333</v>
      </c>
      <c r="I109" s="77" t="s">
        <v>3047</v>
      </c>
      <c r="J109" s="77"/>
      <c r="K109" s="77" t="s">
        <v>3047</v>
      </c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</row>
    <row r="110" spans="1:32" ht="15" customHeight="1" x14ac:dyDescent="0.2">
      <c r="A110" s="1" t="s">
        <v>614</v>
      </c>
      <c r="B110" s="1" t="s">
        <v>906</v>
      </c>
      <c r="C110" s="1" t="s">
        <v>304</v>
      </c>
      <c r="D110" s="2"/>
      <c r="E110" s="75" t="str">
        <f t="shared" si="0"/>
        <v xml:space="preserve">BUENSUCESO, NIEL PAUL BAUTISTA </v>
      </c>
      <c r="F110" s="2" t="s">
        <v>42</v>
      </c>
      <c r="G110" s="74" t="s">
        <v>614</v>
      </c>
      <c r="H110" s="25" t="s">
        <v>450</v>
      </c>
      <c r="I110" s="77" t="s">
        <v>3048</v>
      </c>
      <c r="J110" s="77"/>
      <c r="K110" s="77" t="s">
        <v>3048</v>
      </c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</row>
    <row r="111" spans="1:32" ht="15" customHeight="1" x14ac:dyDescent="0.2">
      <c r="A111" s="59" t="s">
        <v>210</v>
      </c>
      <c r="B111" s="59" t="s">
        <v>1823</v>
      </c>
      <c r="C111" s="59" t="s">
        <v>1824</v>
      </c>
      <c r="D111" s="75"/>
      <c r="E111" s="75" t="str">
        <f t="shared" si="0"/>
        <v xml:space="preserve">BUEZA, JAMES VINCENT LLIDO </v>
      </c>
      <c r="F111" s="2" t="s">
        <v>32</v>
      </c>
      <c r="G111" s="11" t="s">
        <v>210</v>
      </c>
      <c r="H111" s="25" t="s">
        <v>333</v>
      </c>
      <c r="I111" s="77" t="s">
        <v>3047</v>
      </c>
      <c r="J111" s="77"/>
      <c r="K111" s="77" t="s">
        <v>3047</v>
      </c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</row>
    <row r="112" spans="1:32" ht="15" customHeight="1" x14ac:dyDescent="0.2">
      <c r="A112" s="1" t="s">
        <v>516</v>
      </c>
      <c r="B112" s="1" t="s">
        <v>517</v>
      </c>
      <c r="C112" s="1" t="s">
        <v>518</v>
      </c>
      <c r="D112" s="1"/>
      <c r="E112" s="75" t="str">
        <f t="shared" si="0"/>
        <v xml:space="preserve">BUHAIN, DOROTHY VILLALOBOS </v>
      </c>
      <c r="F112" s="2" t="s">
        <v>127</v>
      </c>
      <c r="G112" s="78" t="s">
        <v>516</v>
      </c>
      <c r="H112" s="25" t="s">
        <v>259</v>
      </c>
      <c r="I112" s="77" t="s">
        <v>3046</v>
      </c>
      <c r="J112" s="77"/>
      <c r="K112" s="77" t="s">
        <v>3046</v>
      </c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</row>
    <row r="113" spans="1:32" ht="15" customHeight="1" x14ac:dyDescent="0.2">
      <c r="A113" s="1" t="s">
        <v>912</v>
      </c>
      <c r="B113" s="1" t="s">
        <v>913</v>
      </c>
      <c r="C113" s="1" t="s">
        <v>914</v>
      </c>
      <c r="D113" s="2"/>
      <c r="E113" s="75" t="str">
        <f t="shared" si="0"/>
        <v xml:space="preserve">BUITRE, TIMOTHY JOSEPH SIPIN </v>
      </c>
      <c r="F113" s="2" t="s">
        <v>42</v>
      </c>
      <c r="G113" s="78" t="s">
        <v>912</v>
      </c>
      <c r="H113" s="25" t="s">
        <v>915</v>
      </c>
      <c r="I113" s="77" t="s">
        <v>3048</v>
      </c>
      <c r="J113" s="77"/>
      <c r="K113" s="77" t="s">
        <v>3048</v>
      </c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</row>
    <row r="114" spans="1:32" ht="15" customHeight="1" x14ac:dyDescent="0.2">
      <c r="A114" s="1" t="s">
        <v>922</v>
      </c>
      <c r="B114" s="1" t="s">
        <v>924</v>
      </c>
      <c r="C114" s="1" t="s">
        <v>925</v>
      </c>
      <c r="D114" s="2"/>
      <c r="E114" s="75" t="str">
        <f t="shared" si="0"/>
        <v xml:space="preserve">BULURAN, MARVIN  LAPURGA </v>
      </c>
      <c r="F114" s="2" t="s">
        <v>42</v>
      </c>
      <c r="G114" s="11" t="s">
        <v>922</v>
      </c>
      <c r="H114" s="25" t="s">
        <v>926</v>
      </c>
      <c r="I114" s="77" t="s">
        <v>3048</v>
      </c>
      <c r="J114" s="77"/>
      <c r="K114" s="77" t="s">
        <v>3048</v>
      </c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</row>
    <row r="115" spans="1:32" ht="15" customHeight="1" x14ac:dyDescent="0.2">
      <c r="A115" s="74" t="s">
        <v>1726</v>
      </c>
      <c r="B115" s="74" t="s">
        <v>986</v>
      </c>
      <c r="C115" s="74" t="s">
        <v>1730</v>
      </c>
      <c r="D115" s="75"/>
      <c r="E115" s="75" t="str">
        <f t="shared" si="0"/>
        <v xml:space="preserve">BUMAL-O, RYAN BALDO </v>
      </c>
      <c r="F115" s="2" t="s">
        <v>127</v>
      </c>
      <c r="G115" s="11" t="s">
        <v>1726</v>
      </c>
      <c r="H115" s="25" t="s">
        <v>259</v>
      </c>
      <c r="I115" s="77" t="s">
        <v>3046</v>
      </c>
      <c r="J115" s="77"/>
      <c r="K115" s="77" t="s">
        <v>3046</v>
      </c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</row>
    <row r="116" spans="1:32" ht="15" customHeight="1" x14ac:dyDescent="0.2">
      <c r="A116" s="74" t="s">
        <v>1841</v>
      </c>
      <c r="B116" s="74" t="s">
        <v>1843</v>
      </c>
      <c r="C116" s="74" t="s">
        <v>1845</v>
      </c>
      <c r="D116" s="75"/>
      <c r="E116" s="75" t="str">
        <f t="shared" si="0"/>
        <v xml:space="preserve">BURIGSAY, MARC IVOR JAN SABAYLE </v>
      </c>
      <c r="F116" s="2" t="s">
        <v>32</v>
      </c>
      <c r="G116" s="5" t="s">
        <v>1841</v>
      </c>
      <c r="H116" s="25" t="s">
        <v>785</v>
      </c>
      <c r="I116" s="77" t="s">
        <v>3047</v>
      </c>
      <c r="J116" s="77"/>
      <c r="K116" s="77" t="s">
        <v>3047</v>
      </c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</row>
    <row r="117" spans="1:32" ht="15" customHeight="1" x14ac:dyDescent="0.2">
      <c r="A117" s="1" t="s">
        <v>931</v>
      </c>
      <c r="B117" s="1" t="s">
        <v>219</v>
      </c>
      <c r="C117" s="1" t="s">
        <v>220</v>
      </c>
      <c r="D117" s="2"/>
      <c r="E117" s="75" t="str">
        <f t="shared" si="0"/>
        <v xml:space="preserve">BUSTARDE, MA GOUDELIA MIRABEL </v>
      </c>
      <c r="F117" s="2" t="s">
        <v>42</v>
      </c>
      <c r="G117" s="78" t="s">
        <v>931</v>
      </c>
      <c r="H117" s="25" t="s">
        <v>939</v>
      </c>
      <c r="I117" s="77" t="s">
        <v>3048</v>
      </c>
      <c r="J117" s="77"/>
      <c r="K117" s="77" t="s">
        <v>3048</v>
      </c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</row>
    <row r="118" spans="1:32" ht="15" customHeight="1" x14ac:dyDescent="0.2">
      <c r="A118" s="1" t="s">
        <v>563</v>
      </c>
      <c r="B118" s="1" t="s">
        <v>564</v>
      </c>
      <c r="C118" s="1" t="s">
        <v>565</v>
      </c>
      <c r="D118" s="2"/>
      <c r="E118" s="75" t="str">
        <f t="shared" si="0"/>
        <v xml:space="preserve">BUTLIG, MARIE FE TUANDA </v>
      </c>
      <c r="F118" s="2" t="s">
        <v>42</v>
      </c>
      <c r="G118" s="11" t="s">
        <v>563</v>
      </c>
      <c r="H118" s="25" t="s">
        <v>227</v>
      </c>
      <c r="I118" s="77" t="s">
        <v>3048</v>
      </c>
      <c r="J118" s="77"/>
      <c r="K118" s="77" t="s">
        <v>3048</v>
      </c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</row>
    <row r="119" spans="1:32" ht="15" customHeight="1" x14ac:dyDescent="0.2">
      <c r="A119" s="74" t="s">
        <v>919</v>
      </c>
      <c r="B119" s="74" t="s">
        <v>920</v>
      </c>
      <c r="C119" s="74" t="s">
        <v>921</v>
      </c>
      <c r="D119" s="75"/>
      <c r="E119" s="75" t="str">
        <f t="shared" si="0"/>
        <v xml:space="preserve">CABADING, ELIJAH VINCENT SERANDON </v>
      </c>
      <c r="F119" s="2" t="s">
        <v>32</v>
      </c>
      <c r="G119" s="5" t="s">
        <v>919</v>
      </c>
      <c r="H119" s="25" t="s">
        <v>333</v>
      </c>
      <c r="I119" s="77" t="s">
        <v>3047</v>
      </c>
      <c r="J119" s="77"/>
      <c r="K119" s="77" t="s">
        <v>3047</v>
      </c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</row>
    <row r="120" spans="1:32" ht="15" customHeight="1" x14ac:dyDescent="0.2">
      <c r="A120" s="1" t="s">
        <v>955</v>
      </c>
      <c r="B120" s="1" t="s">
        <v>536</v>
      </c>
      <c r="C120" s="1" t="s">
        <v>956</v>
      </c>
      <c r="D120" s="2" t="s">
        <v>181</v>
      </c>
      <c r="E120" s="75" t="str">
        <f t="shared" si="0"/>
        <v>CABALLA, AGUSTIN CALLAO JR</v>
      </c>
      <c r="F120" s="2" t="s">
        <v>42</v>
      </c>
      <c r="G120" s="5" t="s">
        <v>955</v>
      </c>
      <c r="H120" s="25" t="s">
        <v>957</v>
      </c>
      <c r="I120" s="77" t="s">
        <v>3048</v>
      </c>
      <c r="J120" s="77"/>
      <c r="K120" s="77" t="s">
        <v>3048</v>
      </c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</row>
    <row r="121" spans="1:32" ht="15" customHeight="1" x14ac:dyDescent="0.2">
      <c r="A121" s="1" t="s">
        <v>959</v>
      </c>
      <c r="B121" s="1" t="s">
        <v>960</v>
      </c>
      <c r="C121" s="1" t="s">
        <v>961</v>
      </c>
      <c r="D121" s="2"/>
      <c r="E121" s="75" t="str">
        <f t="shared" si="0"/>
        <v xml:space="preserve">CABAÑAS, MARY JOY DUTERTE </v>
      </c>
      <c r="F121" s="2" t="s">
        <v>42</v>
      </c>
      <c r="G121" s="78" t="s">
        <v>959</v>
      </c>
      <c r="H121" s="25" t="s">
        <v>962</v>
      </c>
      <c r="I121" s="77" t="s">
        <v>3048</v>
      </c>
      <c r="J121" s="77"/>
      <c r="K121" s="77" t="s">
        <v>3048</v>
      </c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</row>
    <row r="122" spans="1:32" ht="15" customHeight="1" x14ac:dyDescent="0.2">
      <c r="A122" s="74" t="s">
        <v>1537</v>
      </c>
      <c r="B122" s="74" t="s">
        <v>1538</v>
      </c>
      <c r="C122" s="74" t="s">
        <v>1539</v>
      </c>
      <c r="D122" s="75"/>
      <c r="E122" s="75" t="str">
        <f t="shared" si="0"/>
        <v xml:space="preserve">CABAÑEROS, JULIUS STEVE SABELLA </v>
      </c>
      <c r="F122" s="2" t="s">
        <v>127</v>
      </c>
      <c r="G122" s="78" t="s">
        <v>1537</v>
      </c>
      <c r="H122" s="25" t="s">
        <v>259</v>
      </c>
      <c r="I122" s="77" t="s">
        <v>3046</v>
      </c>
      <c r="J122" s="77"/>
      <c r="K122" s="77" t="s">
        <v>3046</v>
      </c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</row>
    <row r="123" spans="1:32" ht="15" customHeight="1" x14ac:dyDescent="0.2">
      <c r="A123" s="59" t="s">
        <v>1955</v>
      </c>
      <c r="B123" s="59" t="s">
        <v>1957</v>
      </c>
      <c r="C123" s="59" t="s">
        <v>1034</v>
      </c>
      <c r="D123" s="2" t="s">
        <v>181</v>
      </c>
      <c r="E123" s="75" t="str">
        <f t="shared" si="0"/>
        <v>CABATIN, ROGEL VERGEL GUEVARRA JR</v>
      </c>
      <c r="F123" s="2" t="s">
        <v>127</v>
      </c>
      <c r="G123" s="11" t="s">
        <v>1955</v>
      </c>
      <c r="H123" s="25" t="s">
        <v>636</v>
      </c>
      <c r="I123" s="77" t="s">
        <v>3046</v>
      </c>
      <c r="J123" s="77"/>
      <c r="K123" s="77" t="s">
        <v>3046</v>
      </c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</row>
    <row r="124" spans="1:32" ht="15" customHeight="1" x14ac:dyDescent="0.2">
      <c r="A124" s="1" t="s">
        <v>1571</v>
      </c>
      <c r="B124" s="1" t="s">
        <v>1065</v>
      </c>
      <c r="C124" s="1" t="s">
        <v>1573</v>
      </c>
      <c r="D124" s="2"/>
      <c r="E124" s="75" t="str">
        <f t="shared" si="0"/>
        <v xml:space="preserve">CABELIS, CHRISTOPHER ADENA </v>
      </c>
      <c r="F124" s="2" t="s">
        <v>397</v>
      </c>
      <c r="G124" s="78" t="s">
        <v>1571</v>
      </c>
      <c r="H124" s="25" t="s">
        <v>333</v>
      </c>
      <c r="I124" s="77" t="s">
        <v>3047</v>
      </c>
      <c r="J124" s="77"/>
      <c r="K124" s="77" t="s">
        <v>3047</v>
      </c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</row>
    <row r="125" spans="1:32" ht="15" customHeight="1" x14ac:dyDescent="0.2">
      <c r="A125" s="9" t="s">
        <v>1916</v>
      </c>
      <c r="B125" s="9" t="s">
        <v>1917</v>
      </c>
      <c r="C125" s="9" t="s">
        <v>1918</v>
      </c>
      <c r="D125" s="82"/>
      <c r="E125" s="75" t="str">
        <f t="shared" si="0"/>
        <v xml:space="preserve">CABILES, FIDEL VALEROS </v>
      </c>
      <c r="F125" s="2" t="s">
        <v>323</v>
      </c>
      <c r="G125" s="78" t="s">
        <v>1916</v>
      </c>
      <c r="H125" s="25" t="s">
        <v>1919</v>
      </c>
      <c r="I125" s="77" t="s">
        <v>3046</v>
      </c>
      <c r="J125" s="77"/>
      <c r="K125" s="77" t="s">
        <v>3046</v>
      </c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</row>
    <row r="126" spans="1:32" ht="15" customHeight="1" x14ac:dyDescent="0.2">
      <c r="A126" s="1" t="s">
        <v>1688</v>
      </c>
      <c r="B126" s="1" t="s">
        <v>1689</v>
      </c>
      <c r="C126" s="1" t="s">
        <v>1691</v>
      </c>
      <c r="D126" s="2"/>
      <c r="E126" s="75" t="str">
        <f t="shared" si="0"/>
        <v xml:space="preserve">CABILOS, ROBERT MONTALBAN </v>
      </c>
      <c r="F126" s="2" t="s">
        <v>318</v>
      </c>
      <c r="G126" s="78" t="s">
        <v>1688</v>
      </c>
      <c r="H126" s="25" t="s">
        <v>259</v>
      </c>
      <c r="I126" s="77" t="s">
        <v>3046</v>
      </c>
      <c r="J126" s="77"/>
      <c r="K126" s="77" t="s">
        <v>3046</v>
      </c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</row>
    <row r="127" spans="1:32" ht="15" customHeight="1" x14ac:dyDescent="0.2">
      <c r="A127" s="1" t="s">
        <v>1939</v>
      </c>
      <c r="B127" s="1" t="s">
        <v>1940</v>
      </c>
      <c r="C127" s="1" t="s">
        <v>1941</v>
      </c>
      <c r="D127" s="2"/>
      <c r="E127" s="75" t="str">
        <f t="shared" si="0"/>
        <v xml:space="preserve">CAGUITE, JOHN REX ALIDO </v>
      </c>
      <c r="F127" s="2" t="s">
        <v>32</v>
      </c>
      <c r="G127" s="5" t="s">
        <v>1939</v>
      </c>
      <c r="H127" s="25" t="s">
        <v>333</v>
      </c>
      <c r="I127" s="77" t="s">
        <v>3047</v>
      </c>
      <c r="J127" s="77"/>
      <c r="K127" s="77" t="s">
        <v>3047</v>
      </c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</row>
    <row r="128" spans="1:32" ht="15" customHeight="1" x14ac:dyDescent="0.2">
      <c r="A128" s="1" t="s">
        <v>1954</v>
      </c>
      <c r="B128" s="1" t="s">
        <v>1079</v>
      </c>
      <c r="C128" s="1" t="s">
        <v>1063</v>
      </c>
      <c r="D128" s="2"/>
      <c r="E128" s="75" t="str">
        <f t="shared" si="0"/>
        <v xml:space="preserve">CALAPANO, MELVIN AVILA </v>
      </c>
      <c r="F128" s="2" t="s">
        <v>69</v>
      </c>
      <c r="G128" s="78" t="s">
        <v>1954</v>
      </c>
      <c r="H128" s="25" t="s">
        <v>1958</v>
      </c>
      <c r="I128" s="77" t="s">
        <v>3047</v>
      </c>
      <c r="J128" s="77"/>
      <c r="K128" s="77" t="s">
        <v>3047</v>
      </c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</row>
    <row r="129" spans="1:32" ht="15" customHeight="1" x14ac:dyDescent="0.2">
      <c r="A129" s="1" t="s">
        <v>1967</v>
      </c>
      <c r="B129" s="1" t="s">
        <v>1968</v>
      </c>
      <c r="C129" s="1" t="s">
        <v>226</v>
      </c>
      <c r="D129" s="2"/>
      <c r="E129" s="75" t="str">
        <f t="shared" si="0"/>
        <v xml:space="preserve">CALENDAS, RYAN ALEXANDER CASTILLO </v>
      </c>
      <c r="F129" s="2" t="s">
        <v>323</v>
      </c>
      <c r="G129" s="78" t="s">
        <v>1967</v>
      </c>
      <c r="H129" s="25" t="s">
        <v>1969</v>
      </c>
      <c r="I129" s="77" t="s">
        <v>3046</v>
      </c>
      <c r="J129" s="77"/>
      <c r="K129" s="77" t="s">
        <v>3046</v>
      </c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</row>
    <row r="130" spans="1:32" ht="15" customHeight="1" x14ac:dyDescent="0.2">
      <c r="A130" s="1" t="s">
        <v>965</v>
      </c>
      <c r="B130" s="1" t="s">
        <v>966</v>
      </c>
      <c r="C130" s="1" t="s">
        <v>967</v>
      </c>
      <c r="D130" s="2"/>
      <c r="E130" s="75" t="str">
        <f t="shared" si="0"/>
        <v xml:space="preserve">CALIPES, JEWELYN MACATIGAS </v>
      </c>
      <c r="F130" s="2" t="s">
        <v>42</v>
      </c>
      <c r="G130" s="78" t="s">
        <v>965</v>
      </c>
      <c r="H130" s="25" t="s">
        <v>969</v>
      </c>
      <c r="I130" s="77" t="s">
        <v>3048</v>
      </c>
      <c r="J130" s="77"/>
      <c r="K130" s="77" t="s">
        <v>3048</v>
      </c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</row>
    <row r="131" spans="1:32" ht="15" customHeight="1" x14ac:dyDescent="0.2">
      <c r="A131" s="1" t="s">
        <v>973</v>
      </c>
      <c r="B131" s="1" t="s">
        <v>974</v>
      </c>
      <c r="C131" s="1" t="s">
        <v>975</v>
      </c>
      <c r="D131" s="2"/>
      <c r="E131" s="75" t="str">
        <f t="shared" si="0"/>
        <v xml:space="preserve">CALUDAC, ANDREW KEITH MAGBAGAY </v>
      </c>
      <c r="F131" s="2" t="s">
        <v>42</v>
      </c>
      <c r="G131" s="78" t="s">
        <v>973</v>
      </c>
      <c r="H131" s="25" t="s">
        <v>976</v>
      </c>
      <c r="I131" s="77" t="s">
        <v>3048</v>
      </c>
      <c r="J131" s="77"/>
      <c r="K131" s="77" t="s">
        <v>3048</v>
      </c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</row>
    <row r="132" spans="1:32" ht="15" customHeight="1" x14ac:dyDescent="0.2">
      <c r="A132" s="59" t="s">
        <v>1971</v>
      </c>
      <c r="B132" s="59" t="s">
        <v>644</v>
      </c>
      <c r="C132" s="59" t="s">
        <v>645</v>
      </c>
      <c r="D132" s="75"/>
      <c r="E132" s="75" t="str">
        <f t="shared" si="0"/>
        <v xml:space="preserve">CAMFOLI, GLENMORE ONNAN </v>
      </c>
      <c r="F132" s="2" t="s">
        <v>134</v>
      </c>
      <c r="G132" s="11" t="s">
        <v>1971</v>
      </c>
      <c r="H132" s="25" t="s">
        <v>1972</v>
      </c>
      <c r="I132" s="77" t="s">
        <v>3047</v>
      </c>
      <c r="J132" s="77"/>
      <c r="K132" s="77" t="s">
        <v>3047</v>
      </c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</row>
    <row r="133" spans="1:32" ht="15" customHeight="1" x14ac:dyDescent="0.2">
      <c r="A133" s="59" t="s">
        <v>1192</v>
      </c>
      <c r="B133" s="59" t="s">
        <v>1698</v>
      </c>
      <c r="C133" s="59" t="s">
        <v>1700</v>
      </c>
      <c r="D133" s="75"/>
      <c r="E133" s="75" t="str">
        <f t="shared" si="0"/>
        <v xml:space="preserve">CANAPI, CHARLIE MEMAN </v>
      </c>
      <c r="F133" s="2" t="s">
        <v>528</v>
      </c>
      <c r="G133" s="11" t="s">
        <v>1192</v>
      </c>
      <c r="H133" s="25" t="s">
        <v>333</v>
      </c>
      <c r="I133" s="77" t="s">
        <v>3047</v>
      </c>
      <c r="J133" s="77"/>
      <c r="K133" s="77" t="s">
        <v>3047</v>
      </c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</row>
    <row r="134" spans="1:32" ht="15" customHeight="1" x14ac:dyDescent="0.2">
      <c r="A134" s="74" t="s">
        <v>1192</v>
      </c>
      <c r="B134" s="74" t="s">
        <v>1195</v>
      </c>
      <c r="C134" s="74" t="s">
        <v>1196</v>
      </c>
      <c r="D134" s="75"/>
      <c r="E134" s="75" t="str">
        <f t="shared" si="0"/>
        <v xml:space="preserve">CANAPI, RODALYN ARGUELLES </v>
      </c>
      <c r="F134" s="2" t="s">
        <v>127</v>
      </c>
      <c r="G134" s="78" t="s">
        <v>1192</v>
      </c>
      <c r="H134" s="25" t="s">
        <v>259</v>
      </c>
      <c r="I134" s="77" t="s">
        <v>3046</v>
      </c>
      <c r="J134" s="77"/>
      <c r="K134" s="77" t="s">
        <v>3046</v>
      </c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</row>
    <row r="135" spans="1:32" ht="15" customHeight="1" x14ac:dyDescent="0.2">
      <c r="A135" s="1" t="s">
        <v>1953</v>
      </c>
      <c r="B135" s="1" t="s">
        <v>181</v>
      </c>
      <c r="C135" s="1" t="s">
        <v>1956</v>
      </c>
      <c r="D135" s="2"/>
      <c r="E135" s="75" t="str">
        <f t="shared" si="0"/>
        <v xml:space="preserve">CAÑETE, JR CAPURAS </v>
      </c>
      <c r="F135" s="2" t="s">
        <v>32</v>
      </c>
      <c r="G135" s="5" t="s">
        <v>1953</v>
      </c>
      <c r="H135" s="25" t="s">
        <v>333</v>
      </c>
      <c r="I135" s="77" t="s">
        <v>3047</v>
      </c>
      <c r="J135" s="77"/>
      <c r="K135" s="77" t="s">
        <v>3047</v>
      </c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</row>
    <row r="136" spans="1:32" ht="15" customHeight="1" x14ac:dyDescent="0.2">
      <c r="A136" s="1" t="s">
        <v>2011</v>
      </c>
      <c r="B136" s="1" t="s">
        <v>179</v>
      </c>
      <c r="C136" s="1" t="s">
        <v>180</v>
      </c>
      <c r="D136" s="2" t="s">
        <v>181</v>
      </c>
      <c r="E136" s="75" t="str">
        <f t="shared" si="0"/>
        <v>CANJA, ROBERTO GINETA JR</v>
      </c>
      <c r="F136" s="2" t="s">
        <v>177</v>
      </c>
      <c r="G136" s="78" t="s">
        <v>2011</v>
      </c>
      <c r="H136" s="25" t="s">
        <v>2015</v>
      </c>
      <c r="I136" s="77" t="s">
        <v>3047</v>
      </c>
      <c r="J136" s="77"/>
      <c r="K136" s="77" t="s">
        <v>3047</v>
      </c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</row>
    <row r="137" spans="1:32" ht="15" customHeight="1" x14ac:dyDescent="0.2">
      <c r="A137" s="59" t="s">
        <v>1514</v>
      </c>
      <c r="B137" s="59" t="s">
        <v>1515</v>
      </c>
      <c r="C137" s="59" t="s">
        <v>1516</v>
      </c>
      <c r="D137" s="2"/>
      <c r="E137" s="75" t="str">
        <f t="shared" si="0"/>
        <v xml:space="preserve">CANUDAY, JACKERON TING </v>
      </c>
      <c r="F137" s="2" t="s">
        <v>127</v>
      </c>
      <c r="G137" s="11" t="s">
        <v>1514</v>
      </c>
      <c r="H137" s="25" t="s">
        <v>259</v>
      </c>
      <c r="I137" s="77" t="s">
        <v>3046</v>
      </c>
      <c r="J137" s="77"/>
      <c r="K137" s="77" t="s">
        <v>3046</v>
      </c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</row>
    <row r="138" spans="1:32" ht="15" customHeight="1" x14ac:dyDescent="0.2">
      <c r="A138" s="1" t="s">
        <v>1447</v>
      </c>
      <c r="B138" s="1" t="s">
        <v>1448</v>
      </c>
      <c r="C138" s="1" t="s">
        <v>1449</v>
      </c>
      <c r="D138" s="2"/>
      <c r="E138" s="75" t="str">
        <f t="shared" si="0"/>
        <v xml:space="preserve">CARBONELL, JAKE GASPAR </v>
      </c>
      <c r="F138" s="2" t="s">
        <v>32</v>
      </c>
      <c r="G138" s="5" t="s">
        <v>1447</v>
      </c>
      <c r="H138" s="25" t="s">
        <v>333</v>
      </c>
      <c r="I138" s="77" t="s">
        <v>3047</v>
      </c>
      <c r="J138" s="77"/>
      <c r="K138" s="77" t="s">
        <v>3047</v>
      </c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</row>
    <row r="139" spans="1:32" ht="15" customHeight="1" x14ac:dyDescent="0.2">
      <c r="A139" s="1" t="s">
        <v>2048</v>
      </c>
      <c r="B139" s="1" t="s">
        <v>179</v>
      </c>
      <c r="C139" s="1" t="s">
        <v>2049</v>
      </c>
      <c r="D139" s="2" t="s">
        <v>181</v>
      </c>
      <c r="E139" s="75" t="str">
        <f t="shared" si="0"/>
        <v>CARIAGA, ROBERTO GERMONO JR</v>
      </c>
      <c r="F139" s="2" t="s">
        <v>32</v>
      </c>
      <c r="G139" s="5" t="s">
        <v>2048</v>
      </c>
      <c r="H139" s="25" t="s">
        <v>785</v>
      </c>
      <c r="I139" s="77" t="s">
        <v>3047</v>
      </c>
      <c r="J139" s="77"/>
      <c r="K139" s="77" t="s">
        <v>3047</v>
      </c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</row>
    <row r="140" spans="1:32" ht="15" customHeight="1" x14ac:dyDescent="0.2">
      <c r="A140" s="1" t="s">
        <v>2060</v>
      </c>
      <c r="B140" s="1" t="s">
        <v>2061</v>
      </c>
      <c r="C140" s="1" t="s">
        <v>2062</v>
      </c>
      <c r="D140" s="2"/>
      <c r="E140" s="75" t="str">
        <f t="shared" si="0"/>
        <v xml:space="preserve">CARIAS, NEIL CARLOS </v>
      </c>
      <c r="F140" s="2" t="s">
        <v>62</v>
      </c>
      <c r="G140" s="78" t="s">
        <v>2060</v>
      </c>
      <c r="H140" s="25" t="s">
        <v>2063</v>
      </c>
      <c r="I140" s="77" t="s">
        <v>3046</v>
      </c>
      <c r="J140" s="77"/>
      <c r="K140" s="77" t="s">
        <v>3046</v>
      </c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</row>
    <row r="141" spans="1:32" ht="15" customHeight="1" x14ac:dyDescent="0.2">
      <c r="A141" s="74" t="s">
        <v>977</v>
      </c>
      <c r="B141" s="74" t="s">
        <v>2100</v>
      </c>
      <c r="C141" s="74" t="s">
        <v>194</v>
      </c>
      <c r="D141" s="75"/>
      <c r="E141" s="75" t="str">
        <f t="shared" si="0"/>
        <v xml:space="preserve">CAROLINO, JERALYNE RAMOS </v>
      </c>
      <c r="F141" s="2" t="s">
        <v>127</v>
      </c>
      <c r="G141" s="11" t="s">
        <v>977</v>
      </c>
      <c r="H141" s="25" t="s">
        <v>2101</v>
      </c>
      <c r="I141" s="77" t="s">
        <v>3046</v>
      </c>
      <c r="J141" s="77"/>
      <c r="K141" s="77" t="s">
        <v>3046</v>
      </c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</row>
    <row r="142" spans="1:32" ht="15" customHeight="1" x14ac:dyDescent="0.2">
      <c r="A142" s="1" t="s">
        <v>977</v>
      </c>
      <c r="B142" s="1" t="s">
        <v>978</v>
      </c>
      <c r="C142" s="1" t="s">
        <v>979</v>
      </c>
      <c r="D142" s="2"/>
      <c r="E142" s="75" t="str">
        <f t="shared" si="0"/>
        <v xml:space="preserve">CAROLINO, NORMAN JAMES LOVETE </v>
      </c>
      <c r="F142" s="2" t="s">
        <v>42</v>
      </c>
      <c r="G142" s="78" t="s">
        <v>977</v>
      </c>
      <c r="H142" s="25" t="s">
        <v>980</v>
      </c>
      <c r="I142" s="77" t="s">
        <v>3048</v>
      </c>
      <c r="J142" s="77"/>
      <c r="K142" s="77" t="s">
        <v>3048</v>
      </c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</row>
    <row r="143" spans="1:32" ht="15" customHeight="1" x14ac:dyDescent="0.2">
      <c r="A143" s="59" t="s">
        <v>472</v>
      </c>
      <c r="B143" s="59" t="s">
        <v>473</v>
      </c>
      <c r="C143" s="59" t="s">
        <v>474</v>
      </c>
      <c r="D143" s="2"/>
      <c r="E143" s="75" t="str">
        <f t="shared" si="0"/>
        <v xml:space="preserve">CASTRO, MARYJANE DIZON </v>
      </c>
      <c r="F143" s="2" t="s">
        <v>134</v>
      </c>
      <c r="G143" s="11" t="s">
        <v>472</v>
      </c>
      <c r="H143" s="25" t="s">
        <v>333</v>
      </c>
      <c r="I143" s="77" t="s">
        <v>3047</v>
      </c>
      <c r="J143" s="77"/>
      <c r="K143" s="77" t="s">
        <v>3047</v>
      </c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</row>
    <row r="144" spans="1:32" ht="15" customHeight="1" x14ac:dyDescent="0.2">
      <c r="A144" s="9" t="s">
        <v>472</v>
      </c>
      <c r="B144" s="9" t="s">
        <v>2086</v>
      </c>
      <c r="C144" s="9" t="s">
        <v>2087</v>
      </c>
      <c r="D144" s="2"/>
      <c r="E144" s="75" t="str">
        <f t="shared" si="0"/>
        <v xml:space="preserve">CASTRO, VOLTAIRE LACAYAN </v>
      </c>
      <c r="F144" s="2" t="s">
        <v>32</v>
      </c>
      <c r="G144" s="5" t="s">
        <v>472</v>
      </c>
      <c r="H144" s="25" t="s">
        <v>785</v>
      </c>
      <c r="I144" s="77" t="s">
        <v>3047</v>
      </c>
      <c r="J144" s="77"/>
      <c r="K144" s="77" t="s">
        <v>3047</v>
      </c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</row>
    <row r="145" spans="1:32" ht="15" customHeight="1" x14ac:dyDescent="0.2">
      <c r="A145" s="1" t="s">
        <v>985</v>
      </c>
      <c r="B145" s="1" t="s">
        <v>986</v>
      </c>
      <c r="C145" s="1" t="s">
        <v>987</v>
      </c>
      <c r="D145" s="2"/>
      <c r="E145" s="75" t="str">
        <f t="shared" si="0"/>
        <v xml:space="preserve">CATANEO, RYAN VINLUAN </v>
      </c>
      <c r="F145" s="2" t="s">
        <v>42</v>
      </c>
      <c r="G145" s="78" t="s">
        <v>985</v>
      </c>
      <c r="H145" s="25" t="s">
        <v>988</v>
      </c>
      <c r="I145" s="77" t="s">
        <v>3048</v>
      </c>
      <c r="J145" s="77"/>
      <c r="K145" s="77" t="s">
        <v>3048</v>
      </c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</row>
    <row r="146" spans="1:32" ht="15" customHeight="1" x14ac:dyDescent="0.2">
      <c r="A146" s="1" t="s">
        <v>997</v>
      </c>
      <c r="B146" s="1" t="s">
        <v>769</v>
      </c>
      <c r="C146" s="1" t="s">
        <v>998</v>
      </c>
      <c r="D146" s="2"/>
      <c r="E146" s="75" t="str">
        <f t="shared" si="0"/>
        <v xml:space="preserve">CELADIÑA, TEODORO CUISON </v>
      </c>
      <c r="F146" s="2" t="s">
        <v>42</v>
      </c>
      <c r="G146" s="78" t="s">
        <v>997</v>
      </c>
      <c r="H146" s="25" t="s">
        <v>999</v>
      </c>
      <c r="I146" s="77" t="s">
        <v>3048</v>
      </c>
      <c r="J146" s="77"/>
      <c r="K146" s="77" t="s">
        <v>3048</v>
      </c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</row>
    <row r="147" spans="1:32" ht="15" customHeight="1" x14ac:dyDescent="0.2">
      <c r="A147" s="1" t="s">
        <v>208</v>
      </c>
      <c r="B147" s="1" t="s">
        <v>209</v>
      </c>
      <c r="C147" s="1" t="s">
        <v>210</v>
      </c>
      <c r="D147" s="2"/>
      <c r="E147" s="75" t="str">
        <f t="shared" si="0"/>
        <v xml:space="preserve">CELARIO, RUBY ROSE BUEZA </v>
      </c>
      <c r="F147" s="2" t="s">
        <v>32</v>
      </c>
      <c r="G147" s="78" t="s">
        <v>208</v>
      </c>
      <c r="H147" s="25" t="s">
        <v>211</v>
      </c>
      <c r="I147" s="77" t="s">
        <v>3047</v>
      </c>
      <c r="J147" s="77"/>
      <c r="K147" s="77" t="s">
        <v>3047</v>
      </c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</row>
    <row r="148" spans="1:32" ht="15" customHeight="1" x14ac:dyDescent="0.2">
      <c r="A148" s="1" t="s">
        <v>2108</v>
      </c>
      <c r="B148" s="1" t="s">
        <v>2110</v>
      </c>
      <c r="C148" s="1" t="s">
        <v>2111</v>
      </c>
      <c r="D148" s="2" t="s">
        <v>181</v>
      </c>
      <c r="E148" s="75" t="str">
        <f t="shared" si="0"/>
        <v>CERDANA, NESTOR SEMBRANO JR</v>
      </c>
      <c r="F148" s="2" t="s">
        <v>127</v>
      </c>
      <c r="G148" s="78" t="s">
        <v>2108</v>
      </c>
      <c r="H148" s="25" t="s">
        <v>1969</v>
      </c>
      <c r="I148" s="77" t="s">
        <v>3046</v>
      </c>
      <c r="J148" s="77"/>
      <c r="K148" s="77" t="s">
        <v>3046</v>
      </c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</row>
    <row r="149" spans="1:32" ht="15" customHeight="1" x14ac:dyDescent="0.2">
      <c r="A149" s="1" t="s">
        <v>24</v>
      </c>
      <c r="B149" s="1" t="s">
        <v>25</v>
      </c>
      <c r="C149" s="1" t="s">
        <v>2105</v>
      </c>
      <c r="D149" s="2"/>
      <c r="E149" s="75" t="str">
        <f t="shared" si="0"/>
        <v xml:space="preserve">CERIL, PAUL KELVIN LORAZA </v>
      </c>
      <c r="F149" s="2" t="s">
        <v>23</v>
      </c>
      <c r="G149" s="78" t="s">
        <v>24</v>
      </c>
      <c r="H149" s="25" t="s">
        <v>27</v>
      </c>
      <c r="I149" s="77" t="s">
        <v>3047</v>
      </c>
      <c r="J149" s="77"/>
      <c r="K149" s="77" t="s">
        <v>3047</v>
      </c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</row>
    <row r="150" spans="1:32" ht="15" customHeight="1" x14ac:dyDescent="0.2">
      <c r="A150" s="1" t="s">
        <v>70</v>
      </c>
      <c r="B150" s="1" t="s">
        <v>2107</v>
      </c>
      <c r="C150" s="1" t="s">
        <v>72</v>
      </c>
      <c r="D150" s="2"/>
      <c r="E150" s="75" t="str">
        <f t="shared" si="0"/>
        <v xml:space="preserve">CHAN, HAROLD JAY  AMAZONA </v>
      </c>
      <c r="F150" s="2" t="s">
        <v>69</v>
      </c>
      <c r="G150" s="78" t="s">
        <v>70</v>
      </c>
      <c r="H150" s="25" t="s">
        <v>1787</v>
      </c>
      <c r="I150" s="77" t="s">
        <v>3047</v>
      </c>
      <c r="J150" s="77"/>
      <c r="K150" s="77" t="s">
        <v>3047</v>
      </c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</row>
    <row r="151" spans="1:32" ht="15" customHeight="1" x14ac:dyDescent="0.2">
      <c r="A151" s="1" t="s">
        <v>1003</v>
      </c>
      <c r="B151" s="1" t="s">
        <v>1004</v>
      </c>
      <c r="C151" s="1" t="s">
        <v>1005</v>
      </c>
      <c r="D151" s="2"/>
      <c r="E151" s="75" t="str">
        <f t="shared" si="0"/>
        <v xml:space="preserve">CHIDROME, JAES ALLAN CHANTENGCO </v>
      </c>
      <c r="F151" s="2" t="s">
        <v>42</v>
      </c>
      <c r="G151" s="78" t="s">
        <v>1003</v>
      </c>
      <c r="H151" s="25" t="s">
        <v>1007</v>
      </c>
      <c r="I151" s="77" t="s">
        <v>3048</v>
      </c>
      <c r="J151" s="77"/>
      <c r="K151" s="77" t="s">
        <v>3048</v>
      </c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</row>
    <row r="152" spans="1:32" ht="15" customHeight="1" x14ac:dyDescent="0.2">
      <c r="A152" s="1" t="s">
        <v>330</v>
      </c>
      <c r="B152" s="1" t="s">
        <v>331</v>
      </c>
      <c r="C152" s="1" t="s">
        <v>332</v>
      </c>
      <c r="D152" s="2"/>
      <c r="E152" s="75" t="str">
        <f t="shared" si="0"/>
        <v xml:space="preserve">CLAOR, MICHELLE DUGAM </v>
      </c>
      <c r="F152" s="2" t="s">
        <v>134</v>
      </c>
      <c r="G152" s="93" t="s">
        <v>330</v>
      </c>
      <c r="H152" s="25" t="s">
        <v>333</v>
      </c>
      <c r="I152" s="77" t="s">
        <v>3047</v>
      </c>
      <c r="J152" s="77"/>
      <c r="K152" s="77" t="s">
        <v>3047</v>
      </c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</row>
    <row r="153" spans="1:32" ht="15" customHeight="1" x14ac:dyDescent="0.2">
      <c r="A153" s="1" t="s">
        <v>725</v>
      </c>
      <c r="B153" s="1" t="s">
        <v>726</v>
      </c>
      <c r="C153" s="1" t="s">
        <v>727</v>
      </c>
      <c r="D153" s="2"/>
      <c r="E153" s="75" t="str">
        <f t="shared" si="0"/>
        <v xml:space="preserve">CODIMO, SOLOMON MADLAENG </v>
      </c>
      <c r="F153" s="2" t="s">
        <v>32</v>
      </c>
      <c r="G153" s="5" t="s">
        <v>725</v>
      </c>
      <c r="H153" s="25" t="s">
        <v>333</v>
      </c>
      <c r="I153" s="77" t="s">
        <v>3047</v>
      </c>
      <c r="J153" s="77"/>
      <c r="K153" s="77" t="s">
        <v>3047</v>
      </c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</row>
    <row r="154" spans="1:32" ht="15" customHeight="1" x14ac:dyDescent="0.2">
      <c r="A154" s="1" t="s">
        <v>2102</v>
      </c>
      <c r="B154" s="1" t="s">
        <v>2103</v>
      </c>
      <c r="C154" s="1" t="s">
        <v>2104</v>
      </c>
      <c r="D154" s="2"/>
      <c r="E154" s="75" t="str">
        <f t="shared" si="0"/>
        <v xml:space="preserve">COMON, RAQUIL MANATAD </v>
      </c>
      <c r="F154" s="2" t="s">
        <v>69</v>
      </c>
      <c r="G154" s="78" t="s">
        <v>2102</v>
      </c>
      <c r="H154" s="25" t="s">
        <v>3084</v>
      </c>
      <c r="I154" s="77" t="s">
        <v>3047</v>
      </c>
      <c r="J154" s="77"/>
      <c r="K154" s="77" t="s">
        <v>3047</v>
      </c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</row>
    <row r="155" spans="1:32" ht="15" customHeight="1" x14ac:dyDescent="0.2">
      <c r="A155" s="1" t="s">
        <v>1851</v>
      </c>
      <c r="B155" s="1" t="s">
        <v>1852</v>
      </c>
      <c r="C155" s="1" t="s">
        <v>1853</v>
      </c>
      <c r="D155" s="2"/>
      <c r="E155" s="75" t="str">
        <f t="shared" si="0"/>
        <v xml:space="preserve">CONDES, MARY ROSE DEL CASTILLO </v>
      </c>
      <c r="F155" s="2" t="s">
        <v>32</v>
      </c>
      <c r="G155" s="11" t="s">
        <v>1851</v>
      </c>
      <c r="H155" s="25" t="s">
        <v>333</v>
      </c>
      <c r="I155" s="77" t="s">
        <v>3047</v>
      </c>
      <c r="J155" s="77"/>
      <c r="K155" s="77" t="s">
        <v>3047</v>
      </c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</row>
    <row r="156" spans="1:32" ht="15" customHeight="1" x14ac:dyDescent="0.2">
      <c r="A156" s="1" t="s">
        <v>2155</v>
      </c>
      <c r="B156" s="1" t="s">
        <v>2156</v>
      </c>
      <c r="C156" s="1" t="s">
        <v>930</v>
      </c>
      <c r="D156" s="2"/>
      <c r="E156" s="75" t="str">
        <f t="shared" si="0"/>
        <v xml:space="preserve">COPRADA, ROMUALDO JULES CAMPOSANO </v>
      </c>
      <c r="F156" s="2" t="s">
        <v>32</v>
      </c>
      <c r="G156" s="11" t="s">
        <v>2155</v>
      </c>
      <c r="H156" s="25" t="s">
        <v>2158</v>
      </c>
      <c r="I156" s="77" t="s">
        <v>3047</v>
      </c>
      <c r="J156" s="77"/>
      <c r="K156" s="77" t="s">
        <v>3047</v>
      </c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</row>
    <row r="157" spans="1:32" ht="15" customHeight="1" x14ac:dyDescent="0.2">
      <c r="A157" s="1" t="s">
        <v>669</v>
      </c>
      <c r="B157" s="1" t="s">
        <v>670</v>
      </c>
      <c r="C157" s="1" t="s">
        <v>671</v>
      </c>
      <c r="D157" s="2"/>
      <c r="E157" s="75" t="str">
        <f t="shared" si="0"/>
        <v xml:space="preserve">CORDERO, EARLBON JIMENEZ </v>
      </c>
      <c r="F157" s="2" t="s">
        <v>32</v>
      </c>
      <c r="G157" s="5" t="s">
        <v>669</v>
      </c>
      <c r="H157" s="25" t="s">
        <v>333</v>
      </c>
      <c r="I157" s="77" t="s">
        <v>3047</v>
      </c>
      <c r="J157" s="77"/>
      <c r="K157" s="77" t="s">
        <v>3047</v>
      </c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</row>
    <row r="158" spans="1:32" ht="15" customHeight="1" x14ac:dyDescent="0.2">
      <c r="A158" s="1" t="s">
        <v>669</v>
      </c>
      <c r="B158" s="1" t="s">
        <v>1847</v>
      </c>
      <c r="C158" s="1" t="s">
        <v>1848</v>
      </c>
      <c r="D158" s="2" t="s">
        <v>181</v>
      </c>
      <c r="E158" s="75" t="str">
        <f t="shared" si="0"/>
        <v>CORDERO, GEMINIANO MATINING JR</v>
      </c>
      <c r="F158" s="2" t="s">
        <v>134</v>
      </c>
      <c r="G158" s="78" t="s">
        <v>669</v>
      </c>
      <c r="H158" s="25" t="s">
        <v>333</v>
      </c>
      <c r="I158" s="77" t="s">
        <v>3047</v>
      </c>
      <c r="J158" s="77"/>
      <c r="K158" s="77" t="s">
        <v>3047</v>
      </c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</row>
    <row r="159" spans="1:32" ht="15" customHeight="1" x14ac:dyDescent="0.2">
      <c r="A159" s="1" t="s">
        <v>1782</v>
      </c>
      <c r="B159" s="1" t="s">
        <v>1784</v>
      </c>
      <c r="C159" s="1" t="s">
        <v>1786</v>
      </c>
      <c r="D159" s="2"/>
      <c r="E159" s="75" t="str">
        <f t="shared" si="0"/>
        <v xml:space="preserve">CORDON, ANDREO BISIN </v>
      </c>
      <c r="F159" s="2" t="s">
        <v>127</v>
      </c>
      <c r="G159" s="11" t="s">
        <v>1782</v>
      </c>
      <c r="H159" s="25" t="s">
        <v>259</v>
      </c>
      <c r="I159" s="77" t="s">
        <v>3046</v>
      </c>
      <c r="J159" s="77"/>
      <c r="K159" s="77" t="s">
        <v>3046</v>
      </c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</row>
    <row r="160" spans="1:32" ht="15" customHeight="1" x14ac:dyDescent="0.2">
      <c r="A160" s="9" t="s">
        <v>1221</v>
      </c>
      <c r="B160" s="9" t="s">
        <v>1222</v>
      </c>
      <c r="C160" s="9" t="s">
        <v>1223</v>
      </c>
      <c r="D160" s="2"/>
      <c r="E160" s="75" t="str">
        <f t="shared" si="0"/>
        <v xml:space="preserve">CORPUZ, ALEX ACE CABAUATAN </v>
      </c>
      <c r="F160" s="2" t="s">
        <v>323</v>
      </c>
      <c r="G160" s="78" t="s">
        <v>1221</v>
      </c>
      <c r="H160" s="25" t="s">
        <v>3089</v>
      </c>
      <c r="I160" s="77" t="s">
        <v>3046</v>
      </c>
      <c r="J160" s="77"/>
      <c r="K160" s="77" t="s">
        <v>3046</v>
      </c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</row>
    <row r="161" spans="1:32" ht="15" customHeight="1" x14ac:dyDescent="0.2">
      <c r="A161" s="1" t="s">
        <v>1221</v>
      </c>
      <c r="B161" s="1" t="s">
        <v>1891</v>
      </c>
      <c r="C161" s="1" t="s">
        <v>1892</v>
      </c>
      <c r="D161" s="2"/>
      <c r="E161" s="75" t="str">
        <f t="shared" si="0"/>
        <v xml:space="preserve">CORPUZ, ALLAN ROY AGANG </v>
      </c>
      <c r="F161" s="2" t="s">
        <v>62</v>
      </c>
      <c r="G161" s="78" t="s">
        <v>1221</v>
      </c>
      <c r="H161" s="25" t="s">
        <v>3091</v>
      </c>
      <c r="I161" s="77" t="s">
        <v>3046</v>
      </c>
      <c r="J161" s="77"/>
      <c r="K161" s="77" t="s">
        <v>3046</v>
      </c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</row>
    <row r="162" spans="1:32" ht="15" customHeight="1" x14ac:dyDescent="0.2">
      <c r="A162" s="9" t="s">
        <v>2231</v>
      </c>
      <c r="B162" s="9" t="s">
        <v>2232</v>
      </c>
      <c r="C162" s="9" t="s">
        <v>795</v>
      </c>
      <c r="D162" s="2"/>
      <c r="E162" s="75" t="str">
        <f t="shared" si="0"/>
        <v xml:space="preserve">CORTEZ, JERWIN AQUINO </v>
      </c>
      <c r="F162" s="2" t="s">
        <v>32</v>
      </c>
      <c r="G162" s="5" t="s">
        <v>2231</v>
      </c>
      <c r="H162" s="25" t="s">
        <v>333</v>
      </c>
      <c r="I162" s="77" t="s">
        <v>3047</v>
      </c>
      <c r="J162" s="77"/>
      <c r="K162" s="77" t="s">
        <v>3047</v>
      </c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</row>
    <row r="163" spans="1:32" ht="15" customHeight="1" x14ac:dyDescent="0.2">
      <c r="A163" s="1" t="s">
        <v>2249</v>
      </c>
      <c r="B163" s="1" t="s">
        <v>2250</v>
      </c>
      <c r="C163" s="1" t="s">
        <v>2251</v>
      </c>
      <c r="D163" s="2"/>
      <c r="E163" s="75" t="str">
        <f t="shared" si="0"/>
        <v xml:space="preserve">COSISI, FREDERICK BAON </v>
      </c>
      <c r="F163" s="2" t="s">
        <v>32</v>
      </c>
      <c r="G163" s="5" t="s">
        <v>2249</v>
      </c>
      <c r="H163" s="25" t="s">
        <v>785</v>
      </c>
      <c r="I163" s="77" t="s">
        <v>3047</v>
      </c>
      <c r="J163" s="77"/>
      <c r="K163" s="77" t="s">
        <v>3047</v>
      </c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</row>
    <row r="164" spans="1:32" ht="15" customHeight="1" x14ac:dyDescent="0.2">
      <c r="A164" s="99"/>
      <c r="B164" s="99"/>
      <c r="C164" s="99"/>
      <c r="D164" s="2"/>
      <c r="E164" s="75" t="str">
        <f t="shared" si="0"/>
        <v xml:space="preserve">,   </v>
      </c>
      <c r="F164" s="2"/>
      <c r="G164" s="78" t="s">
        <v>188</v>
      </c>
      <c r="H164" s="25"/>
      <c r="I164" s="77"/>
      <c r="J164" s="77"/>
      <c r="K164" s="77" t="s">
        <v>3046</v>
      </c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</row>
    <row r="165" spans="1:32" ht="15" customHeight="1" x14ac:dyDescent="0.2">
      <c r="A165" s="1" t="s">
        <v>449</v>
      </c>
      <c r="B165" s="1" t="s">
        <v>1965</v>
      </c>
      <c r="C165" s="1" t="s">
        <v>1121</v>
      </c>
      <c r="D165" s="2"/>
      <c r="E165" s="75" t="str">
        <f t="shared" si="0"/>
        <v xml:space="preserve">CRUZ, CRISTINA JOY VICENTE </v>
      </c>
      <c r="F165" s="2" t="s">
        <v>127</v>
      </c>
      <c r="G165" s="78" t="s">
        <v>449</v>
      </c>
      <c r="H165" s="25" t="s">
        <v>636</v>
      </c>
      <c r="I165" s="77" t="s">
        <v>3046</v>
      </c>
      <c r="J165" s="77"/>
      <c r="K165" s="77" t="s">
        <v>3046</v>
      </c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</row>
    <row r="166" spans="1:32" ht="15" customHeight="1" x14ac:dyDescent="0.2">
      <c r="A166" s="1" t="s">
        <v>449</v>
      </c>
      <c r="B166" s="1" t="s">
        <v>2975</v>
      </c>
      <c r="C166" s="1" t="s">
        <v>2976</v>
      </c>
      <c r="D166" s="2"/>
      <c r="E166" s="75" t="str">
        <f t="shared" si="0"/>
        <v xml:space="preserve">CRUZ, EIFEL BELEY </v>
      </c>
      <c r="F166" s="2" t="s">
        <v>318</v>
      </c>
      <c r="G166" s="78" t="s">
        <v>449</v>
      </c>
      <c r="H166" s="25" t="s">
        <v>3100</v>
      </c>
      <c r="I166" s="77" t="s">
        <v>3046</v>
      </c>
      <c r="J166" s="77"/>
      <c r="K166" s="77" t="s">
        <v>3046</v>
      </c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</row>
    <row r="167" spans="1:32" ht="15" customHeight="1" x14ac:dyDescent="0.2">
      <c r="A167" s="1" t="s">
        <v>449</v>
      </c>
      <c r="B167" s="1" t="s">
        <v>1929</v>
      </c>
      <c r="C167" s="1" t="s">
        <v>1930</v>
      </c>
      <c r="D167" s="2"/>
      <c r="E167" s="75" t="str">
        <f t="shared" si="0"/>
        <v xml:space="preserve">CRUZ, MARICON TAYAMEN </v>
      </c>
      <c r="F167" s="2" t="s">
        <v>2262</v>
      </c>
      <c r="G167" s="11" t="s">
        <v>449</v>
      </c>
      <c r="H167" s="25" t="s">
        <v>636</v>
      </c>
      <c r="I167" s="77" t="s">
        <v>3046</v>
      </c>
      <c r="J167" s="77"/>
      <c r="K167" s="77" t="s">
        <v>3047</v>
      </c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</row>
    <row r="168" spans="1:32" ht="15" customHeight="1" x14ac:dyDescent="0.2">
      <c r="A168" s="1" t="s">
        <v>2191</v>
      </c>
      <c r="B168" s="1" t="s">
        <v>2192</v>
      </c>
      <c r="C168" s="1" t="s">
        <v>2193</v>
      </c>
      <c r="D168" s="2"/>
      <c r="E168" s="75" t="str">
        <f t="shared" si="0"/>
        <v xml:space="preserve">CRUZAT, MARIEL ARELLANO </v>
      </c>
      <c r="F168" s="2" t="s">
        <v>134</v>
      </c>
      <c r="G168" s="11" t="s">
        <v>2191</v>
      </c>
      <c r="H168" s="25" t="s">
        <v>2194</v>
      </c>
      <c r="I168" s="77" t="s">
        <v>3047</v>
      </c>
      <c r="J168" s="77"/>
      <c r="K168" s="77" t="s">
        <v>3047</v>
      </c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</row>
    <row r="169" spans="1:32" ht="15" customHeight="1" x14ac:dyDescent="0.2">
      <c r="A169" s="1" t="s">
        <v>184</v>
      </c>
      <c r="B169" s="1" t="s">
        <v>185</v>
      </c>
      <c r="C169" s="1" t="s">
        <v>186</v>
      </c>
      <c r="D169" s="2"/>
      <c r="E169" s="75" t="str">
        <f t="shared" si="0"/>
        <v xml:space="preserve">CUASAY, ZAYRA JANE CEDENO </v>
      </c>
      <c r="F169" s="2" t="s">
        <v>134</v>
      </c>
      <c r="G169" s="11" t="s">
        <v>184</v>
      </c>
      <c r="H169" s="25" t="s">
        <v>27</v>
      </c>
      <c r="I169" s="77" t="s">
        <v>3047</v>
      </c>
      <c r="J169" s="77"/>
      <c r="K169" s="77" t="s">
        <v>3048</v>
      </c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</row>
    <row r="170" spans="1:32" ht="15" customHeight="1" x14ac:dyDescent="0.2">
      <c r="A170" s="1" t="s">
        <v>1014</v>
      </c>
      <c r="B170" s="1" t="s">
        <v>1015</v>
      </c>
      <c r="C170" s="1" t="s">
        <v>1016</v>
      </c>
      <c r="D170" s="2"/>
      <c r="E170" s="75" t="str">
        <f t="shared" si="0"/>
        <v xml:space="preserve">CUETO, NOEME MAMON </v>
      </c>
      <c r="F170" s="2" t="s">
        <v>42</v>
      </c>
      <c r="G170" s="78" t="s">
        <v>1014</v>
      </c>
      <c r="H170" s="25" t="s">
        <v>736</v>
      </c>
      <c r="I170" s="77" t="s">
        <v>3048</v>
      </c>
      <c r="J170" s="77"/>
      <c r="K170" s="77" t="s">
        <v>3048</v>
      </c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</row>
    <row r="171" spans="1:32" ht="15" customHeight="1" x14ac:dyDescent="0.2">
      <c r="A171" s="1" t="s">
        <v>1022</v>
      </c>
      <c r="B171" s="1" t="s">
        <v>1024</v>
      </c>
      <c r="C171" s="1" t="s">
        <v>1025</v>
      </c>
      <c r="D171" s="2"/>
      <c r="E171" s="75" t="str">
        <f t="shared" si="0"/>
        <v xml:space="preserve">DACIR, DANIELLE ZCHEA GACUTE </v>
      </c>
      <c r="F171" s="2" t="s">
        <v>42</v>
      </c>
      <c r="G171" s="78" t="s">
        <v>1022</v>
      </c>
      <c r="H171" s="25" t="s">
        <v>227</v>
      </c>
      <c r="I171" s="77" t="s">
        <v>3048</v>
      </c>
      <c r="J171" s="77"/>
      <c r="K171" s="77" t="s">
        <v>3048</v>
      </c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</row>
    <row r="172" spans="1:32" ht="15" customHeight="1" x14ac:dyDescent="0.2">
      <c r="A172" s="1" t="s">
        <v>275</v>
      </c>
      <c r="B172" s="1" t="s">
        <v>803</v>
      </c>
      <c r="C172" s="1" t="s">
        <v>1027</v>
      </c>
      <c r="D172" s="2"/>
      <c r="E172" s="75" t="str">
        <f t="shared" si="0"/>
        <v xml:space="preserve">DAGTA, ARCHIE BELARDO </v>
      </c>
      <c r="F172" s="2" t="s">
        <v>42</v>
      </c>
      <c r="G172" s="78" t="s">
        <v>275</v>
      </c>
      <c r="H172" s="25" t="s">
        <v>1029</v>
      </c>
      <c r="I172" s="77" t="s">
        <v>3048</v>
      </c>
      <c r="J172" s="77"/>
      <c r="K172" s="77" t="s">
        <v>3048</v>
      </c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</row>
    <row r="173" spans="1:32" ht="15" customHeight="1" x14ac:dyDescent="0.2">
      <c r="A173" s="1" t="s">
        <v>275</v>
      </c>
      <c r="B173" s="1" t="s">
        <v>276</v>
      </c>
      <c r="C173" s="1" t="s">
        <v>1032</v>
      </c>
      <c r="D173" s="2"/>
      <c r="E173" s="75" t="str">
        <f t="shared" si="0"/>
        <v xml:space="preserve">DAGTA, MARY ANN YAP </v>
      </c>
      <c r="F173" s="2" t="s">
        <v>42</v>
      </c>
      <c r="G173" s="78" t="s">
        <v>275</v>
      </c>
      <c r="H173" s="25" t="s">
        <v>1033</v>
      </c>
      <c r="I173" s="77" t="s">
        <v>3048</v>
      </c>
      <c r="J173" s="77"/>
      <c r="K173" s="77" t="s">
        <v>3048</v>
      </c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</row>
    <row r="174" spans="1:32" ht="15" customHeight="1" x14ac:dyDescent="0.2">
      <c r="A174" s="1" t="s">
        <v>224</v>
      </c>
      <c r="B174" s="1" t="s">
        <v>225</v>
      </c>
      <c r="C174" s="1" t="s">
        <v>226</v>
      </c>
      <c r="D174" s="2"/>
      <c r="E174" s="75" t="str">
        <f t="shared" si="0"/>
        <v xml:space="preserve">DAGUPLO, ROSETTE CASTILLO </v>
      </c>
      <c r="F174" s="2" t="s">
        <v>42</v>
      </c>
      <c r="G174" s="78" t="s">
        <v>224</v>
      </c>
      <c r="H174" s="25" t="s">
        <v>980</v>
      </c>
      <c r="I174" s="77" t="s">
        <v>3048</v>
      </c>
      <c r="J174" s="77"/>
      <c r="K174" s="77" t="s">
        <v>3048</v>
      </c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</row>
    <row r="175" spans="1:32" ht="15" customHeight="1" x14ac:dyDescent="0.2">
      <c r="A175" s="1" t="s">
        <v>1036</v>
      </c>
      <c r="B175" s="1" t="s">
        <v>1037</v>
      </c>
      <c r="C175" s="1" t="s">
        <v>1038</v>
      </c>
      <c r="D175" s="2"/>
      <c r="E175" s="75" t="str">
        <f t="shared" si="0"/>
        <v xml:space="preserve">DALISAY, MARIETTO CASPE </v>
      </c>
      <c r="F175" s="2" t="s">
        <v>42</v>
      </c>
      <c r="G175" s="78" t="s">
        <v>1036</v>
      </c>
      <c r="H175" s="25" t="s">
        <v>709</v>
      </c>
      <c r="I175" s="77" t="s">
        <v>3048</v>
      </c>
      <c r="J175" s="77"/>
      <c r="K175" s="77" t="s">
        <v>3048</v>
      </c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</row>
    <row r="176" spans="1:32" ht="15" customHeight="1" x14ac:dyDescent="0.2">
      <c r="A176" s="1" t="s">
        <v>3102</v>
      </c>
      <c r="B176" s="1" t="s">
        <v>3103</v>
      </c>
      <c r="C176" s="1" t="s">
        <v>809</v>
      </c>
      <c r="D176" s="2"/>
      <c r="E176" s="75" t="str">
        <f t="shared" si="0"/>
        <v xml:space="preserve">DALLEGO, RHIZA ARROYO </v>
      </c>
      <c r="F176" s="2" t="s">
        <v>42</v>
      </c>
      <c r="G176" s="78" t="s">
        <v>3102</v>
      </c>
      <c r="H176" s="25" t="s">
        <v>3105</v>
      </c>
      <c r="I176" s="77" t="s">
        <v>3048</v>
      </c>
      <c r="J176" s="77"/>
      <c r="K176" s="77" t="s">
        <v>3046</v>
      </c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</row>
    <row r="177" spans="1:32" ht="15" customHeight="1" x14ac:dyDescent="0.2">
      <c r="A177" s="1" t="s">
        <v>1895</v>
      </c>
      <c r="B177" s="1" t="s">
        <v>1896</v>
      </c>
      <c r="C177" s="1" t="s">
        <v>1897</v>
      </c>
      <c r="D177" s="2"/>
      <c r="E177" s="75" t="str">
        <f t="shared" si="0"/>
        <v xml:space="preserve">DAMASO, MARIBEL MONES </v>
      </c>
      <c r="F177" s="2" t="s">
        <v>57</v>
      </c>
      <c r="G177" s="78" t="s">
        <v>1895</v>
      </c>
      <c r="H177" s="25" t="s">
        <v>1898</v>
      </c>
      <c r="I177" s="77" t="s">
        <v>3046</v>
      </c>
      <c r="J177" s="77"/>
      <c r="K177" s="77" t="s">
        <v>3046</v>
      </c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</row>
    <row r="178" spans="1:32" ht="15" customHeight="1" x14ac:dyDescent="0.2">
      <c r="A178" s="1" t="s">
        <v>1369</v>
      </c>
      <c r="B178" s="1" t="s">
        <v>203</v>
      </c>
      <c r="C178" s="1" t="s">
        <v>204</v>
      </c>
      <c r="D178" s="2" t="s">
        <v>181</v>
      </c>
      <c r="E178" s="75" t="str">
        <f t="shared" si="0"/>
        <v>DAVID, EDUARDO BALATIAN JR</v>
      </c>
      <c r="F178" s="2" t="s">
        <v>323</v>
      </c>
      <c r="G178" s="100" t="s">
        <v>1369</v>
      </c>
      <c r="H178" s="25" t="s">
        <v>2303</v>
      </c>
      <c r="I178" s="77" t="s">
        <v>3046</v>
      </c>
      <c r="J178" s="77"/>
      <c r="K178" s="77" t="s">
        <v>3046</v>
      </c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</row>
    <row r="179" spans="1:32" ht="15" customHeight="1" x14ac:dyDescent="0.2">
      <c r="A179" s="1" t="s">
        <v>1369</v>
      </c>
      <c r="B179" s="1" t="s">
        <v>733</v>
      </c>
      <c r="C179" s="1" t="s">
        <v>1370</v>
      </c>
      <c r="D179" s="2"/>
      <c r="E179" s="75" t="str">
        <f t="shared" si="0"/>
        <v xml:space="preserve">DAVID, ROMMEL CARRO </v>
      </c>
      <c r="F179" s="2" t="s">
        <v>62</v>
      </c>
      <c r="G179" s="78" t="s">
        <v>1369</v>
      </c>
      <c r="H179" s="25" t="s">
        <v>259</v>
      </c>
      <c r="I179" s="77" t="s">
        <v>3046</v>
      </c>
      <c r="J179" s="77"/>
      <c r="K179" s="77" t="s">
        <v>3047</v>
      </c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</row>
    <row r="180" spans="1:32" ht="15" customHeight="1" x14ac:dyDescent="0.2">
      <c r="A180" s="1" t="s">
        <v>388</v>
      </c>
      <c r="B180" s="1" t="s">
        <v>2308</v>
      </c>
      <c r="C180" s="1" t="s">
        <v>2310</v>
      </c>
      <c r="D180" s="2"/>
      <c r="E180" s="75" t="str">
        <f t="shared" si="0"/>
        <v xml:space="preserve">DE GUZMAN, MICAELA JUANATA </v>
      </c>
      <c r="F180" s="2" t="s">
        <v>2307</v>
      </c>
      <c r="G180" s="18" t="s">
        <v>388</v>
      </c>
      <c r="H180" s="25" t="s">
        <v>2673</v>
      </c>
      <c r="I180" s="77" t="s">
        <v>3047</v>
      </c>
      <c r="J180" s="77"/>
      <c r="K180" s="77" t="s">
        <v>3048</v>
      </c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</row>
    <row r="181" spans="1:32" ht="15" customHeight="1" x14ac:dyDescent="0.2">
      <c r="A181" s="1" t="s">
        <v>1040</v>
      </c>
      <c r="B181" s="1" t="s">
        <v>1042</v>
      </c>
      <c r="C181" s="1" t="s">
        <v>1044</v>
      </c>
      <c r="D181" s="2"/>
      <c r="E181" s="75" t="str">
        <f t="shared" si="0"/>
        <v xml:space="preserve">DE LANA, XZYRON AGNE </v>
      </c>
      <c r="F181" s="2" t="s">
        <v>42</v>
      </c>
      <c r="G181" s="78" t="s">
        <v>1040</v>
      </c>
      <c r="H181" s="25" t="s">
        <v>736</v>
      </c>
      <c r="I181" s="77" t="s">
        <v>3048</v>
      </c>
      <c r="J181" s="77"/>
      <c r="K181" s="77" t="s">
        <v>3047</v>
      </c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</row>
    <row r="182" spans="1:32" ht="15" customHeight="1" x14ac:dyDescent="0.2">
      <c r="A182" s="1" t="s">
        <v>1048</v>
      </c>
      <c r="B182" s="1" t="s">
        <v>1065</v>
      </c>
      <c r="C182" s="1" t="s">
        <v>1511</v>
      </c>
      <c r="D182" s="2"/>
      <c r="E182" s="75" t="str">
        <f t="shared" si="0"/>
        <v xml:space="preserve">DE LEON, CHRISTOPHER PEREZ </v>
      </c>
      <c r="F182" s="2" t="s">
        <v>32</v>
      </c>
      <c r="G182" s="5" t="s">
        <v>1048</v>
      </c>
      <c r="H182" s="25" t="s">
        <v>785</v>
      </c>
      <c r="I182" s="77" t="s">
        <v>3047</v>
      </c>
      <c r="J182" s="77"/>
      <c r="K182" s="77" t="s">
        <v>3048</v>
      </c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</row>
    <row r="183" spans="1:32" ht="15" customHeight="1" x14ac:dyDescent="0.2">
      <c r="A183" s="1" t="s">
        <v>1048</v>
      </c>
      <c r="B183" s="1" t="s">
        <v>1049</v>
      </c>
      <c r="C183" s="1" t="s">
        <v>1050</v>
      </c>
      <c r="D183" s="2"/>
      <c r="E183" s="75" t="str">
        <f t="shared" si="0"/>
        <v xml:space="preserve">DE LEON, YVETTE VILLAVERDE </v>
      </c>
      <c r="F183" s="2" t="s">
        <v>42</v>
      </c>
      <c r="G183" s="78" t="s">
        <v>1048</v>
      </c>
      <c r="H183" s="25" t="s">
        <v>1055</v>
      </c>
      <c r="I183" s="77" t="s">
        <v>3048</v>
      </c>
      <c r="J183" s="77"/>
      <c r="K183" s="77" t="s">
        <v>3046</v>
      </c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</row>
    <row r="184" spans="1:32" ht="15" customHeight="1" x14ac:dyDescent="0.2">
      <c r="A184" s="1" t="s">
        <v>2079</v>
      </c>
      <c r="B184" s="1" t="s">
        <v>59</v>
      </c>
      <c r="C184" s="1" t="s">
        <v>2080</v>
      </c>
      <c r="D184" s="2"/>
      <c r="E184" s="75" t="str">
        <f t="shared" si="0"/>
        <v xml:space="preserve">DECENA, RONALD LUCIO </v>
      </c>
      <c r="F184" s="2" t="s">
        <v>62</v>
      </c>
      <c r="G184" s="78" t="s">
        <v>2079</v>
      </c>
      <c r="H184" s="25" t="s">
        <v>2081</v>
      </c>
      <c r="I184" s="77" t="s">
        <v>3046</v>
      </c>
      <c r="J184" s="77"/>
      <c r="K184" s="77" t="s">
        <v>3047</v>
      </c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</row>
    <row r="185" spans="1:32" ht="15" customHeight="1" x14ac:dyDescent="0.2">
      <c r="A185" s="1" t="s">
        <v>2090</v>
      </c>
      <c r="B185" s="1" t="s">
        <v>2091</v>
      </c>
      <c r="C185" s="1" t="s">
        <v>2092</v>
      </c>
      <c r="D185" s="2"/>
      <c r="E185" s="75" t="str">
        <f t="shared" si="0"/>
        <v xml:space="preserve">DEITA, ANN MARIE SOTOMIL </v>
      </c>
      <c r="F185" s="2" t="s">
        <v>305</v>
      </c>
      <c r="G185" s="78" t="s">
        <v>2090</v>
      </c>
      <c r="H185" s="25" t="s">
        <v>333</v>
      </c>
      <c r="I185" s="77" t="s">
        <v>3047</v>
      </c>
      <c r="J185" s="77"/>
      <c r="K185" s="77" t="s">
        <v>3047</v>
      </c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</row>
    <row r="186" spans="1:32" ht="15" customHeight="1" x14ac:dyDescent="0.2">
      <c r="A186" s="1" t="s">
        <v>173</v>
      </c>
      <c r="B186" s="1" t="s">
        <v>2340</v>
      </c>
      <c r="C186" s="1" t="s">
        <v>2341</v>
      </c>
      <c r="D186" s="2"/>
      <c r="E186" s="75" t="str">
        <f t="shared" si="0"/>
        <v xml:space="preserve">DEL ROSARIO, BRIGGS TABORA </v>
      </c>
      <c r="F186" s="2" t="s">
        <v>32</v>
      </c>
      <c r="G186" s="5" t="s">
        <v>173</v>
      </c>
      <c r="H186" s="25" t="s">
        <v>785</v>
      </c>
      <c r="I186" s="77" t="s">
        <v>3047</v>
      </c>
      <c r="J186" s="77"/>
      <c r="K186" s="77" t="s">
        <v>3048</v>
      </c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</row>
    <row r="187" spans="1:32" ht="15" customHeight="1" x14ac:dyDescent="0.2">
      <c r="A187" s="1" t="s">
        <v>404</v>
      </c>
      <c r="B187" s="1" t="s">
        <v>1056</v>
      </c>
      <c r="C187" s="1" t="s">
        <v>1057</v>
      </c>
      <c r="D187" s="2"/>
      <c r="E187" s="75" t="str">
        <f t="shared" si="0"/>
        <v xml:space="preserve">DELA CRUZ, ALTHEA CELY PARA </v>
      </c>
      <c r="F187" s="2" t="s">
        <v>42</v>
      </c>
      <c r="G187" s="78" t="s">
        <v>404</v>
      </c>
      <c r="H187" s="25" t="s">
        <v>1058</v>
      </c>
      <c r="I187" s="77" t="s">
        <v>3048</v>
      </c>
      <c r="J187" s="77"/>
      <c r="K187" s="77" t="s">
        <v>3046</v>
      </c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</row>
    <row r="188" spans="1:32" ht="15" customHeight="1" x14ac:dyDescent="0.2">
      <c r="A188" s="1" t="s">
        <v>404</v>
      </c>
      <c r="B188" s="1" t="s">
        <v>405</v>
      </c>
      <c r="C188" s="1" t="s">
        <v>406</v>
      </c>
      <c r="D188" s="2"/>
      <c r="E188" s="75" t="str">
        <f t="shared" si="0"/>
        <v xml:space="preserve">DELA CRUZ, ALVIN ORUA </v>
      </c>
      <c r="F188" s="2" t="s">
        <v>318</v>
      </c>
      <c r="G188" s="78" t="s">
        <v>404</v>
      </c>
      <c r="H188" s="25" t="s">
        <v>259</v>
      </c>
      <c r="I188" s="77" t="s">
        <v>3046</v>
      </c>
      <c r="J188" s="77"/>
      <c r="K188" s="77" t="s">
        <v>3046</v>
      </c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</row>
    <row r="189" spans="1:32" ht="15" customHeight="1" x14ac:dyDescent="0.2">
      <c r="A189" s="9" t="s">
        <v>404</v>
      </c>
      <c r="B189" s="9" t="s">
        <v>1061</v>
      </c>
      <c r="C189" s="9" t="s">
        <v>1062</v>
      </c>
      <c r="D189" s="82"/>
      <c r="E189" s="75" t="str">
        <f t="shared" si="0"/>
        <v xml:space="preserve">DELA CRUZ, ASHTER TIBURCIO </v>
      </c>
      <c r="F189" s="2" t="s">
        <v>323</v>
      </c>
      <c r="G189" s="78" t="s">
        <v>404</v>
      </c>
      <c r="H189" s="25" t="s">
        <v>259</v>
      </c>
      <c r="I189" s="77" t="s">
        <v>3046</v>
      </c>
      <c r="J189" s="77"/>
      <c r="K189" s="77" t="s">
        <v>3048</v>
      </c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</row>
    <row r="190" spans="1:32" ht="15" customHeight="1" x14ac:dyDescent="0.2">
      <c r="A190" s="1" t="s">
        <v>404</v>
      </c>
      <c r="B190" s="1" t="s">
        <v>879</v>
      </c>
      <c r="C190" s="1" t="s">
        <v>404</v>
      </c>
      <c r="D190" s="2"/>
      <c r="E190" s="75" t="str">
        <f t="shared" si="0"/>
        <v xml:space="preserve">DELA CRUZ, CHARLES ISAAK DELA CRUZ </v>
      </c>
      <c r="F190" s="2" t="s">
        <v>42</v>
      </c>
      <c r="G190" s="78" t="s">
        <v>404</v>
      </c>
      <c r="H190" s="25" t="s">
        <v>709</v>
      </c>
      <c r="I190" s="77" t="s">
        <v>3048</v>
      </c>
      <c r="J190" s="77"/>
      <c r="K190" s="77" t="s">
        <v>3048</v>
      </c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</row>
    <row r="191" spans="1:32" ht="15" customHeight="1" x14ac:dyDescent="0.2">
      <c r="A191" s="1" t="s">
        <v>404</v>
      </c>
      <c r="B191" s="1" t="s">
        <v>1068</v>
      </c>
      <c r="C191" s="1" t="s">
        <v>304</v>
      </c>
      <c r="D191" s="2"/>
      <c r="E191" s="75" t="str">
        <f t="shared" si="0"/>
        <v xml:space="preserve">DELA CRUZ, JESSICA BAUTISTA </v>
      </c>
      <c r="F191" s="2" t="s">
        <v>42</v>
      </c>
      <c r="G191" s="11" t="s">
        <v>404</v>
      </c>
      <c r="H191" s="25" t="s">
        <v>227</v>
      </c>
      <c r="I191" s="77" t="s">
        <v>3048</v>
      </c>
      <c r="J191" s="77"/>
      <c r="K191" s="77" t="s">
        <v>3048</v>
      </c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</row>
    <row r="192" spans="1:32" ht="15" customHeight="1" x14ac:dyDescent="0.2">
      <c r="A192" s="1" t="s">
        <v>404</v>
      </c>
      <c r="B192" s="1" t="s">
        <v>1070</v>
      </c>
      <c r="C192" s="1" t="s">
        <v>1071</v>
      </c>
      <c r="D192" s="2"/>
      <c r="E192" s="75" t="str">
        <f t="shared" si="0"/>
        <v xml:space="preserve">DELA CRUZ, MARIA CRISTINA DOMONDON </v>
      </c>
      <c r="F192" s="2" t="s">
        <v>42</v>
      </c>
      <c r="G192" s="78" t="s">
        <v>404</v>
      </c>
      <c r="H192" s="25" t="s">
        <v>1072</v>
      </c>
      <c r="I192" s="77" t="s">
        <v>3048</v>
      </c>
      <c r="J192" s="77"/>
      <c r="K192" s="77" t="s">
        <v>3048</v>
      </c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</row>
    <row r="193" spans="1:32" ht="15" customHeight="1" x14ac:dyDescent="0.2">
      <c r="A193" s="1" t="s">
        <v>404</v>
      </c>
      <c r="B193" s="1" t="s">
        <v>3108</v>
      </c>
      <c r="C193" s="1" t="s">
        <v>3109</v>
      </c>
      <c r="D193" s="2"/>
      <c r="E193" s="75" t="str">
        <f t="shared" si="0"/>
        <v xml:space="preserve">DELA CRUZ, MELANIA BACULAD </v>
      </c>
      <c r="F193" s="2" t="s">
        <v>42</v>
      </c>
      <c r="G193" s="78" t="s">
        <v>404</v>
      </c>
      <c r="H193" s="25" t="s">
        <v>3110</v>
      </c>
      <c r="I193" s="77" t="s">
        <v>3048</v>
      </c>
      <c r="J193" s="77"/>
      <c r="K193" s="77" t="s">
        <v>3048</v>
      </c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</row>
    <row r="194" spans="1:32" ht="15" customHeight="1" x14ac:dyDescent="0.2">
      <c r="A194" s="1" t="s">
        <v>404</v>
      </c>
      <c r="B194" s="1" t="s">
        <v>1073</v>
      </c>
      <c r="C194" s="1" t="s">
        <v>1074</v>
      </c>
      <c r="D194" s="2"/>
      <c r="E194" s="75" t="str">
        <f t="shared" si="0"/>
        <v xml:space="preserve">DELA CRUZ, ROSELYN CARTAGENA </v>
      </c>
      <c r="F194" s="2" t="s">
        <v>42</v>
      </c>
      <c r="G194" s="78" t="s">
        <v>404</v>
      </c>
      <c r="H194" s="25" t="s">
        <v>3112</v>
      </c>
      <c r="I194" s="77" t="s">
        <v>3048</v>
      </c>
      <c r="J194" s="77"/>
      <c r="K194" s="77" t="s">
        <v>3046</v>
      </c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</row>
    <row r="195" spans="1:32" ht="15" customHeight="1" x14ac:dyDescent="0.2">
      <c r="A195" s="1" t="s">
        <v>251</v>
      </c>
      <c r="B195" s="1" t="s">
        <v>252</v>
      </c>
      <c r="C195" s="1" t="s">
        <v>253</v>
      </c>
      <c r="D195" s="2" t="s">
        <v>181</v>
      </c>
      <c r="E195" s="75" t="str">
        <f t="shared" si="0"/>
        <v>DELA PEÑA, VICTORIO MENDIOLA JR</v>
      </c>
      <c r="F195" s="2" t="s">
        <v>57</v>
      </c>
      <c r="G195" s="78" t="s">
        <v>251</v>
      </c>
      <c r="H195" s="25" t="s">
        <v>2355</v>
      </c>
      <c r="I195" s="77" t="s">
        <v>3046</v>
      </c>
      <c r="J195" s="77"/>
      <c r="K195" s="77" t="s">
        <v>3048</v>
      </c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</row>
    <row r="196" spans="1:32" ht="15" customHeight="1" x14ac:dyDescent="0.2">
      <c r="A196" s="1" t="s">
        <v>1085</v>
      </c>
      <c r="B196" s="1" t="s">
        <v>1086</v>
      </c>
      <c r="C196" s="1" t="s">
        <v>1088</v>
      </c>
      <c r="D196" s="2"/>
      <c r="E196" s="75" t="str">
        <f t="shared" si="0"/>
        <v xml:space="preserve">DELA PERI, CHRISTOPHER  TOGONON </v>
      </c>
      <c r="F196" s="2" t="s">
        <v>42</v>
      </c>
      <c r="G196" s="78" t="s">
        <v>1085</v>
      </c>
      <c r="H196" s="25" t="s">
        <v>227</v>
      </c>
      <c r="I196" s="77" t="s">
        <v>3048</v>
      </c>
      <c r="J196" s="77"/>
      <c r="K196" s="77" t="s">
        <v>3047</v>
      </c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</row>
    <row r="197" spans="1:32" ht="15" customHeight="1" x14ac:dyDescent="0.2">
      <c r="A197" s="1" t="s">
        <v>1877</v>
      </c>
      <c r="B197" s="1" t="s">
        <v>64</v>
      </c>
      <c r="C197" s="1" t="s">
        <v>1878</v>
      </c>
      <c r="D197" s="2"/>
      <c r="E197" s="75" t="str">
        <f t="shared" si="0"/>
        <v xml:space="preserve">DELEÑA, CHRISTIAN CUELA </v>
      </c>
      <c r="F197" s="2" t="s">
        <v>134</v>
      </c>
      <c r="G197" s="78" t="s">
        <v>1877</v>
      </c>
      <c r="H197" s="25" t="s">
        <v>333</v>
      </c>
      <c r="I197" s="77" t="s">
        <v>3047</v>
      </c>
      <c r="J197" s="77"/>
      <c r="K197" s="77" t="s">
        <v>3046</v>
      </c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</row>
    <row r="198" spans="1:32" ht="15" customHeight="1" x14ac:dyDescent="0.2">
      <c r="A198" s="1" t="s">
        <v>412</v>
      </c>
      <c r="B198" s="1" t="s">
        <v>413</v>
      </c>
      <c r="C198" s="1" t="s">
        <v>414</v>
      </c>
      <c r="D198" s="2"/>
      <c r="E198" s="75" t="str">
        <f t="shared" si="0"/>
        <v xml:space="preserve">DESEO, REYNANTE NUYDA </v>
      </c>
      <c r="F198" s="2" t="s">
        <v>318</v>
      </c>
      <c r="G198" s="78" t="s">
        <v>412</v>
      </c>
      <c r="H198" s="25" t="s">
        <v>259</v>
      </c>
      <c r="I198" s="77" t="s">
        <v>3046</v>
      </c>
      <c r="J198" s="77"/>
      <c r="K198" s="77" t="s">
        <v>3048</v>
      </c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</row>
    <row r="199" spans="1:32" ht="15" customHeight="1" x14ac:dyDescent="0.2">
      <c r="A199" s="1" t="s">
        <v>438</v>
      </c>
      <c r="B199" s="1" t="s">
        <v>3113</v>
      </c>
      <c r="C199" s="1" t="s">
        <v>3114</v>
      </c>
      <c r="D199" s="2"/>
      <c r="E199" s="75" t="str">
        <f t="shared" si="0"/>
        <v xml:space="preserve">DIAZ, LEILA URTOLA </v>
      </c>
      <c r="F199" s="2" t="s">
        <v>42</v>
      </c>
      <c r="G199" s="11" t="s">
        <v>438</v>
      </c>
      <c r="H199" s="25" t="s">
        <v>709</v>
      </c>
      <c r="I199" s="77" t="s">
        <v>3048</v>
      </c>
      <c r="J199" s="77"/>
      <c r="K199" s="77" t="s">
        <v>3047</v>
      </c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</row>
    <row r="200" spans="1:32" ht="15" customHeight="1" x14ac:dyDescent="0.2">
      <c r="A200" s="59" t="s">
        <v>438</v>
      </c>
      <c r="B200" s="59" t="s">
        <v>831</v>
      </c>
      <c r="C200" s="59" t="s">
        <v>832</v>
      </c>
      <c r="D200" s="75"/>
      <c r="E200" s="75" t="str">
        <f t="shared" si="0"/>
        <v xml:space="preserve">DIAZ, STEPHEN PAUL BAUZON </v>
      </c>
      <c r="F200" s="2" t="s">
        <v>134</v>
      </c>
      <c r="G200" s="78" t="s">
        <v>438</v>
      </c>
      <c r="H200" s="25" t="s">
        <v>333</v>
      </c>
      <c r="I200" s="77" t="s">
        <v>3047</v>
      </c>
      <c r="J200" s="77"/>
      <c r="K200" s="77" t="s">
        <v>3047</v>
      </c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</row>
    <row r="201" spans="1:32" ht="15" customHeight="1" x14ac:dyDescent="0.2">
      <c r="A201" s="59" t="s">
        <v>1816</v>
      </c>
      <c r="B201" s="59" t="s">
        <v>1817</v>
      </c>
      <c r="C201" s="59" t="s">
        <v>2361</v>
      </c>
      <c r="D201" s="75"/>
      <c r="E201" s="75" t="str">
        <f t="shared" si="0"/>
        <v xml:space="preserve">DICHOSO, KAYCEE PIZARRA </v>
      </c>
      <c r="F201" s="2" t="s">
        <v>32</v>
      </c>
      <c r="G201" s="11" t="s">
        <v>1816</v>
      </c>
      <c r="H201" s="25" t="s">
        <v>333</v>
      </c>
      <c r="I201" s="77" t="s">
        <v>3047</v>
      </c>
      <c r="J201" s="77"/>
      <c r="K201" s="77" t="s">
        <v>3047</v>
      </c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</row>
    <row r="202" spans="1:32" ht="15" customHeight="1" x14ac:dyDescent="0.2">
      <c r="A202" s="1" t="s">
        <v>2210</v>
      </c>
      <c r="B202" s="1" t="s">
        <v>2211</v>
      </c>
      <c r="C202" s="1" t="s">
        <v>190</v>
      </c>
      <c r="D202" s="2"/>
      <c r="E202" s="75" t="str">
        <f t="shared" si="0"/>
        <v xml:space="preserve">DICO, JOEMAR RODRIGUEZ </v>
      </c>
      <c r="F202" s="2" t="s">
        <v>32</v>
      </c>
      <c r="G202" s="5" t="s">
        <v>2210</v>
      </c>
      <c r="H202" s="25" t="s">
        <v>2364</v>
      </c>
      <c r="I202" s="77" t="s">
        <v>3047</v>
      </c>
      <c r="J202" s="77"/>
      <c r="K202" s="77" t="s">
        <v>3048</v>
      </c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</row>
    <row r="203" spans="1:32" ht="15" customHeight="1" x14ac:dyDescent="0.2">
      <c r="A203" s="32" t="s">
        <v>440</v>
      </c>
      <c r="B203" s="1" t="s">
        <v>441</v>
      </c>
      <c r="C203" s="1" t="s">
        <v>442</v>
      </c>
      <c r="D203" s="2"/>
      <c r="E203" s="75" t="str">
        <f t="shared" si="0"/>
        <v xml:space="preserve">DIMACULANGAN, JOHN VINCENT VENTURA </v>
      </c>
      <c r="F203" s="2" t="s">
        <v>42</v>
      </c>
      <c r="G203" s="78" t="s">
        <v>440</v>
      </c>
      <c r="H203" s="25" t="s">
        <v>3116</v>
      </c>
      <c r="I203" s="77" t="s">
        <v>3048</v>
      </c>
      <c r="J203" s="77"/>
      <c r="K203" s="77" t="s">
        <v>3048</v>
      </c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</row>
    <row r="204" spans="1:32" ht="15" customHeight="1" x14ac:dyDescent="0.2">
      <c r="A204" s="1" t="s">
        <v>440</v>
      </c>
      <c r="B204" s="1" t="s">
        <v>1094</v>
      </c>
      <c r="C204" s="1" t="s">
        <v>1097</v>
      </c>
      <c r="D204" s="2"/>
      <c r="E204" s="75" t="str">
        <f t="shared" si="0"/>
        <v xml:space="preserve">DIMACULANGAN, MARLYN LAGULA </v>
      </c>
      <c r="F204" s="2" t="s">
        <v>42</v>
      </c>
      <c r="G204" s="78" t="s">
        <v>440</v>
      </c>
      <c r="H204" s="25" t="s">
        <v>1098</v>
      </c>
      <c r="I204" s="77" t="s">
        <v>3048</v>
      </c>
      <c r="J204" s="77"/>
      <c r="K204" s="77" t="s">
        <v>3048</v>
      </c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</row>
    <row r="205" spans="1:32" ht="15" customHeight="1" x14ac:dyDescent="0.2">
      <c r="A205" s="1" t="s">
        <v>440</v>
      </c>
      <c r="B205" s="1" t="s">
        <v>1100</v>
      </c>
      <c r="C205" s="1" t="s">
        <v>1101</v>
      </c>
      <c r="D205" s="2"/>
      <c r="E205" s="75" t="str">
        <f t="shared" si="0"/>
        <v xml:space="preserve">DIMACULANGAN, PAUL JANSEN FERNANDEZ </v>
      </c>
      <c r="F205" s="2" t="s">
        <v>42</v>
      </c>
      <c r="G205" s="11" t="s">
        <v>2692</v>
      </c>
      <c r="H205" s="25" t="s">
        <v>1102</v>
      </c>
      <c r="I205" s="77" t="s">
        <v>3048</v>
      </c>
      <c r="J205" s="77"/>
      <c r="K205" s="77" t="s">
        <v>3046</v>
      </c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</row>
    <row r="206" spans="1:32" ht="15" customHeight="1" x14ac:dyDescent="0.2">
      <c r="A206" s="74" t="s">
        <v>492</v>
      </c>
      <c r="B206" s="74" t="s">
        <v>493</v>
      </c>
      <c r="C206" s="1" t="s">
        <v>495</v>
      </c>
      <c r="D206" s="75"/>
      <c r="E206" s="75" t="str">
        <f t="shared" si="0"/>
        <v xml:space="preserve">DIMASANGKAY, SORAIYA MUSAID </v>
      </c>
      <c r="F206" s="2" t="s">
        <v>127</v>
      </c>
      <c r="G206" s="11" t="s">
        <v>492</v>
      </c>
      <c r="H206" s="25" t="s">
        <v>259</v>
      </c>
      <c r="I206" s="77" t="s">
        <v>3046</v>
      </c>
      <c r="J206" s="77"/>
      <c r="K206" s="77" t="s">
        <v>3047</v>
      </c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</row>
    <row r="207" spans="1:32" ht="15" customHeight="1" x14ac:dyDescent="0.2">
      <c r="A207" s="1" t="s">
        <v>1834</v>
      </c>
      <c r="B207" s="1" t="s">
        <v>1835</v>
      </c>
      <c r="C207" s="1" t="s">
        <v>1836</v>
      </c>
      <c r="D207" s="2"/>
      <c r="E207" s="75" t="str">
        <f t="shared" si="0"/>
        <v xml:space="preserve">DIÑA, JEREMY DOMALAON </v>
      </c>
      <c r="F207" s="2" t="s">
        <v>528</v>
      </c>
      <c r="G207" s="78" t="s">
        <v>1834</v>
      </c>
      <c r="H207" s="25" t="s">
        <v>3065</v>
      </c>
      <c r="I207" s="77" t="s">
        <v>3047</v>
      </c>
      <c r="J207" s="77"/>
      <c r="K207" s="77" t="s">
        <v>3048</v>
      </c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</row>
    <row r="208" spans="1:32" ht="15" customHeight="1" x14ac:dyDescent="0.2">
      <c r="A208" s="1" t="s">
        <v>1106</v>
      </c>
      <c r="B208" s="1" t="s">
        <v>1041</v>
      </c>
      <c r="C208" s="1" t="s">
        <v>1043</v>
      </c>
      <c r="D208" s="2"/>
      <c r="E208" s="75" t="str">
        <f t="shared" si="0"/>
        <v xml:space="preserve">DIÑO, ELVIN ELDEN SEBASTIAN </v>
      </c>
      <c r="F208" s="2" t="s">
        <v>42</v>
      </c>
      <c r="G208" s="78" t="s">
        <v>1106</v>
      </c>
      <c r="H208" s="25" t="s">
        <v>1108</v>
      </c>
      <c r="I208" s="77" t="s">
        <v>3048</v>
      </c>
      <c r="J208" s="77"/>
      <c r="K208" s="77" t="s">
        <v>3047</v>
      </c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</row>
    <row r="209" spans="1:32" ht="15" customHeight="1" x14ac:dyDescent="0.2">
      <c r="A209" s="1" t="s">
        <v>2391</v>
      </c>
      <c r="B209" s="1" t="s">
        <v>2392</v>
      </c>
      <c r="C209" s="1" t="s">
        <v>2393</v>
      </c>
      <c r="D209" s="2"/>
      <c r="E209" s="75" t="str">
        <f t="shared" si="0"/>
        <v xml:space="preserve">DIONEDA, KARL JOHN QUIRANTE </v>
      </c>
      <c r="F209" s="2" t="s">
        <v>32</v>
      </c>
      <c r="G209" s="5" t="s">
        <v>2391</v>
      </c>
      <c r="H209" s="25" t="s">
        <v>333</v>
      </c>
      <c r="I209" s="77" t="s">
        <v>3047</v>
      </c>
      <c r="J209" s="77"/>
      <c r="K209" s="77" t="s">
        <v>3047</v>
      </c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</row>
    <row r="210" spans="1:32" ht="15" customHeight="1" x14ac:dyDescent="0.2">
      <c r="A210" s="9" t="s">
        <v>2159</v>
      </c>
      <c r="B210" s="9" t="s">
        <v>2160</v>
      </c>
      <c r="C210" s="9" t="s">
        <v>2161</v>
      </c>
      <c r="D210" s="82"/>
      <c r="E210" s="75" t="str">
        <f t="shared" si="0"/>
        <v xml:space="preserve">DIRINDIGEN, MORSI MACABNGKAS </v>
      </c>
      <c r="F210" s="2" t="s">
        <v>32</v>
      </c>
      <c r="G210" s="78" t="s">
        <v>2159</v>
      </c>
      <c r="H210" s="25" t="s">
        <v>333</v>
      </c>
      <c r="I210" s="77" t="s">
        <v>3047</v>
      </c>
      <c r="J210" s="77"/>
      <c r="K210" s="77" t="s">
        <v>3047</v>
      </c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</row>
    <row r="211" spans="1:32" ht="15" customHeight="1" x14ac:dyDescent="0.2">
      <c r="A211" s="1" t="s">
        <v>425</v>
      </c>
      <c r="B211" s="1" t="s">
        <v>426</v>
      </c>
      <c r="C211" s="1" t="s">
        <v>388</v>
      </c>
      <c r="D211" s="2"/>
      <c r="E211" s="75" t="str">
        <f t="shared" si="0"/>
        <v xml:space="preserve">DOCTOLERO, JOHN NICK DE GUZMAN </v>
      </c>
      <c r="F211" s="2" t="s">
        <v>134</v>
      </c>
      <c r="G211" s="78" t="s">
        <v>425</v>
      </c>
      <c r="H211" s="25" t="s">
        <v>333</v>
      </c>
      <c r="I211" s="77" t="s">
        <v>3047</v>
      </c>
      <c r="J211" s="77"/>
      <c r="K211" s="77" t="s">
        <v>3046</v>
      </c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</row>
    <row r="212" spans="1:32" ht="15" customHeight="1" x14ac:dyDescent="0.2">
      <c r="A212" s="59" t="s">
        <v>425</v>
      </c>
      <c r="B212" s="59" t="s">
        <v>1382</v>
      </c>
      <c r="C212" s="59" t="s">
        <v>1384</v>
      </c>
      <c r="D212" s="2"/>
      <c r="E212" s="75" t="str">
        <f t="shared" si="0"/>
        <v xml:space="preserve">DOCTOLERO, REGGIEMAR NAZA </v>
      </c>
      <c r="F212" s="2" t="s">
        <v>127</v>
      </c>
      <c r="G212" s="11" t="s">
        <v>425</v>
      </c>
      <c r="H212" s="25" t="s">
        <v>259</v>
      </c>
      <c r="I212" s="77" t="s">
        <v>3046</v>
      </c>
      <c r="J212" s="77"/>
      <c r="K212" s="77" t="s">
        <v>3048</v>
      </c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</row>
    <row r="213" spans="1:32" ht="15" customHeight="1" x14ac:dyDescent="0.2">
      <c r="A213" s="1" t="s">
        <v>1110</v>
      </c>
      <c r="B213" s="1" t="s">
        <v>1111</v>
      </c>
      <c r="C213" s="1" t="s">
        <v>1112</v>
      </c>
      <c r="D213" s="2"/>
      <c r="E213" s="75" t="str">
        <f t="shared" si="0"/>
        <v xml:space="preserve">DOMINGO, KARL LOUIE CARDENAS </v>
      </c>
      <c r="F213" s="2" t="s">
        <v>42</v>
      </c>
      <c r="G213" s="78" t="s">
        <v>1110</v>
      </c>
      <c r="H213" s="25" t="s">
        <v>1113</v>
      </c>
      <c r="I213" s="77" t="s">
        <v>3048</v>
      </c>
      <c r="J213" s="77"/>
      <c r="K213" s="77" t="s">
        <v>3048</v>
      </c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</row>
    <row r="214" spans="1:32" ht="15" customHeight="1" x14ac:dyDescent="0.2">
      <c r="A214" s="1" t="s">
        <v>1110</v>
      </c>
      <c r="B214" s="1" t="s">
        <v>1114</v>
      </c>
      <c r="C214" s="1" t="s">
        <v>1115</v>
      </c>
      <c r="D214" s="2"/>
      <c r="E214" s="75" t="str">
        <f t="shared" si="0"/>
        <v xml:space="preserve">DOMINGO, MISCHELL ALOR </v>
      </c>
      <c r="F214" s="2" t="s">
        <v>42</v>
      </c>
      <c r="G214" s="5" t="s">
        <v>1110</v>
      </c>
      <c r="H214" s="25" t="s">
        <v>3121</v>
      </c>
      <c r="I214" s="77" t="s">
        <v>3048</v>
      </c>
      <c r="J214" s="77"/>
      <c r="K214" s="77" t="s">
        <v>3046</v>
      </c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</row>
    <row r="215" spans="1:32" ht="15" customHeight="1" x14ac:dyDescent="0.2">
      <c r="A215" s="9" t="s">
        <v>1152</v>
      </c>
      <c r="B215" s="9" t="s">
        <v>1153</v>
      </c>
      <c r="C215" s="9" t="s">
        <v>1154</v>
      </c>
      <c r="D215" s="82"/>
      <c r="E215" s="75" t="str">
        <f t="shared" si="0"/>
        <v xml:space="preserve">DOMINGUIANO, JAY ESTOYA </v>
      </c>
      <c r="F215" s="2" t="s">
        <v>127</v>
      </c>
      <c r="G215" s="78" t="s">
        <v>1152</v>
      </c>
      <c r="H215" s="25" t="s">
        <v>259</v>
      </c>
      <c r="I215" s="77" t="s">
        <v>3046</v>
      </c>
      <c r="J215" s="77"/>
      <c r="K215" s="77" t="s">
        <v>3046</v>
      </c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</row>
    <row r="216" spans="1:32" ht="15" customHeight="1" x14ac:dyDescent="0.2">
      <c r="A216" s="1" t="s">
        <v>653</v>
      </c>
      <c r="B216" s="1" t="s">
        <v>654</v>
      </c>
      <c r="C216" s="1" t="s">
        <v>655</v>
      </c>
      <c r="D216" s="2"/>
      <c r="E216" s="75" t="str">
        <f t="shared" si="0"/>
        <v xml:space="preserve">DULA, JOEL MANALANSAN </v>
      </c>
      <c r="F216" s="2" t="s">
        <v>318</v>
      </c>
      <c r="G216" s="78" t="s">
        <v>653</v>
      </c>
      <c r="H216" s="25" t="s">
        <v>259</v>
      </c>
      <c r="I216" s="77" t="s">
        <v>3046</v>
      </c>
      <c r="J216" s="77"/>
      <c r="K216" s="77" t="s">
        <v>3047</v>
      </c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</row>
    <row r="217" spans="1:32" ht="15" customHeight="1" x14ac:dyDescent="0.2">
      <c r="A217" s="1" t="s">
        <v>420</v>
      </c>
      <c r="B217" s="1" t="s">
        <v>421</v>
      </c>
      <c r="C217" s="1" t="s">
        <v>422</v>
      </c>
      <c r="D217" s="2"/>
      <c r="E217" s="75" t="str">
        <f t="shared" si="0"/>
        <v xml:space="preserve">DULIN, JOEY BINARAO </v>
      </c>
      <c r="F217" s="2" t="s">
        <v>177</v>
      </c>
      <c r="G217" s="78" t="s">
        <v>420</v>
      </c>
      <c r="H217" s="25" t="s">
        <v>333</v>
      </c>
      <c r="I217" s="77" t="s">
        <v>3047</v>
      </c>
      <c r="J217" s="77"/>
      <c r="K217" s="77" t="s">
        <v>3046</v>
      </c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</row>
    <row r="218" spans="1:32" ht="15" customHeight="1" x14ac:dyDescent="0.2">
      <c r="A218" s="9" t="s">
        <v>858</v>
      </c>
      <c r="B218" s="9" t="s">
        <v>437</v>
      </c>
      <c r="C218" s="9" t="s">
        <v>859</v>
      </c>
      <c r="D218" s="82" t="s">
        <v>181</v>
      </c>
      <c r="E218" s="75" t="str">
        <f t="shared" si="0"/>
        <v>DULNUAN, RAMON CUYANGO JR</v>
      </c>
      <c r="F218" s="2" t="s">
        <v>323</v>
      </c>
      <c r="G218" s="78" t="s">
        <v>858</v>
      </c>
      <c r="H218" s="25" t="s">
        <v>259</v>
      </c>
      <c r="I218" s="77" t="s">
        <v>3046</v>
      </c>
      <c r="J218" s="77"/>
      <c r="K218" s="77" t="s">
        <v>3046</v>
      </c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</row>
    <row r="219" spans="1:32" ht="15" customHeight="1" x14ac:dyDescent="0.2">
      <c r="A219" s="9" t="s">
        <v>356</v>
      </c>
      <c r="B219" s="9" t="s">
        <v>357</v>
      </c>
      <c r="C219" s="9" t="s">
        <v>358</v>
      </c>
      <c r="D219" s="82"/>
      <c r="E219" s="75" t="str">
        <f t="shared" si="0"/>
        <v xml:space="preserve">ECHANO, KERWIN RUFON </v>
      </c>
      <c r="F219" s="2" t="s">
        <v>323</v>
      </c>
      <c r="G219" s="78" t="s">
        <v>356</v>
      </c>
      <c r="H219" s="25" t="s">
        <v>259</v>
      </c>
      <c r="I219" s="77" t="s">
        <v>3046</v>
      </c>
      <c r="J219" s="77"/>
      <c r="K219" s="77" t="s">
        <v>3047</v>
      </c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</row>
    <row r="220" spans="1:32" ht="15" customHeight="1" x14ac:dyDescent="0.2">
      <c r="A220" s="1" t="s">
        <v>2371</v>
      </c>
      <c r="B220" s="1" t="s">
        <v>986</v>
      </c>
      <c r="C220" s="1" t="s">
        <v>2372</v>
      </c>
      <c r="D220" s="2"/>
      <c r="E220" s="75" t="str">
        <f t="shared" si="0"/>
        <v xml:space="preserve">ECHEGOYEN, RYAN MOJICA </v>
      </c>
      <c r="F220" s="2" t="s">
        <v>528</v>
      </c>
      <c r="G220" s="78" t="s">
        <v>2371</v>
      </c>
      <c r="H220" s="25" t="s">
        <v>785</v>
      </c>
      <c r="I220" s="77" t="s">
        <v>3047</v>
      </c>
      <c r="J220" s="77"/>
      <c r="K220" s="77" t="s">
        <v>3047</v>
      </c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</row>
    <row r="221" spans="1:32" ht="15" customHeight="1" x14ac:dyDescent="0.2">
      <c r="A221" s="1" t="s">
        <v>2094</v>
      </c>
      <c r="B221" s="1" t="s">
        <v>2095</v>
      </c>
      <c r="C221" s="1" t="s">
        <v>2096</v>
      </c>
      <c r="D221" s="2"/>
      <c r="E221" s="75" t="str">
        <f t="shared" si="0"/>
        <v xml:space="preserve">ELANGA, STEPHANIE ERESE </v>
      </c>
      <c r="F221" s="2" t="s">
        <v>134</v>
      </c>
      <c r="G221" s="78" t="s">
        <v>2094</v>
      </c>
      <c r="H221" s="25" t="s">
        <v>333</v>
      </c>
      <c r="I221" s="77" t="s">
        <v>3047</v>
      </c>
      <c r="J221" s="77"/>
      <c r="K221" s="77" t="s">
        <v>3047</v>
      </c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</row>
    <row r="222" spans="1:32" ht="15" customHeight="1" x14ac:dyDescent="0.2">
      <c r="A222" s="1" t="s">
        <v>1521</v>
      </c>
      <c r="B222" s="1" t="s">
        <v>1522</v>
      </c>
      <c r="C222" s="9" t="s">
        <v>1523</v>
      </c>
      <c r="D222" s="2"/>
      <c r="E222" s="75" t="str">
        <f t="shared" si="0"/>
        <v xml:space="preserve">ELECCION, CHRISTOFFERSON CURAMING </v>
      </c>
      <c r="F222" s="2" t="s">
        <v>69</v>
      </c>
      <c r="G222" s="78" t="s">
        <v>1521</v>
      </c>
      <c r="H222" s="25" t="s">
        <v>333</v>
      </c>
      <c r="I222" s="77" t="s">
        <v>3047</v>
      </c>
      <c r="J222" s="77"/>
      <c r="K222" s="77" t="s">
        <v>3047</v>
      </c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</row>
    <row r="223" spans="1:32" ht="15" customHeight="1" x14ac:dyDescent="0.2">
      <c r="A223" s="9" t="s">
        <v>2163</v>
      </c>
      <c r="B223" s="9" t="s">
        <v>641</v>
      </c>
      <c r="C223" s="9" t="s">
        <v>2164</v>
      </c>
      <c r="D223" s="82"/>
      <c r="E223" s="75" t="str">
        <f t="shared" si="0"/>
        <v xml:space="preserve">ELOPRE, JOHN PAUL GRAJIDO </v>
      </c>
      <c r="F223" s="2" t="s">
        <v>32</v>
      </c>
      <c r="G223" s="78" t="s">
        <v>2163</v>
      </c>
      <c r="H223" s="25" t="s">
        <v>333</v>
      </c>
      <c r="I223" s="77" t="s">
        <v>3047</v>
      </c>
      <c r="J223" s="77"/>
      <c r="K223" s="77" t="s">
        <v>3048</v>
      </c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</row>
    <row r="224" spans="1:32" ht="15" customHeight="1" x14ac:dyDescent="0.2">
      <c r="A224" s="1" t="s">
        <v>509</v>
      </c>
      <c r="B224" s="1" t="s">
        <v>1116</v>
      </c>
      <c r="C224" s="1" t="s">
        <v>1048</v>
      </c>
      <c r="D224" s="2"/>
      <c r="E224" s="75" t="str">
        <f t="shared" si="0"/>
        <v xml:space="preserve">ENRIQUEZ, ARIANE GRACE DE LEON </v>
      </c>
      <c r="F224" s="2" t="s">
        <v>42</v>
      </c>
      <c r="G224" s="78" t="s">
        <v>509</v>
      </c>
      <c r="H224" s="25" t="s">
        <v>915</v>
      </c>
      <c r="I224" s="77" t="s">
        <v>3048</v>
      </c>
      <c r="J224" s="77"/>
      <c r="K224" s="77" t="s">
        <v>3048</v>
      </c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</row>
    <row r="225" spans="1:32" ht="15" customHeight="1" x14ac:dyDescent="0.2">
      <c r="A225" s="1" t="s">
        <v>509</v>
      </c>
      <c r="B225" s="1" t="s">
        <v>1117</v>
      </c>
      <c r="C225" s="1" t="s">
        <v>1118</v>
      </c>
      <c r="D225" s="2"/>
      <c r="E225" s="75" t="str">
        <f t="shared" si="0"/>
        <v xml:space="preserve">ENRIQUEZ, MA VICTORIA DONES </v>
      </c>
      <c r="F225" s="2" t="s">
        <v>42</v>
      </c>
      <c r="G225" s="78" t="s">
        <v>509</v>
      </c>
      <c r="H225" s="25" t="s">
        <v>1119</v>
      </c>
      <c r="I225" s="77" t="s">
        <v>3048</v>
      </c>
      <c r="J225" s="77"/>
      <c r="K225" s="77" t="s">
        <v>3048</v>
      </c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</row>
    <row r="226" spans="1:32" ht="15" customHeight="1" x14ac:dyDescent="0.2">
      <c r="A226" s="1" t="s">
        <v>77</v>
      </c>
      <c r="B226" s="1" t="s">
        <v>78</v>
      </c>
      <c r="C226" s="1" t="s">
        <v>79</v>
      </c>
      <c r="D226" s="2"/>
      <c r="E226" s="75" t="str">
        <f t="shared" si="0"/>
        <v xml:space="preserve">ERIBAL, JOZEL JOY FALAGNE </v>
      </c>
      <c r="F226" s="2" t="s">
        <v>42</v>
      </c>
      <c r="G226" s="78" t="s">
        <v>77</v>
      </c>
      <c r="H226" s="25" t="s">
        <v>1007</v>
      </c>
      <c r="I226" s="77" t="s">
        <v>3048</v>
      </c>
      <c r="J226" s="77"/>
      <c r="K226" s="77" t="s">
        <v>3047</v>
      </c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</row>
    <row r="227" spans="1:32" ht="15" customHeight="1" x14ac:dyDescent="0.2">
      <c r="A227" s="1" t="s">
        <v>1948</v>
      </c>
      <c r="B227" s="1" t="s">
        <v>1949</v>
      </c>
      <c r="C227" s="1" t="s">
        <v>1950</v>
      </c>
      <c r="D227" s="2"/>
      <c r="E227" s="75" t="str">
        <f t="shared" si="0"/>
        <v xml:space="preserve">ERSAN, GIOVANNI PACIFICO </v>
      </c>
      <c r="F227" s="2" t="s">
        <v>528</v>
      </c>
      <c r="G227" s="78" t="s">
        <v>1948</v>
      </c>
      <c r="H227" s="25" t="s">
        <v>333</v>
      </c>
      <c r="I227" s="77" t="s">
        <v>3047</v>
      </c>
      <c r="J227" s="77"/>
      <c r="K227" s="77" t="s">
        <v>3046</v>
      </c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</row>
    <row r="228" spans="1:32" ht="15" customHeight="1" x14ac:dyDescent="0.2">
      <c r="A228" s="1" t="s">
        <v>982</v>
      </c>
      <c r="B228" s="1" t="s">
        <v>983</v>
      </c>
      <c r="C228" s="1" t="s">
        <v>984</v>
      </c>
      <c r="D228" s="1"/>
      <c r="E228" s="75" t="str">
        <f t="shared" si="0"/>
        <v xml:space="preserve">ESCABOSA, GEROGIL SALAZAR </v>
      </c>
      <c r="F228" s="2" t="s">
        <v>318</v>
      </c>
      <c r="G228" s="78" t="s">
        <v>982</v>
      </c>
      <c r="H228" s="25" t="s">
        <v>259</v>
      </c>
      <c r="I228" s="77" t="s">
        <v>3046</v>
      </c>
      <c r="J228" s="77"/>
      <c r="K228" s="77" t="s">
        <v>3047</v>
      </c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</row>
    <row r="229" spans="1:32" ht="15" customHeight="1" x14ac:dyDescent="0.2">
      <c r="A229" s="9" t="s">
        <v>1932</v>
      </c>
      <c r="B229" s="9" t="s">
        <v>1933</v>
      </c>
      <c r="C229" s="9" t="s">
        <v>1935</v>
      </c>
      <c r="D229" s="82"/>
      <c r="E229" s="75" t="str">
        <f t="shared" si="0"/>
        <v xml:space="preserve">ESCALONA, JERLY JUBELAG </v>
      </c>
      <c r="F229" s="2" t="s">
        <v>32</v>
      </c>
      <c r="G229" s="78" t="s">
        <v>1932</v>
      </c>
      <c r="H229" s="25" t="s">
        <v>333</v>
      </c>
      <c r="I229" s="77" t="s">
        <v>3047</v>
      </c>
      <c r="J229" s="77"/>
      <c r="K229" s="77" t="s">
        <v>3046</v>
      </c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</row>
    <row r="230" spans="1:32" ht="15" customHeight="1" x14ac:dyDescent="0.2">
      <c r="A230" s="9" t="s">
        <v>1903</v>
      </c>
      <c r="B230" s="9" t="s">
        <v>1905</v>
      </c>
      <c r="C230" s="9" t="s">
        <v>1906</v>
      </c>
      <c r="D230" s="82"/>
      <c r="E230" s="75" t="str">
        <f t="shared" si="0"/>
        <v xml:space="preserve">ESCOBAL, CARLO JOSEPH TORRES </v>
      </c>
      <c r="F230" s="2" t="s">
        <v>57</v>
      </c>
      <c r="G230" s="5" t="s">
        <v>1903</v>
      </c>
      <c r="H230" s="25" t="s">
        <v>2457</v>
      </c>
      <c r="I230" s="77" t="s">
        <v>3046</v>
      </c>
      <c r="J230" s="77"/>
      <c r="K230" s="77" t="s">
        <v>3048</v>
      </c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</row>
    <row r="231" spans="1:32" ht="15" customHeight="1" x14ac:dyDescent="0.2">
      <c r="A231" s="1" t="s">
        <v>1120</v>
      </c>
      <c r="B231" s="1" t="s">
        <v>1121</v>
      </c>
      <c r="C231" s="1" t="s">
        <v>1122</v>
      </c>
      <c r="D231" s="2"/>
      <c r="E231" s="75" t="str">
        <f t="shared" si="0"/>
        <v xml:space="preserve">ESMERO, VICENTE NEQUIA </v>
      </c>
      <c r="F231" s="2" t="s">
        <v>42</v>
      </c>
      <c r="G231" s="78" t="s">
        <v>1120</v>
      </c>
      <c r="H231" s="25" t="s">
        <v>736</v>
      </c>
      <c r="I231" s="77" t="s">
        <v>3048</v>
      </c>
      <c r="J231" s="77"/>
      <c r="K231" s="77" t="s">
        <v>3046</v>
      </c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</row>
    <row r="232" spans="1:32" ht="15" customHeight="1" x14ac:dyDescent="0.2">
      <c r="A232" s="9" t="s">
        <v>773</v>
      </c>
      <c r="B232" s="9" t="s">
        <v>775</v>
      </c>
      <c r="C232" s="9" t="s">
        <v>776</v>
      </c>
      <c r="D232" s="82"/>
      <c r="E232" s="75" t="str">
        <f t="shared" si="0"/>
        <v xml:space="preserve">ESPEDIDO, IBON GAY DACUMOS </v>
      </c>
      <c r="F232" s="2" t="s">
        <v>323</v>
      </c>
      <c r="G232" s="78" t="s">
        <v>773</v>
      </c>
      <c r="H232" s="25" t="s">
        <v>259</v>
      </c>
      <c r="I232" s="77" t="s">
        <v>3046</v>
      </c>
      <c r="J232" s="77"/>
      <c r="K232" s="77" t="s">
        <v>3047</v>
      </c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</row>
    <row r="233" spans="1:32" ht="15" customHeight="1" x14ac:dyDescent="0.2">
      <c r="A233" s="9" t="s">
        <v>2459</v>
      </c>
      <c r="B233" s="9" t="s">
        <v>2460</v>
      </c>
      <c r="C233" s="9" t="s">
        <v>2461</v>
      </c>
      <c r="D233" s="82"/>
      <c r="E233" s="75" t="str">
        <f t="shared" si="0"/>
        <v xml:space="preserve">ESTACIO, NEIL BRYAN ALARIN </v>
      </c>
      <c r="F233" s="2" t="s">
        <v>32</v>
      </c>
      <c r="G233" s="11" t="s">
        <v>2459</v>
      </c>
      <c r="H233" s="25" t="s">
        <v>138</v>
      </c>
      <c r="I233" s="77" t="s">
        <v>3047</v>
      </c>
      <c r="J233" s="77"/>
      <c r="K233" s="77" t="s">
        <v>3048</v>
      </c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</row>
    <row r="234" spans="1:32" ht="15" customHeight="1" x14ac:dyDescent="0.2">
      <c r="A234" s="1" t="s">
        <v>145</v>
      </c>
      <c r="B234" s="1" t="s">
        <v>146</v>
      </c>
      <c r="C234" s="1" t="s">
        <v>147</v>
      </c>
      <c r="D234" s="2"/>
      <c r="E234" s="75" t="str">
        <f t="shared" si="0"/>
        <v xml:space="preserve">ESTEVES, MARICEL FRESNOZA </v>
      </c>
      <c r="F234" s="2" t="s">
        <v>42</v>
      </c>
      <c r="G234" s="78" t="s">
        <v>145</v>
      </c>
      <c r="H234" s="25" t="s">
        <v>1124</v>
      </c>
      <c r="I234" s="77" t="s">
        <v>3048</v>
      </c>
      <c r="J234" s="77"/>
      <c r="K234" s="77" t="s">
        <v>3048</v>
      </c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</row>
    <row r="235" spans="1:32" ht="15" customHeight="1" x14ac:dyDescent="0.2">
      <c r="A235" s="1" t="s">
        <v>1125</v>
      </c>
      <c r="B235" s="1" t="s">
        <v>1126</v>
      </c>
      <c r="C235" s="1" t="s">
        <v>1127</v>
      </c>
      <c r="D235" s="2"/>
      <c r="E235" s="75" t="str">
        <f t="shared" si="0"/>
        <v xml:space="preserve">ESTIPONA, MICHAEL GERARD PEDRO </v>
      </c>
      <c r="F235" s="2" t="s">
        <v>42</v>
      </c>
      <c r="G235" s="78" t="s">
        <v>1125</v>
      </c>
      <c r="H235" s="25" t="s">
        <v>1128</v>
      </c>
      <c r="I235" s="77" t="s">
        <v>3048</v>
      </c>
      <c r="J235" s="77"/>
      <c r="K235" s="77" t="s">
        <v>3046</v>
      </c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</row>
    <row r="236" spans="1:32" ht="15" customHeight="1" x14ac:dyDescent="0.2">
      <c r="A236" s="59" t="s">
        <v>348</v>
      </c>
      <c r="B236" s="59" t="s">
        <v>349</v>
      </c>
      <c r="C236" s="59" t="s">
        <v>350</v>
      </c>
      <c r="D236" s="2"/>
      <c r="E236" s="75" t="str">
        <f t="shared" si="0"/>
        <v xml:space="preserve">ESTRADA, MICAELLA ALLYSSA MONTES </v>
      </c>
      <c r="F236" s="2" t="s">
        <v>127</v>
      </c>
      <c r="G236" s="11" t="s">
        <v>348</v>
      </c>
      <c r="H236" s="25" t="s">
        <v>259</v>
      </c>
      <c r="I236" s="77" t="s">
        <v>3046</v>
      </c>
      <c r="J236" s="77"/>
      <c r="K236" s="77" t="s">
        <v>3046</v>
      </c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</row>
    <row r="237" spans="1:32" ht="15" customHeight="1" x14ac:dyDescent="0.2">
      <c r="A237" s="74" t="s">
        <v>916</v>
      </c>
      <c r="B237" s="74" t="s">
        <v>917</v>
      </c>
      <c r="C237" s="74" t="s">
        <v>918</v>
      </c>
      <c r="D237" s="75"/>
      <c r="E237" s="75" t="str">
        <f t="shared" si="0"/>
        <v xml:space="preserve">EVANGELISTA, RHEA TADURAN </v>
      </c>
      <c r="F237" s="2" t="s">
        <v>127</v>
      </c>
      <c r="G237" s="11" t="s">
        <v>916</v>
      </c>
      <c r="H237" s="25" t="s">
        <v>259</v>
      </c>
      <c r="I237" s="77" t="s">
        <v>3046</v>
      </c>
      <c r="J237" s="77"/>
      <c r="K237" s="77" t="s">
        <v>3048</v>
      </c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</row>
    <row r="238" spans="1:32" ht="15" customHeight="1" x14ac:dyDescent="0.2">
      <c r="A238" s="1" t="s">
        <v>1129</v>
      </c>
      <c r="B238" s="1" t="s">
        <v>1130</v>
      </c>
      <c r="C238" s="1" t="s">
        <v>1131</v>
      </c>
      <c r="D238" s="2"/>
      <c r="E238" s="75" t="str">
        <f t="shared" si="0"/>
        <v xml:space="preserve">FABIAN, KHEN GOBANGCO </v>
      </c>
      <c r="F238" s="2" t="s">
        <v>42</v>
      </c>
      <c r="G238" s="11" t="s">
        <v>1129</v>
      </c>
      <c r="H238" s="25" t="s">
        <v>227</v>
      </c>
      <c r="I238" s="77" t="s">
        <v>3048</v>
      </c>
      <c r="J238" s="77"/>
      <c r="K238" s="77" t="s">
        <v>3046</v>
      </c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</row>
    <row r="239" spans="1:32" ht="15" customHeight="1" x14ac:dyDescent="0.2">
      <c r="A239" s="74" t="s">
        <v>286</v>
      </c>
      <c r="B239" s="74" t="s">
        <v>153</v>
      </c>
      <c r="C239" s="1" t="s">
        <v>154</v>
      </c>
      <c r="D239" s="75"/>
      <c r="E239" s="75" t="str">
        <f t="shared" si="0"/>
        <v xml:space="preserve">FABRO, JHOANNA GRACIA MANLAPAZ </v>
      </c>
      <c r="F239" s="2" t="s">
        <v>62</v>
      </c>
      <c r="G239" s="78" t="s">
        <v>286</v>
      </c>
      <c r="H239" s="25" t="s">
        <v>3129</v>
      </c>
      <c r="I239" s="77" t="s">
        <v>3046</v>
      </c>
      <c r="J239" s="77"/>
      <c r="K239" s="77" t="s">
        <v>3048</v>
      </c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</row>
    <row r="240" spans="1:32" ht="15" customHeight="1" x14ac:dyDescent="0.2">
      <c r="A240" s="1" t="s">
        <v>1673</v>
      </c>
      <c r="B240" s="1" t="s">
        <v>1672</v>
      </c>
      <c r="C240" s="1" t="s">
        <v>449</v>
      </c>
      <c r="D240" s="2"/>
      <c r="E240" s="75" t="str">
        <f t="shared" si="0"/>
        <v xml:space="preserve">FAJARDO, JAMELA CRUZ </v>
      </c>
      <c r="F240" s="2" t="s">
        <v>42</v>
      </c>
      <c r="G240" s="5" t="s">
        <v>1673</v>
      </c>
      <c r="H240" s="25" t="s">
        <v>3130</v>
      </c>
      <c r="I240" s="77" t="s">
        <v>3048</v>
      </c>
      <c r="J240" s="77"/>
      <c r="K240" s="77" t="s">
        <v>3046</v>
      </c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</row>
    <row r="241" spans="1:32" ht="15" customHeight="1" x14ac:dyDescent="0.2">
      <c r="A241" s="1" t="s">
        <v>1673</v>
      </c>
      <c r="B241" s="1" t="s">
        <v>236</v>
      </c>
      <c r="C241" s="1" t="s">
        <v>2098</v>
      </c>
      <c r="D241" s="2"/>
      <c r="E241" s="75" t="str">
        <f t="shared" si="0"/>
        <v xml:space="preserve">FAJARDO, ROY RAMA </v>
      </c>
      <c r="F241" s="2" t="s">
        <v>62</v>
      </c>
      <c r="G241" s="78" t="s">
        <v>1673</v>
      </c>
      <c r="H241" s="25" t="s">
        <v>821</v>
      </c>
      <c r="I241" s="77" t="s">
        <v>3046</v>
      </c>
      <c r="J241" s="77"/>
      <c r="K241" s="77" t="s">
        <v>3046</v>
      </c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</row>
    <row r="242" spans="1:32" ht="15" customHeight="1" x14ac:dyDescent="0.2">
      <c r="A242" s="1" t="s">
        <v>1423</v>
      </c>
      <c r="B242" s="1" t="s">
        <v>1425</v>
      </c>
      <c r="C242" s="1" t="s">
        <v>1427</v>
      </c>
      <c r="D242" s="2"/>
      <c r="E242" s="75" t="str">
        <f t="shared" si="0"/>
        <v xml:space="preserve">FAMINIANO, LAURENCE ANTHONY MARABE </v>
      </c>
      <c r="F242" s="2" t="s">
        <v>318</v>
      </c>
      <c r="G242" s="78" t="s">
        <v>1423</v>
      </c>
      <c r="H242" s="25" t="s">
        <v>2489</v>
      </c>
      <c r="I242" s="77" t="s">
        <v>3046</v>
      </c>
      <c r="J242" s="77"/>
      <c r="K242" s="77" t="s">
        <v>3046</v>
      </c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</row>
    <row r="243" spans="1:32" ht="15" customHeight="1" x14ac:dyDescent="0.2">
      <c r="A243" s="1" t="s">
        <v>632</v>
      </c>
      <c r="B243" s="1" t="s">
        <v>631</v>
      </c>
      <c r="C243" s="1" t="s">
        <v>639</v>
      </c>
      <c r="D243" s="2"/>
      <c r="E243" s="75" t="str">
        <f t="shared" si="0"/>
        <v xml:space="preserve">FERMANTEZ, DINA SUNIEGA </v>
      </c>
      <c r="F243" s="2" t="s">
        <v>127</v>
      </c>
      <c r="G243" s="11" t="s">
        <v>632</v>
      </c>
      <c r="H243" s="25" t="s">
        <v>636</v>
      </c>
      <c r="I243" s="77" t="s">
        <v>3046</v>
      </c>
      <c r="J243" s="77"/>
      <c r="K243" s="77" t="s">
        <v>3047</v>
      </c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</row>
    <row r="244" spans="1:32" ht="15" customHeight="1" x14ac:dyDescent="0.2">
      <c r="A244" s="1" t="s">
        <v>1101</v>
      </c>
      <c r="B244" s="1" t="s">
        <v>838</v>
      </c>
      <c r="C244" s="1" t="s">
        <v>1395</v>
      </c>
      <c r="D244" s="2"/>
      <c r="E244" s="75" t="str">
        <f t="shared" si="0"/>
        <v xml:space="preserve">FERNANDEZ, ERIC MOLINA </v>
      </c>
      <c r="F244" s="2" t="s">
        <v>32</v>
      </c>
      <c r="G244" s="78" t="s">
        <v>1101</v>
      </c>
      <c r="H244" s="25" t="s">
        <v>27</v>
      </c>
      <c r="I244" s="77" t="s">
        <v>3047</v>
      </c>
      <c r="J244" s="77"/>
      <c r="K244" s="77" t="s">
        <v>3048</v>
      </c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</row>
    <row r="245" spans="1:32" ht="15" customHeight="1" x14ac:dyDescent="0.2">
      <c r="A245" s="1" t="s">
        <v>1101</v>
      </c>
      <c r="B245" s="1" t="s">
        <v>1133</v>
      </c>
      <c r="C245" s="1" t="s">
        <v>1134</v>
      </c>
      <c r="D245" s="31"/>
      <c r="E245" s="75" t="str">
        <f t="shared" si="0"/>
        <v xml:space="preserve">FERNANDEZ, ROWEN BON </v>
      </c>
      <c r="F245" s="2" t="s">
        <v>42</v>
      </c>
      <c r="G245" s="5" t="s">
        <v>1101</v>
      </c>
      <c r="H245" s="25" t="s">
        <v>999</v>
      </c>
      <c r="I245" s="77" t="s">
        <v>3048</v>
      </c>
      <c r="J245" s="77"/>
      <c r="K245" s="77" t="s">
        <v>3046</v>
      </c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</row>
    <row r="246" spans="1:32" ht="15" customHeight="1" x14ac:dyDescent="0.2">
      <c r="A246" s="1" t="s">
        <v>640</v>
      </c>
      <c r="B246" s="1" t="s">
        <v>641</v>
      </c>
      <c r="C246" s="1" t="s">
        <v>642</v>
      </c>
      <c r="D246" s="2"/>
      <c r="E246" s="75" t="str">
        <f t="shared" si="0"/>
        <v xml:space="preserve">FERRANCULLO, JOHN PAUL PAZ </v>
      </c>
      <c r="F246" s="2" t="s">
        <v>62</v>
      </c>
      <c r="G246" s="78" t="s">
        <v>640</v>
      </c>
      <c r="H246" s="25" t="s">
        <v>259</v>
      </c>
      <c r="I246" s="77" t="s">
        <v>3046</v>
      </c>
      <c r="J246" s="77"/>
      <c r="K246" s="77" t="s">
        <v>3048</v>
      </c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</row>
    <row r="247" spans="1:32" ht="15" customHeight="1" x14ac:dyDescent="0.2">
      <c r="A247" s="1" t="s">
        <v>1135</v>
      </c>
      <c r="B247" s="1" t="s">
        <v>1136</v>
      </c>
      <c r="C247" s="1" t="s">
        <v>1137</v>
      </c>
      <c r="D247" s="31"/>
      <c r="E247" s="75" t="str">
        <f t="shared" si="0"/>
        <v xml:space="preserve">FERRER, JOSHUA OLGINA </v>
      </c>
      <c r="F247" s="2" t="s">
        <v>42</v>
      </c>
      <c r="G247" s="11" t="s">
        <v>1135</v>
      </c>
      <c r="H247" s="25" t="s">
        <v>1139</v>
      </c>
      <c r="I247" s="77" t="s">
        <v>3048</v>
      </c>
      <c r="J247" s="77"/>
      <c r="K247" s="77" t="s">
        <v>3048</v>
      </c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</row>
    <row r="248" spans="1:32" ht="15" customHeight="1" x14ac:dyDescent="0.2">
      <c r="A248" s="1" t="s">
        <v>1141</v>
      </c>
      <c r="B248" s="1" t="s">
        <v>1142</v>
      </c>
      <c r="C248" s="1" t="s">
        <v>1143</v>
      </c>
      <c r="D248" s="2"/>
      <c r="E248" s="75" t="str">
        <f t="shared" si="0"/>
        <v xml:space="preserve">FLORO, JOVENCIO FARINAS </v>
      </c>
      <c r="F248" s="2" t="s">
        <v>42</v>
      </c>
      <c r="G248" s="78" t="s">
        <v>1141</v>
      </c>
      <c r="H248" s="25" t="s">
        <v>880</v>
      </c>
      <c r="I248" s="77" t="s">
        <v>3048</v>
      </c>
      <c r="J248" s="77"/>
      <c r="K248" s="101" t="s">
        <v>3046</v>
      </c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</row>
    <row r="249" spans="1:32" ht="15" customHeight="1" x14ac:dyDescent="0.2">
      <c r="A249" s="1" t="s">
        <v>1921</v>
      </c>
      <c r="B249" s="1" t="s">
        <v>1922</v>
      </c>
      <c r="C249" s="1" t="s">
        <v>1757</v>
      </c>
      <c r="D249" s="2"/>
      <c r="E249" s="75" t="str">
        <f t="shared" si="0"/>
        <v xml:space="preserve">FONCARDAS, MARK REYES </v>
      </c>
      <c r="F249" s="2" t="s">
        <v>62</v>
      </c>
      <c r="G249" s="5" t="s">
        <v>1921</v>
      </c>
      <c r="H249" s="25" t="s">
        <v>2516</v>
      </c>
      <c r="I249" s="101" t="s">
        <v>3046</v>
      </c>
      <c r="J249" s="101"/>
      <c r="K249" s="77" t="s">
        <v>3047</v>
      </c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</row>
    <row r="250" spans="1:32" ht="15" customHeight="1" x14ac:dyDescent="0.2">
      <c r="A250" s="1" t="s">
        <v>2124</v>
      </c>
      <c r="B250" s="1" t="s">
        <v>2125</v>
      </c>
      <c r="C250" s="1" t="s">
        <v>2126</v>
      </c>
      <c r="D250" s="2"/>
      <c r="E250" s="75" t="str">
        <f t="shared" si="0"/>
        <v xml:space="preserve">FONSICA, VILMER GUILOAN </v>
      </c>
      <c r="F250" s="2" t="s">
        <v>32</v>
      </c>
      <c r="G250" s="5" t="s">
        <v>2124</v>
      </c>
      <c r="H250" s="25" t="s">
        <v>2529</v>
      </c>
      <c r="I250" s="77" t="s">
        <v>3047</v>
      </c>
      <c r="J250" s="77"/>
      <c r="K250" s="77" t="s">
        <v>3047</v>
      </c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</row>
    <row r="251" spans="1:32" ht="15" customHeight="1" x14ac:dyDescent="0.2">
      <c r="A251" s="1" t="s">
        <v>1059</v>
      </c>
      <c r="B251" s="1" t="s">
        <v>1060</v>
      </c>
      <c r="C251" s="1" t="s">
        <v>404</v>
      </c>
      <c r="D251" s="2"/>
      <c r="E251" s="75" t="str">
        <f t="shared" si="0"/>
        <v xml:space="preserve">FONTANILLA, JASON PATRICK DELA CRUZ </v>
      </c>
      <c r="F251" s="2" t="s">
        <v>32</v>
      </c>
      <c r="G251" s="5" t="s">
        <v>1059</v>
      </c>
      <c r="H251" s="25" t="s">
        <v>333</v>
      </c>
      <c r="I251" s="77" t="s">
        <v>3047</v>
      </c>
      <c r="J251" s="77"/>
      <c r="K251" s="77" t="s">
        <v>3048</v>
      </c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</row>
    <row r="252" spans="1:32" ht="15" customHeight="1" x14ac:dyDescent="0.2">
      <c r="A252" s="1" t="s">
        <v>230</v>
      </c>
      <c r="B252" s="1" t="s">
        <v>231</v>
      </c>
      <c r="C252" s="1" t="s">
        <v>232</v>
      </c>
      <c r="D252" s="2"/>
      <c r="E252" s="75" t="str">
        <f t="shared" si="0"/>
        <v xml:space="preserve">FRANDO, DANICA DATO-ON </v>
      </c>
      <c r="F252" s="2" t="s">
        <v>42</v>
      </c>
      <c r="G252" s="78" t="s">
        <v>230</v>
      </c>
      <c r="H252" s="25" t="s">
        <v>980</v>
      </c>
      <c r="I252" s="77" t="s">
        <v>3048</v>
      </c>
      <c r="J252" s="77"/>
      <c r="K252" s="77" t="s">
        <v>3047</v>
      </c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</row>
    <row r="253" spans="1:32" ht="15" customHeight="1" x14ac:dyDescent="0.2">
      <c r="A253" s="1" t="s">
        <v>2215</v>
      </c>
      <c r="B253" s="1" t="s">
        <v>2216</v>
      </c>
      <c r="C253" s="1" t="s">
        <v>1883</v>
      </c>
      <c r="D253" s="2"/>
      <c r="E253" s="75" t="str">
        <f t="shared" si="0"/>
        <v xml:space="preserve">FRANK, JEFF BRIAN RUIZ </v>
      </c>
      <c r="F253" s="2" t="s">
        <v>32</v>
      </c>
      <c r="G253" s="5" t="s">
        <v>2215</v>
      </c>
      <c r="H253" s="25" t="s">
        <v>2217</v>
      </c>
      <c r="I253" s="77" t="s">
        <v>3047</v>
      </c>
      <c r="J253" s="77"/>
      <c r="K253" s="77" t="s">
        <v>3046</v>
      </c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</row>
    <row r="254" spans="1:32" ht="15" customHeight="1" x14ac:dyDescent="0.2">
      <c r="A254" s="74" t="s">
        <v>1493</v>
      </c>
      <c r="B254" s="74" t="s">
        <v>701</v>
      </c>
      <c r="C254" s="74" t="s">
        <v>1495</v>
      </c>
      <c r="D254" s="75"/>
      <c r="E254" s="75" t="str">
        <f t="shared" si="0"/>
        <v xml:space="preserve">FREDELUCES, MARK ANTHONY RECLA </v>
      </c>
      <c r="F254" s="2" t="s">
        <v>127</v>
      </c>
      <c r="G254" s="11" t="s">
        <v>1493</v>
      </c>
      <c r="H254" s="25" t="s">
        <v>259</v>
      </c>
      <c r="I254" s="77" t="s">
        <v>3046</v>
      </c>
      <c r="J254" s="77"/>
      <c r="K254" s="77" t="s">
        <v>3047</v>
      </c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</row>
    <row r="255" spans="1:32" ht="15" customHeight="1" x14ac:dyDescent="0.2">
      <c r="A255" s="1" t="s">
        <v>2564</v>
      </c>
      <c r="B255" s="1" t="s">
        <v>2565</v>
      </c>
      <c r="C255" s="1" t="s">
        <v>461</v>
      </c>
      <c r="D255" s="2"/>
      <c r="E255" s="75" t="str">
        <f t="shared" si="0"/>
        <v xml:space="preserve">FRIAS, KIM ANTHONY NICOLAS </v>
      </c>
      <c r="F255" s="2" t="s">
        <v>528</v>
      </c>
      <c r="G255" s="78" t="s">
        <v>2564</v>
      </c>
      <c r="H255" s="25" t="s">
        <v>333</v>
      </c>
      <c r="I255" s="77" t="s">
        <v>3047</v>
      </c>
      <c r="J255" s="77"/>
      <c r="K255" s="77" t="s">
        <v>3047</v>
      </c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</row>
    <row r="256" spans="1:32" ht="15" customHeight="1" x14ac:dyDescent="0.2">
      <c r="A256" s="1" t="s">
        <v>2323</v>
      </c>
      <c r="B256" s="1" t="s">
        <v>2324</v>
      </c>
      <c r="C256" s="1" t="s">
        <v>2325</v>
      </c>
      <c r="D256" s="2"/>
      <c r="E256" s="75" t="str">
        <f t="shared" si="0"/>
        <v xml:space="preserve">FRONDA, JIMMSON CILOCILO </v>
      </c>
      <c r="F256" s="2" t="s">
        <v>69</v>
      </c>
      <c r="G256" s="78" t="s">
        <v>2323</v>
      </c>
      <c r="H256" s="25" t="s">
        <v>138</v>
      </c>
      <c r="I256" s="77" t="s">
        <v>3047</v>
      </c>
      <c r="J256" s="77"/>
      <c r="K256" s="77" t="s">
        <v>3048</v>
      </c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</row>
    <row r="257" spans="1:32" ht="15" customHeight="1" x14ac:dyDescent="0.2">
      <c r="A257" s="1" t="s">
        <v>1148</v>
      </c>
      <c r="B257" s="1" t="s">
        <v>1150</v>
      </c>
      <c r="C257" s="1" t="s">
        <v>741</v>
      </c>
      <c r="D257" s="2"/>
      <c r="E257" s="75" t="str">
        <f t="shared" si="0"/>
        <v xml:space="preserve">GABRIEL, ROSALYN ALFONSO </v>
      </c>
      <c r="F257" s="2" t="s">
        <v>42</v>
      </c>
      <c r="G257" s="78" t="s">
        <v>1148</v>
      </c>
      <c r="H257" s="25" t="s">
        <v>736</v>
      </c>
      <c r="I257" s="77" t="s">
        <v>3048</v>
      </c>
      <c r="J257" s="77"/>
      <c r="K257" s="77" t="s">
        <v>3046</v>
      </c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</row>
    <row r="258" spans="1:32" ht="15" customHeight="1" x14ac:dyDescent="0.2">
      <c r="A258" s="9" t="s">
        <v>1863</v>
      </c>
      <c r="B258" s="9" t="s">
        <v>1864</v>
      </c>
      <c r="C258" s="9" t="s">
        <v>1865</v>
      </c>
      <c r="D258" s="2" t="s">
        <v>181</v>
      </c>
      <c r="E258" s="75" t="str">
        <f t="shared" si="0"/>
        <v>GACES, JUANITO BALLUG JR</v>
      </c>
      <c r="F258" s="2" t="s">
        <v>57</v>
      </c>
      <c r="G258" s="78" t="s">
        <v>1863</v>
      </c>
      <c r="H258" s="25" t="s">
        <v>3136</v>
      </c>
      <c r="I258" s="77" t="s">
        <v>3046</v>
      </c>
      <c r="J258" s="77"/>
      <c r="K258" s="77" t="s">
        <v>3048</v>
      </c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</row>
    <row r="259" spans="1:32" ht="15" customHeight="1" x14ac:dyDescent="0.2">
      <c r="A259" s="1" t="s">
        <v>1157</v>
      </c>
      <c r="B259" s="1" t="s">
        <v>1158</v>
      </c>
      <c r="C259" s="1" t="s">
        <v>1159</v>
      </c>
      <c r="D259" s="2"/>
      <c r="E259" s="75" t="str">
        <f t="shared" si="0"/>
        <v xml:space="preserve">GAJO, ELMAN ABAJA </v>
      </c>
      <c r="F259" s="2" t="s">
        <v>42</v>
      </c>
      <c r="G259" s="78" t="s">
        <v>1157</v>
      </c>
      <c r="H259" s="25" t="s">
        <v>1160</v>
      </c>
      <c r="I259" s="77" t="s">
        <v>3048</v>
      </c>
      <c r="J259" s="77"/>
      <c r="K259" s="77" t="s">
        <v>3046</v>
      </c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</row>
    <row r="260" spans="1:32" ht="15" customHeight="1" x14ac:dyDescent="0.2">
      <c r="A260" s="9" t="s">
        <v>2577</v>
      </c>
      <c r="B260" s="9" t="s">
        <v>437</v>
      </c>
      <c r="C260" s="9" t="s">
        <v>438</v>
      </c>
      <c r="D260" s="2"/>
      <c r="E260" s="75" t="str">
        <f t="shared" si="0"/>
        <v xml:space="preserve">GALAMGAM                                                                                                                                                                               , RAMON DIAZ </v>
      </c>
      <c r="F260" s="2" t="s">
        <v>323</v>
      </c>
      <c r="G260" s="11" t="s">
        <v>436</v>
      </c>
      <c r="H260" s="25" t="s">
        <v>259</v>
      </c>
      <c r="I260" s="77" t="s">
        <v>3046</v>
      </c>
      <c r="J260" s="77"/>
      <c r="K260" s="77" t="s">
        <v>3048</v>
      </c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</row>
    <row r="261" spans="1:32" ht="15" customHeight="1" x14ac:dyDescent="0.2">
      <c r="A261" s="1" t="s">
        <v>1164</v>
      </c>
      <c r="B261" s="1" t="s">
        <v>86</v>
      </c>
      <c r="C261" s="1" t="s">
        <v>87</v>
      </c>
      <c r="D261" s="2"/>
      <c r="E261" s="75" t="str">
        <f t="shared" si="0"/>
        <v xml:space="preserve">GALBAN, JANE SALAS </v>
      </c>
      <c r="F261" s="2" t="s">
        <v>42</v>
      </c>
      <c r="G261" s="78" t="s">
        <v>3137</v>
      </c>
      <c r="H261" s="25" t="s">
        <v>1102</v>
      </c>
      <c r="I261" s="77" t="s">
        <v>3048</v>
      </c>
      <c r="J261" s="77"/>
      <c r="K261" s="77" t="s">
        <v>3047</v>
      </c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</row>
    <row r="262" spans="1:32" ht="15" customHeight="1" x14ac:dyDescent="0.2">
      <c r="A262" s="1" t="s">
        <v>1184</v>
      </c>
      <c r="B262" s="1" t="s">
        <v>1185</v>
      </c>
      <c r="C262" s="1" t="s">
        <v>1187</v>
      </c>
      <c r="D262" s="2"/>
      <c r="E262" s="75" t="str">
        <f t="shared" si="0"/>
        <v xml:space="preserve">GALLARDE, SUNNY BOY GALUYO </v>
      </c>
      <c r="F262" s="2" t="s">
        <v>32</v>
      </c>
      <c r="G262" s="5" t="s">
        <v>1184</v>
      </c>
      <c r="H262" s="25" t="s">
        <v>333</v>
      </c>
      <c r="I262" s="77" t="s">
        <v>3047</v>
      </c>
      <c r="J262" s="77"/>
      <c r="K262" s="77" t="s">
        <v>3046</v>
      </c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</row>
    <row r="263" spans="1:32" ht="15" customHeight="1" x14ac:dyDescent="0.2">
      <c r="A263" s="1" t="s">
        <v>1175</v>
      </c>
      <c r="B263" s="1" t="s">
        <v>461</v>
      </c>
      <c r="C263" s="1" t="s">
        <v>1176</v>
      </c>
      <c r="D263" s="1"/>
      <c r="E263" s="75" t="str">
        <f t="shared" si="0"/>
        <v xml:space="preserve">GALPO, NICOLAS BERMUDO </v>
      </c>
      <c r="F263" s="2" t="s">
        <v>127</v>
      </c>
      <c r="G263" s="78" t="s">
        <v>1175</v>
      </c>
      <c r="H263" s="25" t="s">
        <v>259</v>
      </c>
      <c r="I263" s="77" t="s">
        <v>3046</v>
      </c>
      <c r="J263" s="77"/>
      <c r="K263" s="77" t="s">
        <v>3047</v>
      </c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</row>
    <row r="264" spans="1:32" ht="15" customHeight="1" x14ac:dyDescent="0.2">
      <c r="A264" s="1" t="s">
        <v>514</v>
      </c>
      <c r="B264" s="1" t="s">
        <v>2606</v>
      </c>
      <c r="C264" s="1" t="s">
        <v>2478</v>
      </c>
      <c r="D264" s="2"/>
      <c r="E264" s="75" t="str">
        <f t="shared" si="0"/>
        <v xml:space="preserve">GALVEZ, MARK ROMMEL MADRIAGA </v>
      </c>
      <c r="F264" s="2" t="s">
        <v>32</v>
      </c>
      <c r="G264" s="11" t="s">
        <v>514</v>
      </c>
      <c r="H264" s="25" t="s">
        <v>1787</v>
      </c>
      <c r="I264" s="77" t="s">
        <v>3047</v>
      </c>
      <c r="J264" s="77"/>
      <c r="K264" s="77" t="s">
        <v>3047</v>
      </c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</row>
    <row r="265" spans="1:32" ht="15" customHeight="1" x14ac:dyDescent="0.2">
      <c r="A265" s="1" t="s">
        <v>306</v>
      </c>
      <c r="B265" s="1" t="s">
        <v>307</v>
      </c>
      <c r="C265" s="1" t="s">
        <v>308</v>
      </c>
      <c r="D265" s="2"/>
      <c r="E265" s="75" t="str">
        <f t="shared" si="0"/>
        <v xml:space="preserve">GASCON, MARIA LUZ BUMAGAT </v>
      </c>
      <c r="F265" s="2" t="s">
        <v>305</v>
      </c>
      <c r="G265" s="78" t="s">
        <v>306</v>
      </c>
      <c r="H265" s="25" t="s">
        <v>263</v>
      </c>
      <c r="I265" s="77" t="s">
        <v>3047</v>
      </c>
      <c r="J265" s="77"/>
      <c r="K265" s="77" t="s">
        <v>3047</v>
      </c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</row>
    <row r="266" spans="1:32" ht="15" customHeight="1" x14ac:dyDescent="0.2">
      <c r="A266" s="1" t="s">
        <v>1011</v>
      </c>
      <c r="B266" s="1" t="s">
        <v>1012</v>
      </c>
      <c r="C266" s="1" t="s">
        <v>1013</v>
      </c>
      <c r="D266" s="2" t="s">
        <v>181</v>
      </c>
      <c r="E266" s="75" t="str">
        <f t="shared" si="0"/>
        <v>GILL, AJIT MENOR JR</v>
      </c>
      <c r="F266" s="2" t="s">
        <v>32</v>
      </c>
      <c r="G266" s="11" t="s">
        <v>1011</v>
      </c>
      <c r="H266" s="25" t="s">
        <v>333</v>
      </c>
      <c r="I266" s="77" t="s">
        <v>3047</v>
      </c>
      <c r="J266" s="77"/>
      <c r="K266" s="77" t="s">
        <v>3048</v>
      </c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</row>
    <row r="267" spans="1:32" ht="15" customHeight="1" x14ac:dyDescent="0.2">
      <c r="A267" s="1" t="s">
        <v>1169</v>
      </c>
      <c r="B267" s="1" t="s">
        <v>1170</v>
      </c>
      <c r="C267" s="1" t="s">
        <v>1171</v>
      </c>
      <c r="D267" s="2"/>
      <c r="E267" s="75" t="str">
        <f t="shared" si="0"/>
        <v xml:space="preserve">GO , ROSWELL MACALOM </v>
      </c>
      <c r="F267" s="2" t="s">
        <v>42</v>
      </c>
      <c r="G267" s="78" t="s">
        <v>2775</v>
      </c>
      <c r="H267" s="25" t="s">
        <v>980</v>
      </c>
      <c r="I267" s="77" t="s">
        <v>3048</v>
      </c>
      <c r="J267" s="77"/>
      <c r="K267" s="77" t="s">
        <v>3047</v>
      </c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</row>
    <row r="268" spans="1:32" ht="15" customHeight="1" x14ac:dyDescent="0.2">
      <c r="A268" s="1" t="s">
        <v>2385</v>
      </c>
      <c r="B268" s="1" t="s">
        <v>2386</v>
      </c>
      <c r="C268" s="1" t="s">
        <v>2387</v>
      </c>
      <c r="D268" s="2"/>
      <c r="E268" s="75" t="str">
        <f t="shared" si="0"/>
        <v xml:space="preserve">GOMEZ, RICH MICHAEL LIBU </v>
      </c>
      <c r="F268" s="2" t="s">
        <v>134</v>
      </c>
      <c r="G268" s="78" t="s">
        <v>2385</v>
      </c>
      <c r="H268" s="25" t="s">
        <v>785</v>
      </c>
      <c r="I268" s="77" t="s">
        <v>3047</v>
      </c>
      <c r="J268" s="77"/>
      <c r="K268" s="77" t="s">
        <v>3048</v>
      </c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</row>
    <row r="269" spans="1:32" ht="15" customHeight="1" x14ac:dyDescent="0.2">
      <c r="A269" s="1" t="s">
        <v>1172</v>
      </c>
      <c r="B269" s="1" t="s">
        <v>281</v>
      </c>
      <c r="C269" s="1" t="s">
        <v>282</v>
      </c>
      <c r="D269" s="2"/>
      <c r="E269" s="75" t="str">
        <f t="shared" si="0"/>
        <v xml:space="preserve">GONZALES, NECILDA JAVINIAR </v>
      </c>
      <c r="F269" s="2" t="s">
        <v>42</v>
      </c>
      <c r="G269" s="78" t="s">
        <v>1172</v>
      </c>
      <c r="H269" s="25" t="s">
        <v>939</v>
      </c>
      <c r="I269" s="77" t="s">
        <v>3048</v>
      </c>
      <c r="J269" s="77"/>
      <c r="K269" s="77" t="s">
        <v>3047</v>
      </c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</row>
    <row r="270" spans="1:32" ht="15" customHeight="1" x14ac:dyDescent="0.2">
      <c r="A270" s="1" t="s">
        <v>2559</v>
      </c>
      <c r="B270" s="1" t="s">
        <v>781</v>
      </c>
      <c r="C270" s="1" t="s">
        <v>2560</v>
      </c>
      <c r="D270" s="2"/>
      <c r="E270" s="75" t="str">
        <f t="shared" si="0"/>
        <v xml:space="preserve">GOYENA, MARLON ARGENIO </v>
      </c>
      <c r="F270" s="2" t="s">
        <v>528</v>
      </c>
      <c r="G270" s="78" t="s">
        <v>2559</v>
      </c>
      <c r="H270" s="25" t="s">
        <v>3065</v>
      </c>
      <c r="I270" s="77" t="s">
        <v>3047</v>
      </c>
      <c r="J270" s="77"/>
      <c r="K270" s="77" t="s">
        <v>3046</v>
      </c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</row>
    <row r="271" spans="1:32" ht="15" customHeight="1" x14ac:dyDescent="0.2">
      <c r="A271" s="59" t="s">
        <v>595</v>
      </c>
      <c r="B271" s="59" t="s">
        <v>596</v>
      </c>
      <c r="C271" s="59" t="s">
        <v>597</v>
      </c>
      <c r="D271" s="2"/>
      <c r="E271" s="75" t="str">
        <f t="shared" si="0"/>
        <v xml:space="preserve">GOZE, JONATHAN SISON </v>
      </c>
      <c r="F271" s="2" t="s">
        <v>127</v>
      </c>
      <c r="G271" s="11" t="s">
        <v>595</v>
      </c>
      <c r="H271" s="25" t="s">
        <v>259</v>
      </c>
      <c r="I271" s="77" t="s">
        <v>3046</v>
      </c>
      <c r="J271" s="77"/>
      <c r="K271" s="77" t="s">
        <v>3047</v>
      </c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</row>
    <row r="272" spans="1:32" ht="15" customHeight="1" x14ac:dyDescent="0.2">
      <c r="A272" s="1" t="s">
        <v>1799</v>
      </c>
      <c r="B272" s="1" t="s">
        <v>1800</v>
      </c>
      <c r="C272" s="1" t="s">
        <v>1801</v>
      </c>
      <c r="D272" s="2"/>
      <c r="E272" s="75" t="str">
        <f t="shared" si="0"/>
        <v xml:space="preserve">GRAGASIN, JOEVEN TABAGO </v>
      </c>
      <c r="F272" s="2" t="s">
        <v>134</v>
      </c>
      <c r="G272" s="78" t="s">
        <v>1799</v>
      </c>
      <c r="H272" s="25" t="s">
        <v>333</v>
      </c>
      <c r="I272" s="77" t="s">
        <v>3047</v>
      </c>
      <c r="J272" s="77"/>
      <c r="K272" s="77" t="s">
        <v>3048</v>
      </c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</row>
    <row r="273" spans="1:32" ht="15" customHeight="1" x14ac:dyDescent="0.2">
      <c r="A273" s="1" t="s">
        <v>1177</v>
      </c>
      <c r="B273" s="1" t="s">
        <v>1178</v>
      </c>
      <c r="C273" s="1" t="s">
        <v>1179</v>
      </c>
      <c r="D273" s="2"/>
      <c r="E273" s="75" t="str">
        <f t="shared" si="0"/>
        <v xml:space="preserve">GUALVEZ, ANABELLE BAYONA </v>
      </c>
      <c r="F273" s="2" t="s">
        <v>42</v>
      </c>
      <c r="G273" s="78" t="s">
        <v>1177</v>
      </c>
      <c r="H273" s="25" t="s">
        <v>1180</v>
      </c>
      <c r="I273" s="77" t="s">
        <v>3048</v>
      </c>
      <c r="J273" s="77"/>
      <c r="K273" s="77" t="s">
        <v>3047</v>
      </c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</row>
    <row r="274" spans="1:32" ht="15" customHeight="1" x14ac:dyDescent="0.2">
      <c r="A274" s="59" t="s">
        <v>2653</v>
      </c>
      <c r="B274" s="59" t="s">
        <v>649</v>
      </c>
      <c r="C274" s="59" t="s">
        <v>650</v>
      </c>
      <c r="D274" s="75"/>
      <c r="E274" s="75" t="str">
        <f t="shared" si="0"/>
        <v xml:space="preserve">GUAVINO, CHE-YENNE LAZARITO </v>
      </c>
      <c r="F274" s="2" t="s">
        <v>32</v>
      </c>
      <c r="G274" s="11" t="s">
        <v>2653</v>
      </c>
      <c r="H274" s="25" t="s">
        <v>333</v>
      </c>
      <c r="I274" s="77" t="s">
        <v>3047</v>
      </c>
      <c r="J274" s="77"/>
      <c r="K274" s="77" t="s">
        <v>3046</v>
      </c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</row>
    <row r="275" spans="1:32" ht="15" customHeight="1" x14ac:dyDescent="0.2">
      <c r="A275" s="74" t="s">
        <v>1034</v>
      </c>
      <c r="B275" s="74" t="s">
        <v>158</v>
      </c>
      <c r="C275" s="74" t="s">
        <v>627</v>
      </c>
      <c r="D275" s="75"/>
      <c r="E275" s="75" t="str">
        <f t="shared" si="0"/>
        <v xml:space="preserve">GUEVARRA, JAYSON GALANG </v>
      </c>
      <c r="F275" s="2" t="s">
        <v>127</v>
      </c>
      <c r="G275" s="11" t="s">
        <v>1034</v>
      </c>
      <c r="H275" s="25" t="s">
        <v>259</v>
      </c>
      <c r="I275" s="77" t="s">
        <v>3046</v>
      </c>
      <c r="J275" s="77"/>
      <c r="K275" s="77" t="s">
        <v>3046</v>
      </c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</row>
    <row r="276" spans="1:32" ht="15" customHeight="1" x14ac:dyDescent="0.2">
      <c r="A276" s="9" t="s">
        <v>2153</v>
      </c>
      <c r="B276" s="9" t="s">
        <v>599</v>
      </c>
      <c r="C276" s="9" t="s">
        <v>600</v>
      </c>
      <c r="D276" s="9" t="s">
        <v>181</v>
      </c>
      <c r="E276" s="75" t="str">
        <f t="shared" si="0"/>
        <v>GUIFAYA, GILBERT ULIDAN JR</v>
      </c>
      <c r="F276" s="2" t="s">
        <v>323</v>
      </c>
      <c r="G276" s="78" t="s">
        <v>2153</v>
      </c>
      <c r="H276" s="25" t="s">
        <v>259</v>
      </c>
      <c r="I276" s="77" t="s">
        <v>3046</v>
      </c>
      <c r="J276" s="77"/>
      <c r="K276" s="77" t="s">
        <v>3047</v>
      </c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</row>
    <row r="277" spans="1:32" ht="15" customHeight="1" x14ac:dyDescent="0.2">
      <c r="A277" s="1" t="s">
        <v>2396</v>
      </c>
      <c r="B277" s="1" t="s">
        <v>2397</v>
      </c>
      <c r="C277" s="1" t="s">
        <v>2398</v>
      </c>
      <c r="D277" s="2"/>
      <c r="E277" s="75" t="str">
        <f t="shared" si="0"/>
        <v xml:space="preserve">GUINAOWA, JAYMAR GUDAREN </v>
      </c>
      <c r="F277" s="2" t="s">
        <v>32</v>
      </c>
      <c r="G277" s="9" t="s">
        <v>2396</v>
      </c>
      <c r="H277" s="25" t="s">
        <v>785</v>
      </c>
      <c r="I277" s="77" t="s">
        <v>3047</v>
      </c>
      <c r="J277" s="77"/>
      <c r="K277" s="77" t="s">
        <v>3047</v>
      </c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</row>
    <row r="278" spans="1:32" ht="15" customHeight="1" x14ac:dyDescent="0.2">
      <c r="A278" s="1" t="s">
        <v>1792</v>
      </c>
      <c r="B278" s="1" t="s">
        <v>1793</v>
      </c>
      <c r="C278" s="1" t="s">
        <v>1794</v>
      </c>
      <c r="D278" s="2"/>
      <c r="E278" s="75" t="str">
        <f t="shared" si="0"/>
        <v xml:space="preserve">GUINTO, EDITHA ANICIETE </v>
      </c>
      <c r="F278" s="2" t="s">
        <v>397</v>
      </c>
      <c r="G278" s="78" t="s">
        <v>1792</v>
      </c>
      <c r="H278" s="25" t="s">
        <v>333</v>
      </c>
      <c r="I278" s="77" t="s">
        <v>3047</v>
      </c>
      <c r="J278" s="77"/>
      <c r="K278" s="77" t="s">
        <v>3047</v>
      </c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</row>
    <row r="279" spans="1:32" ht="15" customHeight="1" x14ac:dyDescent="0.2">
      <c r="A279" s="1" t="s">
        <v>2675</v>
      </c>
      <c r="B279" s="1" t="s">
        <v>2676</v>
      </c>
      <c r="C279" s="1" t="s">
        <v>2677</v>
      </c>
      <c r="D279" s="2"/>
      <c r="E279" s="75" t="str">
        <f t="shared" si="0"/>
        <v xml:space="preserve">GUNNACAO, LOVELYN KATE LEGMAN </v>
      </c>
      <c r="F279" s="2" t="s">
        <v>32</v>
      </c>
      <c r="G279" s="78" t="s">
        <v>2675</v>
      </c>
      <c r="H279" s="25" t="s">
        <v>2680</v>
      </c>
      <c r="I279" s="77" t="s">
        <v>3047</v>
      </c>
      <c r="J279" s="77"/>
      <c r="K279" s="77" t="s">
        <v>3046</v>
      </c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</row>
    <row r="280" spans="1:32" ht="15" customHeight="1" x14ac:dyDescent="0.2">
      <c r="A280" s="1" t="s">
        <v>717</v>
      </c>
      <c r="B280" s="1" t="s">
        <v>718</v>
      </c>
      <c r="C280" s="1" t="s">
        <v>707</v>
      </c>
      <c r="D280" s="2"/>
      <c r="E280" s="75" t="str">
        <f t="shared" si="0"/>
        <v xml:space="preserve">GUSTILO, THOBORNE THER SANTOS </v>
      </c>
      <c r="F280" s="2" t="s">
        <v>323</v>
      </c>
      <c r="G280" s="78" t="s">
        <v>717</v>
      </c>
      <c r="H280" s="25" t="s">
        <v>259</v>
      </c>
      <c r="I280" s="77" t="s">
        <v>3046</v>
      </c>
      <c r="J280" s="77"/>
      <c r="K280" s="77" t="s">
        <v>3047</v>
      </c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</row>
    <row r="281" spans="1:32" ht="15" customHeight="1" x14ac:dyDescent="0.2">
      <c r="A281" s="1" t="s">
        <v>1765</v>
      </c>
      <c r="B281" s="1" t="s">
        <v>1562</v>
      </c>
      <c r="C281" s="1" t="s">
        <v>1767</v>
      </c>
      <c r="D281" s="2" t="s">
        <v>181</v>
      </c>
      <c r="E281" s="75" t="str">
        <f t="shared" si="0"/>
        <v>GUZMAN, EMILIO TUMOLVA JR</v>
      </c>
      <c r="F281" s="2" t="s">
        <v>32</v>
      </c>
      <c r="G281" s="5" t="s">
        <v>1765</v>
      </c>
      <c r="H281" s="25" t="s">
        <v>333</v>
      </c>
      <c r="I281" s="77" t="s">
        <v>3047</v>
      </c>
      <c r="J281" s="77"/>
      <c r="K281" s="77" t="s">
        <v>3046</v>
      </c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</row>
    <row r="282" spans="1:32" ht="15" customHeight="1" x14ac:dyDescent="0.2">
      <c r="A282" s="74" t="s">
        <v>784</v>
      </c>
      <c r="B282" s="74" t="s">
        <v>786</v>
      </c>
      <c r="C282" s="74" t="s">
        <v>787</v>
      </c>
      <c r="D282" s="75"/>
      <c r="E282" s="75" t="str">
        <f t="shared" si="0"/>
        <v xml:space="preserve">HADJI OSOPH, SOLAIMAN MONESIT </v>
      </c>
      <c r="F282" s="2" t="s">
        <v>127</v>
      </c>
      <c r="G282" s="11" t="s">
        <v>784</v>
      </c>
      <c r="H282" s="25" t="s">
        <v>259</v>
      </c>
      <c r="I282" s="77" t="s">
        <v>3046</v>
      </c>
      <c r="J282" s="77"/>
      <c r="K282" s="77" t="s">
        <v>3047</v>
      </c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</row>
    <row r="283" spans="1:32" ht="15" customHeight="1" x14ac:dyDescent="0.2">
      <c r="A283" s="9" t="s">
        <v>1995</v>
      </c>
      <c r="B283" s="9" t="s">
        <v>1996</v>
      </c>
      <c r="C283" s="9" t="s">
        <v>1997</v>
      </c>
      <c r="D283" s="2"/>
      <c r="E283" s="75" t="str">
        <f t="shared" si="0"/>
        <v xml:space="preserve">HADJIMUDDIN, JULMONER PASLANGAN </v>
      </c>
      <c r="F283" s="2" t="s">
        <v>528</v>
      </c>
      <c r="G283" s="78" t="s">
        <v>1995</v>
      </c>
      <c r="H283" s="25" t="s">
        <v>333</v>
      </c>
      <c r="I283" s="77" t="s">
        <v>3047</v>
      </c>
      <c r="J283" s="77"/>
      <c r="K283" s="77" t="s">
        <v>3048</v>
      </c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</row>
    <row r="284" spans="1:32" ht="15" customHeight="1" x14ac:dyDescent="0.2">
      <c r="A284" s="1" t="s">
        <v>1181</v>
      </c>
      <c r="B284" s="1" t="s">
        <v>1182</v>
      </c>
      <c r="C284" s="1" t="s">
        <v>1183</v>
      </c>
      <c r="D284" s="2"/>
      <c r="E284" s="75" t="str">
        <f t="shared" si="0"/>
        <v xml:space="preserve">HAPAN, IAN CARLO VILLANUEVA </v>
      </c>
      <c r="F284" s="2" t="s">
        <v>42</v>
      </c>
      <c r="G284" s="78" t="s">
        <v>1181</v>
      </c>
      <c r="H284" s="25" t="s">
        <v>1186</v>
      </c>
      <c r="I284" s="77" t="s">
        <v>3048</v>
      </c>
      <c r="J284" s="77"/>
      <c r="K284" s="77" t="s">
        <v>3047</v>
      </c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</row>
    <row r="285" spans="1:32" ht="15" customHeight="1" x14ac:dyDescent="0.2">
      <c r="A285" s="9" t="s">
        <v>2166</v>
      </c>
      <c r="B285" s="9" t="s">
        <v>2167</v>
      </c>
      <c r="C285" s="9" t="s">
        <v>2168</v>
      </c>
      <c r="D285" s="82"/>
      <c r="E285" s="75" t="str">
        <f t="shared" si="0"/>
        <v xml:space="preserve">HASANBASA, NURMIHAR SABDANI </v>
      </c>
      <c r="F285" s="2" t="s">
        <v>32</v>
      </c>
      <c r="G285" s="78" t="s">
        <v>2166</v>
      </c>
      <c r="H285" s="25" t="s">
        <v>333</v>
      </c>
      <c r="I285" s="77" t="s">
        <v>3047</v>
      </c>
      <c r="J285" s="77"/>
      <c r="K285" s="77" t="s">
        <v>3048</v>
      </c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</row>
    <row r="286" spans="1:32" ht="15" customHeight="1" x14ac:dyDescent="0.2">
      <c r="A286" s="1" t="s">
        <v>1189</v>
      </c>
      <c r="B286" s="1" t="s">
        <v>1190</v>
      </c>
      <c r="C286" s="1" t="s">
        <v>123</v>
      </c>
      <c r="D286" s="2"/>
      <c r="E286" s="75" t="str">
        <f t="shared" si="0"/>
        <v xml:space="preserve">HERNANDEZ, CYRUS MANZANO </v>
      </c>
      <c r="F286" s="2" t="s">
        <v>42</v>
      </c>
      <c r="G286" s="78" t="s">
        <v>1189</v>
      </c>
      <c r="H286" s="25" t="s">
        <v>1194</v>
      </c>
      <c r="I286" s="77" t="s">
        <v>3048</v>
      </c>
      <c r="J286" s="77"/>
      <c r="K286" s="77" t="s">
        <v>3047</v>
      </c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</row>
    <row r="287" spans="1:32" ht="15" customHeight="1" x14ac:dyDescent="0.2">
      <c r="A287" s="9" t="s">
        <v>1198</v>
      </c>
      <c r="B287" s="9" t="s">
        <v>2428</v>
      </c>
      <c r="C287" s="9" t="s">
        <v>472</v>
      </c>
      <c r="D287" s="2" t="s">
        <v>181</v>
      </c>
      <c r="E287" s="75" t="str">
        <f t="shared" si="0"/>
        <v>HERRERA, EDGARDO CASTRO JR</v>
      </c>
      <c r="F287" s="2" t="s">
        <v>32</v>
      </c>
      <c r="G287" s="78" t="s">
        <v>1198</v>
      </c>
      <c r="H287" s="25" t="s">
        <v>785</v>
      </c>
      <c r="I287" s="77" t="s">
        <v>3047</v>
      </c>
      <c r="J287" s="77"/>
      <c r="K287" s="77" t="s">
        <v>3048</v>
      </c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</row>
    <row r="288" spans="1:32" ht="15" customHeight="1" x14ac:dyDescent="0.2">
      <c r="A288" s="1" t="s">
        <v>1198</v>
      </c>
      <c r="B288" s="1" t="s">
        <v>1199</v>
      </c>
      <c r="C288" s="1" t="s">
        <v>1200</v>
      </c>
      <c r="D288" s="2"/>
      <c r="E288" s="75" t="str">
        <f t="shared" si="0"/>
        <v xml:space="preserve">HERRERA, PACIVICA BAYHON </v>
      </c>
      <c r="F288" s="2" t="s">
        <v>42</v>
      </c>
      <c r="G288" s="5" t="s">
        <v>2726</v>
      </c>
      <c r="H288" s="25" t="s">
        <v>1201</v>
      </c>
      <c r="I288" s="77" t="s">
        <v>3048</v>
      </c>
      <c r="J288" s="77"/>
      <c r="K288" s="77" t="s">
        <v>3046</v>
      </c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</row>
    <row r="289" spans="1:32" ht="15" customHeight="1" x14ac:dyDescent="0.2">
      <c r="A289" s="9" t="s">
        <v>1657</v>
      </c>
      <c r="B289" s="9" t="s">
        <v>1659</v>
      </c>
      <c r="C289" s="9" t="s">
        <v>707</v>
      </c>
      <c r="D289" s="2" t="s">
        <v>1385</v>
      </c>
      <c r="E289" s="75" t="str">
        <f t="shared" si="0"/>
        <v>HICBAN, DIONISIO SANTOS III</v>
      </c>
      <c r="F289" s="2" t="s">
        <v>127</v>
      </c>
      <c r="G289" s="78" t="s">
        <v>1657</v>
      </c>
      <c r="H289" s="25" t="s">
        <v>259</v>
      </c>
      <c r="I289" s="77" t="s">
        <v>3046</v>
      </c>
      <c r="J289" s="77"/>
      <c r="K289" s="77" t="s">
        <v>3048</v>
      </c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</row>
    <row r="290" spans="1:32" ht="15" customHeight="1" x14ac:dyDescent="0.2">
      <c r="A290" s="1" t="s">
        <v>1207</v>
      </c>
      <c r="B290" s="1" t="s">
        <v>1208</v>
      </c>
      <c r="C290" s="1" t="s">
        <v>1209</v>
      </c>
      <c r="D290" s="2"/>
      <c r="E290" s="75" t="str">
        <f t="shared" si="0"/>
        <v xml:space="preserve">HUERNO, CLARISS ANN VALLESFINO </v>
      </c>
      <c r="F290" s="2" t="s">
        <v>42</v>
      </c>
      <c r="G290" s="78" t="s">
        <v>1207</v>
      </c>
      <c r="H290" s="25" t="s">
        <v>1210</v>
      </c>
      <c r="I290" s="77" t="s">
        <v>3048</v>
      </c>
      <c r="J290" s="77"/>
      <c r="K290" s="77" t="s">
        <v>3048</v>
      </c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</row>
    <row r="291" spans="1:32" ht="15" customHeight="1" x14ac:dyDescent="0.2">
      <c r="A291" s="1" t="s">
        <v>1207</v>
      </c>
      <c r="B291" s="1" t="s">
        <v>1218</v>
      </c>
      <c r="C291" s="1" t="s">
        <v>1219</v>
      </c>
      <c r="D291" s="2"/>
      <c r="E291" s="75" t="str">
        <f t="shared" si="0"/>
        <v xml:space="preserve">HUERNO, JOHN ELMAR ALLAS </v>
      </c>
      <c r="F291" s="2" t="s">
        <v>42</v>
      </c>
      <c r="G291" s="78" t="s">
        <v>1207</v>
      </c>
      <c r="H291" s="25" t="s">
        <v>1220</v>
      </c>
      <c r="I291" s="77" t="s">
        <v>3048</v>
      </c>
      <c r="J291" s="77"/>
      <c r="K291" s="77" t="s">
        <v>3047</v>
      </c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</row>
    <row r="292" spans="1:32" ht="15" customHeight="1" x14ac:dyDescent="0.2">
      <c r="A292" s="1" t="s">
        <v>755</v>
      </c>
      <c r="B292" s="1" t="s">
        <v>2001</v>
      </c>
      <c r="C292" s="1" t="s">
        <v>2003</v>
      </c>
      <c r="D292" s="2"/>
      <c r="E292" s="75" t="str">
        <f t="shared" si="0"/>
        <v xml:space="preserve">HUSSEIN, IQBAR IMLANI </v>
      </c>
      <c r="F292" s="2" t="s">
        <v>528</v>
      </c>
      <c r="G292" s="78" t="s">
        <v>755</v>
      </c>
      <c r="H292" s="25" t="s">
        <v>333</v>
      </c>
      <c r="I292" s="77" t="s">
        <v>3047</v>
      </c>
      <c r="J292" s="77"/>
      <c r="K292" s="77" t="s">
        <v>3046</v>
      </c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</row>
    <row r="293" spans="1:32" ht="15" customHeight="1" x14ac:dyDescent="0.2">
      <c r="A293" s="1" t="s">
        <v>587</v>
      </c>
      <c r="B293" s="1" t="s">
        <v>588</v>
      </c>
      <c r="C293" s="1" t="s">
        <v>589</v>
      </c>
      <c r="D293" s="2"/>
      <c r="E293" s="75" t="str">
        <f t="shared" si="0"/>
        <v xml:space="preserve">IGNACIO, MICHAEL TINTE </v>
      </c>
      <c r="F293" s="2" t="s">
        <v>62</v>
      </c>
      <c r="G293" s="78" t="s">
        <v>587</v>
      </c>
      <c r="H293" s="25" t="s">
        <v>259</v>
      </c>
      <c r="I293" s="77" t="s">
        <v>3046</v>
      </c>
      <c r="J293" s="77"/>
      <c r="K293" s="77" t="s">
        <v>3046</v>
      </c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</row>
    <row r="294" spans="1:32" ht="15" customHeight="1" x14ac:dyDescent="0.2">
      <c r="A294" s="1" t="s">
        <v>394</v>
      </c>
      <c r="B294" s="1" t="s">
        <v>395</v>
      </c>
      <c r="C294" s="1" t="s">
        <v>396</v>
      </c>
      <c r="D294" s="2"/>
      <c r="E294" s="75" t="str">
        <f t="shared" si="0"/>
        <v xml:space="preserve">ILACAD, DIONELL TUGADE </v>
      </c>
      <c r="F294" s="2" t="s">
        <v>323</v>
      </c>
      <c r="G294" s="78" t="s">
        <v>394</v>
      </c>
      <c r="H294" s="25" t="s">
        <v>259</v>
      </c>
      <c r="I294" s="77" t="s">
        <v>3046</v>
      </c>
      <c r="J294" s="77"/>
      <c r="K294" s="77" t="s">
        <v>3048</v>
      </c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</row>
    <row r="295" spans="1:32" ht="15" customHeight="1" x14ac:dyDescent="0.2">
      <c r="A295" s="1" t="s">
        <v>1224</v>
      </c>
      <c r="B295" s="1" t="s">
        <v>1225</v>
      </c>
      <c r="C295" s="1" t="s">
        <v>1226</v>
      </c>
      <c r="D295" s="2"/>
      <c r="E295" s="75" t="str">
        <f t="shared" si="0"/>
        <v xml:space="preserve">ILDEFONSO, JANN ARLY AROCENA </v>
      </c>
      <c r="F295" s="2" t="s">
        <v>42</v>
      </c>
      <c r="G295" s="78" t="s">
        <v>1224</v>
      </c>
      <c r="H295" s="25" t="s">
        <v>980</v>
      </c>
      <c r="I295" s="77" t="s">
        <v>3048</v>
      </c>
      <c r="J295" s="77"/>
      <c r="K295" s="77" t="s">
        <v>3047</v>
      </c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</row>
    <row r="296" spans="1:32" ht="15" customHeight="1" x14ac:dyDescent="0.2">
      <c r="A296" s="59" t="s">
        <v>2753</v>
      </c>
      <c r="B296" s="59" t="s">
        <v>341</v>
      </c>
      <c r="C296" s="59" t="s">
        <v>342</v>
      </c>
      <c r="D296" s="75"/>
      <c r="E296" s="75" t="str">
        <f t="shared" si="0"/>
        <v xml:space="preserve">INALVEZ, NEIL ADRIAN NUCOM </v>
      </c>
      <c r="F296" s="2" t="s">
        <v>32</v>
      </c>
      <c r="G296" s="11" t="s">
        <v>2753</v>
      </c>
      <c r="H296" s="25" t="s">
        <v>333</v>
      </c>
      <c r="I296" s="77" t="s">
        <v>3047</v>
      </c>
      <c r="J296" s="77"/>
      <c r="K296" s="77" t="s">
        <v>3048</v>
      </c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</row>
    <row r="297" spans="1:32" ht="15" customHeight="1" x14ac:dyDescent="0.2">
      <c r="A297" s="1" t="s">
        <v>855</v>
      </c>
      <c r="B297" s="1" t="s">
        <v>1228</v>
      </c>
      <c r="C297" s="1" t="s">
        <v>1229</v>
      </c>
      <c r="D297" s="2"/>
      <c r="E297" s="75" t="str">
        <f t="shared" si="0"/>
        <v xml:space="preserve">INCISO, MAY ANN CABARDO </v>
      </c>
      <c r="F297" s="2" t="s">
        <v>42</v>
      </c>
      <c r="G297" s="78" t="s">
        <v>855</v>
      </c>
      <c r="H297" s="25" t="s">
        <v>3144</v>
      </c>
      <c r="I297" s="77" t="s">
        <v>3048</v>
      </c>
      <c r="J297" s="77"/>
      <c r="K297" s="77" t="s">
        <v>3047</v>
      </c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</row>
    <row r="298" spans="1:32" ht="15" customHeight="1" x14ac:dyDescent="0.2">
      <c r="A298" s="1" t="s">
        <v>824</v>
      </c>
      <c r="B298" s="1" t="s">
        <v>825</v>
      </c>
      <c r="C298" s="1" t="s">
        <v>826</v>
      </c>
      <c r="D298" s="1"/>
      <c r="E298" s="75" t="str">
        <f t="shared" si="0"/>
        <v xml:space="preserve">INFANTE, BEVERLY PASAMBA </v>
      </c>
      <c r="F298" s="2" t="s">
        <v>177</v>
      </c>
      <c r="G298" s="78" t="s">
        <v>824</v>
      </c>
      <c r="H298" s="25" t="s">
        <v>333</v>
      </c>
      <c r="I298" s="77" t="s">
        <v>3047</v>
      </c>
      <c r="J298" s="77"/>
      <c r="K298" s="77" t="s">
        <v>3048</v>
      </c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</row>
    <row r="299" spans="1:32" ht="15" customHeight="1" x14ac:dyDescent="0.2">
      <c r="A299" s="1" t="s">
        <v>824</v>
      </c>
      <c r="B299" s="1" t="s">
        <v>1234</v>
      </c>
      <c r="C299" s="1" t="s">
        <v>1235</v>
      </c>
      <c r="D299" s="2"/>
      <c r="E299" s="75" t="str">
        <f t="shared" si="0"/>
        <v xml:space="preserve">INFANTE, CHLOE ANN REBADAJO </v>
      </c>
      <c r="F299" s="2" t="s">
        <v>42</v>
      </c>
      <c r="G299" s="78" t="s">
        <v>824</v>
      </c>
      <c r="H299" s="25" t="s">
        <v>3147</v>
      </c>
      <c r="I299" s="77" t="s">
        <v>3048</v>
      </c>
      <c r="J299" s="77"/>
      <c r="K299" s="77" t="s">
        <v>3048</v>
      </c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</row>
    <row r="300" spans="1:32" ht="15" customHeight="1" x14ac:dyDescent="0.2">
      <c r="A300" s="1" t="s">
        <v>313</v>
      </c>
      <c r="B300" s="1" t="s">
        <v>314</v>
      </c>
      <c r="C300" s="1" t="s">
        <v>315</v>
      </c>
      <c r="D300" s="2"/>
      <c r="E300" s="75" t="str">
        <f t="shared" si="0"/>
        <v xml:space="preserve">IRASUSTA, JOANA MARIE NATIVIDAD </v>
      </c>
      <c r="F300" s="2" t="s">
        <v>42</v>
      </c>
      <c r="G300" s="78" t="s">
        <v>313</v>
      </c>
      <c r="H300" s="25" t="s">
        <v>3148</v>
      </c>
      <c r="I300" s="77" t="s">
        <v>3048</v>
      </c>
      <c r="J300" s="77"/>
      <c r="K300" s="77" t="s">
        <v>3047</v>
      </c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</row>
    <row r="301" spans="1:32" ht="15" customHeight="1" x14ac:dyDescent="0.2">
      <c r="A301" s="59" t="s">
        <v>1805</v>
      </c>
      <c r="B301" s="59" t="s">
        <v>1806</v>
      </c>
      <c r="C301" s="59" t="s">
        <v>1807</v>
      </c>
      <c r="D301" s="75"/>
      <c r="E301" s="75" t="str">
        <f t="shared" si="0"/>
        <v xml:space="preserve">JARANILLA, MA. ANNIE CAABAS </v>
      </c>
      <c r="F301" s="2" t="s">
        <v>32</v>
      </c>
      <c r="G301" s="11" t="s">
        <v>1805</v>
      </c>
      <c r="H301" s="25" t="s">
        <v>333</v>
      </c>
      <c r="I301" s="77" t="s">
        <v>3047</v>
      </c>
      <c r="J301" s="77"/>
      <c r="K301" s="77" t="s">
        <v>3046</v>
      </c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</row>
    <row r="302" spans="1:32" ht="15" customHeight="1" x14ac:dyDescent="0.2">
      <c r="A302" s="74" t="s">
        <v>673</v>
      </c>
      <c r="B302" s="74" t="s">
        <v>1578</v>
      </c>
      <c r="C302" s="74" t="s">
        <v>1579</v>
      </c>
      <c r="D302" s="75"/>
      <c r="E302" s="75" t="str">
        <f t="shared" si="0"/>
        <v xml:space="preserve">JAVIER, JAMES RYAN GAMINO </v>
      </c>
      <c r="F302" s="2" t="s">
        <v>127</v>
      </c>
      <c r="G302" s="11" t="s">
        <v>673</v>
      </c>
      <c r="H302" s="25" t="s">
        <v>259</v>
      </c>
      <c r="I302" s="77" t="s">
        <v>3046</v>
      </c>
      <c r="J302" s="77"/>
      <c r="K302" s="77" t="s">
        <v>3046</v>
      </c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</row>
    <row r="303" spans="1:32" ht="15" customHeight="1" x14ac:dyDescent="0.2">
      <c r="A303" s="1" t="s">
        <v>673</v>
      </c>
      <c r="B303" s="1" t="s">
        <v>674</v>
      </c>
      <c r="C303" s="1" t="s">
        <v>675</v>
      </c>
      <c r="D303" s="1"/>
      <c r="E303" s="75" t="str">
        <f t="shared" si="0"/>
        <v xml:space="preserve">JAVIER, ROGINA TANGLAO </v>
      </c>
      <c r="F303" s="2" t="s">
        <v>127</v>
      </c>
      <c r="G303" s="78" t="s">
        <v>673</v>
      </c>
      <c r="H303" s="25" t="s">
        <v>636</v>
      </c>
      <c r="I303" s="77" t="s">
        <v>3046</v>
      </c>
      <c r="J303" s="77"/>
      <c r="K303" s="77" t="s">
        <v>3046</v>
      </c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</row>
    <row r="304" spans="1:32" ht="15" customHeight="1" x14ac:dyDescent="0.2">
      <c r="A304" s="1" t="s">
        <v>2076</v>
      </c>
      <c r="B304" s="1" t="s">
        <v>1944</v>
      </c>
      <c r="C304" s="1" t="s">
        <v>1945</v>
      </c>
      <c r="D304" s="2"/>
      <c r="E304" s="75" t="str">
        <f t="shared" si="0"/>
        <v xml:space="preserve">JAYOMA, BREIZEL MENORCA </v>
      </c>
      <c r="F304" s="2" t="s">
        <v>62</v>
      </c>
      <c r="G304" s="78" t="s">
        <v>2076</v>
      </c>
      <c r="H304" s="25" t="s">
        <v>661</v>
      </c>
      <c r="I304" s="77" t="s">
        <v>3046</v>
      </c>
      <c r="J304" s="77"/>
      <c r="K304" s="77" t="s">
        <v>3048</v>
      </c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</row>
    <row r="305" spans="1:32" ht="15" customHeight="1" x14ac:dyDescent="0.2">
      <c r="A305" s="1" t="s">
        <v>1241</v>
      </c>
      <c r="B305" s="1" t="s">
        <v>634</v>
      </c>
      <c r="C305" s="1" t="s">
        <v>635</v>
      </c>
      <c r="D305" s="2"/>
      <c r="E305" s="75" t="str">
        <f t="shared" si="0"/>
        <v xml:space="preserve">JEPOLLO, JOCELYN TAMONDONG </v>
      </c>
      <c r="F305" s="2" t="s">
        <v>42</v>
      </c>
      <c r="G305" s="78" t="s">
        <v>1241</v>
      </c>
      <c r="H305" s="25" t="s">
        <v>3150</v>
      </c>
      <c r="I305" s="77" t="s">
        <v>3048</v>
      </c>
      <c r="J305" s="77"/>
      <c r="K305" s="77" t="s">
        <v>3046</v>
      </c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</row>
    <row r="306" spans="1:32" ht="15" customHeight="1" x14ac:dyDescent="0.2">
      <c r="A306" s="1" t="s">
        <v>1912</v>
      </c>
      <c r="B306" s="1" t="s">
        <v>1913</v>
      </c>
      <c r="C306" s="1" t="s">
        <v>1914</v>
      </c>
      <c r="D306" s="2"/>
      <c r="E306" s="75" t="str">
        <f t="shared" si="0"/>
        <v xml:space="preserve">JOAQUIN, ROMEO LISING </v>
      </c>
      <c r="F306" s="2" t="s">
        <v>57</v>
      </c>
      <c r="G306" s="78" t="s">
        <v>1912</v>
      </c>
      <c r="H306" s="25" t="s">
        <v>3151</v>
      </c>
      <c r="I306" s="77" t="s">
        <v>3046</v>
      </c>
      <c r="J306" s="77"/>
      <c r="K306" s="77" t="s">
        <v>3048</v>
      </c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</row>
    <row r="307" spans="1:32" ht="15" customHeight="1" x14ac:dyDescent="0.2">
      <c r="A307" s="1" t="s">
        <v>1247</v>
      </c>
      <c r="B307" s="1" t="s">
        <v>1248</v>
      </c>
      <c r="C307" s="1" t="s">
        <v>1249</v>
      </c>
      <c r="D307" s="2"/>
      <c r="E307" s="75" t="str">
        <f t="shared" si="0"/>
        <v xml:space="preserve">JORDA, ROUMELLIA ROBLES </v>
      </c>
      <c r="F307" s="2" t="s">
        <v>42</v>
      </c>
      <c r="G307" s="78" t="s">
        <v>1247</v>
      </c>
      <c r="H307" s="25" t="s">
        <v>1251</v>
      </c>
      <c r="I307" s="77" t="s">
        <v>3048</v>
      </c>
      <c r="J307" s="77"/>
      <c r="K307" s="77" t="s">
        <v>3046</v>
      </c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</row>
    <row r="308" spans="1:32" ht="15" customHeight="1" x14ac:dyDescent="0.2">
      <c r="A308" s="1" t="s">
        <v>254</v>
      </c>
      <c r="B308" s="1" t="s">
        <v>129</v>
      </c>
      <c r="C308" s="1" t="s">
        <v>130</v>
      </c>
      <c r="D308" s="2"/>
      <c r="E308" s="75" t="str">
        <f t="shared" si="0"/>
        <v xml:space="preserve">KARIM, BENSAR ALI ABDULGANI </v>
      </c>
      <c r="F308" s="2" t="s">
        <v>127</v>
      </c>
      <c r="G308" s="11" t="s">
        <v>254</v>
      </c>
      <c r="H308" s="25" t="s">
        <v>2834</v>
      </c>
      <c r="I308" s="77" t="s">
        <v>3046</v>
      </c>
      <c r="J308" s="77"/>
      <c r="K308" s="77" t="s">
        <v>3046</v>
      </c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</row>
    <row r="309" spans="1:32" ht="15" customHeight="1" x14ac:dyDescent="0.2">
      <c r="A309" s="1" t="s">
        <v>1741</v>
      </c>
      <c r="B309" s="1" t="s">
        <v>1743</v>
      </c>
      <c r="C309" s="1" t="s">
        <v>1744</v>
      </c>
      <c r="D309" s="2"/>
      <c r="E309" s="75" t="str">
        <f t="shared" si="0"/>
        <v xml:space="preserve">KELLY, CARTNER RHYSE PASCUAL </v>
      </c>
      <c r="F309" s="2" t="s">
        <v>127</v>
      </c>
      <c r="G309" s="11" t="s">
        <v>1741</v>
      </c>
      <c r="H309" s="25" t="s">
        <v>259</v>
      </c>
      <c r="I309" s="77" t="s">
        <v>3046</v>
      </c>
      <c r="J309" s="77"/>
      <c r="K309" s="77" t="s">
        <v>3047</v>
      </c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</row>
    <row r="310" spans="1:32" ht="15" customHeight="1" x14ac:dyDescent="0.2">
      <c r="A310" s="1" t="s">
        <v>1748</v>
      </c>
      <c r="B310" s="1" t="s">
        <v>960</v>
      </c>
      <c r="C310" s="1" t="s">
        <v>1749</v>
      </c>
      <c r="D310" s="2"/>
      <c r="E310" s="75" t="str">
        <f t="shared" si="0"/>
        <v xml:space="preserve">LABANG, MARY JOY ZIPAGAN </v>
      </c>
      <c r="F310" s="2" t="s">
        <v>134</v>
      </c>
      <c r="G310" s="78" t="s">
        <v>1748</v>
      </c>
      <c r="H310" s="25" t="s">
        <v>333</v>
      </c>
      <c r="I310" s="77" t="s">
        <v>3047</v>
      </c>
      <c r="J310" s="77"/>
      <c r="K310" s="77" t="s">
        <v>3047</v>
      </c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</row>
    <row r="311" spans="1:32" ht="15" customHeight="1" x14ac:dyDescent="0.2">
      <c r="A311" s="1" t="s">
        <v>2058</v>
      </c>
      <c r="B311" s="1" t="s">
        <v>2059</v>
      </c>
      <c r="C311" s="1" t="s">
        <v>620</v>
      </c>
      <c r="D311" s="2"/>
      <c r="E311" s="75" t="str">
        <f t="shared" si="0"/>
        <v xml:space="preserve">LABIAGA, PERLIE MALAKI </v>
      </c>
      <c r="F311" s="2" t="s">
        <v>134</v>
      </c>
      <c r="G311" s="78" t="s">
        <v>2058</v>
      </c>
      <c r="H311" s="25" t="s">
        <v>333</v>
      </c>
      <c r="I311" s="77" t="s">
        <v>3047</v>
      </c>
      <c r="J311" s="77"/>
      <c r="K311" s="77" t="s">
        <v>3048</v>
      </c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</row>
    <row r="312" spans="1:32" ht="15" customHeight="1" x14ac:dyDescent="0.2">
      <c r="A312" s="1" t="s">
        <v>1252</v>
      </c>
      <c r="B312" s="1" t="s">
        <v>1253</v>
      </c>
      <c r="C312" s="1" t="s">
        <v>1254</v>
      </c>
      <c r="D312" s="2"/>
      <c r="E312" s="75" t="str">
        <f t="shared" si="0"/>
        <v xml:space="preserve">LACHICA, LOLITA BORRES </v>
      </c>
      <c r="F312" s="2" t="s">
        <v>42</v>
      </c>
      <c r="G312" s="78" t="s">
        <v>1252</v>
      </c>
      <c r="H312" s="25" t="s">
        <v>811</v>
      </c>
      <c r="I312" s="77" t="s">
        <v>3048</v>
      </c>
      <c r="J312" s="77"/>
      <c r="K312" s="77" t="s">
        <v>3046</v>
      </c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</row>
    <row r="313" spans="1:32" ht="15" customHeight="1" x14ac:dyDescent="0.2">
      <c r="A313" s="59" t="s">
        <v>1092</v>
      </c>
      <c r="B313" s="59" t="s">
        <v>1093</v>
      </c>
      <c r="C313" s="59" t="s">
        <v>1096</v>
      </c>
      <c r="D313" s="2"/>
      <c r="E313" s="75" t="str">
        <f t="shared" si="0"/>
        <v xml:space="preserve">LACSON, VINEAH DIMO </v>
      </c>
      <c r="F313" s="2" t="s">
        <v>127</v>
      </c>
      <c r="G313" s="78" t="s">
        <v>1092</v>
      </c>
      <c r="H313" s="25" t="s">
        <v>259</v>
      </c>
      <c r="I313" s="77" t="s">
        <v>3046</v>
      </c>
      <c r="J313" s="77"/>
      <c r="K313" s="77" t="s">
        <v>3048</v>
      </c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</row>
    <row r="314" spans="1:32" ht="15" customHeight="1" x14ac:dyDescent="0.2">
      <c r="A314" s="1" t="s">
        <v>1256</v>
      </c>
      <c r="B314" s="1" t="s">
        <v>1257</v>
      </c>
      <c r="C314" s="1" t="s">
        <v>1258</v>
      </c>
      <c r="D314" s="2"/>
      <c r="E314" s="75" t="str">
        <f t="shared" si="0"/>
        <v xml:space="preserve">LAGGUI, DANIELLA MARIE ALLAUIGAN </v>
      </c>
      <c r="F314" s="2" t="s">
        <v>42</v>
      </c>
      <c r="G314" s="78" t="s">
        <v>1256</v>
      </c>
      <c r="H314" s="25" t="s">
        <v>3153</v>
      </c>
      <c r="I314" s="77" t="s">
        <v>3048</v>
      </c>
      <c r="J314" s="77"/>
      <c r="K314" s="77" t="s">
        <v>3047</v>
      </c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</row>
    <row r="315" spans="1:32" ht="15" customHeight="1" x14ac:dyDescent="0.2">
      <c r="A315" s="9" t="s">
        <v>1660</v>
      </c>
      <c r="B315" s="9" t="s">
        <v>1661</v>
      </c>
      <c r="C315" s="9" t="s">
        <v>1662</v>
      </c>
      <c r="D315" s="82"/>
      <c r="E315" s="75" t="str">
        <f t="shared" si="0"/>
        <v xml:space="preserve">LAMES, MAYJEAN GAGET </v>
      </c>
      <c r="F315" s="2" t="s">
        <v>32</v>
      </c>
      <c r="G315" s="78" t="s">
        <v>1660</v>
      </c>
      <c r="H315" s="25" t="s">
        <v>333</v>
      </c>
      <c r="I315" s="77" t="s">
        <v>3047</v>
      </c>
      <c r="J315" s="77"/>
      <c r="K315" s="77" t="s">
        <v>3048</v>
      </c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</row>
    <row r="316" spans="1:32" ht="15" customHeight="1" x14ac:dyDescent="0.2">
      <c r="A316" s="1" t="s">
        <v>1259</v>
      </c>
      <c r="B316" s="1" t="s">
        <v>1260</v>
      </c>
      <c r="C316" s="1" t="s">
        <v>1261</v>
      </c>
      <c r="D316" s="2"/>
      <c r="E316" s="75" t="str">
        <f t="shared" si="0"/>
        <v xml:space="preserve">LAMPA, ENGELBERT VALERA </v>
      </c>
      <c r="F316" s="2" t="s">
        <v>42</v>
      </c>
      <c r="G316" s="78" t="s">
        <v>1259</v>
      </c>
      <c r="H316" s="25" t="s">
        <v>1263</v>
      </c>
      <c r="I316" s="77" t="s">
        <v>3048</v>
      </c>
      <c r="J316" s="77"/>
      <c r="K316" s="77" t="s">
        <v>3048</v>
      </c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</row>
    <row r="317" spans="1:32" ht="15" customHeight="1" x14ac:dyDescent="0.2">
      <c r="A317" s="1" t="s">
        <v>1266</v>
      </c>
      <c r="B317" s="1" t="s">
        <v>1267</v>
      </c>
      <c r="C317" s="1" t="s">
        <v>1268</v>
      </c>
      <c r="D317" s="2"/>
      <c r="E317" s="75" t="str">
        <f t="shared" si="0"/>
        <v xml:space="preserve">LANUZA, ARNOLD ZABATE </v>
      </c>
      <c r="F317" s="2" t="s">
        <v>42</v>
      </c>
      <c r="G317" s="78" t="s">
        <v>1266</v>
      </c>
      <c r="H317" s="25" t="s">
        <v>1271</v>
      </c>
      <c r="I317" s="77" t="s">
        <v>3048</v>
      </c>
      <c r="J317" s="77"/>
      <c r="K317" s="77" t="s">
        <v>3046</v>
      </c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</row>
    <row r="318" spans="1:32" ht="15" customHeight="1" x14ac:dyDescent="0.2">
      <c r="A318" s="74" t="s">
        <v>1754</v>
      </c>
      <c r="B318" s="74" t="s">
        <v>1755</v>
      </c>
      <c r="C318" s="74" t="s">
        <v>1756</v>
      </c>
      <c r="D318" s="75"/>
      <c r="E318" s="75" t="str">
        <f t="shared" si="0"/>
        <v xml:space="preserve">LAOYAN, SILVER MARK TALLASE </v>
      </c>
      <c r="F318" s="2" t="s">
        <v>127</v>
      </c>
      <c r="G318" s="11" t="s">
        <v>1754</v>
      </c>
      <c r="H318" s="25" t="s">
        <v>259</v>
      </c>
      <c r="I318" s="77" t="s">
        <v>3046</v>
      </c>
      <c r="J318" s="77"/>
      <c r="K318" s="77" t="s">
        <v>3046</v>
      </c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</row>
    <row r="319" spans="1:32" ht="15" customHeight="1" x14ac:dyDescent="0.2">
      <c r="A319" s="1" t="s">
        <v>501</v>
      </c>
      <c r="B319" s="1" t="s">
        <v>257</v>
      </c>
      <c r="C319" s="1" t="s">
        <v>404</v>
      </c>
      <c r="D319" s="2" t="s">
        <v>502</v>
      </c>
      <c r="E319" s="75" t="str">
        <f t="shared" si="0"/>
        <v>LAXAMANA, JOSE DELA CRUZ II</v>
      </c>
      <c r="F319" s="2" t="s">
        <v>318</v>
      </c>
      <c r="G319" s="78" t="s">
        <v>501</v>
      </c>
      <c r="H319" s="25" t="s">
        <v>259</v>
      </c>
      <c r="I319" s="77" t="s">
        <v>3046</v>
      </c>
      <c r="J319" s="77"/>
      <c r="K319" s="77" t="s">
        <v>3046</v>
      </c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</row>
    <row r="320" spans="1:32" ht="15" customHeight="1" x14ac:dyDescent="0.2">
      <c r="A320" s="1" t="s">
        <v>1244</v>
      </c>
      <c r="B320" s="1" t="s">
        <v>1245</v>
      </c>
      <c r="C320" s="1" t="s">
        <v>1246</v>
      </c>
      <c r="D320" s="2"/>
      <c r="E320" s="75" t="str">
        <f t="shared" si="0"/>
        <v xml:space="preserve">LAZO, JANUS CESAR RUIZAN </v>
      </c>
      <c r="F320" s="2" t="s">
        <v>323</v>
      </c>
      <c r="G320" s="78" t="s">
        <v>1244</v>
      </c>
      <c r="H320" s="25" t="s">
        <v>259</v>
      </c>
      <c r="I320" s="77" t="s">
        <v>3046</v>
      </c>
      <c r="J320" s="77"/>
      <c r="K320" s="77" t="s">
        <v>3048</v>
      </c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</row>
    <row r="321" spans="1:32" ht="15" customHeight="1" x14ac:dyDescent="0.2">
      <c r="A321" s="1" t="s">
        <v>1274</v>
      </c>
      <c r="B321" s="1" t="s">
        <v>1275</v>
      </c>
      <c r="C321" s="1" t="s">
        <v>1276</v>
      </c>
      <c r="D321" s="2"/>
      <c r="E321" s="75" t="str">
        <f t="shared" si="0"/>
        <v xml:space="preserve">LEE, MARIA ELISA SUERO </v>
      </c>
      <c r="F321" s="2" t="s">
        <v>42</v>
      </c>
      <c r="G321" s="78" t="s">
        <v>1274</v>
      </c>
      <c r="H321" s="25" t="s">
        <v>1278</v>
      </c>
      <c r="I321" s="77" t="s">
        <v>3048</v>
      </c>
      <c r="J321" s="77"/>
      <c r="K321" s="77" t="s">
        <v>3048</v>
      </c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</row>
    <row r="322" spans="1:32" ht="15" customHeight="1" x14ac:dyDescent="0.2">
      <c r="A322" s="1" t="s">
        <v>1282</v>
      </c>
      <c r="B322" s="1" t="s">
        <v>1283</v>
      </c>
      <c r="C322" s="1" t="s">
        <v>1284</v>
      </c>
      <c r="D322" s="2"/>
      <c r="E322" s="75" t="str">
        <f t="shared" si="0"/>
        <v xml:space="preserve">LEGASPI, RAYBEN VASQUEZ </v>
      </c>
      <c r="F322" s="2" t="s">
        <v>42</v>
      </c>
      <c r="G322" s="78" t="s">
        <v>1282</v>
      </c>
      <c r="H322" s="25" t="s">
        <v>980</v>
      </c>
      <c r="I322" s="77" t="s">
        <v>3048</v>
      </c>
      <c r="J322" s="77"/>
      <c r="K322" s="77" t="s">
        <v>3047</v>
      </c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</row>
    <row r="323" spans="1:32" ht="15" customHeight="1" x14ac:dyDescent="0.2">
      <c r="A323" s="1" t="s">
        <v>740</v>
      </c>
      <c r="B323" s="1" t="s">
        <v>2148</v>
      </c>
      <c r="C323" s="1" t="s">
        <v>1274</v>
      </c>
      <c r="D323" s="2"/>
      <c r="E323" s="75" t="str">
        <f t="shared" si="0"/>
        <v xml:space="preserve">LIM, BENEDICT LEE </v>
      </c>
      <c r="F323" s="2" t="s">
        <v>528</v>
      </c>
      <c r="G323" s="78" t="s">
        <v>740</v>
      </c>
      <c r="H323" s="25" t="s">
        <v>333</v>
      </c>
      <c r="I323" s="77" t="s">
        <v>3047</v>
      </c>
      <c r="J323" s="77"/>
      <c r="K323" s="77" t="s">
        <v>3047</v>
      </c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</row>
    <row r="324" spans="1:32" ht="15" customHeight="1" x14ac:dyDescent="0.2">
      <c r="A324" s="1" t="s">
        <v>111</v>
      </c>
      <c r="B324" s="1" t="s">
        <v>2423</v>
      </c>
      <c r="C324" s="1" t="s">
        <v>1274</v>
      </c>
      <c r="D324" s="2"/>
      <c r="E324" s="75" t="str">
        <f t="shared" si="0"/>
        <v xml:space="preserve">LLANEZA, MARC LEE </v>
      </c>
      <c r="F324" s="2" t="s">
        <v>32</v>
      </c>
      <c r="G324" s="11" t="s">
        <v>111</v>
      </c>
      <c r="H324" s="25" t="s">
        <v>785</v>
      </c>
      <c r="I324" s="77" t="s">
        <v>3047</v>
      </c>
      <c r="J324" s="77"/>
      <c r="K324" s="77" t="s">
        <v>3047</v>
      </c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</row>
    <row r="325" spans="1:32" ht="15" customHeight="1" x14ac:dyDescent="0.2">
      <c r="A325" s="1" t="s">
        <v>1900</v>
      </c>
      <c r="B325" s="1" t="s">
        <v>1901</v>
      </c>
      <c r="C325" s="1" t="s">
        <v>1902</v>
      </c>
      <c r="D325" s="2"/>
      <c r="E325" s="75" t="str">
        <f t="shared" si="0"/>
        <v xml:space="preserve">LOCOP, HERRAEL KARL GIDOR </v>
      </c>
      <c r="F325" s="2" t="s">
        <v>32</v>
      </c>
      <c r="G325" s="78" t="s">
        <v>1900</v>
      </c>
      <c r="H325" s="25" t="s">
        <v>333</v>
      </c>
      <c r="I325" s="77" t="s">
        <v>3047</v>
      </c>
      <c r="J325" s="77"/>
      <c r="K325" s="77" t="s">
        <v>3047</v>
      </c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</row>
    <row r="326" spans="1:32" ht="15" customHeight="1" x14ac:dyDescent="0.2">
      <c r="A326" s="1" t="s">
        <v>1974</v>
      </c>
      <c r="B326" s="1" t="s">
        <v>2068</v>
      </c>
      <c r="C326" s="1" t="s">
        <v>2069</v>
      </c>
      <c r="D326" s="2"/>
      <c r="E326" s="75" t="str">
        <f t="shared" si="0"/>
        <v xml:space="preserve">LOPEZ, JAYVEE POCDOL </v>
      </c>
      <c r="F326" s="2" t="s">
        <v>32</v>
      </c>
      <c r="G326" s="5" t="s">
        <v>1974</v>
      </c>
      <c r="H326" s="25" t="s">
        <v>333</v>
      </c>
      <c r="I326" s="77" t="s">
        <v>3047</v>
      </c>
      <c r="J326" s="77"/>
      <c r="K326" s="77" t="s">
        <v>3046</v>
      </c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</row>
    <row r="327" spans="1:32" ht="15" customHeight="1" x14ac:dyDescent="0.2">
      <c r="A327" s="59" t="s">
        <v>1974</v>
      </c>
      <c r="B327" s="59" t="s">
        <v>654</v>
      </c>
      <c r="C327" s="59" t="s">
        <v>1976</v>
      </c>
      <c r="D327" s="2" t="s">
        <v>181</v>
      </c>
      <c r="E327" s="75" t="str">
        <f t="shared" si="0"/>
        <v>LOPEZ, JOEL MORATALLA JR</v>
      </c>
      <c r="F327" s="2" t="s">
        <v>127</v>
      </c>
      <c r="G327" s="78" t="s">
        <v>1974</v>
      </c>
      <c r="H327" s="25" t="s">
        <v>3156</v>
      </c>
      <c r="I327" s="77" t="s">
        <v>3046</v>
      </c>
      <c r="J327" s="77"/>
      <c r="K327" s="77" t="s">
        <v>3046</v>
      </c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</row>
    <row r="328" spans="1:32" ht="15" customHeight="1" x14ac:dyDescent="0.2">
      <c r="A328" s="9" t="s">
        <v>1785</v>
      </c>
      <c r="B328" s="9" t="s">
        <v>64</v>
      </c>
      <c r="C328" s="9" t="s">
        <v>2115</v>
      </c>
      <c r="D328" s="82"/>
      <c r="E328" s="75" t="str">
        <f t="shared" si="0"/>
        <v xml:space="preserve">LOZANO, CHRISTIAN MARQUEZ </v>
      </c>
      <c r="F328" s="2" t="s">
        <v>323</v>
      </c>
      <c r="G328" s="78" t="s">
        <v>1785</v>
      </c>
      <c r="H328" s="25" t="s">
        <v>259</v>
      </c>
      <c r="I328" s="77" t="s">
        <v>3046</v>
      </c>
      <c r="J328" s="77"/>
      <c r="K328" s="77" t="s">
        <v>3047</v>
      </c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</row>
    <row r="329" spans="1:32" ht="15" customHeight="1" x14ac:dyDescent="0.2">
      <c r="A329" s="59" t="s">
        <v>345</v>
      </c>
      <c r="B329" s="59" t="s">
        <v>346</v>
      </c>
      <c r="C329" s="59" t="s">
        <v>347</v>
      </c>
      <c r="D329" s="75"/>
      <c r="E329" s="75" t="str">
        <f t="shared" si="0"/>
        <v xml:space="preserve">LUALHATI, PAULO ANDREW PUNZALAN </v>
      </c>
      <c r="F329" s="2" t="s">
        <v>134</v>
      </c>
      <c r="G329" s="11" t="s">
        <v>345</v>
      </c>
      <c r="H329" s="25" t="s">
        <v>333</v>
      </c>
      <c r="I329" s="77" t="s">
        <v>3047</v>
      </c>
      <c r="J329" s="77"/>
      <c r="K329" s="77" t="s">
        <v>3048</v>
      </c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</row>
    <row r="330" spans="1:32" ht="15" customHeight="1" x14ac:dyDescent="0.2">
      <c r="A330" s="1" t="s">
        <v>1285</v>
      </c>
      <c r="B330" s="1" t="s">
        <v>1286</v>
      </c>
      <c r="C330" s="1" t="s">
        <v>1287</v>
      </c>
      <c r="D330" s="2"/>
      <c r="E330" s="75" t="str">
        <f t="shared" si="0"/>
        <v xml:space="preserve">LUANSING, DIANALYN MAGLIPON </v>
      </c>
      <c r="F330" s="2" t="s">
        <v>42</v>
      </c>
      <c r="G330" s="78" t="s">
        <v>1285</v>
      </c>
      <c r="H330" s="25" t="s">
        <v>1289</v>
      </c>
      <c r="I330" s="77" t="s">
        <v>3048</v>
      </c>
      <c r="J330" s="77"/>
      <c r="K330" s="77" t="s">
        <v>3048</v>
      </c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</row>
    <row r="331" spans="1:32" ht="15" customHeight="1" x14ac:dyDescent="0.2">
      <c r="A331" s="1" t="s">
        <v>479</v>
      </c>
      <c r="B331" s="1" t="s">
        <v>480</v>
      </c>
      <c r="C331" s="1" t="s">
        <v>481</v>
      </c>
      <c r="D331" s="2"/>
      <c r="E331" s="75" t="str">
        <f t="shared" si="0"/>
        <v xml:space="preserve">LUMABI, GINA TINGALA </v>
      </c>
      <c r="F331" s="2" t="s">
        <v>42</v>
      </c>
      <c r="G331" s="78" t="s">
        <v>479</v>
      </c>
      <c r="H331" s="25" t="s">
        <v>709</v>
      </c>
      <c r="I331" s="77" t="s">
        <v>3048</v>
      </c>
      <c r="J331" s="77"/>
      <c r="K331" s="77" t="s">
        <v>3046</v>
      </c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</row>
    <row r="332" spans="1:32" ht="15" customHeight="1" x14ac:dyDescent="0.2">
      <c r="A332" s="9" t="s">
        <v>2050</v>
      </c>
      <c r="B332" s="9" t="s">
        <v>2051</v>
      </c>
      <c r="C332" s="9" t="s">
        <v>2052</v>
      </c>
      <c r="D332" s="2"/>
      <c r="E332" s="75" t="str">
        <f t="shared" si="0"/>
        <v xml:space="preserve">LUMIBAO, RENE JASPER CUNANAN </v>
      </c>
      <c r="F332" s="2" t="s">
        <v>62</v>
      </c>
      <c r="G332" s="78" t="s">
        <v>2050</v>
      </c>
      <c r="H332" s="25" t="s">
        <v>2053</v>
      </c>
      <c r="I332" s="77" t="s">
        <v>3046</v>
      </c>
      <c r="J332" s="77"/>
      <c r="K332" s="77" t="s">
        <v>3048</v>
      </c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</row>
    <row r="333" spans="1:32" ht="15" customHeight="1" x14ac:dyDescent="0.2">
      <c r="A333" s="1" t="s">
        <v>50</v>
      </c>
      <c r="B333" s="1" t="s">
        <v>51</v>
      </c>
      <c r="C333" s="1" t="s">
        <v>52</v>
      </c>
      <c r="D333" s="2"/>
      <c r="E333" s="75" t="str">
        <f t="shared" si="0"/>
        <v xml:space="preserve">LUZARA, JEAN GRATUITO </v>
      </c>
      <c r="F333" s="2" t="s">
        <v>42</v>
      </c>
      <c r="G333" s="78" t="s">
        <v>50</v>
      </c>
      <c r="H333" s="25" t="s">
        <v>3110</v>
      </c>
      <c r="I333" s="77" t="s">
        <v>3048</v>
      </c>
      <c r="J333" s="77"/>
      <c r="K333" s="77" t="s">
        <v>3047</v>
      </c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</row>
    <row r="334" spans="1:32" ht="15" customHeight="1" x14ac:dyDescent="0.2">
      <c r="A334" s="59" t="s">
        <v>2036</v>
      </c>
      <c r="B334" s="59" t="s">
        <v>2037</v>
      </c>
      <c r="C334" s="59" t="s">
        <v>2038</v>
      </c>
      <c r="D334" s="2"/>
      <c r="E334" s="75" t="str">
        <f t="shared" si="0"/>
        <v xml:space="preserve">MACAPILIT, MARYLAND SEPLON </v>
      </c>
      <c r="F334" s="2" t="s">
        <v>32</v>
      </c>
      <c r="G334" s="11" t="s">
        <v>2036</v>
      </c>
      <c r="H334" s="25" t="s">
        <v>333</v>
      </c>
      <c r="I334" s="77" t="s">
        <v>3047</v>
      </c>
      <c r="J334" s="77"/>
      <c r="K334" s="77" t="s">
        <v>3047</v>
      </c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</row>
    <row r="335" spans="1:32" ht="15" customHeight="1" x14ac:dyDescent="0.2">
      <c r="A335" s="1" t="s">
        <v>2451</v>
      </c>
      <c r="B335" s="1" t="s">
        <v>1578</v>
      </c>
      <c r="C335" s="1" t="s">
        <v>2452</v>
      </c>
      <c r="D335" s="2"/>
      <c r="E335" s="75" t="str">
        <f t="shared" si="0"/>
        <v xml:space="preserve">MACAPUNO, JAMES RYAN DE SAGUN </v>
      </c>
      <c r="F335" s="2" t="s">
        <v>32</v>
      </c>
      <c r="G335" s="5" t="s">
        <v>2451</v>
      </c>
      <c r="H335" s="25" t="s">
        <v>785</v>
      </c>
      <c r="I335" s="77" t="s">
        <v>3047</v>
      </c>
      <c r="J335" s="77"/>
      <c r="K335" s="77" t="s">
        <v>3046</v>
      </c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</row>
    <row r="336" spans="1:32" ht="15" customHeight="1" x14ac:dyDescent="0.2">
      <c r="A336" s="74" t="s">
        <v>1696</v>
      </c>
      <c r="B336" s="74" t="s">
        <v>1697</v>
      </c>
      <c r="C336" s="74" t="s">
        <v>1699</v>
      </c>
      <c r="D336" s="75"/>
      <c r="E336" s="75" t="str">
        <f t="shared" si="0"/>
        <v xml:space="preserve">MACATOL, GEORGE GALITO </v>
      </c>
      <c r="F336" s="2" t="s">
        <v>127</v>
      </c>
      <c r="G336" s="11" t="s">
        <v>1696</v>
      </c>
      <c r="H336" s="25" t="s">
        <v>259</v>
      </c>
      <c r="I336" s="77" t="s">
        <v>3046</v>
      </c>
      <c r="J336" s="77"/>
      <c r="K336" s="77" t="s">
        <v>3047</v>
      </c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</row>
    <row r="337" spans="1:32" ht="15" customHeight="1" x14ac:dyDescent="0.2">
      <c r="A337" s="9" t="s">
        <v>852</v>
      </c>
      <c r="B337" s="9" t="s">
        <v>16</v>
      </c>
      <c r="C337" s="9" t="s">
        <v>855</v>
      </c>
      <c r="D337" s="2" t="s">
        <v>181</v>
      </c>
      <c r="E337" s="75" t="str">
        <f t="shared" si="0"/>
        <v>MACAWILE, ROMY INCISO JR</v>
      </c>
      <c r="F337" s="2" t="s">
        <v>32</v>
      </c>
      <c r="G337" s="5" t="s">
        <v>852</v>
      </c>
      <c r="H337" s="25" t="s">
        <v>333</v>
      </c>
      <c r="I337" s="77" t="s">
        <v>3047</v>
      </c>
      <c r="J337" s="77"/>
      <c r="K337" s="77" t="s">
        <v>3048</v>
      </c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</row>
    <row r="338" spans="1:32" ht="15" customHeight="1" x14ac:dyDescent="0.2">
      <c r="A338" s="1" t="s">
        <v>1297</v>
      </c>
      <c r="B338" s="1" t="s">
        <v>236</v>
      </c>
      <c r="C338" s="1" t="s">
        <v>237</v>
      </c>
      <c r="D338" s="2"/>
      <c r="E338" s="75" t="str">
        <f t="shared" si="0"/>
        <v xml:space="preserve">MADAYAG, ROY IBARRA </v>
      </c>
      <c r="F338" s="2" t="s">
        <v>42</v>
      </c>
      <c r="G338" s="78" t="s">
        <v>1297</v>
      </c>
      <c r="H338" s="25" t="s">
        <v>3159</v>
      </c>
      <c r="I338" s="77" t="s">
        <v>3048</v>
      </c>
      <c r="J338" s="77"/>
      <c r="K338" s="77" t="s">
        <v>3046</v>
      </c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</row>
    <row r="339" spans="1:32" ht="15" customHeight="1" x14ac:dyDescent="0.2">
      <c r="A339" s="59" t="s">
        <v>1301</v>
      </c>
      <c r="B339" s="59" t="s">
        <v>1302</v>
      </c>
      <c r="C339" s="59" t="s">
        <v>315</v>
      </c>
      <c r="D339" s="2"/>
      <c r="E339" s="75" t="str">
        <f t="shared" si="0"/>
        <v xml:space="preserve">MAGALONG, DAREN NATIVIDAD </v>
      </c>
      <c r="F339" s="2" t="s">
        <v>127</v>
      </c>
      <c r="G339" s="11" t="s">
        <v>1301</v>
      </c>
      <c r="H339" s="25" t="s">
        <v>259</v>
      </c>
      <c r="I339" s="77" t="s">
        <v>3046</v>
      </c>
      <c r="J339" s="77"/>
      <c r="K339" s="77" t="s">
        <v>3048</v>
      </c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</row>
    <row r="340" spans="1:32" ht="15" customHeight="1" x14ac:dyDescent="0.2">
      <c r="A340" s="1" t="s">
        <v>1299</v>
      </c>
      <c r="B340" s="1" t="s">
        <v>1300</v>
      </c>
      <c r="C340" s="1" t="s">
        <v>472</v>
      </c>
      <c r="D340" s="2"/>
      <c r="E340" s="75" t="str">
        <f t="shared" si="0"/>
        <v xml:space="preserve">MAGBANUA, RACHELLE CASTRO </v>
      </c>
      <c r="F340" s="2" t="s">
        <v>42</v>
      </c>
      <c r="G340" s="78" t="s">
        <v>1299</v>
      </c>
      <c r="H340" s="25" t="s">
        <v>1303</v>
      </c>
      <c r="I340" s="77" t="s">
        <v>3048</v>
      </c>
      <c r="J340" s="77"/>
      <c r="K340" s="77" t="s">
        <v>3048</v>
      </c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</row>
    <row r="341" spans="1:32" ht="15" customHeight="1" x14ac:dyDescent="0.2">
      <c r="A341" s="1" t="s">
        <v>756</v>
      </c>
      <c r="B341" s="1" t="s">
        <v>757</v>
      </c>
      <c r="C341" s="1" t="s">
        <v>759</v>
      </c>
      <c r="D341" s="2"/>
      <c r="E341" s="75" t="str">
        <f t="shared" si="0"/>
        <v xml:space="preserve">MAISO, PRISCILLA DAMO </v>
      </c>
      <c r="F341" s="2" t="s">
        <v>42</v>
      </c>
      <c r="G341" s="78" t="s">
        <v>756</v>
      </c>
      <c r="H341" s="25" t="s">
        <v>1305</v>
      </c>
      <c r="I341" s="77" t="s">
        <v>3048</v>
      </c>
      <c r="J341" s="77"/>
      <c r="K341" s="77" t="s">
        <v>3046</v>
      </c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</row>
    <row r="342" spans="1:32" ht="15" customHeight="1" x14ac:dyDescent="0.2">
      <c r="A342" s="1" t="s">
        <v>620</v>
      </c>
      <c r="B342" s="1" t="s">
        <v>622</v>
      </c>
      <c r="C342" s="1" t="s">
        <v>623</v>
      </c>
      <c r="D342" s="2"/>
      <c r="E342" s="75" t="str">
        <f t="shared" si="0"/>
        <v xml:space="preserve">MALAKI, ROFEL GEN TIMBAL </v>
      </c>
      <c r="F342" s="2" t="s">
        <v>127</v>
      </c>
      <c r="G342" s="78" t="s">
        <v>620</v>
      </c>
      <c r="H342" s="25" t="s">
        <v>259</v>
      </c>
      <c r="I342" s="77" t="s">
        <v>3046</v>
      </c>
      <c r="J342" s="77"/>
      <c r="K342" s="77" t="s">
        <v>3046</v>
      </c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</row>
    <row r="343" spans="1:32" ht="15" customHeight="1" x14ac:dyDescent="0.2">
      <c r="A343" s="59" t="s">
        <v>1161</v>
      </c>
      <c r="B343" s="59" t="s">
        <v>1162</v>
      </c>
      <c r="C343" s="59" t="s">
        <v>1163</v>
      </c>
      <c r="D343" s="2"/>
      <c r="E343" s="75" t="str">
        <f t="shared" si="0"/>
        <v xml:space="preserve">MALANI, JOAN MAT-AN </v>
      </c>
      <c r="F343" s="2" t="s">
        <v>127</v>
      </c>
      <c r="G343" s="78" t="s">
        <v>1161</v>
      </c>
      <c r="H343" s="25" t="s">
        <v>259</v>
      </c>
      <c r="I343" s="77" t="s">
        <v>3046</v>
      </c>
      <c r="J343" s="77"/>
      <c r="K343" s="77" t="s">
        <v>3048</v>
      </c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</row>
    <row r="344" spans="1:32" ht="15" customHeight="1" x14ac:dyDescent="0.2">
      <c r="A344" s="1" t="s">
        <v>1309</v>
      </c>
      <c r="B344" s="1" t="s">
        <v>1311</v>
      </c>
      <c r="C344" s="1" t="s">
        <v>1312</v>
      </c>
      <c r="D344" s="2"/>
      <c r="E344" s="75" t="str">
        <f t="shared" si="0"/>
        <v xml:space="preserve">MALLILLIN, MARICAR CABIGAS </v>
      </c>
      <c r="F344" s="2" t="s">
        <v>42</v>
      </c>
      <c r="G344" s="78" t="s">
        <v>1309</v>
      </c>
      <c r="H344" s="25" t="s">
        <v>3162</v>
      </c>
      <c r="I344" s="77" t="s">
        <v>3048</v>
      </c>
      <c r="J344" s="77"/>
      <c r="K344" s="77" t="s">
        <v>3048</v>
      </c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</row>
    <row r="345" spans="1:32" ht="15" customHeight="1" x14ac:dyDescent="0.2">
      <c r="A345" s="1" t="s">
        <v>1309</v>
      </c>
      <c r="B345" s="1" t="s">
        <v>924</v>
      </c>
      <c r="C345" s="1" t="s">
        <v>1313</v>
      </c>
      <c r="D345" s="2"/>
      <c r="E345" s="75" t="str">
        <f t="shared" si="0"/>
        <v xml:space="preserve">MALLILLIN, MARVIN SALINAS </v>
      </c>
      <c r="F345" s="2" t="s">
        <v>42</v>
      </c>
      <c r="G345" s="78" t="s">
        <v>1309</v>
      </c>
      <c r="H345" s="25" t="s">
        <v>1314</v>
      </c>
      <c r="I345" s="77" t="s">
        <v>3048</v>
      </c>
      <c r="J345" s="77"/>
      <c r="K345" s="77" t="s">
        <v>3047</v>
      </c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</row>
    <row r="346" spans="1:32" ht="15" customHeight="1" x14ac:dyDescent="0.2">
      <c r="A346" s="59" t="s">
        <v>3164</v>
      </c>
      <c r="B346" s="59" t="s">
        <v>3165</v>
      </c>
      <c r="C346" s="59" t="s">
        <v>1219</v>
      </c>
      <c r="D346" s="75"/>
      <c r="E346" s="75" t="str">
        <f t="shared" si="0"/>
        <v xml:space="preserve">MAMENTA, CRISTOPHER ALLAS </v>
      </c>
      <c r="F346" s="2" t="s">
        <v>32</v>
      </c>
      <c r="G346" s="11" t="s">
        <v>3164</v>
      </c>
      <c r="H346" s="25" t="s">
        <v>3166</v>
      </c>
      <c r="I346" s="77" t="s">
        <v>3047</v>
      </c>
      <c r="J346" s="77"/>
      <c r="K346" s="77" t="s">
        <v>3048</v>
      </c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</row>
    <row r="347" spans="1:32" ht="15" customHeight="1" x14ac:dyDescent="0.2">
      <c r="A347" s="1" t="s">
        <v>506</v>
      </c>
      <c r="B347" s="1" t="s">
        <v>508</v>
      </c>
      <c r="C347" s="1" t="s">
        <v>509</v>
      </c>
      <c r="D347" s="2"/>
      <c r="E347" s="75" t="str">
        <f t="shared" si="0"/>
        <v xml:space="preserve">MANAHAN, ALDRIN ENRIQUEZ </v>
      </c>
      <c r="F347" s="2" t="s">
        <v>42</v>
      </c>
      <c r="G347" s="78" t="s">
        <v>506</v>
      </c>
      <c r="H347" s="25" t="s">
        <v>1475</v>
      </c>
      <c r="I347" s="77" t="s">
        <v>3048</v>
      </c>
      <c r="J347" s="77"/>
      <c r="K347" s="77" t="s">
        <v>3046</v>
      </c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</row>
    <row r="348" spans="1:32" ht="15" customHeight="1" x14ac:dyDescent="0.2">
      <c r="A348" s="9" t="s">
        <v>1307</v>
      </c>
      <c r="B348" s="9" t="s">
        <v>1308</v>
      </c>
      <c r="C348" s="9" t="s">
        <v>194</v>
      </c>
      <c r="D348" s="82"/>
      <c r="E348" s="75" t="str">
        <f t="shared" si="0"/>
        <v xml:space="preserve">MANALO, CZARMAINE JOYCE RAMOS </v>
      </c>
      <c r="F348" s="2" t="s">
        <v>323</v>
      </c>
      <c r="G348" s="78" t="s">
        <v>1307</v>
      </c>
      <c r="H348" s="25" t="s">
        <v>259</v>
      </c>
      <c r="I348" s="77" t="s">
        <v>3046</v>
      </c>
      <c r="J348" s="77"/>
      <c r="K348" s="77" t="s">
        <v>3048</v>
      </c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</row>
    <row r="349" spans="1:32" ht="15" customHeight="1" x14ac:dyDescent="0.2">
      <c r="A349" s="1" t="s">
        <v>1316</v>
      </c>
      <c r="B349" s="1" t="s">
        <v>1317</v>
      </c>
      <c r="C349" s="1" t="s">
        <v>1318</v>
      </c>
      <c r="D349" s="2"/>
      <c r="E349" s="75" t="str">
        <f t="shared" si="0"/>
        <v xml:space="preserve">MANALUZ, NIKKO RENZ GERON </v>
      </c>
      <c r="F349" s="2" t="s">
        <v>42</v>
      </c>
      <c r="G349" s="78" t="s">
        <v>1316</v>
      </c>
      <c r="H349" s="25" t="s">
        <v>1322</v>
      </c>
      <c r="I349" s="77" t="s">
        <v>3048</v>
      </c>
      <c r="J349" s="77"/>
      <c r="K349" s="77" t="s">
        <v>3048</v>
      </c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</row>
    <row r="350" spans="1:32" ht="15" customHeight="1" x14ac:dyDescent="0.2">
      <c r="A350" s="1" t="s">
        <v>1326</v>
      </c>
      <c r="B350" s="1" t="s">
        <v>1328</v>
      </c>
      <c r="C350" s="1" t="s">
        <v>942</v>
      </c>
      <c r="D350" s="2"/>
      <c r="E350" s="75" t="str">
        <f t="shared" si="0"/>
        <v xml:space="preserve">MANANON, ALBERT VILLEGAS </v>
      </c>
      <c r="F350" s="2" t="s">
        <v>42</v>
      </c>
      <c r="G350" s="5" t="s">
        <v>1326</v>
      </c>
      <c r="H350" s="25" t="s">
        <v>1329</v>
      </c>
      <c r="I350" s="77" t="s">
        <v>3048</v>
      </c>
      <c r="J350" s="77"/>
      <c r="K350" s="77" t="s">
        <v>3048</v>
      </c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</row>
    <row r="351" spans="1:32" ht="15" customHeight="1" x14ac:dyDescent="0.2">
      <c r="A351" s="1" t="s">
        <v>1326</v>
      </c>
      <c r="B351" s="1" t="s">
        <v>1331</v>
      </c>
      <c r="C351" s="1" t="s">
        <v>1332</v>
      </c>
      <c r="D351" s="2"/>
      <c r="E351" s="75" t="str">
        <f t="shared" si="0"/>
        <v xml:space="preserve">MANANON, REMAN JOSEPH RENTOY </v>
      </c>
      <c r="F351" s="2" t="s">
        <v>42</v>
      </c>
      <c r="G351" s="78" t="s">
        <v>1326</v>
      </c>
      <c r="H351" s="25" t="s">
        <v>227</v>
      </c>
      <c r="I351" s="77" t="s">
        <v>3048</v>
      </c>
      <c r="J351" s="77"/>
      <c r="K351" s="77" t="s">
        <v>3047</v>
      </c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</row>
    <row r="352" spans="1:32" ht="15" customHeight="1" x14ac:dyDescent="0.2">
      <c r="A352" s="1" t="s">
        <v>294</v>
      </c>
      <c r="B352" s="1" t="s">
        <v>295</v>
      </c>
      <c r="C352" s="1" t="s">
        <v>226</v>
      </c>
      <c r="D352" s="2"/>
      <c r="E352" s="75" t="str">
        <f t="shared" si="0"/>
        <v xml:space="preserve">MANAOG, RODNIE CASTILLO </v>
      </c>
      <c r="F352" s="2" t="s">
        <v>32</v>
      </c>
      <c r="G352" s="5" t="s">
        <v>294</v>
      </c>
      <c r="H352" s="25" t="s">
        <v>27</v>
      </c>
      <c r="I352" s="77" t="s">
        <v>3047</v>
      </c>
      <c r="J352" s="77"/>
      <c r="K352" s="77" t="s">
        <v>3047</v>
      </c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</row>
    <row r="353" spans="1:32" ht="15" customHeight="1" x14ac:dyDescent="0.2">
      <c r="A353" s="1" t="s">
        <v>1454</v>
      </c>
      <c r="B353" s="1" t="s">
        <v>1136</v>
      </c>
      <c r="C353" s="1" t="s">
        <v>1455</v>
      </c>
      <c r="D353" s="2"/>
      <c r="E353" s="75" t="str">
        <f t="shared" si="0"/>
        <v xml:space="preserve">MANCERA, JOSHUA ARMENTA </v>
      </c>
      <c r="F353" s="2" t="s">
        <v>32</v>
      </c>
      <c r="G353" s="5" t="s">
        <v>1454</v>
      </c>
      <c r="H353" s="25" t="s">
        <v>333</v>
      </c>
      <c r="I353" s="77" t="s">
        <v>3047</v>
      </c>
      <c r="J353" s="77"/>
      <c r="K353" s="77" t="s">
        <v>3048</v>
      </c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</row>
    <row r="354" spans="1:32" ht="15" customHeight="1" x14ac:dyDescent="0.2">
      <c r="A354" s="1" t="s">
        <v>1335</v>
      </c>
      <c r="B354" s="1" t="s">
        <v>1336</v>
      </c>
      <c r="C354" s="1" t="s">
        <v>1337</v>
      </c>
      <c r="D354" s="1"/>
      <c r="E354" s="75" t="str">
        <f t="shared" si="0"/>
        <v xml:space="preserve">MANDAL, BIBIANA LUMBANG </v>
      </c>
      <c r="F354" s="2" t="s">
        <v>42</v>
      </c>
      <c r="G354" s="78" t="s">
        <v>1335</v>
      </c>
      <c r="H354" s="25" t="s">
        <v>833</v>
      </c>
      <c r="I354" s="77" t="s">
        <v>3048</v>
      </c>
      <c r="J354" s="77"/>
      <c r="K354" s="77" t="s">
        <v>3047</v>
      </c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</row>
    <row r="355" spans="1:32" ht="15" customHeight="1" x14ac:dyDescent="0.2">
      <c r="A355" s="1" t="s">
        <v>732</v>
      </c>
      <c r="B355" s="1" t="s">
        <v>733</v>
      </c>
      <c r="C355" s="1" t="s">
        <v>734</v>
      </c>
      <c r="D355" s="2"/>
      <c r="E355" s="75" t="str">
        <f t="shared" si="0"/>
        <v xml:space="preserve">MANGOBA, ROMMEL JAZMIN </v>
      </c>
      <c r="F355" s="2" t="s">
        <v>32</v>
      </c>
      <c r="G355" s="5" t="s">
        <v>732</v>
      </c>
      <c r="H355" s="25" t="s">
        <v>333</v>
      </c>
      <c r="I355" s="77" t="s">
        <v>3047</v>
      </c>
      <c r="J355" s="77"/>
      <c r="K355" s="77" t="s">
        <v>3047</v>
      </c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</row>
    <row r="356" spans="1:32" ht="15" customHeight="1" x14ac:dyDescent="0.2">
      <c r="A356" s="1" t="s">
        <v>2637</v>
      </c>
      <c r="B356" s="1" t="s">
        <v>1835</v>
      </c>
      <c r="C356" s="1" t="s">
        <v>2638</v>
      </c>
      <c r="D356" s="2"/>
      <c r="E356" s="75" t="str">
        <f t="shared" si="0"/>
        <v xml:space="preserve">MANIQUIZ, JEREMY BINUYA </v>
      </c>
      <c r="F356" s="2" t="s">
        <v>32</v>
      </c>
      <c r="G356" s="5" t="s">
        <v>2637</v>
      </c>
      <c r="H356" s="25" t="s">
        <v>333</v>
      </c>
      <c r="I356" s="77" t="s">
        <v>3047</v>
      </c>
      <c r="J356" s="77"/>
      <c r="K356" s="77" t="s">
        <v>3047</v>
      </c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</row>
    <row r="357" spans="1:32" ht="15" customHeight="1" x14ac:dyDescent="0.2">
      <c r="A357" s="9" t="s">
        <v>60</v>
      </c>
      <c r="B357" s="9" t="s">
        <v>1922</v>
      </c>
      <c r="C357" s="9" t="s">
        <v>2568</v>
      </c>
      <c r="D357" s="2"/>
      <c r="E357" s="75" t="str">
        <f t="shared" si="0"/>
        <v xml:space="preserve">MANUEL, MARK ALMONTE </v>
      </c>
      <c r="F357" s="2" t="s">
        <v>69</v>
      </c>
      <c r="G357" s="78" t="s">
        <v>60</v>
      </c>
      <c r="H357" s="25" t="s">
        <v>138</v>
      </c>
      <c r="I357" s="77" t="s">
        <v>3047</v>
      </c>
      <c r="J357" s="77"/>
      <c r="K357" s="77" t="s">
        <v>3046</v>
      </c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</row>
    <row r="358" spans="1:32" ht="15" customHeight="1" x14ac:dyDescent="0.2">
      <c r="A358" s="59" t="s">
        <v>1871</v>
      </c>
      <c r="B358" s="59" t="s">
        <v>1872</v>
      </c>
      <c r="C358" s="59" t="s">
        <v>404</v>
      </c>
      <c r="D358" s="2"/>
      <c r="E358" s="75" t="str">
        <f t="shared" si="0"/>
        <v xml:space="preserve">MARAMAG, MARCIANA DELA CRUZ </v>
      </c>
      <c r="F358" s="2" t="s">
        <v>62</v>
      </c>
      <c r="G358" s="78" t="s">
        <v>1871</v>
      </c>
      <c r="H358" s="25" t="s">
        <v>1893</v>
      </c>
      <c r="I358" s="77" t="s">
        <v>3046</v>
      </c>
      <c r="J358" s="77"/>
      <c r="K358" s="77" t="s">
        <v>3047</v>
      </c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</row>
    <row r="359" spans="1:32" ht="15" customHeight="1" x14ac:dyDescent="0.2">
      <c r="A359" s="1" t="s">
        <v>398</v>
      </c>
      <c r="B359" s="1" t="s">
        <v>399</v>
      </c>
      <c r="C359" s="1" t="s">
        <v>400</v>
      </c>
      <c r="D359" s="2"/>
      <c r="E359" s="75" t="str">
        <f t="shared" si="0"/>
        <v xml:space="preserve">MARAÑON, CHRIS JOHN CATALOGO </v>
      </c>
      <c r="F359" s="2" t="s">
        <v>397</v>
      </c>
      <c r="G359" s="78" t="s">
        <v>398</v>
      </c>
      <c r="H359" s="25" t="s">
        <v>333</v>
      </c>
      <c r="I359" s="77" t="s">
        <v>3047</v>
      </c>
      <c r="J359" s="77"/>
      <c r="K359" s="77" t="s">
        <v>3047</v>
      </c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</row>
    <row r="360" spans="1:32" ht="15" customHeight="1" x14ac:dyDescent="0.2">
      <c r="A360" s="1" t="s">
        <v>2713</v>
      </c>
      <c r="B360" s="1" t="s">
        <v>2714</v>
      </c>
      <c r="C360" s="1" t="s">
        <v>2715</v>
      </c>
      <c r="D360" s="2"/>
      <c r="E360" s="75" t="str">
        <f t="shared" si="0"/>
        <v xml:space="preserve">MARASIGAN, MIA ANGELA CORNEJO </v>
      </c>
      <c r="F360" s="2" t="s">
        <v>32</v>
      </c>
      <c r="G360" s="11" t="s">
        <v>2713</v>
      </c>
      <c r="H360" s="25" t="s">
        <v>333</v>
      </c>
      <c r="I360" s="77" t="s">
        <v>3047</v>
      </c>
      <c r="J360" s="77"/>
      <c r="K360" s="77" t="s">
        <v>3048</v>
      </c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</row>
    <row r="361" spans="1:32" ht="15" customHeight="1" x14ac:dyDescent="0.2">
      <c r="A361" s="1" t="s">
        <v>1338</v>
      </c>
      <c r="B361" s="1" t="s">
        <v>421</v>
      </c>
      <c r="C361" s="1" t="s">
        <v>1339</v>
      </c>
      <c r="D361" s="1"/>
      <c r="E361" s="75" t="str">
        <f t="shared" si="0"/>
        <v xml:space="preserve">MARINTES, JOEY MANUGUID </v>
      </c>
      <c r="F361" s="2" t="s">
        <v>42</v>
      </c>
      <c r="G361" s="78" t="s">
        <v>1338</v>
      </c>
      <c r="H361" s="25" t="s">
        <v>1340</v>
      </c>
      <c r="I361" s="77" t="s">
        <v>3048</v>
      </c>
      <c r="J361" s="77"/>
      <c r="K361" s="77" t="s">
        <v>3047</v>
      </c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</row>
    <row r="362" spans="1:32" ht="15" customHeight="1" x14ac:dyDescent="0.2">
      <c r="A362" s="1" t="s">
        <v>2115</v>
      </c>
      <c r="B362" s="1" t="s">
        <v>2116</v>
      </c>
      <c r="C362" s="1" t="s">
        <v>2117</v>
      </c>
      <c r="D362" s="2"/>
      <c r="E362" s="75" t="str">
        <f t="shared" si="0"/>
        <v xml:space="preserve">MARQUEZ, MARISOL BALASON </v>
      </c>
      <c r="F362" s="2" t="s">
        <v>134</v>
      </c>
      <c r="G362" s="78" t="s">
        <v>2115</v>
      </c>
      <c r="H362" s="25" t="s">
        <v>333</v>
      </c>
      <c r="I362" s="77" t="s">
        <v>3047</v>
      </c>
      <c r="J362" s="77"/>
      <c r="K362" s="77" t="s">
        <v>3046</v>
      </c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</row>
    <row r="363" spans="1:32" ht="15" customHeight="1" x14ac:dyDescent="0.2">
      <c r="A363" s="1" t="s">
        <v>1993</v>
      </c>
      <c r="B363" s="1" t="s">
        <v>288</v>
      </c>
      <c r="C363" s="1" t="s">
        <v>1994</v>
      </c>
      <c r="D363" s="2"/>
      <c r="E363" s="75" t="str">
        <f t="shared" si="0"/>
        <v xml:space="preserve">MARTINEZ, ANGELICA VIRAY </v>
      </c>
      <c r="F363" s="2" t="s">
        <v>127</v>
      </c>
      <c r="G363" s="11" t="s">
        <v>1993</v>
      </c>
      <c r="H363" s="25" t="s">
        <v>636</v>
      </c>
      <c r="I363" s="77" t="s">
        <v>3046</v>
      </c>
      <c r="J363" s="77"/>
      <c r="K363" s="77" t="s">
        <v>3048</v>
      </c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</row>
    <row r="364" spans="1:32" ht="15" customHeight="1" x14ac:dyDescent="0.2">
      <c r="A364" s="1" t="s">
        <v>1347</v>
      </c>
      <c r="B364" s="1" t="s">
        <v>1348</v>
      </c>
      <c r="C364" s="1" t="s">
        <v>1349</v>
      </c>
      <c r="D364" s="2"/>
      <c r="E364" s="75" t="str">
        <f t="shared" si="0"/>
        <v xml:space="preserve">MASAGANDA, AARON BANAG </v>
      </c>
      <c r="F364" s="2" t="s">
        <v>42</v>
      </c>
      <c r="G364" s="78" t="s">
        <v>1347</v>
      </c>
      <c r="H364" s="25" t="s">
        <v>1350</v>
      </c>
      <c r="I364" s="77" t="s">
        <v>3048</v>
      </c>
      <c r="J364" s="77"/>
      <c r="K364" s="77" t="s">
        <v>3048</v>
      </c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</row>
    <row r="365" spans="1:32" ht="15" customHeight="1" x14ac:dyDescent="0.2">
      <c r="A365" s="1" t="s">
        <v>1352</v>
      </c>
      <c r="B365" s="1" t="s">
        <v>1353</v>
      </c>
      <c r="C365" s="1" t="s">
        <v>1354</v>
      </c>
      <c r="D365" s="2"/>
      <c r="E365" s="75" t="str">
        <f t="shared" si="0"/>
        <v xml:space="preserve">MATEO, MARIAN AILEEN R'JOSE </v>
      </c>
      <c r="F365" s="2" t="s">
        <v>42</v>
      </c>
      <c r="G365" s="78" t="s">
        <v>1352</v>
      </c>
      <c r="H365" s="25" t="s">
        <v>1356</v>
      </c>
      <c r="I365" s="77" t="s">
        <v>3048</v>
      </c>
      <c r="J365" s="77"/>
      <c r="K365" s="77" t="s">
        <v>3048</v>
      </c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</row>
    <row r="366" spans="1:32" ht="15" customHeight="1" x14ac:dyDescent="0.2">
      <c r="A366" s="1" t="s">
        <v>271</v>
      </c>
      <c r="B366" s="1" t="s">
        <v>104</v>
      </c>
      <c r="C366" s="1" t="s">
        <v>105</v>
      </c>
      <c r="D366" s="2"/>
      <c r="E366" s="75" t="str">
        <f t="shared" si="0"/>
        <v xml:space="preserve">MATILLANO, MINA HAYDEE BECERA </v>
      </c>
      <c r="F366" s="2" t="s">
        <v>42</v>
      </c>
      <c r="G366" s="78" t="s">
        <v>271</v>
      </c>
      <c r="H366" s="25" t="s">
        <v>1357</v>
      </c>
      <c r="I366" s="77" t="s">
        <v>3048</v>
      </c>
      <c r="J366" s="77"/>
      <c r="K366" s="77" t="s">
        <v>3048</v>
      </c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</row>
    <row r="367" spans="1:32" ht="15" customHeight="1" x14ac:dyDescent="0.2">
      <c r="A367" s="1" t="s">
        <v>447</v>
      </c>
      <c r="B367" s="1" t="s">
        <v>448</v>
      </c>
      <c r="C367" s="1" t="s">
        <v>449</v>
      </c>
      <c r="D367" s="2"/>
      <c r="E367" s="75" t="str">
        <f t="shared" si="0"/>
        <v xml:space="preserve">MEJIA, GIRLIE CRUZ </v>
      </c>
      <c r="F367" s="2" t="s">
        <v>42</v>
      </c>
      <c r="G367" s="78" t="s">
        <v>447</v>
      </c>
      <c r="H367" s="25" t="s">
        <v>709</v>
      </c>
      <c r="I367" s="77" t="s">
        <v>3048</v>
      </c>
      <c r="J367" s="77"/>
      <c r="K367" s="77" t="s">
        <v>3047</v>
      </c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</row>
    <row r="368" spans="1:32" ht="15" customHeight="1" x14ac:dyDescent="0.2">
      <c r="A368" s="1" t="s">
        <v>2182</v>
      </c>
      <c r="B368" s="1" t="s">
        <v>2183</v>
      </c>
      <c r="C368" s="1" t="s">
        <v>1744</v>
      </c>
      <c r="D368" s="2"/>
      <c r="E368" s="75" t="str">
        <f t="shared" si="0"/>
        <v xml:space="preserve">MELCHOR, JUNVI PASCUAL </v>
      </c>
      <c r="F368" s="2" t="s">
        <v>397</v>
      </c>
      <c r="G368" s="78" t="s">
        <v>2182</v>
      </c>
      <c r="H368" s="25" t="s">
        <v>2184</v>
      </c>
      <c r="I368" s="77" t="s">
        <v>3047</v>
      </c>
      <c r="J368" s="77"/>
      <c r="K368" s="77" t="s">
        <v>3047</v>
      </c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</row>
    <row r="369" spans="1:32" ht="15" customHeight="1" x14ac:dyDescent="0.2">
      <c r="A369" s="1" t="s">
        <v>2400</v>
      </c>
      <c r="B369" s="1" t="s">
        <v>141</v>
      </c>
      <c r="C369" s="1" t="s">
        <v>60</v>
      </c>
      <c r="D369" s="2"/>
      <c r="E369" s="75" t="str">
        <f t="shared" si="0"/>
        <v xml:space="preserve">MELGAR, CATHERINE MANUEL </v>
      </c>
      <c r="F369" s="2" t="s">
        <v>32</v>
      </c>
      <c r="G369" s="78" t="s">
        <v>2400</v>
      </c>
      <c r="H369" s="25" t="s">
        <v>785</v>
      </c>
      <c r="I369" s="77" t="s">
        <v>3047</v>
      </c>
      <c r="J369" s="77"/>
      <c r="K369" s="77" t="s">
        <v>3047</v>
      </c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</row>
    <row r="370" spans="1:32" ht="15" customHeight="1" x14ac:dyDescent="0.2">
      <c r="A370" s="1" t="s">
        <v>767</v>
      </c>
      <c r="B370" s="1" t="s">
        <v>1264</v>
      </c>
      <c r="C370" s="1" t="s">
        <v>1265</v>
      </c>
      <c r="D370" s="2"/>
      <c r="E370" s="75" t="str">
        <f t="shared" si="0"/>
        <v xml:space="preserve">MENDOZA, FLOMARIE JOHN GAVERIA </v>
      </c>
      <c r="F370" s="2" t="s">
        <v>32</v>
      </c>
      <c r="G370" s="78" t="s">
        <v>767</v>
      </c>
      <c r="H370" s="25" t="s">
        <v>333</v>
      </c>
      <c r="I370" s="77" t="s">
        <v>3047</v>
      </c>
      <c r="J370" s="77"/>
      <c r="K370" s="77" t="s">
        <v>3048</v>
      </c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</row>
    <row r="371" spans="1:32" ht="15" customHeight="1" x14ac:dyDescent="0.2">
      <c r="A371" s="1" t="s">
        <v>767</v>
      </c>
      <c r="B371" s="1" t="s">
        <v>768</v>
      </c>
      <c r="C371" s="1" t="s">
        <v>769</v>
      </c>
      <c r="D371" s="2"/>
      <c r="E371" s="75" t="str">
        <f t="shared" si="0"/>
        <v xml:space="preserve">MENDOZA, GENESIS TEODORO </v>
      </c>
      <c r="F371" s="2" t="s">
        <v>42</v>
      </c>
      <c r="G371" s="11" t="s">
        <v>767</v>
      </c>
      <c r="H371" s="25" t="s">
        <v>1305</v>
      </c>
      <c r="I371" s="77" t="s">
        <v>3048</v>
      </c>
      <c r="J371" s="77"/>
      <c r="K371" s="77" t="s">
        <v>3048</v>
      </c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</row>
    <row r="372" spans="1:32" ht="15" customHeight="1" x14ac:dyDescent="0.2">
      <c r="A372" s="1" t="s">
        <v>767</v>
      </c>
      <c r="B372" s="1" t="s">
        <v>2829</v>
      </c>
      <c r="C372" s="1" t="s">
        <v>706</v>
      </c>
      <c r="D372" s="2" t="s">
        <v>181</v>
      </c>
      <c r="E372" s="75" t="str">
        <f t="shared" si="0"/>
        <v>MENDOZA, RONILO BERNARDINO JR</v>
      </c>
      <c r="F372" s="2" t="s">
        <v>42</v>
      </c>
      <c r="G372" s="78" t="s">
        <v>767</v>
      </c>
      <c r="H372" s="25" t="s">
        <v>1055</v>
      </c>
      <c r="I372" s="77" t="s">
        <v>3048</v>
      </c>
      <c r="J372" s="77"/>
      <c r="K372" s="77" t="s">
        <v>3047</v>
      </c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</row>
    <row r="373" spans="1:32" ht="15" customHeight="1" x14ac:dyDescent="0.2">
      <c r="A373" s="59" t="s">
        <v>2196</v>
      </c>
      <c r="B373" s="59" t="s">
        <v>2197</v>
      </c>
      <c r="C373" s="59" t="s">
        <v>2198</v>
      </c>
      <c r="D373" s="75"/>
      <c r="E373" s="75" t="str">
        <f t="shared" si="0"/>
        <v xml:space="preserve">MERQUE, JUDE ANN GRIEGO </v>
      </c>
      <c r="F373" s="2" t="s">
        <v>134</v>
      </c>
      <c r="G373" s="11" t="s">
        <v>2196</v>
      </c>
      <c r="H373" s="25" t="s">
        <v>3173</v>
      </c>
      <c r="I373" s="77" t="s">
        <v>3047</v>
      </c>
      <c r="J373" s="77"/>
      <c r="K373" s="77" t="s">
        <v>3048</v>
      </c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</row>
    <row r="374" spans="1:32" ht="15" customHeight="1" x14ac:dyDescent="0.2">
      <c r="A374" s="1" t="s">
        <v>1362</v>
      </c>
      <c r="B374" s="1" t="s">
        <v>1363</v>
      </c>
      <c r="C374" s="1" t="s">
        <v>1364</v>
      </c>
      <c r="D374" s="2"/>
      <c r="E374" s="75" t="str">
        <f t="shared" si="0"/>
        <v xml:space="preserve">MESA, JOHN RICK ELUMBA </v>
      </c>
      <c r="F374" s="2" t="s">
        <v>42</v>
      </c>
      <c r="G374" s="78" t="s">
        <v>1362</v>
      </c>
      <c r="H374" s="25" t="s">
        <v>3174</v>
      </c>
      <c r="I374" s="77" t="s">
        <v>3048</v>
      </c>
      <c r="J374" s="77"/>
      <c r="K374" s="77" t="s">
        <v>3046</v>
      </c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</row>
    <row r="375" spans="1:32" ht="15" customHeight="1" x14ac:dyDescent="0.2">
      <c r="A375" s="1" t="s">
        <v>199</v>
      </c>
      <c r="B375" s="1" t="s">
        <v>34</v>
      </c>
      <c r="C375" s="1" t="s">
        <v>2041</v>
      </c>
      <c r="D375" s="2"/>
      <c r="E375" s="75" t="str">
        <f t="shared" si="0"/>
        <v xml:space="preserve">MIGUEL, GERALD POBLETE </v>
      </c>
      <c r="F375" s="2" t="s">
        <v>62</v>
      </c>
      <c r="G375" s="78" t="s">
        <v>199</v>
      </c>
      <c r="H375" s="25" t="s">
        <v>821</v>
      </c>
      <c r="I375" s="77" t="s">
        <v>3046</v>
      </c>
      <c r="J375" s="77"/>
      <c r="K375" s="77" t="s">
        <v>3047</v>
      </c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</row>
    <row r="376" spans="1:32" ht="15" customHeight="1" x14ac:dyDescent="0.2">
      <c r="A376" s="1" t="s">
        <v>1708</v>
      </c>
      <c r="B376" s="1" t="s">
        <v>1711</v>
      </c>
      <c r="C376" s="1" t="s">
        <v>1713</v>
      </c>
      <c r="D376" s="1"/>
      <c r="E376" s="75" t="str">
        <f t="shared" si="0"/>
        <v xml:space="preserve">MILLARE, OLIVIA ANTONIO </v>
      </c>
      <c r="F376" s="2" t="s">
        <v>528</v>
      </c>
      <c r="G376" s="78" t="s">
        <v>1708</v>
      </c>
      <c r="H376" s="25" t="s">
        <v>333</v>
      </c>
      <c r="I376" s="77" t="s">
        <v>3047</v>
      </c>
      <c r="J376" s="77"/>
      <c r="K376" s="77" t="s">
        <v>3047</v>
      </c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</row>
    <row r="377" spans="1:32" ht="15" customHeight="1" x14ac:dyDescent="0.2">
      <c r="A377" s="1" t="s">
        <v>2293</v>
      </c>
      <c r="B377" s="1" t="s">
        <v>2294</v>
      </c>
      <c r="C377" s="1" t="s">
        <v>2295</v>
      </c>
      <c r="D377" s="2"/>
      <c r="E377" s="75" t="str">
        <f t="shared" si="0"/>
        <v xml:space="preserve">MINA, EDGAR LABIAO </v>
      </c>
      <c r="F377" s="2" t="s">
        <v>397</v>
      </c>
      <c r="G377" s="78" t="s">
        <v>2293</v>
      </c>
      <c r="H377" s="25" t="s">
        <v>138</v>
      </c>
      <c r="I377" s="77" t="s">
        <v>3047</v>
      </c>
      <c r="J377" s="77"/>
      <c r="K377" s="77" t="s">
        <v>3048</v>
      </c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</row>
    <row r="378" spans="1:32" ht="15" customHeight="1" x14ac:dyDescent="0.2">
      <c r="A378" s="1" t="s">
        <v>1365</v>
      </c>
      <c r="B378" s="1" t="s">
        <v>1366</v>
      </c>
      <c r="C378" s="1" t="s">
        <v>1367</v>
      </c>
      <c r="D378" s="2"/>
      <c r="E378" s="75" t="str">
        <f t="shared" si="0"/>
        <v xml:space="preserve">MIRANDA, DONNAH ABRERA </v>
      </c>
      <c r="F378" s="2" t="s">
        <v>42</v>
      </c>
      <c r="G378" s="78" t="s">
        <v>1365</v>
      </c>
      <c r="H378" s="25" t="s">
        <v>709</v>
      </c>
      <c r="I378" s="77" t="s">
        <v>3048</v>
      </c>
      <c r="J378" s="77"/>
      <c r="K378" s="77" t="s">
        <v>3048</v>
      </c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</row>
    <row r="379" spans="1:32" ht="15" customHeight="1" x14ac:dyDescent="0.2">
      <c r="A379" s="1" t="s">
        <v>1371</v>
      </c>
      <c r="B379" s="1" t="s">
        <v>1373</v>
      </c>
      <c r="C379" s="1" t="s">
        <v>1374</v>
      </c>
      <c r="D379" s="2"/>
      <c r="E379" s="75" t="str">
        <f t="shared" si="0"/>
        <v xml:space="preserve">MISTICA, MA FELIRITA SUBIDO </v>
      </c>
      <c r="F379" s="2" t="s">
        <v>42</v>
      </c>
      <c r="G379" s="78" t="s">
        <v>1371</v>
      </c>
      <c r="H379" s="80" t="s">
        <v>1375</v>
      </c>
      <c r="I379" s="77" t="s">
        <v>3048</v>
      </c>
      <c r="J379" s="77"/>
      <c r="K379" s="77" t="s">
        <v>3047</v>
      </c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</row>
    <row r="380" spans="1:32" ht="15" customHeight="1" x14ac:dyDescent="0.2">
      <c r="A380" s="1" t="s">
        <v>1395</v>
      </c>
      <c r="B380" s="1" t="s">
        <v>2276</v>
      </c>
      <c r="C380" s="1" t="s">
        <v>1863</v>
      </c>
      <c r="D380" s="2"/>
      <c r="E380" s="75" t="str">
        <f t="shared" si="0"/>
        <v xml:space="preserve">MOLINA, DOMINICK EZRA GACES </v>
      </c>
      <c r="F380" s="2" t="s">
        <v>32</v>
      </c>
      <c r="G380" s="5" t="s">
        <v>1395</v>
      </c>
      <c r="H380" s="25" t="s">
        <v>138</v>
      </c>
      <c r="I380" s="77" t="s">
        <v>3047</v>
      </c>
      <c r="J380" s="77"/>
      <c r="K380" s="77" t="s">
        <v>3048</v>
      </c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</row>
    <row r="381" spans="1:32" ht="15" customHeight="1" x14ac:dyDescent="0.2">
      <c r="A381" s="1" t="s">
        <v>1376</v>
      </c>
      <c r="B381" s="1" t="s">
        <v>1377</v>
      </c>
      <c r="C381" s="1" t="s">
        <v>1378</v>
      </c>
      <c r="D381" s="2"/>
      <c r="E381" s="75" t="str">
        <f t="shared" si="0"/>
        <v xml:space="preserve">MONAR, CHRISTIAN MEL OLOR </v>
      </c>
      <c r="F381" s="2" t="s">
        <v>42</v>
      </c>
      <c r="G381" s="78" t="s">
        <v>1376</v>
      </c>
      <c r="H381" s="25" t="s">
        <v>1379</v>
      </c>
      <c r="I381" s="77" t="s">
        <v>3048</v>
      </c>
      <c r="J381" s="77"/>
      <c r="K381" s="77" t="s">
        <v>3047</v>
      </c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</row>
    <row r="382" spans="1:32" ht="15" customHeight="1" x14ac:dyDescent="0.2">
      <c r="A382" s="1" t="s">
        <v>2430</v>
      </c>
      <c r="B382" s="1" t="s">
        <v>2431</v>
      </c>
      <c r="C382" s="1" t="s">
        <v>1728</v>
      </c>
      <c r="D382" s="2"/>
      <c r="E382" s="75" t="str">
        <f t="shared" si="0"/>
        <v xml:space="preserve">MONTIGO, MARKIN GUTIERREZ </v>
      </c>
      <c r="F382" s="2" t="s">
        <v>32</v>
      </c>
      <c r="G382" s="5" t="s">
        <v>2430</v>
      </c>
      <c r="H382" s="25" t="s">
        <v>785</v>
      </c>
      <c r="I382" s="77" t="s">
        <v>3047</v>
      </c>
      <c r="J382" s="77"/>
      <c r="K382" s="77" t="s">
        <v>3048</v>
      </c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</row>
    <row r="383" spans="1:32" ht="15" customHeight="1" x14ac:dyDescent="0.2">
      <c r="A383" s="1" t="s">
        <v>1386</v>
      </c>
      <c r="B383" s="1" t="s">
        <v>1387</v>
      </c>
      <c r="C383" s="1" t="s">
        <v>898</v>
      </c>
      <c r="D383" s="2"/>
      <c r="E383" s="75" t="str">
        <f t="shared" si="0"/>
        <v xml:space="preserve">MORALES, MARIA MARGARITA ROSARIO GARCIA </v>
      </c>
      <c r="F383" s="2" t="s">
        <v>42</v>
      </c>
      <c r="G383" s="78" t="s">
        <v>1386</v>
      </c>
      <c r="H383" s="25" t="s">
        <v>1007</v>
      </c>
      <c r="I383" s="77" t="s">
        <v>3048</v>
      </c>
      <c r="J383" s="77"/>
      <c r="K383" s="77" t="s">
        <v>3047</v>
      </c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</row>
    <row r="384" spans="1:32" ht="15" customHeight="1" x14ac:dyDescent="0.2">
      <c r="A384" s="1" t="s">
        <v>38</v>
      </c>
      <c r="B384" s="1" t="s">
        <v>39</v>
      </c>
      <c r="C384" s="1" t="s">
        <v>40</v>
      </c>
      <c r="D384" s="2"/>
      <c r="E384" s="75" t="str">
        <f t="shared" si="0"/>
        <v xml:space="preserve">MORI, LYNDON ACOSTA </v>
      </c>
      <c r="F384" s="2" t="s">
        <v>32</v>
      </c>
      <c r="G384" s="5" t="s">
        <v>38</v>
      </c>
      <c r="H384" s="25" t="s">
        <v>138</v>
      </c>
      <c r="I384" s="77" t="s">
        <v>3047</v>
      </c>
      <c r="J384" s="77"/>
      <c r="K384" s="77" t="s">
        <v>3047</v>
      </c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</row>
    <row r="385" spans="1:32" ht="15" customHeight="1" x14ac:dyDescent="0.2">
      <c r="A385" s="1" t="s">
        <v>297</v>
      </c>
      <c r="B385" s="1" t="s">
        <v>298</v>
      </c>
      <c r="C385" s="1" t="s">
        <v>299</v>
      </c>
      <c r="D385" s="2"/>
      <c r="E385" s="75" t="str">
        <f t="shared" si="0"/>
        <v xml:space="preserve">MORTEL, ALWYN ALBUFERA </v>
      </c>
      <c r="F385" s="2" t="s">
        <v>32</v>
      </c>
      <c r="G385" s="5" t="s">
        <v>297</v>
      </c>
      <c r="H385" s="25" t="s">
        <v>27</v>
      </c>
      <c r="I385" s="77" t="s">
        <v>3047</v>
      </c>
      <c r="J385" s="77"/>
      <c r="K385" s="77" t="s">
        <v>3048</v>
      </c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</row>
    <row r="386" spans="1:32" ht="15" customHeight="1" x14ac:dyDescent="0.2">
      <c r="A386" s="1" t="s">
        <v>1389</v>
      </c>
      <c r="B386" s="1" t="s">
        <v>1390</v>
      </c>
      <c r="C386" s="1" t="s">
        <v>1391</v>
      </c>
      <c r="D386" s="2"/>
      <c r="E386" s="75" t="str">
        <f t="shared" si="0"/>
        <v xml:space="preserve">MOSLARES, ALPHA RIZZA ZARSATA </v>
      </c>
      <c r="F386" s="2" t="s">
        <v>42</v>
      </c>
      <c r="G386" s="5" t="s">
        <v>1389</v>
      </c>
      <c r="H386" s="25" t="s">
        <v>1392</v>
      </c>
      <c r="I386" s="77" t="s">
        <v>3048</v>
      </c>
      <c r="J386" s="77"/>
      <c r="K386" s="77" t="s">
        <v>3047</v>
      </c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</row>
    <row r="387" spans="1:32" ht="15" customHeight="1" x14ac:dyDescent="0.2">
      <c r="A387" s="1" t="s">
        <v>1389</v>
      </c>
      <c r="B387" s="1" t="s">
        <v>2480</v>
      </c>
      <c r="C387" s="1" t="s">
        <v>1395</v>
      </c>
      <c r="D387" s="2"/>
      <c r="E387" s="75" t="str">
        <f t="shared" si="0"/>
        <v xml:space="preserve">MOSLARES, CHARLES BRYAN MOLINA </v>
      </c>
      <c r="F387" s="2" t="s">
        <v>32</v>
      </c>
      <c r="G387" s="78" t="s">
        <v>1389</v>
      </c>
      <c r="H387" s="25" t="s">
        <v>1787</v>
      </c>
      <c r="I387" s="77" t="s">
        <v>3047</v>
      </c>
      <c r="J387" s="77"/>
      <c r="K387" s="77" t="s">
        <v>3047</v>
      </c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</row>
    <row r="388" spans="1:32" ht="15" customHeight="1" x14ac:dyDescent="0.2">
      <c r="A388" s="1" t="s">
        <v>2462</v>
      </c>
      <c r="B388" s="1" t="s">
        <v>2463</v>
      </c>
      <c r="C388" s="1" t="s">
        <v>2464</v>
      </c>
      <c r="D388" s="2"/>
      <c r="E388" s="75" t="str">
        <f t="shared" si="0"/>
        <v xml:space="preserve">MUKTAJAR, GAJIR MUHARRANI </v>
      </c>
      <c r="F388" s="2" t="s">
        <v>528</v>
      </c>
      <c r="G388" s="78" t="s">
        <v>2462</v>
      </c>
      <c r="H388" s="25" t="s">
        <v>785</v>
      </c>
      <c r="I388" s="77" t="s">
        <v>3047</v>
      </c>
      <c r="J388" s="77"/>
      <c r="K388" s="77" t="s">
        <v>3048</v>
      </c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</row>
    <row r="389" spans="1:32" ht="15" customHeight="1" x14ac:dyDescent="0.2">
      <c r="A389" s="1" t="s">
        <v>1396</v>
      </c>
      <c r="B389" s="1" t="s">
        <v>1397</v>
      </c>
      <c r="C389" s="1" t="s">
        <v>1398</v>
      </c>
      <c r="D389" s="2"/>
      <c r="E389" s="75" t="str">
        <f t="shared" si="0"/>
        <v xml:space="preserve">MULANO, MARY MICHELLE FULGENCIO </v>
      </c>
      <c r="F389" s="2" t="s">
        <v>42</v>
      </c>
      <c r="G389" s="78" t="s">
        <v>1396</v>
      </c>
      <c r="H389" s="25" t="s">
        <v>227</v>
      </c>
      <c r="I389" s="77" t="s">
        <v>3048</v>
      </c>
      <c r="J389" s="77"/>
      <c r="K389" s="77" t="s">
        <v>3046</v>
      </c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</row>
    <row r="390" spans="1:32" ht="15" customHeight="1" x14ac:dyDescent="0.2">
      <c r="A390" s="1" t="s">
        <v>373</v>
      </c>
      <c r="B390" s="1" t="s">
        <v>374</v>
      </c>
      <c r="C390" s="1" t="s">
        <v>375</v>
      </c>
      <c r="D390" s="2"/>
      <c r="E390" s="75" t="str">
        <f t="shared" si="0"/>
        <v xml:space="preserve">MUÑOZ, RANZ NIKKO BIEN </v>
      </c>
      <c r="F390" s="2" t="s">
        <v>127</v>
      </c>
      <c r="G390" s="11" t="s">
        <v>373</v>
      </c>
      <c r="H390" s="25" t="s">
        <v>259</v>
      </c>
      <c r="I390" s="77" t="s">
        <v>3046</v>
      </c>
      <c r="J390" s="77"/>
      <c r="K390" s="77" t="s">
        <v>3048</v>
      </c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</row>
    <row r="391" spans="1:32" ht="15" customHeight="1" x14ac:dyDescent="0.2">
      <c r="A391" s="1" t="s">
        <v>241</v>
      </c>
      <c r="B391" s="1" t="s">
        <v>242</v>
      </c>
      <c r="C391" s="1" t="s">
        <v>243</v>
      </c>
      <c r="D391" s="2"/>
      <c r="E391" s="75" t="str">
        <f t="shared" si="0"/>
        <v xml:space="preserve">NABONG, WENDA GREEN LINDON TOMAS </v>
      </c>
      <c r="F391" s="2" t="s">
        <v>42</v>
      </c>
      <c r="G391" s="78" t="s">
        <v>241</v>
      </c>
      <c r="H391" s="25" t="s">
        <v>3179</v>
      </c>
      <c r="I391" s="77" t="s">
        <v>3048</v>
      </c>
      <c r="J391" s="77"/>
      <c r="K391" s="77" t="s">
        <v>3046</v>
      </c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</row>
    <row r="392" spans="1:32" ht="15" customHeight="1" x14ac:dyDescent="0.2">
      <c r="A392" s="9" t="s">
        <v>1789</v>
      </c>
      <c r="B392" s="9" t="s">
        <v>1136</v>
      </c>
      <c r="C392" s="9" t="s">
        <v>1790</v>
      </c>
      <c r="D392" s="82"/>
      <c r="E392" s="75" t="str">
        <f t="shared" si="0"/>
        <v xml:space="preserve">NADERA, JOSHUA SABATE </v>
      </c>
      <c r="F392" s="2" t="s">
        <v>323</v>
      </c>
      <c r="G392" s="78" t="s">
        <v>1789</v>
      </c>
      <c r="H392" s="25" t="s">
        <v>259</v>
      </c>
      <c r="I392" s="77" t="s">
        <v>3046</v>
      </c>
      <c r="J392" s="77"/>
      <c r="K392" s="77" t="s">
        <v>3048</v>
      </c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</row>
    <row r="393" spans="1:32" ht="15" customHeight="1" x14ac:dyDescent="0.2">
      <c r="A393" s="1" t="s">
        <v>3180</v>
      </c>
      <c r="B393" s="1" t="s">
        <v>3181</v>
      </c>
      <c r="C393" s="1" t="s">
        <v>3182</v>
      </c>
      <c r="D393" s="2"/>
      <c r="E393" s="75" t="str">
        <f t="shared" si="0"/>
        <v xml:space="preserve">NADORA, ADRIAN JOSE POSADAS </v>
      </c>
      <c r="F393" s="2" t="s">
        <v>42</v>
      </c>
      <c r="G393" s="78" t="s">
        <v>3180</v>
      </c>
      <c r="H393" s="25" t="s">
        <v>3183</v>
      </c>
      <c r="I393" s="77" t="s">
        <v>3048</v>
      </c>
      <c r="J393" s="77"/>
      <c r="K393" s="77" t="s">
        <v>3047</v>
      </c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</row>
    <row r="394" spans="1:32" ht="15" customHeight="1" x14ac:dyDescent="0.2">
      <c r="A394" s="1" t="s">
        <v>1855</v>
      </c>
      <c r="B394" s="1" t="s">
        <v>1856</v>
      </c>
      <c r="C394" s="1" t="s">
        <v>984</v>
      </c>
      <c r="D394" s="2"/>
      <c r="E394" s="75" t="str">
        <f t="shared" si="0"/>
        <v xml:space="preserve">NALING, ANN JENETH SALAZAR </v>
      </c>
      <c r="F394" s="2" t="s">
        <v>32</v>
      </c>
      <c r="G394" s="11" t="s">
        <v>1855</v>
      </c>
      <c r="H394" s="25" t="s">
        <v>333</v>
      </c>
      <c r="I394" s="77" t="s">
        <v>3047</v>
      </c>
      <c r="J394" s="77"/>
      <c r="K394" s="77" t="s">
        <v>3046</v>
      </c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</row>
    <row r="395" spans="1:32" ht="15" customHeight="1" x14ac:dyDescent="0.2">
      <c r="A395" s="74" t="s">
        <v>834</v>
      </c>
      <c r="B395" s="74" t="s">
        <v>599</v>
      </c>
      <c r="C395" s="74" t="s">
        <v>836</v>
      </c>
      <c r="D395" s="75"/>
      <c r="E395" s="75" t="str">
        <f t="shared" si="0"/>
        <v xml:space="preserve">NAPOD, GILBERT OLIQUINO </v>
      </c>
      <c r="F395" s="2" t="s">
        <v>127</v>
      </c>
      <c r="G395" s="11" t="s">
        <v>834</v>
      </c>
      <c r="H395" s="25" t="s">
        <v>259</v>
      </c>
      <c r="I395" s="77" t="s">
        <v>3046</v>
      </c>
      <c r="J395" s="77"/>
      <c r="K395" s="77" t="s">
        <v>3048</v>
      </c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</row>
    <row r="396" spans="1:32" ht="15" customHeight="1" x14ac:dyDescent="0.2">
      <c r="A396" s="1" t="s">
        <v>1400</v>
      </c>
      <c r="B396" s="1" t="s">
        <v>838</v>
      </c>
      <c r="C396" s="1" t="s">
        <v>1402</v>
      </c>
      <c r="D396" s="2"/>
      <c r="E396" s="75" t="str">
        <f t="shared" si="0"/>
        <v xml:space="preserve">NAVARRO, ERIC BARCELONA </v>
      </c>
      <c r="F396" s="2" t="s">
        <v>42</v>
      </c>
      <c r="G396" s="78" t="s">
        <v>1400</v>
      </c>
      <c r="H396" s="25" t="s">
        <v>1403</v>
      </c>
      <c r="I396" s="77" t="s">
        <v>3048</v>
      </c>
      <c r="J396" s="77"/>
      <c r="K396" s="77" t="s">
        <v>3047</v>
      </c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</row>
    <row r="397" spans="1:32" ht="15" customHeight="1" x14ac:dyDescent="0.2">
      <c r="A397" s="1" t="s">
        <v>1384</v>
      </c>
      <c r="B397" s="1" t="s">
        <v>1500</v>
      </c>
      <c r="C397" s="1" t="s">
        <v>1319</v>
      </c>
      <c r="D397" s="2"/>
      <c r="E397" s="75" t="str">
        <f t="shared" si="0"/>
        <v xml:space="preserve">NAZA, CLAUDINE PALATTAO </v>
      </c>
      <c r="F397" s="2" t="s">
        <v>134</v>
      </c>
      <c r="G397" s="78" t="s">
        <v>1384</v>
      </c>
      <c r="H397" s="25" t="s">
        <v>333</v>
      </c>
      <c r="I397" s="77" t="s">
        <v>3047</v>
      </c>
      <c r="J397" s="77"/>
      <c r="K397" s="77" t="s">
        <v>3047</v>
      </c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</row>
    <row r="398" spans="1:32" ht="15" customHeight="1" x14ac:dyDescent="0.2">
      <c r="A398" s="1" t="s">
        <v>2012</v>
      </c>
      <c r="B398" s="1" t="s">
        <v>2013</v>
      </c>
      <c r="C398" s="1" t="s">
        <v>2014</v>
      </c>
      <c r="D398" s="2"/>
      <c r="E398" s="75" t="str">
        <f t="shared" si="0"/>
        <v xml:space="preserve">NERI, FREDIMAR SIMON </v>
      </c>
      <c r="F398" s="2" t="s">
        <v>32</v>
      </c>
      <c r="G398" s="5" t="s">
        <v>2012</v>
      </c>
      <c r="H398" s="25" t="s">
        <v>333</v>
      </c>
      <c r="I398" s="77" t="s">
        <v>3047</v>
      </c>
      <c r="J398" s="77"/>
      <c r="K398" s="77" t="s">
        <v>3046</v>
      </c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</row>
    <row r="399" spans="1:32" ht="15" customHeight="1" x14ac:dyDescent="0.2">
      <c r="A399" s="1" t="s">
        <v>461</v>
      </c>
      <c r="B399" s="1" t="s">
        <v>462</v>
      </c>
      <c r="C399" s="1" t="s">
        <v>463</v>
      </c>
      <c r="D399" s="2"/>
      <c r="E399" s="75" t="str">
        <f t="shared" si="0"/>
        <v xml:space="preserve">NICOLAS, JAY-R TADEO </v>
      </c>
      <c r="F399" s="2" t="s">
        <v>318</v>
      </c>
      <c r="G399" s="78" t="s">
        <v>461</v>
      </c>
      <c r="H399" s="25" t="s">
        <v>259</v>
      </c>
      <c r="I399" s="77" t="s">
        <v>3046</v>
      </c>
      <c r="J399" s="77"/>
      <c r="K399" s="77" t="s">
        <v>3048</v>
      </c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</row>
    <row r="400" spans="1:32" ht="15" customHeight="1" x14ac:dyDescent="0.2">
      <c r="A400" s="1" t="s">
        <v>1404</v>
      </c>
      <c r="B400" s="1" t="s">
        <v>1405</v>
      </c>
      <c r="C400" s="1" t="s">
        <v>1406</v>
      </c>
      <c r="D400" s="2"/>
      <c r="E400" s="75" t="str">
        <f t="shared" si="0"/>
        <v xml:space="preserve">NIEVA, AILEEN SABELA </v>
      </c>
      <c r="F400" s="2" t="s">
        <v>42</v>
      </c>
      <c r="G400" s="78" t="s">
        <v>1404</v>
      </c>
      <c r="H400" s="25" t="s">
        <v>1407</v>
      </c>
      <c r="I400" s="77" t="s">
        <v>3048</v>
      </c>
      <c r="J400" s="77"/>
      <c r="K400" s="77" t="s">
        <v>3047</v>
      </c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</row>
    <row r="401" spans="1:32" ht="15" customHeight="1" x14ac:dyDescent="0.2">
      <c r="A401" s="1" t="s">
        <v>1858</v>
      </c>
      <c r="B401" s="1" t="s">
        <v>1859</v>
      </c>
      <c r="C401" s="1" t="s">
        <v>1861</v>
      </c>
      <c r="D401" s="2" t="s">
        <v>181</v>
      </c>
      <c r="E401" s="75" t="str">
        <f t="shared" si="0"/>
        <v>NIEZ, JORDAN ESTRELLA JR</v>
      </c>
      <c r="F401" s="2" t="s">
        <v>32</v>
      </c>
      <c r="G401" s="5" t="s">
        <v>1858</v>
      </c>
      <c r="H401" s="25" t="s">
        <v>333</v>
      </c>
      <c r="I401" s="77" t="s">
        <v>3047</v>
      </c>
      <c r="J401" s="77"/>
      <c r="K401" s="77" t="s">
        <v>3046</v>
      </c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</row>
    <row r="402" spans="1:32" ht="15" customHeight="1" x14ac:dyDescent="0.2">
      <c r="A402" s="1" t="s">
        <v>423</v>
      </c>
      <c r="B402" s="1" t="s">
        <v>236</v>
      </c>
      <c r="C402" s="1" t="s">
        <v>424</v>
      </c>
      <c r="D402" s="2"/>
      <c r="E402" s="75" t="str">
        <f t="shared" si="0"/>
        <v xml:space="preserve">NOBRES, ROY DANGSI </v>
      </c>
      <c r="F402" s="2" t="s">
        <v>318</v>
      </c>
      <c r="G402" s="78" t="s">
        <v>423</v>
      </c>
      <c r="H402" s="25" t="s">
        <v>259</v>
      </c>
      <c r="I402" s="77" t="s">
        <v>3046</v>
      </c>
      <c r="J402" s="77"/>
      <c r="K402" s="77" t="s">
        <v>3048</v>
      </c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</row>
    <row r="403" spans="1:32" ht="15" customHeight="1" x14ac:dyDescent="0.2">
      <c r="A403" s="1" t="s">
        <v>1411</v>
      </c>
      <c r="B403" s="1" t="s">
        <v>1412</v>
      </c>
      <c r="C403" s="1" t="s">
        <v>1101</v>
      </c>
      <c r="D403" s="2"/>
      <c r="E403" s="75" t="str">
        <f t="shared" si="0"/>
        <v xml:space="preserve">NOVIDA, MARILOU FERNANDEZ </v>
      </c>
      <c r="F403" s="2" t="s">
        <v>42</v>
      </c>
      <c r="G403" s="78" t="s">
        <v>1411</v>
      </c>
      <c r="H403" s="25" t="s">
        <v>1413</v>
      </c>
      <c r="I403" s="77" t="s">
        <v>3048</v>
      </c>
      <c r="J403" s="77"/>
      <c r="K403" s="77" t="s">
        <v>3047</v>
      </c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</row>
    <row r="404" spans="1:32" ht="15" customHeight="1" x14ac:dyDescent="0.2">
      <c r="A404" s="9" t="s">
        <v>610</v>
      </c>
      <c r="B404" s="9" t="s">
        <v>611</v>
      </c>
      <c r="C404" s="9" t="s">
        <v>612</v>
      </c>
      <c r="D404" s="2"/>
      <c r="E404" s="75" t="str">
        <f t="shared" si="0"/>
        <v xml:space="preserve">OBOG, JOHN MARLO MAGRAMO </v>
      </c>
      <c r="F404" s="2" t="s">
        <v>32</v>
      </c>
      <c r="G404" s="5" t="s">
        <v>610</v>
      </c>
      <c r="H404" s="25" t="s">
        <v>333</v>
      </c>
      <c r="I404" s="77" t="s">
        <v>3047</v>
      </c>
      <c r="J404" s="77"/>
      <c r="K404" s="77" t="s">
        <v>3046</v>
      </c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</row>
    <row r="405" spans="1:32" ht="15" customHeight="1" x14ac:dyDescent="0.2">
      <c r="A405" s="74" t="s">
        <v>1000</v>
      </c>
      <c r="B405" s="74" t="s">
        <v>1001</v>
      </c>
      <c r="C405" s="74" t="s">
        <v>1002</v>
      </c>
      <c r="D405" s="75"/>
      <c r="E405" s="75" t="str">
        <f t="shared" si="0"/>
        <v xml:space="preserve">OBORDO, JOEDHEL LLOYD EYAO </v>
      </c>
      <c r="F405" s="2" t="s">
        <v>127</v>
      </c>
      <c r="G405" s="11" t="s">
        <v>1000</v>
      </c>
      <c r="H405" s="25" t="s">
        <v>259</v>
      </c>
      <c r="I405" s="77" t="s">
        <v>3046</v>
      </c>
      <c r="J405" s="77"/>
      <c r="K405" s="77" t="s">
        <v>3046</v>
      </c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</row>
    <row r="406" spans="1:32" ht="15" customHeight="1" x14ac:dyDescent="0.2">
      <c r="A406" s="1" t="s">
        <v>703</v>
      </c>
      <c r="B406" s="1" t="s">
        <v>704</v>
      </c>
      <c r="C406" s="1" t="s">
        <v>705</v>
      </c>
      <c r="D406" s="2" t="s">
        <v>181</v>
      </c>
      <c r="E406" s="75" t="str">
        <f t="shared" si="0"/>
        <v>OCAMPO, AMADO BISCAYDA JR</v>
      </c>
      <c r="F406" s="2" t="s">
        <v>318</v>
      </c>
      <c r="G406" s="78" t="s">
        <v>703</v>
      </c>
      <c r="H406" s="25" t="s">
        <v>259</v>
      </c>
      <c r="I406" s="77" t="s">
        <v>3046</v>
      </c>
      <c r="J406" s="77"/>
      <c r="K406" s="77" t="s">
        <v>3048</v>
      </c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</row>
    <row r="407" spans="1:32" ht="15" customHeight="1" x14ac:dyDescent="0.2">
      <c r="A407" s="1" t="s">
        <v>1414</v>
      </c>
      <c r="B407" s="1" t="s">
        <v>1415</v>
      </c>
      <c r="C407" s="1" t="s">
        <v>1416</v>
      </c>
      <c r="D407" s="2"/>
      <c r="E407" s="75" t="str">
        <f t="shared" si="0"/>
        <v xml:space="preserve">OLIVAR, CHARLENE LAURESTA </v>
      </c>
      <c r="F407" s="2" t="s">
        <v>42</v>
      </c>
      <c r="G407" s="78" t="s">
        <v>1414</v>
      </c>
      <c r="H407" s="25" t="s">
        <v>3174</v>
      </c>
      <c r="I407" s="77" t="s">
        <v>3048</v>
      </c>
      <c r="J407" s="77"/>
      <c r="K407" s="77" t="s">
        <v>3047</v>
      </c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</row>
    <row r="408" spans="1:32" ht="15" customHeight="1" x14ac:dyDescent="0.2">
      <c r="A408" s="1" t="s">
        <v>2708</v>
      </c>
      <c r="B408" s="1" t="s">
        <v>2709</v>
      </c>
      <c r="C408" s="1" t="s">
        <v>2710</v>
      </c>
      <c r="D408" s="2"/>
      <c r="E408" s="75" t="str">
        <f t="shared" si="0"/>
        <v xml:space="preserve">OLOJAN, CHRISTOPHER BRIAN ASTUDILLO </v>
      </c>
      <c r="F408" s="2" t="s">
        <v>177</v>
      </c>
      <c r="G408" s="78" t="s">
        <v>2708</v>
      </c>
      <c r="H408" s="25" t="s">
        <v>2680</v>
      </c>
      <c r="I408" s="77" t="s">
        <v>3047</v>
      </c>
      <c r="J408" s="77"/>
      <c r="K408" s="77" t="s">
        <v>3048</v>
      </c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</row>
    <row r="409" spans="1:32" ht="15" customHeight="1" x14ac:dyDescent="0.2">
      <c r="A409" s="1" t="s">
        <v>1421</v>
      </c>
      <c r="B409" s="1" t="s">
        <v>489</v>
      </c>
      <c r="C409" s="1" t="s">
        <v>490</v>
      </c>
      <c r="D409" s="2"/>
      <c r="E409" s="75" t="str">
        <f t="shared" si="0"/>
        <v xml:space="preserve">OÑA, ERNANI WILSON </v>
      </c>
      <c r="F409" s="2" t="s">
        <v>42</v>
      </c>
      <c r="G409" s="78" t="s">
        <v>1421</v>
      </c>
      <c r="H409" s="25" t="s">
        <v>1108</v>
      </c>
      <c r="I409" s="77" t="s">
        <v>3048</v>
      </c>
      <c r="J409" s="77"/>
      <c r="K409" s="77" t="s">
        <v>3046</v>
      </c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</row>
    <row r="410" spans="1:32" ht="15" customHeight="1" x14ac:dyDescent="0.2">
      <c r="A410" s="74" t="s">
        <v>1550</v>
      </c>
      <c r="B410" s="74" t="s">
        <v>1551</v>
      </c>
      <c r="C410" s="74" t="s">
        <v>1552</v>
      </c>
      <c r="D410" s="75"/>
      <c r="E410" s="75" t="str">
        <f t="shared" si="0"/>
        <v xml:space="preserve">ONDONA, JOHN HOPE MILLAN </v>
      </c>
      <c r="F410" s="2" t="s">
        <v>127</v>
      </c>
      <c r="G410" s="11" t="s">
        <v>1550</v>
      </c>
      <c r="H410" s="25" t="s">
        <v>259</v>
      </c>
      <c r="I410" s="77" t="s">
        <v>3046</v>
      </c>
      <c r="J410" s="77"/>
      <c r="K410" s="77" t="s">
        <v>3048</v>
      </c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</row>
    <row r="411" spans="1:32" ht="15" customHeight="1" x14ac:dyDescent="0.2">
      <c r="A411" s="1" t="s">
        <v>1424</v>
      </c>
      <c r="B411" s="1" t="s">
        <v>1426</v>
      </c>
      <c r="C411" s="1" t="s">
        <v>1428</v>
      </c>
      <c r="D411" s="2"/>
      <c r="E411" s="75" t="str">
        <f t="shared" si="0"/>
        <v xml:space="preserve">ONGKINGCO, RAMIL MADRID </v>
      </c>
      <c r="F411" s="2" t="s">
        <v>42</v>
      </c>
      <c r="G411" s="78" t="s">
        <v>1424</v>
      </c>
      <c r="H411" s="25" t="s">
        <v>3174</v>
      </c>
      <c r="I411" s="77" t="s">
        <v>3048</v>
      </c>
      <c r="J411" s="77"/>
      <c r="K411" s="77" t="s">
        <v>3046</v>
      </c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</row>
    <row r="412" spans="1:32" ht="15" customHeight="1" x14ac:dyDescent="0.2">
      <c r="A412" s="74" t="s">
        <v>2185</v>
      </c>
      <c r="B412" s="74" t="s">
        <v>2187</v>
      </c>
      <c r="C412" s="74" t="s">
        <v>2189</v>
      </c>
      <c r="D412" s="75"/>
      <c r="E412" s="75" t="str">
        <f t="shared" si="0"/>
        <v xml:space="preserve">ONIL, RELLON SUAYAN </v>
      </c>
      <c r="F412" s="2" t="s">
        <v>127</v>
      </c>
      <c r="G412" s="11" t="s">
        <v>2185</v>
      </c>
      <c r="H412" s="25" t="s">
        <v>3188</v>
      </c>
      <c r="I412" s="77" t="s">
        <v>3046</v>
      </c>
      <c r="J412" s="77"/>
      <c r="K412" s="77" t="s">
        <v>3047</v>
      </c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</row>
    <row r="413" spans="1:32" ht="15" customHeight="1" x14ac:dyDescent="0.2">
      <c r="A413" s="1" t="s">
        <v>1873</v>
      </c>
      <c r="B413" s="1" t="s">
        <v>1771</v>
      </c>
      <c r="C413" s="1" t="s">
        <v>1874</v>
      </c>
      <c r="D413" s="2"/>
      <c r="E413" s="75" t="str">
        <f t="shared" si="0"/>
        <v xml:space="preserve">ORANTE, JOHN MICHAEL CEPRIA </v>
      </c>
      <c r="F413" s="2" t="s">
        <v>177</v>
      </c>
      <c r="G413" s="78" t="s">
        <v>1873</v>
      </c>
      <c r="H413" s="25" t="s">
        <v>333</v>
      </c>
      <c r="I413" s="77" t="s">
        <v>3047</v>
      </c>
      <c r="J413" s="77"/>
      <c r="K413" s="77" t="s">
        <v>3046</v>
      </c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</row>
    <row r="414" spans="1:32" ht="15" customHeight="1" x14ac:dyDescent="0.2">
      <c r="A414" s="9" t="s">
        <v>2026</v>
      </c>
      <c r="B414" s="9" t="s">
        <v>2027</v>
      </c>
      <c r="C414" s="9" t="s">
        <v>2028</v>
      </c>
      <c r="D414" s="82"/>
      <c r="E414" s="75" t="str">
        <f t="shared" si="0"/>
        <v xml:space="preserve">ORENSE, ANDREW AYALIN </v>
      </c>
      <c r="F414" s="2" t="s">
        <v>323</v>
      </c>
      <c r="G414" s="81" t="s">
        <v>2026</v>
      </c>
      <c r="H414" s="25" t="s">
        <v>636</v>
      </c>
      <c r="I414" s="77" t="s">
        <v>3046</v>
      </c>
      <c r="J414" s="77"/>
      <c r="K414" s="77" t="s">
        <v>3048</v>
      </c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</row>
    <row r="415" spans="1:32" ht="15" customHeight="1" x14ac:dyDescent="0.2">
      <c r="A415" s="1" t="s">
        <v>1431</v>
      </c>
      <c r="B415" s="1" t="s">
        <v>1433</v>
      </c>
      <c r="C415" s="1" t="s">
        <v>1034</v>
      </c>
      <c r="D415" s="2"/>
      <c r="E415" s="75" t="str">
        <f t="shared" si="0"/>
        <v xml:space="preserve">OREVILLO, CARLO JOHN GUEVARRA </v>
      </c>
      <c r="F415" s="2" t="s">
        <v>42</v>
      </c>
      <c r="G415" s="78" t="s">
        <v>1431</v>
      </c>
      <c r="H415" s="25" t="s">
        <v>1435</v>
      </c>
      <c r="I415" s="77" t="s">
        <v>3048</v>
      </c>
      <c r="J415" s="77"/>
      <c r="K415" s="77" t="s">
        <v>3047</v>
      </c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</row>
    <row r="416" spans="1:32" ht="15" customHeight="1" x14ac:dyDescent="0.2">
      <c r="A416" s="1" t="s">
        <v>1772</v>
      </c>
      <c r="B416" s="1" t="s">
        <v>1773</v>
      </c>
      <c r="C416" s="1" t="s">
        <v>1774</v>
      </c>
      <c r="D416" s="2" t="s">
        <v>181</v>
      </c>
      <c r="E416" s="75" t="str">
        <f t="shared" si="0"/>
        <v>ORLANDA, BERNABE MACADANGDANG JR</v>
      </c>
      <c r="F416" s="2" t="s">
        <v>32</v>
      </c>
      <c r="G416" s="5" t="s">
        <v>1772</v>
      </c>
      <c r="H416" s="25" t="s">
        <v>333</v>
      </c>
      <c r="I416" s="77" t="s">
        <v>3047</v>
      </c>
      <c r="J416" s="77"/>
      <c r="K416" s="77" t="s">
        <v>3046</v>
      </c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</row>
    <row r="417" spans="1:32" ht="15" customHeight="1" x14ac:dyDescent="0.2">
      <c r="A417" s="1" t="s">
        <v>1132</v>
      </c>
      <c r="B417" s="1" t="s">
        <v>970</v>
      </c>
      <c r="C417" s="1" t="s">
        <v>971</v>
      </c>
      <c r="D417" s="2"/>
      <c r="E417" s="75" t="str">
        <f t="shared" si="0"/>
        <v xml:space="preserve">ORNIDO, JAN MICHAEL PONTILA </v>
      </c>
      <c r="F417" s="2" t="s">
        <v>127</v>
      </c>
      <c r="G417" s="78" t="s">
        <v>1132</v>
      </c>
      <c r="H417" s="25" t="s">
        <v>259</v>
      </c>
      <c r="I417" s="77" t="s">
        <v>3046</v>
      </c>
      <c r="J417" s="77"/>
      <c r="K417" s="77" t="s">
        <v>3046</v>
      </c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</row>
    <row r="418" spans="1:32" ht="15" customHeight="1" x14ac:dyDescent="0.2">
      <c r="A418" s="1" t="s">
        <v>1081</v>
      </c>
      <c r="B418" s="1" t="s">
        <v>1082</v>
      </c>
      <c r="C418" s="1" t="s">
        <v>1083</v>
      </c>
      <c r="D418" s="2"/>
      <c r="E418" s="75" t="str">
        <f t="shared" si="0"/>
        <v xml:space="preserve">ORTIZ, JULIUS SEMITARA </v>
      </c>
      <c r="F418" s="2" t="s">
        <v>323</v>
      </c>
      <c r="G418" s="78" t="s">
        <v>1081</v>
      </c>
      <c r="H418" s="25" t="s">
        <v>259</v>
      </c>
      <c r="I418" s="77" t="s">
        <v>3046</v>
      </c>
      <c r="J418" s="77"/>
      <c r="K418" s="77" t="s">
        <v>3047</v>
      </c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</row>
    <row r="419" spans="1:32" ht="15" customHeight="1" x14ac:dyDescent="0.2">
      <c r="A419" s="1" t="s">
        <v>433</v>
      </c>
      <c r="B419" s="1" t="s">
        <v>434</v>
      </c>
      <c r="C419" s="1" t="s">
        <v>435</v>
      </c>
      <c r="D419" s="2"/>
      <c r="E419" s="75" t="str">
        <f t="shared" si="0"/>
        <v xml:space="preserve">PACIENCIA, METALLICA LYH OCTAVIANO </v>
      </c>
      <c r="F419" s="2" t="s">
        <v>32</v>
      </c>
      <c r="G419" s="78" t="s">
        <v>433</v>
      </c>
      <c r="H419" s="25" t="s">
        <v>333</v>
      </c>
      <c r="I419" s="77" t="s">
        <v>3047</v>
      </c>
      <c r="J419" s="77"/>
      <c r="K419" s="77" t="s">
        <v>3048</v>
      </c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</row>
    <row r="420" spans="1:32" ht="15" customHeight="1" x14ac:dyDescent="0.2">
      <c r="A420" s="1" t="s">
        <v>1442</v>
      </c>
      <c r="B420" s="1" t="s">
        <v>1443</v>
      </c>
      <c r="C420" s="1" t="s">
        <v>1444</v>
      </c>
      <c r="D420" s="2"/>
      <c r="E420" s="75" t="str">
        <f t="shared" si="0"/>
        <v xml:space="preserve">PACOL, JEPHTE TENORIA </v>
      </c>
      <c r="F420" s="2" t="s">
        <v>42</v>
      </c>
      <c r="G420" s="78" t="s">
        <v>1442</v>
      </c>
      <c r="H420" s="25" t="s">
        <v>1446</v>
      </c>
      <c r="I420" s="77" t="s">
        <v>3048</v>
      </c>
      <c r="J420" s="77"/>
      <c r="K420" s="77" t="s">
        <v>3047</v>
      </c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</row>
    <row r="421" spans="1:32" ht="15" customHeight="1" x14ac:dyDescent="0.2">
      <c r="A421" s="9" t="s">
        <v>1604</v>
      </c>
      <c r="B421" s="9" t="s">
        <v>701</v>
      </c>
      <c r="C421" s="9" t="s">
        <v>1606</v>
      </c>
      <c r="D421" s="2"/>
      <c r="E421" s="75" t="str">
        <f t="shared" si="0"/>
        <v xml:space="preserve">PACULAN, MARK ANTHONY NIDUAZA </v>
      </c>
      <c r="F421" s="2" t="s">
        <v>528</v>
      </c>
      <c r="G421" s="78" t="s">
        <v>1604</v>
      </c>
      <c r="H421" s="25" t="s">
        <v>333</v>
      </c>
      <c r="I421" s="77" t="s">
        <v>3047</v>
      </c>
      <c r="J421" s="77"/>
      <c r="K421" s="77" t="s">
        <v>3047</v>
      </c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</row>
    <row r="422" spans="1:32" ht="15" customHeight="1" x14ac:dyDescent="0.2">
      <c r="A422" s="1" t="s">
        <v>2042</v>
      </c>
      <c r="B422" s="1" t="s">
        <v>2043</v>
      </c>
      <c r="C422" s="1" t="s">
        <v>2045</v>
      </c>
      <c r="D422" s="2" t="s">
        <v>181</v>
      </c>
      <c r="E422" s="75" t="str">
        <f t="shared" si="0"/>
        <v>PADAYOGDOG, FRANCISCO EMPINADO JR</v>
      </c>
      <c r="F422" s="2" t="s">
        <v>32</v>
      </c>
      <c r="G422" s="5" t="s">
        <v>2042</v>
      </c>
      <c r="H422" s="25" t="s">
        <v>333</v>
      </c>
      <c r="I422" s="77" t="s">
        <v>3047</v>
      </c>
      <c r="J422" s="77"/>
      <c r="K422" s="77" t="s">
        <v>3047</v>
      </c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</row>
    <row r="423" spans="1:32" ht="15" customHeight="1" x14ac:dyDescent="0.2">
      <c r="A423" s="9" t="s">
        <v>937</v>
      </c>
      <c r="B423" s="9" t="s">
        <v>938</v>
      </c>
      <c r="C423" s="9" t="s">
        <v>940</v>
      </c>
      <c r="D423" s="2"/>
      <c r="E423" s="75" t="str">
        <f t="shared" si="0"/>
        <v xml:space="preserve">PADILLA, KEM EDNYLL MACARINE </v>
      </c>
      <c r="F423" s="2" t="s">
        <v>32</v>
      </c>
      <c r="G423" s="5" t="s">
        <v>937</v>
      </c>
      <c r="H423" s="25" t="s">
        <v>785</v>
      </c>
      <c r="I423" s="77" t="s">
        <v>3047</v>
      </c>
      <c r="J423" s="77"/>
      <c r="K423" s="77" t="s">
        <v>3047</v>
      </c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</row>
    <row r="424" spans="1:32" ht="15" customHeight="1" x14ac:dyDescent="0.2">
      <c r="A424" s="9" t="s">
        <v>863</v>
      </c>
      <c r="B424" s="9" t="s">
        <v>865</v>
      </c>
      <c r="C424" s="9" t="s">
        <v>867</v>
      </c>
      <c r="D424" s="2"/>
      <c r="E424" s="75" t="str">
        <f t="shared" si="0"/>
        <v xml:space="preserve">PAISTE, MARL JAYSON JOVES </v>
      </c>
      <c r="F424" s="2" t="s">
        <v>32</v>
      </c>
      <c r="G424" s="5" t="s">
        <v>863</v>
      </c>
      <c r="H424" s="25" t="s">
        <v>333</v>
      </c>
      <c r="I424" s="77" t="s">
        <v>3047</v>
      </c>
      <c r="J424" s="77"/>
      <c r="K424" s="77" t="s">
        <v>3046</v>
      </c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</row>
    <row r="425" spans="1:32" ht="15" customHeight="1" x14ac:dyDescent="0.2">
      <c r="A425" s="103" t="s">
        <v>1319</v>
      </c>
      <c r="B425" s="103" t="s">
        <v>508</v>
      </c>
      <c r="C425" s="103" t="s">
        <v>1320</v>
      </c>
      <c r="D425" s="104"/>
      <c r="E425" s="75" t="str">
        <f t="shared" si="0"/>
        <v xml:space="preserve">PALATTAO, ALDRIN RACELIS </v>
      </c>
      <c r="F425" s="2" t="s">
        <v>62</v>
      </c>
      <c r="G425" s="78" t="s">
        <v>1319</v>
      </c>
      <c r="H425" s="25" t="s">
        <v>259</v>
      </c>
      <c r="I425" s="77" t="s">
        <v>3046</v>
      </c>
      <c r="J425" s="77"/>
      <c r="K425" s="77" t="s">
        <v>3047</v>
      </c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</row>
    <row r="426" spans="1:32" ht="15" customHeight="1" x14ac:dyDescent="0.2">
      <c r="A426" s="103" t="s">
        <v>1319</v>
      </c>
      <c r="B426" s="103" t="s">
        <v>1719</v>
      </c>
      <c r="C426" s="103" t="s">
        <v>1720</v>
      </c>
      <c r="D426" s="104"/>
      <c r="E426" s="75" t="str">
        <f t="shared" si="0"/>
        <v xml:space="preserve">PALATTAO, JOHNY FER MABBORANG </v>
      </c>
      <c r="F426" s="2" t="s">
        <v>528</v>
      </c>
      <c r="G426" s="78" t="s">
        <v>1319</v>
      </c>
      <c r="H426" s="25" t="s">
        <v>333</v>
      </c>
      <c r="I426" s="77" t="s">
        <v>3047</v>
      </c>
      <c r="J426" s="77"/>
      <c r="K426" s="77" t="s">
        <v>3046</v>
      </c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</row>
    <row r="427" spans="1:32" ht="15" customHeight="1" x14ac:dyDescent="0.2">
      <c r="A427" s="103" t="s">
        <v>15</v>
      </c>
      <c r="B427" s="103" t="s">
        <v>16</v>
      </c>
      <c r="C427" s="103" t="s">
        <v>17</v>
      </c>
      <c r="D427" s="104"/>
      <c r="E427" s="75" t="str">
        <f t="shared" si="0"/>
        <v xml:space="preserve">PALGUE, ROMY INWAY </v>
      </c>
      <c r="F427" s="2" t="s">
        <v>14</v>
      </c>
      <c r="G427" s="78" t="s">
        <v>15</v>
      </c>
      <c r="H427" s="25" t="s">
        <v>18</v>
      </c>
      <c r="I427" s="77" t="s">
        <v>3046</v>
      </c>
      <c r="J427" s="77"/>
      <c r="K427" s="77" t="s">
        <v>3048</v>
      </c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</row>
    <row r="428" spans="1:32" ht="15" customHeight="1" x14ac:dyDescent="0.2">
      <c r="A428" s="1" t="s">
        <v>1451</v>
      </c>
      <c r="B428" s="1" t="s">
        <v>1452</v>
      </c>
      <c r="C428" s="1" t="s">
        <v>324</v>
      </c>
      <c r="D428" s="2"/>
      <c r="E428" s="75" t="str">
        <f t="shared" si="0"/>
        <v xml:space="preserve">PALISOC, ALYSSA ALEXANDRIA SOSA </v>
      </c>
      <c r="F428" s="2" t="s">
        <v>42</v>
      </c>
      <c r="G428" s="78" t="s">
        <v>1451</v>
      </c>
      <c r="H428" s="25" t="s">
        <v>1322</v>
      </c>
      <c r="I428" s="77" t="s">
        <v>3048</v>
      </c>
      <c r="J428" s="77"/>
      <c r="K428" s="77" t="s">
        <v>3047</v>
      </c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</row>
    <row r="429" spans="1:32" ht="15" customHeight="1" x14ac:dyDescent="0.2">
      <c r="A429" s="1" t="s">
        <v>1451</v>
      </c>
      <c r="B429" s="1" t="s">
        <v>2271</v>
      </c>
      <c r="C429" s="1" t="s">
        <v>2272</v>
      </c>
      <c r="D429" s="2"/>
      <c r="E429" s="75" t="str">
        <f t="shared" si="0"/>
        <v xml:space="preserve">PALISOC, PREMIER HAROLD TABUÑAR </v>
      </c>
      <c r="F429" s="2" t="s">
        <v>528</v>
      </c>
      <c r="G429" s="78" t="s">
        <v>1451</v>
      </c>
      <c r="H429" s="25" t="s">
        <v>2273</v>
      </c>
      <c r="I429" s="77" t="s">
        <v>3047</v>
      </c>
      <c r="J429" s="77"/>
      <c r="K429" s="77" t="s">
        <v>3046</v>
      </c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</row>
    <row r="430" spans="1:32" ht="15" customHeight="1" x14ac:dyDescent="0.2">
      <c r="A430" s="1" t="s">
        <v>1417</v>
      </c>
      <c r="B430" s="1" t="s">
        <v>1418</v>
      </c>
      <c r="C430" s="1" t="s">
        <v>1419</v>
      </c>
      <c r="D430" s="2"/>
      <c r="E430" s="75" t="str">
        <f t="shared" si="0"/>
        <v xml:space="preserve">PALPARA, RANDY TAMBANILLO </v>
      </c>
      <c r="F430" s="2" t="s">
        <v>62</v>
      </c>
      <c r="G430" s="78" t="s">
        <v>1417</v>
      </c>
      <c r="H430" s="25" t="s">
        <v>259</v>
      </c>
      <c r="I430" s="77" t="s">
        <v>3046</v>
      </c>
      <c r="J430" s="77"/>
      <c r="K430" s="77" t="s">
        <v>3046</v>
      </c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</row>
    <row r="431" spans="1:32" ht="15" customHeight="1" x14ac:dyDescent="0.2">
      <c r="A431" s="1" t="s">
        <v>1826</v>
      </c>
      <c r="B431" s="1" t="s">
        <v>634</v>
      </c>
      <c r="C431" s="1" t="s">
        <v>1827</v>
      </c>
      <c r="D431" s="2"/>
      <c r="E431" s="75" t="str">
        <f t="shared" si="0"/>
        <v xml:space="preserve">PAMITTAN, JOCELYN LATTAO </v>
      </c>
      <c r="F431" s="2" t="s">
        <v>323</v>
      </c>
      <c r="G431" s="78" t="s">
        <v>1826</v>
      </c>
      <c r="H431" s="25" t="s">
        <v>1828</v>
      </c>
      <c r="I431" s="77" t="s">
        <v>3046</v>
      </c>
      <c r="J431" s="77"/>
      <c r="K431" s="77" t="s">
        <v>3046</v>
      </c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</row>
    <row r="432" spans="1:32" ht="15" customHeight="1" x14ac:dyDescent="0.2">
      <c r="A432" s="1" t="s">
        <v>1211</v>
      </c>
      <c r="B432" s="1" t="s">
        <v>1212</v>
      </c>
      <c r="C432" s="1" t="s">
        <v>1213</v>
      </c>
      <c r="D432" s="2"/>
      <c r="E432" s="75" t="str">
        <f t="shared" si="0"/>
        <v xml:space="preserve">PANAGA, MOHAMED TALAUE </v>
      </c>
      <c r="F432" s="2" t="s">
        <v>318</v>
      </c>
      <c r="G432" s="78" t="s">
        <v>1211</v>
      </c>
      <c r="H432" s="25" t="s">
        <v>259</v>
      </c>
      <c r="I432" s="77" t="s">
        <v>3046</v>
      </c>
      <c r="J432" s="77"/>
      <c r="K432" s="77" t="s">
        <v>3048</v>
      </c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</row>
    <row r="433" spans="1:32" ht="15" customHeight="1" x14ac:dyDescent="0.2">
      <c r="A433" s="1" t="s">
        <v>1457</v>
      </c>
      <c r="B433" s="1" t="s">
        <v>1458</v>
      </c>
      <c r="C433" s="1" t="s">
        <v>1135</v>
      </c>
      <c r="D433" s="2"/>
      <c r="E433" s="75" t="str">
        <f t="shared" si="0"/>
        <v xml:space="preserve">PANIZA, ADELWISA FERRER </v>
      </c>
      <c r="F433" s="2" t="s">
        <v>42</v>
      </c>
      <c r="G433" s="78" t="s">
        <v>1457</v>
      </c>
      <c r="H433" s="25" t="s">
        <v>1459</v>
      </c>
      <c r="I433" s="77" t="s">
        <v>3048</v>
      </c>
      <c r="J433" s="77"/>
      <c r="K433" s="77" t="s">
        <v>3047</v>
      </c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</row>
    <row r="434" spans="1:32" ht="15" customHeight="1" x14ac:dyDescent="0.2">
      <c r="A434" s="1" t="s">
        <v>2678</v>
      </c>
      <c r="B434" s="1" t="s">
        <v>2679</v>
      </c>
      <c r="C434" s="1" t="s">
        <v>2681</v>
      </c>
      <c r="D434" s="2"/>
      <c r="E434" s="75" t="str">
        <f t="shared" si="0"/>
        <v xml:space="preserve">PANSOY, LEX LEVIN JUEGOS </v>
      </c>
      <c r="F434" s="2" t="s">
        <v>32</v>
      </c>
      <c r="G434" s="5" t="s">
        <v>2678</v>
      </c>
      <c r="H434" s="25" t="s">
        <v>3194</v>
      </c>
      <c r="I434" s="77" t="s">
        <v>3047</v>
      </c>
      <c r="J434" s="77"/>
      <c r="K434" s="77" t="s">
        <v>3047</v>
      </c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</row>
    <row r="435" spans="1:32" ht="15" customHeight="1" x14ac:dyDescent="0.2">
      <c r="A435" s="1" t="s">
        <v>2402</v>
      </c>
      <c r="B435" s="1" t="s">
        <v>2403</v>
      </c>
      <c r="C435" s="1" t="s">
        <v>2404</v>
      </c>
      <c r="D435" s="2"/>
      <c r="E435" s="75" t="str">
        <f t="shared" si="0"/>
        <v xml:space="preserve">PAPA, MARIZ NICOLE ENGALAN </v>
      </c>
      <c r="F435" s="2" t="s">
        <v>32</v>
      </c>
      <c r="G435" s="78" t="s">
        <v>2402</v>
      </c>
      <c r="H435" s="25" t="s">
        <v>138</v>
      </c>
      <c r="I435" s="77" t="s">
        <v>3047</v>
      </c>
      <c r="J435" s="77"/>
      <c r="K435" s="77" t="s">
        <v>3046</v>
      </c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</row>
    <row r="436" spans="1:32" ht="15" customHeight="1" x14ac:dyDescent="0.2">
      <c r="A436" s="74" t="s">
        <v>2134</v>
      </c>
      <c r="B436" s="74" t="s">
        <v>2135</v>
      </c>
      <c r="C436" s="74" t="s">
        <v>2136</v>
      </c>
      <c r="D436" s="75"/>
      <c r="E436" s="75" t="str">
        <f t="shared" si="0"/>
        <v xml:space="preserve">PAPIÑA, PATRICK LYNDON PARCAREY </v>
      </c>
      <c r="F436" s="2" t="s">
        <v>127</v>
      </c>
      <c r="G436" s="11" t="s">
        <v>2134</v>
      </c>
      <c r="H436" s="25" t="s">
        <v>3081</v>
      </c>
      <c r="I436" s="77" t="s">
        <v>3046</v>
      </c>
      <c r="J436" s="77"/>
      <c r="K436" s="77" t="s">
        <v>3047</v>
      </c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</row>
    <row r="437" spans="1:32" ht="15" customHeight="1" x14ac:dyDescent="0.2">
      <c r="A437" s="9" t="s">
        <v>2482</v>
      </c>
      <c r="B437" s="9" t="s">
        <v>2483</v>
      </c>
      <c r="C437" s="9" t="s">
        <v>2484</v>
      </c>
      <c r="D437" s="2"/>
      <c r="E437" s="75" t="str">
        <f t="shared" si="0"/>
        <v xml:space="preserve">PAQUIZ, JOHN ANTHONY BATO </v>
      </c>
      <c r="F437" s="2" t="s">
        <v>32</v>
      </c>
      <c r="G437" s="5" t="s">
        <v>2482</v>
      </c>
      <c r="H437" s="25" t="s">
        <v>1787</v>
      </c>
      <c r="I437" s="77" t="s">
        <v>3047</v>
      </c>
      <c r="J437" s="77"/>
      <c r="K437" s="77" t="s">
        <v>3047</v>
      </c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</row>
    <row r="438" spans="1:32" ht="15" customHeight="1" x14ac:dyDescent="0.2">
      <c r="A438" s="9" t="s">
        <v>873</v>
      </c>
      <c r="B438" s="9" t="s">
        <v>875</v>
      </c>
      <c r="C438" s="9" t="s">
        <v>877</v>
      </c>
      <c r="D438" s="2"/>
      <c r="E438" s="75" t="str">
        <f t="shared" si="0"/>
        <v xml:space="preserve">PARALLAG, MAX CASSANDER SINIGUIAN </v>
      </c>
      <c r="F438" s="2" t="s">
        <v>32</v>
      </c>
      <c r="G438" s="5" t="s">
        <v>873</v>
      </c>
      <c r="H438" s="25" t="s">
        <v>333</v>
      </c>
      <c r="I438" s="77" t="s">
        <v>3047</v>
      </c>
      <c r="J438" s="77"/>
      <c r="K438" s="77" t="s">
        <v>3048</v>
      </c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</row>
    <row r="439" spans="1:32" ht="15" customHeight="1" x14ac:dyDescent="0.2">
      <c r="A439" s="1" t="s">
        <v>1461</v>
      </c>
      <c r="B439" s="1" t="s">
        <v>1463</v>
      </c>
      <c r="C439" s="1" t="s">
        <v>1466</v>
      </c>
      <c r="D439" s="2"/>
      <c r="E439" s="75" t="str">
        <f t="shared" si="0"/>
        <v xml:space="preserve">PARANADA, DIANA VALMIDIANO </v>
      </c>
      <c r="F439" s="2" t="s">
        <v>42</v>
      </c>
      <c r="G439" s="78" t="s">
        <v>1461</v>
      </c>
      <c r="H439" s="25" t="s">
        <v>1469</v>
      </c>
      <c r="I439" s="77" t="s">
        <v>3048</v>
      </c>
      <c r="J439" s="77"/>
      <c r="K439" s="77" t="s">
        <v>3047</v>
      </c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</row>
    <row r="440" spans="1:32" ht="15" customHeight="1" x14ac:dyDescent="0.2">
      <c r="A440" s="1" t="s">
        <v>2578</v>
      </c>
      <c r="B440" s="1" t="s">
        <v>2579</v>
      </c>
      <c r="C440" s="1" t="s">
        <v>2580</v>
      </c>
      <c r="D440" s="2"/>
      <c r="E440" s="75" t="str">
        <f t="shared" si="0"/>
        <v xml:space="preserve">PARANE, DETANIL COROCOTO </v>
      </c>
      <c r="F440" s="2" t="s">
        <v>32</v>
      </c>
      <c r="G440" s="5" t="s">
        <v>2578</v>
      </c>
      <c r="H440" s="25" t="s">
        <v>138</v>
      </c>
      <c r="I440" s="77" t="s">
        <v>3047</v>
      </c>
      <c r="J440" s="77"/>
      <c r="K440" s="77" t="s">
        <v>3048</v>
      </c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</row>
    <row r="441" spans="1:32" ht="15" customHeight="1" x14ac:dyDescent="0.2">
      <c r="A441" s="1" t="s">
        <v>1472</v>
      </c>
      <c r="B441" s="1" t="s">
        <v>1473</v>
      </c>
      <c r="C441" s="1" t="s">
        <v>1474</v>
      </c>
      <c r="D441" s="2"/>
      <c r="E441" s="75" t="str">
        <f t="shared" si="0"/>
        <v xml:space="preserve">PARAZO, MA. REGINA RABINA </v>
      </c>
      <c r="F441" s="2" t="s">
        <v>42</v>
      </c>
      <c r="G441" s="5" t="s">
        <v>1472</v>
      </c>
      <c r="H441" s="25" t="s">
        <v>227</v>
      </c>
      <c r="I441" s="77" t="s">
        <v>3048</v>
      </c>
      <c r="J441" s="77"/>
      <c r="K441" s="77" t="s">
        <v>3048</v>
      </c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</row>
    <row r="442" spans="1:32" ht="15" customHeight="1" x14ac:dyDescent="0.2">
      <c r="A442" s="1" t="s">
        <v>1480</v>
      </c>
      <c r="B442" s="1" t="s">
        <v>1481</v>
      </c>
      <c r="C442" s="1" t="s">
        <v>1482</v>
      </c>
      <c r="D442" s="2"/>
      <c r="E442" s="75" t="str">
        <f t="shared" si="0"/>
        <v xml:space="preserve">PAREDES, CONNIE VALDEZ </v>
      </c>
      <c r="F442" s="2" t="s">
        <v>42</v>
      </c>
      <c r="G442" s="11" t="s">
        <v>1480</v>
      </c>
      <c r="H442" s="25" t="s">
        <v>1484</v>
      </c>
      <c r="I442" s="77" t="s">
        <v>3048</v>
      </c>
      <c r="J442" s="77"/>
      <c r="K442" s="77" t="s">
        <v>3048</v>
      </c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</row>
    <row r="443" spans="1:32" ht="15" customHeight="1" x14ac:dyDescent="0.2">
      <c r="A443" s="1" t="s">
        <v>1486</v>
      </c>
      <c r="B443" s="1" t="s">
        <v>1487</v>
      </c>
      <c r="C443" s="1" t="s">
        <v>1488</v>
      </c>
      <c r="D443" s="2"/>
      <c r="E443" s="75" t="str">
        <f t="shared" si="0"/>
        <v xml:space="preserve">PARIS, ACEL OBSELLA </v>
      </c>
      <c r="F443" s="2" t="s">
        <v>42</v>
      </c>
      <c r="G443" s="11" t="s">
        <v>1486</v>
      </c>
      <c r="H443" s="25" t="s">
        <v>1490</v>
      </c>
      <c r="I443" s="77" t="s">
        <v>3048</v>
      </c>
      <c r="J443" s="77"/>
      <c r="K443" s="77" t="s">
        <v>3046</v>
      </c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</row>
    <row r="444" spans="1:32" ht="15" customHeight="1" x14ac:dyDescent="0.2">
      <c r="A444" s="9" t="s">
        <v>2139</v>
      </c>
      <c r="B444" s="9" t="s">
        <v>2140</v>
      </c>
      <c r="C444" s="9" t="s">
        <v>2141</v>
      </c>
      <c r="D444" s="82"/>
      <c r="E444" s="75" t="str">
        <f t="shared" si="0"/>
        <v xml:space="preserve">PARRE, WINSTON SAFLOR </v>
      </c>
      <c r="F444" s="2" t="s">
        <v>323</v>
      </c>
      <c r="G444" s="78" t="s">
        <v>2139</v>
      </c>
      <c r="H444" s="25" t="s">
        <v>2137</v>
      </c>
      <c r="I444" s="77" t="s">
        <v>3046</v>
      </c>
      <c r="J444" s="77"/>
      <c r="K444" s="77" t="s">
        <v>3048</v>
      </c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</row>
    <row r="445" spans="1:32" ht="15" customHeight="1" x14ac:dyDescent="0.2">
      <c r="A445" s="1" t="s">
        <v>1491</v>
      </c>
      <c r="B445" s="1" t="s">
        <v>1492</v>
      </c>
      <c r="C445" s="1" t="s">
        <v>1494</v>
      </c>
      <c r="D445" s="2"/>
      <c r="E445" s="75" t="str">
        <f t="shared" si="0"/>
        <v xml:space="preserve">PASTOR, SYBEL ZENA RAMIRA </v>
      </c>
      <c r="F445" s="2" t="s">
        <v>42</v>
      </c>
      <c r="G445" s="78" t="s">
        <v>1491</v>
      </c>
      <c r="H445" s="25" t="s">
        <v>1496</v>
      </c>
      <c r="I445" s="77" t="s">
        <v>3048</v>
      </c>
      <c r="J445" s="77"/>
      <c r="K445" s="77" t="s">
        <v>3047</v>
      </c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</row>
    <row r="446" spans="1:32" ht="15" customHeight="1" x14ac:dyDescent="0.2">
      <c r="A446" s="9" t="s">
        <v>2129</v>
      </c>
      <c r="B446" s="9" t="s">
        <v>2130</v>
      </c>
      <c r="C446" s="9" t="s">
        <v>2131</v>
      </c>
      <c r="D446" s="82"/>
      <c r="E446" s="75" t="str">
        <f t="shared" si="0"/>
        <v xml:space="preserve">PATERNO, JEFFREY PAUS </v>
      </c>
      <c r="F446" s="2" t="s">
        <v>32</v>
      </c>
      <c r="G446" s="5" t="s">
        <v>2129</v>
      </c>
      <c r="H446" s="25" t="s">
        <v>2529</v>
      </c>
      <c r="I446" s="77" t="s">
        <v>3047</v>
      </c>
      <c r="J446" s="77"/>
      <c r="K446" s="77" t="s">
        <v>3046</v>
      </c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</row>
    <row r="447" spans="1:32" ht="15" customHeight="1" x14ac:dyDescent="0.2">
      <c r="A447" s="9" t="s">
        <v>238</v>
      </c>
      <c r="B447" s="9" t="s">
        <v>122</v>
      </c>
      <c r="C447" s="9" t="s">
        <v>123</v>
      </c>
      <c r="D447" s="82"/>
      <c r="E447" s="75" t="str">
        <f t="shared" si="0"/>
        <v xml:space="preserve">PATIÑO, RANDI MANZANO </v>
      </c>
      <c r="F447" s="2" t="s">
        <v>57</v>
      </c>
      <c r="G447" s="78" t="s">
        <v>238</v>
      </c>
      <c r="H447" s="25" t="s">
        <v>3197</v>
      </c>
      <c r="I447" s="77" t="s">
        <v>3046</v>
      </c>
      <c r="J447" s="77"/>
      <c r="K447" s="77" t="s">
        <v>3048</v>
      </c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</row>
    <row r="448" spans="1:32" ht="15" customHeight="1" x14ac:dyDescent="0.2">
      <c r="A448" s="1" t="s">
        <v>1497</v>
      </c>
      <c r="B448" s="1" t="s">
        <v>1498</v>
      </c>
      <c r="C448" s="1" t="s">
        <v>1499</v>
      </c>
      <c r="D448" s="2"/>
      <c r="E448" s="75" t="str">
        <f t="shared" si="0"/>
        <v xml:space="preserve">PAULO, RUBY BERCASIO </v>
      </c>
      <c r="F448" s="2" t="s">
        <v>42</v>
      </c>
      <c r="G448" s="78" t="s">
        <v>1497</v>
      </c>
      <c r="H448" s="25" t="s">
        <v>3148</v>
      </c>
      <c r="I448" s="77" t="s">
        <v>3048</v>
      </c>
      <c r="J448" s="77"/>
      <c r="K448" s="77" t="s">
        <v>3048</v>
      </c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</row>
    <row r="449" spans="1:32" ht="15" customHeight="1" x14ac:dyDescent="0.2">
      <c r="A449" s="1" t="s">
        <v>642</v>
      </c>
      <c r="B449" s="1" t="s">
        <v>1503</v>
      </c>
      <c r="C449" s="1" t="s">
        <v>1276</v>
      </c>
      <c r="D449" s="2"/>
      <c r="E449" s="75" t="str">
        <f t="shared" si="0"/>
        <v xml:space="preserve">PAZ, VIRGINIA SUERO </v>
      </c>
      <c r="F449" s="2" t="s">
        <v>42</v>
      </c>
      <c r="G449" s="78" t="s">
        <v>642</v>
      </c>
      <c r="H449" s="25" t="s">
        <v>1505</v>
      </c>
      <c r="I449" s="77" t="s">
        <v>3048</v>
      </c>
      <c r="J449" s="77"/>
      <c r="K449" s="77" t="s">
        <v>3047</v>
      </c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</row>
    <row r="450" spans="1:32" ht="15" customHeight="1" x14ac:dyDescent="0.2">
      <c r="A450" s="9" t="s">
        <v>261</v>
      </c>
      <c r="B450" s="9" t="s">
        <v>262</v>
      </c>
      <c r="C450" s="9" t="s">
        <v>190</v>
      </c>
      <c r="D450" s="82"/>
      <c r="E450" s="75" t="str">
        <f t="shared" si="0"/>
        <v xml:space="preserve">PEÑAVERDE, PHILIP JAMES RODRIGUEZ </v>
      </c>
      <c r="F450" s="2" t="s">
        <v>177</v>
      </c>
      <c r="G450" s="78" t="s">
        <v>261</v>
      </c>
      <c r="H450" s="25" t="s">
        <v>263</v>
      </c>
      <c r="I450" s="77" t="s">
        <v>3047</v>
      </c>
      <c r="J450" s="77"/>
      <c r="K450" s="77" t="s">
        <v>3048</v>
      </c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</row>
    <row r="451" spans="1:32" ht="15" customHeight="1" x14ac:dyDescent="0.2">
      <c r="A451" s="1" t="s">
        <v>261</v>
      </c>
      <c r="B451" s="1" t="s">
        <v>1509</v>
      </c>
      <c r="C451" s="1" t="s">
        <v>190</v>
      </c>
      <c r="D451" s="2"/>
      <c r="E451" s="75" t="str">
        <f t="shared" si="0"/>
        <v xml:space="preserve">PEÑAVERDE, SHARMAINE RODRIGUEZ </v>
      </c>
      <c r="F451" s="2" t="s">
        <v>42</v>
      </c>
      <c r="G451" s="78" t="s">
        <v>261</v>
      </c>
      <c r="H451" s="25" t="s">
        <v>1510</v>
      </c>
      <c r="I451" s="77" t="s">
        <v>3048</v>
      </c>
      <c r="J451" s="77"/>
      <c r="K451" s="77" t="s">
        <v>3047</v>
      </c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</row>
    <row r="452" spans="1:32" ht="15" customHeight="1" x14ac:dyDescent="0.2">
      <c r="A452" s="9" t="s">
        <v>157</v>
      </c>
      <c r="B452" s="9" t="s">
        <v>158</v>
      </c>
      <c r="C452" s="9" t="s">
        <v>159</v>
      </c>
      <c r="D452" s="82"/>
      <c r="E452" s="75" t="str">
        <f t="shared" si="0"/>
        <v xml:space="preserve">PEÑON, JAYSON CABRAL </v>
      </c>
      <c r="F452" s="2" t="s">
        <v>32</v>
      </c>
      <c r="G452" s="5" t="s">
        <v>157</v>
      </c>
      <c r="H452" s="25" t="s">
        <v>160</v>
      </c>
      <c r="I452" s="77" t="s">
        <v>3047</v>
      </c>
      <c r="J452" s="77"/>
      <c r="K452" s="77" t="s">
        <v>3048</v>
      </c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</row>
    <row r="453" spans="1:32" ht="15" customHeight="1" x14ac:dyDescent="0.2">
      <c r="A453" s="1" t="s">
        <v>1511</v>
      </c>
      <c r="B453" s="1" t="s">
        <v>1512</v>
      </c>
      <c r="C453" s="1" t="s">
        <v>590</v>
      </c>
      <c r="D453" s="2"/>
      <c r="E453" s="75" t="str">
        <f t="shared" si="0"/>
        <v xml:space="preserve">PEREZ, FATHIMA ALI </v>
      </c>
      <c r="F453" s="2" t="s">
        <v>42</v>
      </c>
      <c r="G453" s="78" t="s">
        <v>1511</v>
      </c>
      <c r="H453" s="25" t="s">
        <v>1513</v>
      </c>
      <c r="I453" s="77" t="s">
        <v>3048</v>
      </c>
      <c r="J453" s="77"/>
      <c r="K453" s="77" t="s">
        <v>3048</v>
      </c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</row>
    <row r="454" spans="1:32" ht="15" customHeight="1" x14ac:dyDescent="0.2">
      <c r="A454" s="1" t="s">
        <v>1511</v>
      </c>
      <c r="B454" s="1" t="s">
        <v>1079</v>
      </c>
      <c r="C454" s="1" t="s">
        <v>1518</v>
      </c>
      <c r="D454" s="2"/>
      <c r="E454" s="75" t="str">
        <f t="shared" si="0"/>
        <v xml:space="preserve">PEREZ, MELVIN LIRIO </v>
      </c>
      <c r="F454" s="2" t="s">
        <v>42</v>
      </c>
      <c r="G454" s="78" t="s">
        <v>1511</v>
      </c>
      <c r="H454" s="25" t="s">
        <v>1519</v>
      </c>
      <c r="I454" s="77" t="s">
        <v>3048</v>
      </c>
      <c r="J454" s="77"/>
      <c r="K454" s="77" t="s">
        <v>3048</v>
      </c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</row>
    <row r="455" spans="1:32" ht="15" customHeight="1" x14ac:dyDescent="0.2">
      <c r="A455" s="1" t="s">
        <v>1524</v>
      </c>
      <c r="B455" s="1" t="s">
        <v>1525</v>
      </c>
      <c r="C455" s="1" t="s">
        <v>1526</v>
      </c>
      <c r="D455" s="2"/>
      <c r="E455" s="75" t="str">
        <f t="shared" si="0"/>
        <v xml:space="preserve">PILAR, JESSA KRIS CORDOVA </v>
      </c>
      <c r="F455" s="2" t="s">
        <v>42</v>
      </c>
      <c r="G455" s="11" t="s">
        <v>1524</v>
      </c>
      <c r="H455" s="25" t="s">
        <v>1180</v>
      </c>
      <c r="I455" s="77" t="s">
        <v>3048</v>
      </c>
      <c r="J455" s="77"/>
      <c r="K455" s="77" t="s">
        <v>3046</v>
      </c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</row>
    <row r="456" spans="1:32" ht="15" customHeight="1" x14ac:dyDescent="0.2">
      <c r="A456" s="9" t="s">
        <v>605</v>
      </c>
      <c r="B456" s="9" t="s">
        <v>607</v>
      </c>
      <c r="C456" s="9" t="s">
        <v>608</v>
      </c>
      <c r="D456" s="82"/>
      <c r="E456" s="75" t="str">
        <f t="shared" si="0"/>
        <v xml:space="preserve">PILASPILAS, CHARMAINE JOY MORA </v>
      </c>
      <c r="F456" s="2" t="s">
        <v>127</v>
      </c>
      <c r="G456" s="18" t="s">
        <v>605</v>
      </c>
      <c r="H456" s="25" t="s">
        <v>259</v>
      </c>
      <c r="I456" s="77" t="s">
        <v>3046</v>
      </c>
      <c r="J456" s="77"/>
      <c r="K456" s="77" t="s">
        <v>3046</v>
      </c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</row>
    <row r="457" spans="1:32" ht="15" customHeight="1" x14ac:dyDescent="0.2">
      <c r="A457" s="9" t="s">
        <v>605</v>
      </c>
      <c r="B457" s="9" t="s">
        <v>2000</v>
      </c>
      <c r="C457" s="9" t="s">
        <v>2002</v>
      </c>
      <c r="D457" s="82"/>
      <c r="E457" s="75" t="str">
        <f t="shared" si="0"/>
        <v xml:space="preserve">PILASPILAS, MARK JAYSON AMI </v>
      </c>
      <c r="F457" s="2" t="s">
        <v>127</v>
      </c>
      <c r="G457" s="11" t="s">
        <v>605</v>
      </c>
      <c r="H457" s="25" t="s">
        <v>636</v>
      </c>
      <c r="I457" s="77" t="s">
        <v>3046</v>
      </c>
      <c r="J457" s="77"/>
      <c r="K457" s="77" t="s">
        <v>3048</v>
      </c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</row>
    <row r="458" spans="1:32" ht="15" customHeight="1" x14ac:dyDescent="0.2">
      <c r="A458" s="1" t="s">
        <v>1533</v>
      </c>
      <c r="B458" s="1" t="s">
        <v>1534</v>
      </c>
      <c r="C458" s="1" t="s">
        <v>438</v>
      </c>
      <c r="D458" s="2"/>
      <c r="E458" s="75" t="str">
        <f t="shared" si="0"/>
        <v xml:space="preserve">PIMENTEL, MARGIE DIAZ </v>
      </c>
      <c r="F458" s="2" t="s">
        <v>42</v>
      </c>
      <c r="G458" s="78" t="s">
        <v>1533</v>
      </c>
      <c r="H458" s="80" t="s">
        <v>227</v>
      </c>
      <c r="I458" s="77" t="s">
        <v>3048</v>
      </c>
      <c r="J458" s="77"/>
      <c r="K458" s="77" t="s">
        <v>3046</v>
      </c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</row>
    <row r="459" spans="1:32" ht="15" customHeight="1" x14ac:dyDescent="0.2">
      <c r="A459" s="9" t="s">
        <v>2022</v>
      </c>
      <c r="B459" s="9" t="s">
        <v>2023</v>
      </c>
      <c r="C459" s="9" t="s">
        <v>2024</v>
      </c>
      <c r="D459" s="82"/>
      <c r="E459" s="75" t="str">
        <f t="shared" si="0"/>
        <v xml:space="preserve">PINAGOD, ANALYN BINGWAOEL </v>
      </c>
      <c r="F459" s="2" t="s">
        <v>62</v>
      </c>
      <c r="G459" s="78" t="s">
        <v>2022</v>
      </c>
      <c r="H459" s="25" t="s">
        <v>3201</v>
      </c>
      <c r="I459" s="77" t="s">
        <v>3046</v>
      </c>
      <c r="J459" s="77"/>
      <c r="K459" s="77" t="s">
        <v>3048</v>
      </c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</row>
    <row r="460" spans="1:32" ht="15" customHeight="1" x14ac:dyDescent="0.2">
      <c r="A460" s="1" t="s">
        <v>455</v>
      </c>
      <c r="B460" s="1" t="s">
        <v>456</v>
      </c>
      <c r="C460" s="1" t="s">
        <v>457</v>
      </c>
      <c r="D460" s="2"/>
      <c r="E460" s="75" t="str">
        <f t="shared" si="0"/>
        <v xml:space="preserve">PINEDA, PRECIOUS PEARL SALVE PACTAO </v>
      </c>
      <c r="F460" s="2" t="s">
        <v>42</v>
      </c>
      <c r="G460" s="78" t="s">
        <v>455</v>
      </c>
      <c r="H460" s="25" t="s">
        <v>3203</v>
      </c>
      <c r="I460" s="77" t="s">
        <v>3048</v>
      </c>
      <c r="J460" s="77"/>
      <c r="K460" s="77" t="s">
        <v>3047</v>
      </c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</row>
    <row r="461" spans="1:32" ht="15" customHeight="1" x14ac:dyDescent="0.2">
      <c r="A461" s="9" t="s">
        <v>842</v>
      </c>
      <c r="B461" s="9" t="s">
        <v>2562</v>
      </c>
      <c r="C461" s="9" t="s">
        <v>2563</v>
      </c>
      <c r="D461" s="2"/>
      <c r="E461" s="75" t="str">
        <f t="shared" si="0"/>
        <v xml:space="preserve">PLAZA, ERVIN TELAFER </v>
      </c>
      <c r="F461" s="2" t="s">
        <v>528</v>
      </c>
      <c r="G461" s="78" t="s">
        <v>842</v>
      </c>
      <c r="H461" s="25" t="s">
        <v>138</v>
      </c>
      <c r="I461" s="77" t="s">
        <v>3047</v>
      </c>
      <c r="J461" s="77"/>
      <c r="K461" s="77" t="s">
        <v>3048</v>
      </c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</row>
    <row r="462" spans="1:32" ht="15" customHeight="1" x14ac:dyDescent="0.2">
      <c r="A462" s="1" t="s">
        <v>1535</v>
      </c>
      <c r="B462" s="1" t="s">
        <v>1536</v>
      </c>
      <c r="C462" s="1" t="s">
        <v>1043</v>
      </c>
      <c r="D462" s="2"/>
      <c r="E462" s="75" t="str">
        <f t="shared" si="0"/>
        <v xml:space="preserve">PONCE, JASMIN SEBASTIAN </v>
      </c>
      <c r="F462" s="2" t="s">
        <v>42</v>
      </c>
      <c r="G462" s="78" t="s">
        <v>1535</v>
      </c>
      <c r="H462" s="25" t="s">
        <v>3204</v>
      </c>
      <c r="I462" s="77" t="s">
        <v>3048</v>
      </c>
      <c r="J462" s="77"/>
      <c r="K462" s="77" t="s">
        <v>3046</v>
      </c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</row>
    <row r="463" spans="1:32" ht="15" customHeight="1" x14ac:dyDescent="0.2">
      <c r="A463" s="9" t="s">
        <v>541</v>
      </c>
      <c r="B463" s="9" t="s">
        <v>542</v>
      </c>
      <c r="C463" s="9" t="s">
        <v>543</v>
      </c>
      <c r="D463" s="2"/>
      <c r="E463" s="75" t="str">
        <f t="shared" si="0"/>
        <v xml:space="preserve">PONTANAR, MARK ALLAN TUALA </v>
      </c>
      <c r="F463" s="2" t="s">
        <v>127</v>
      </c>
      <c r="G463" s="11" t="s">
        <v>541</v>
      </c>
      <c r="H463" s="25" t="s">
        <v>259</v>
      </c>
      <c r="I463" s="77" t="s">
        <v>3046</v>
      </c>
      <c r="J463" s="77"/>
      <c r="K463" s="77" t="s">
        <v>3048</v>
      </c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</row>
    <row r="464" spans="1:32" ht="15" customHeight="1" x14ac:dyDescent="0.2">
      <c r="A464" s="1" t="s">
        <v>1540</v>
      </c>
      <c r="B464" s="1" t="s">
        <v>1542</v>
      </c>
      <c r="C464" s="1" t="s">
        <v>1543</v>
      </c>
      <c r="D464" s="2"/>
      <c r="E464" s="75" t="str">
        <f t="shared" si="0"/>
        <v xml:space="preserve">PORNIA, CRISANTO HURBAN </v>
      </c>
      <c r="F464" s="2" t="s">
        <v>42</v>
      </c>
      <c r="G464" s="78" t="s">
        <v>1540</v>
      </c>
      <c r="H464" s="25" t="s">
        <v>1544</v>
      </c>
      <c r="I464" s="77" t="s">
        <v>3048</v>
      </c>
      <c r="J464" s="77"/>
      <c r="K464" s="77" t="s">
        <v>3046</v>
      </c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</row>
    <row r="465" spans="1:32" ht="15" customHeight="1" x14ac:dyDescent="0.2">
      <c r="A465" s="9" t="s">
        <v>1434</v>
      </c>
      <c r="B465" s="9" t="s">
        <v>1436</v>
      </c>
      <c r="C465" s="9" t="s">
        <v>1437</v>
      </c>
      <c r="D465" s="2"/>
      <c r="E465" s="75" t="str">
        <f t="shared" si="0"/>
        <v xml:space="preserve">PRUGALIDAD, GERALIE LOMILLO </v>
      </c>
      <c r="F465" s="2" t="s">
        <v>127</v>
      </c>
      <c r="G465" s="11" t="s">
        <v>1434</v>
      </c>
      <c r="H465" s="25" t="s">
        <v>259</v>
      </c>
      <c r="I465" s="77" t="s">
        <v>3046</v>
      </c>
      <c r="J465" s="77"/>
      <c r="K465" s="77" t="s">
        <v>3047</v>
      </c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</row>
    <row r="466" spans="1:32" ht="15" customHeight="1" x14ac:dyDescent="0.2">
      <c r="A466" s="9" t="s">
        <v>1642</v>
      </c>
      <c r="B466" s="9" t="s">
        <v>1643</v>
      </c>
      <c r="C466" s="9" t="s">
        <v>1644</v>
      </c>
      <c r="D466" s="2"/>
      <c r="E466" s="75" t="str">
        <f t="shared" si="0"/>
        <v xml:space="preserve">QUIAÑO, CRYSTAL JEZZELLE CARIASO </v>
      </c>
      <c r="F466" s="2" t="s">
        <v>134</v>
      </c>
      <c r="G466" s="78" t="s">
        <v>1642</v>
      </c>
      <c r="H466" s="25" t="s">
        <v>333</v>
      </c>
      <c r="I466" s="77" t="s">
        <v>3047</v>
      </c>
      <c r="J466" s="77"/>
      <c r="K466" s="77" t="s">
        <v>3046</v>
      </c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</row>
    <row r="467" spans="1:32" ht="15" customHeight="1" x14ac:dyDescent="0.2">
      <c r="A467" s="9" t="s">
        <v>1984</v>
      </c>
      <c r="B467" s="9" t="s">
        <v>1985</v>
      </c>
      <c r="C467" s="9" t="s">
        <v>1584</v>
      </c>
      <c r="D467" s="2"/>
      <c r="E467" s="75" t="str">
        <f t="shared" si="0"/>
        <v xml:space="preserve">QUIDEZ, BRYAN MARK SORIANO </v>
      </c>
      <c r="F467" s="2" t="s">
        <v>127</v>
      </c>
      <c r="G467" s="11" t="s">
        <v>1984</v>
      </c>
      <c r="H467" s="25" t="s">
        <v>636</v>
      </c>
      <c r="I467" s="77" t="s">
        <v>3046</v>
      </c>
      <c r="J467" s="77"/>
      <c r="K467" s="77" t="s">
        <v>3048</v>
      </c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</row>
    <row r="468" spans="1:32" ht="15" customHeight="1" x14ac:dyDescent="0.2">
      <c r="A468" s="1" t="s">
        <v>246</v>
      </c>
      <c r="B468" s="1" t="s">
        <v>1545</v>
      </c>
      <c r="C468" s="1" t="s">
        <v>248</v>
      </c>
      <c r="D468" s="2"/>
      <c r="E468" s="75" t="str">
        <f t="shared" si="0"/>
        <v xml:space="preserve">QUIJANO, SHIELA MARIE VELARDE </v>
      </c>
      <c r="F468" s="2" t="s">
        <v>42</v>
      </c>
      <c r="G468" s="78" t="s">
        <v>246</v>
      </c>
      <c r="H468" s="25" t="s">
        <v>980</v>
      </c>
      <c r="I468" s="77" t="s">
        <v>3048</v>
      </c>
      <c r="J468" s="77"/>
      <c r="K468" s="77" t="s">
        <v>3046</v>
      </c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</row>
    <row r="469" spans="1:32" ht="15" customHeight="1" x14ac:dyDescent="0.2">
      <c r="A469" s="9" t="s">
        <v>1460</v>
      </c>
      <c r="B469" s="9" t="s">
        <v>1462</v>
      </c>
      <c r="C469" s="9" t="s">
        <v>1464</v>
      </c>
      <c r="D469" s="2"/>
      <c r="E469" s="75" t="str">
        <f t="shared" si="0"/>
        <v xml:space="preserve">QUINDO, IRA BANGGA </v>
      </c>
      <c r="F469" s="2" t="s">
        <v>127</v>
      </c>
      <c r="G469" s="78" t="s">
        <v>1460</v>
      </c>
      <c r="H469" s="25" t="s">
        <v>259</v>
      </c>
      <c r="I469" s="77" t="s">
        <v>3046</v>
      </c>
      <c r="J469" s="77"/>
      <c r="K469" s="77" t="s">
        <v>3046</v>
      </c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</row>
    <row r="470" spans="1:32" ht="15" customHeight="1" x14ac:dyDescent="0.2">
      <c r="A470" s="9" t="s">
        <v>287</v>
      </c>
      <c r="B470" s="9" t="s">
        <v>288</v>
      </c>
      <c r="C470" s="9" t="s">
        <v>289</v>
      </c>
      <c r="D470" s="2"/>
      <c r="E470" s="75" t="str">
        <f t="shared" si="0"/>
        <v xml:space="preserve">QUINTOS, ANGELICA AGOR </v>
      </c>
      <c r="F470" s="2" t="s">
        <v>127</v>
      </c>
      <c r="G470" s="78" t="s">
        <v>287</v>
      </c>
      <c r="H470" s="25" t="s">
        <v>290</v>
      </c>
      <c r="I470" s="77" t="s">
        <v>3046</v>
      </c>
      <c r="J470" s="77"/>
      <c r="K470" s="77" t="s">
        <v>3047</v>
      </c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</row>
    <row r="471" spans="1:32" ht="15" customHeight="1" x14ac:dyDescent="0.2">
      <c r="A471" s="9" t="s">
        <v>738</v>
      </c>
      <c r="B471" s="9" t="s">
        <v>739</v>
      </c>
      <c r="C471" s="9" t="s">
        <v>740</v>
      </c>
      <c r="D471" s="2"/>
      <c r="E471" s="75" t="str">
        <f t="shared" si="0"/>
        <v xml:space="preserve">RADA, KRIZTELA FEY LIM </v>
      </c>
      <c r="F471" s="2" t="s">
        <v>32</v>
      </c>
      <c r="G471" s="11" t="s">
        <v>738</v>
      </c>
      <c r="H471" s="25" t="s">
        <v>333</v>
      </c>
      <c r="I471" s="77" t="s">
        <v>3047</v>
      </c>
      <c r="J471" s="77"/>
      <c r="K471" s="77" t="s">
        <v>3046</v>
      </c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</row>
    <row r="472" spans="1:32" ht="15" customHeight="1" x14ac:dyDescent="0.2">
      <c r="A472" s="9" t="s">
        <v>2997</v>
      </c>
      <c r="B472" s="9" t="s">
        <v>3208</v>
      </c>
      <c r="C472" s="9" t="s">
        <v>2999</v>
      </c>
      <c r="D472" s="2"/>
      <c r="E472" s="75" t="str">
        <f t="shared" si="0"/>
        <v xml:space="preserve">RAMIREZ, MA. CRISTINA GRAZA </v>
      </c>
      <c r="F472" s="2" t="s">
        <v>318</v>
      </c>
      <c r="G472" s="78" t="s">
        <v>2997</v>
      </c>
      <c r="H472" s="25" t="s">
        <v>1745</v>
      </c>
      <c r="I472" s="77" t="s">
        <v>3046</v>
      </c>
      <c r="J472" s="77"/>
      <c r="K472" s="77" t="s">
        <v>3046</v>
      </c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</row>
    <row r="473" spans="1:32" ht="15" customHeight="1" x14ac:dyDescent="0.2">
      <c r="A473" s="9" t="s">
        <v>194</v>
      </c>
      <c r="B473" s="9" t="s">
        <v>3120</v>
      </c>
      <c r="C473" s="9" t="s">
        <v>1842</v>
      </c>
      <c r="D473" s="2"/>
      <c r="E473" s="75" t="str">
        <f t="shared" si="0"/>
        <v xml:space="preserve">RAMOS, CRISHELLE SAGUN </v>
      </c>
      <c r="F473" s="2" t="s">
        <v>323</v>
      </c>
      <c r="G473" s="78" t="s">
        <v>194</v>
      </c>
      <c r="H473" s="25" t="s">
        <v>1844</v>
      </c>
      <c r="I473" s="77" t="s">
        <v>3046</v>
      </c>
      <c r="J473" s="77"/>
      <c r="K473" s="77" t="s">
        <v>3048</v>
      </c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</row>
    <row r="474" spans="1:32" ht="15" customHeight="1" x14ac:dyDescent="0.2">
      <c r="A474" s="1" t="s">
        <v>194</v>
      </c>
      <c r="B474" s="1" t="s">
        <v>1547</v>
      </c>
      <c r="C474" s="1" t="s">
        <v>1548</v>
      </c>
      <c r="D474" s="2" t="s">
        <v>181</v>
      </c>
      <c r="E474" s="75" t="str">
        <f t="shared" si="0"/>
        <v>RAMOS, ERNESTO POQUIZ JR</v>
      </c>
      <c r="F474" s="2" t="s">
        <v>42</v>
      </c>
      <c r="G474" s="78" t="s">
        <v>194</v>
      </c>
      <c r="H474" s="25" t="s">
        <v>1549</v>
      </c>
      <c r="I474" s="77" t="s">
        <v>3048</v>
      </c>
      <c r="J474" s="77"/>
      <c r="K474" s="77" t="s">
        <v>3048</v>
      </c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</row>
    <row r="475" spans="1:32" ht="15" customHeight="1" x14ac:dyDescent="0.2">
      <c r="A475" s="1" t="s">
        <v>194</v>
      </c>
      <c r="B475" s="1" t="s">
        <v>1553</v>
      </c>
      <c r="C475" s="1" t="s">
        <v>1554</v>
      </c>
      <c r="D475" s="2"/>
      <c r="E475" s="75" t="str">
        <f t="shared" si="0"/>
        <v xml:space="preserve">RAMOS, JOHN ERICK MAYORGA </v>
      </c>
      <c r="F475" s="2" t="s">
        <v>42</v>
      </c>
      <c r="G475" s="78" t="s">
        <v>194</v>
      </c>
      <c r="H475" s="25" t="s">
        <v>227</v>
      </c>
      <c r="I475" s="77" t="s">
        <v>3048</v>
      </c>
      <c r="J475" s="77"/>
      <c r="K475" s="77" t="s">
        <v>3048</v>
      </c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</row>
    <row r="476" spans="1:32" ht="15" customHeight="1" x14ac:dyDescent="0.2">
      <c r="A476" s="1" t="s">
        <v>194</v>
      </c>
      <c r="B476" s="1" t="s">
        <v>1556</v>
      </c>
      <c r="C476" s="1" t="s">
        <v>1557</v>
      </c>
      <c r="D476" s="2"/>
      <c r="E476" s="75" t="str">
        <f t="shared" si="0"/>
        <v xml:space="preserve">RAMOS, PRINCESS SANNY ABLOG </v>
      </c>
      <c r="F476" s="2" t="s">
        <v>42</v>
      </c>
      <c r="G476" s="78" t="s">
        <v>194</v>
      </c>
      <c r="H476" s="25" t="s">
        <v>3210</v>
      </c>
      <c r="I476" s="77" t="s">
        <v>3048</v>
      </c>
      <c r="J476" s="77"/>
      <c r="K476" s="77" t="s">
        <v>3048</v>
      </c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</row>
    <row r="477" spans="1:32" ht="15" customHeight="1" x14ac:dyDescent="0.2">
      <c r="A477" s="1" t="s">
        <v>194</v>
      </c>
      <c r="B477" s="1" t="s">
        <v>1559</v>
      </c>
      <c r="C477" s="1" t="s">
        <v>512</v>
      </c>
      <c r="D477" s="2"/>
      <c r="E477" s="75" t="str">
        <f t="shared" si="0"/>
        <v xml:space="preserve">RAMOS, WENCESLAO AGUILAR </v>
      </c>
      <c r="F477" s="2" t="s">
        <v>42</v>
      </c>
      <c r="G477" s="78" t="s">
        <v>194</v>
      </c>
      <c r="H477" s="25" t="s">
        <v>1560</v>
      </c>
      <c r="I477" s="77" t="s">
        <v>3048</v>
      </c>
      <c r="J477" s="77"/>
      <c r="K477" s="77" t="s">
        <v>3047</v>
      </c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</row>
    <row r="478" spans="1:32" ht="15" customHeight="1" x14ac:dyDescent="0.2">
      <c r="A478" s="1" t="s">
        <v>1438</v>
      </c>
      <c r="B478" s="1" t="s">
        <v>1439</v>
      </c>
      <c r="C478" s="1" t="s">
        <v>1440</v>
      </c>
      <c r="D478" s="2"/>
      <c r="E478" s="75" t="str">
        <f t="shared" si="0"/>
        <v xml:space="preserve">RANCE, LEONARDO ESPINOSA </v>
      </c>
      <c r="F478" s="2" t="s">
        <v>69</v>
      </c>
      <c r="G478" s="78" t="s">
        <v>1438</v>
      </c>
      <c r="H478" s="25" t="s">
        <v>333</v>
      </c>
      <c r="I478" s="77" t="s">
        <v>3047</v>
      </c>
      <c r="J478" s="77"/>
      <c r="K478" s="77" t="s">
        <v>3048</v>
      </c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</row>
    <row r="479" spans="1:32" ht="15" customHeight="1" x14ac:dyDescent="0.2">
      <c r="A479" s="1" t="s">
        <v>1561</v>
      </c>
      <c r="B479" s="1" t="s">
        <v>1562</v>
      </c>
      <c r="C479" s="1" t="s">
        <v>1563</v>
      </c>
      <c r="D479" s="2" t="s">
        <v>181</v>
      </c>
      <c r="E479" s="75" t="str">
        <f t="shared" si="0"/>
        <v>RARO, EMILIO GARADO JR</v>
      </c>
      <c r="F479" s="2" t="s">
        <v>42</v>
      </c>
      <c r="G479" s="78" t="s">
        <v>1561</v>
      </c>
      <c r="H479" s="25" t="s">
        <v>3212</v>
      </c>
      <c r="I479" s="77" t="s">
        <v>3048</v>
      </c>
      <c r="J479" s="77"/>
      <c r="K479" s="77" t="s">
        <v>3048</v>
      </c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</row>
    <row r="480" spans="1:32" ht="15" customHeight="1" x14ac:dyDescent="0.2">
      <c r="A480" s="1" t="s">
        <v>1565</v>
      </c>
      <c r="B480" s="1" t="s">
        <v>1566</v>
      </c>
      <c r="C480" s="1" t="s">
        <v>1567</v>
      </c>
      <c r="D480" s="2"/>
      <c r="E480" s="75" t="str">
        <f t="shared" si="0"/>
        <v xml:space="preserve">RAYMUNDO, DANIEL JOSHUA BALMEO </v>
      </c>
      <c r="F480" s="2" t="s">
        <v>42</v>
      </c>
      <c r="G480" s="78" t="s">
        <v>1565</v>
      </c>
      <c r="H480" s="25" t="s">
        <v>1322</v>
      </c>
      <c r="I480" s="77" t="s">
        <v>3048</v>
      </c>
      <c r="J480" s="77"/>
      <c r="K480" s="77" t="s">
        <v>3048</v>
      </c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</row>
    <row r="481" spans="1:32" ht="15" customHeight="1" x14ac:dyDescent="0.2">
      <c r="A481" s="1" t="s">
        <v>1495</v>
      </c>
      <c r="B481" s="1" t="s">
        <v>1574</v>
      </c>
      <c r="C481" s="1" t="s">
        <v>1575</v>
      </c>
      <c r="D481" s="2"/>
      <c r="E481" s="75" t="str">
        <f t="shared" si="0"/>
        <v xml:space="preserve">RECLA, SILVINA LLANTO </v>
      </c>
      <c r="F481" s="2" t="s">
        <v>42</v>
      </c>
      <c r="G481" s="78" t="s">
        <v>1495</v>
      </c>
      <c r="H481" s="25" t="s">
        <v>1577</v>
      </c>
      <c r="I481" s="77" t="s">
        <v>3048</v>
      </c>
      <c r="J481" s="77"/>
      <c r="K481" s="77" t="s">
        <v>3047</v>
      </c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</row>
    <row r="482" spans="1:32" ht="15" customHeight="1" x14ac:dyDescent="0.2">
      <c r="A482" s="9" t="s">
        <v>1907</v>
      </c>
      <c r="B482" s="9" t="s">
        <v>1909</v>
      </c>
      <c r="C482" s="9" t="s">
        <v>1910</v>
      </c>
      <c r="D482" s="82"/>
      <c r="E482" s="75" t="str">
        <f t="shared" si="0"/>
        <v xml:space="preserve">RECTO, C.J. KLARK URETA </v>
      </c>
      <c r="F482" s="2" t="s">
        <v>32</v>
      </c>
      <c r="G482" s="78" t="s">
        <v>1907</v>
      </c>
      <c r="H482" s="25" t="s">
        <v>333</v>
      </c>
      <c r="I482" s="77" t="s">
        <v>3047</v>
      </c>
      <c r="J482" s="77"/>
      <c r="K482" s="77" t="s">
        <v>3048</v>
      </c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</row>
    <row r="483" spans="1:32" ht="15" customHeight="1" x14ac:dyDescent="0.2">
      <c r="A483" s="1" t="s">
        <v>1580</v>
      </c>
      <c r="B483" s="1" t="s">
        <v>1581</v>
      </c>
      <c r="C483" s="1" t="s">
        <v>1582</v>
      </c>
      <c r="D483" s="2"/>
      <c r="E483" s="75" t="str">
        <f t="shared" si="0"/>
        <v xml:space="preserve">RECUENCO, GEMMA CLEOFE </v>
      </c>
      <c r="F483" s="2" t="s">
        <v>42</v>
      </c>
      <c r="G483" s="78" t="s">
        <v>1580</v>
      </c>
      <c r="H483" s="25" t="s">
        <v>3214</v>
      </c>
      <c r="I483" s="77" t="s">
        <v>3048</v>
      </c>
      <c r="J483" s="77"/>
      <c r="K483" s="77" t="s">
        <v>3047</v>
      </c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</row>
    <row r="484" spans="1:32" ht="15" customHeight="1" x14ac:dyDescent="0.2">
      <c r="A484" s="1" t="s">
        <v>2298</v>
      </c>
      <c r="B484" s="1" t="s">
        <v>2299</v>
      </c>
      <c r="C484" s="1" t="s">
        <v>2300</v>
      </c>
      <c r="D484" s="2"/>
      <c r="E484" s="75" t="str">
        <f t="shared" si="0"/>
        <v xml:space="preserve">RESPICIO, VIC BASKAR MADDARA </v>
      </c>
      <c r="F484" s="2" t="s">
        <v>177</v>
      </c>
      <c r="G484" s="78" t="s">
        <v>2298</v>
      </c>
      <c r="H484" s="25" t="s">
        <v>2301</v>
      </c>
      <c r="I484" s="77" t="s">
        <v>3047</v>
      </c>
      <c r="J484" s="77"/>
      <c r="K484" s="77" t="s">
        <v>3046</v>
      </c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</row>
    <row r="485" spans="1:32" ht="15" customHeight="1" x14ac:dyDescent="0.2">
      <c r="A485" s="1" t="s">
        <v>2229</v>
      </c>
      <c r="B485" s="1" t="s">
        <v>901</v>
      </c>
      <c r="C485" s="1" t="s">
        <v>903</v>
      </c>
      <c r="D485" s="2"/>
      <c r="E485" s="75" t="str">
        <f t="shared" si="0"/>
        <v xml:space="preserve">RETAZO, RIZALDY ISIDORO </v>
      </c>
      <c r="F485" s="2" t="s">
        <v>323</v>
      </c>
      <c r="G485" s="11" t="s">
        <v>2229</v>
      </c>
      <c r="H485" s="25" t="s">
        <v>3125</v>
      </c>
      <c r="I485" s="77" t="s">
        <v>3046</v>
      </c>
      <c r="J485" s="77"/>
      <c r="K485" s="77" t="s">
        <v>3046</v>
      </c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</row>
    <row r="486" spans="1:32" ht="15" customHeight="1" x14ac:dyDescent="0.2">
      <c r="A486" s="1" t="s">
        <v>548</v>
      </c>
      <c r="B486" s="1" t="s">
        <v>550</v>
      </c>
      <c r="C486" s="1" t="s">
        <v>552</v>
      </c>
      <c r="D486" s="2"/>
      <c r="E486" s="75" t="str">
        <f t="shared" si="0"/>
        <v xml:space="preserve">REVALE, EDELLENE BABAGAY </v>
      </c>
      <c r="F486" s="2" t="s">
        <v>127</v>
      </c>
      <c r="G486" s="78" t="s">
        <v>548</v>
      </c>
      <c r="H486" s="25" t="s">
        <v>3063</v>
      </c>
      <c r="I486" s="77" t="s">
        <v>3046</v>
      </c>
      <c r="J486" s="77"/>
      <c r="K486" s="77" t="s">
        <v>3047</v>
      </c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</row>
    <row r="487" spans="1:32" ht="15" customHeight="1" x14ac:dyDescent="0.2">
      <c r="A487" s="1" t="s">
        <v>1757</v>
      </c>
      <c r="B487" s="1" t="s">
        <v>2582</v>
      </c>
      <c r="C487" s="1" t="s">
        <v>2583</v>
      </c>
      <c r="D487" s="2"/>
      <c r="E487" s="75" t="str">
        <f t="shared" si="0"/>
        <v xml:space="preserve">REYES, AVELINO MORO </v>
      </c>
      <c r="F487" s="2" t="s">
        <v>32</v>
      </c>
      <c r="G487" s="78" t="s">
        <v>1757</v>
      </c>
      <c r="H487" s="25" t="s">
        <v>27</v>
      </c>
      <c r="I487" s="77" t="s">
        <v>3047</v>
      </c>
      <c r="J487" s="77"/>
      <c r="K487" s="77" t="s">
        <v>3046</v>
      </c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</row>
    <row r="488" spans="1:32" ht="15" customHeight="1" x14ac:dyDescent="0.2">
      <c r="A488" s="1" t="s">
        <v>1757</v>
      </c>
      <c r="B488" s="1" t="s">
        <v>1689</v>
      </c>
      <c r="C488" s="1" t="s">
        <v>1879</v>
      </c>
      <c r="D488" s="2"/>
      <c r="E488" s="75" t="str">
        <f t="shared" si="0"/>
        <v xml:space="preserve">REYES, ROBERT ANDAL </v>
      </c>
      <c r="F488" s="2" t="s">
        <v>62</v>
      </c>
      <c r="G488" s="5" t="s">
        <v>1757</v>
      </c>
      <c r="H488" s="25" t="s">
        <v>819</v>
      </c>
      <c r="I488" s="77" t="s">
        <v>3046</v>
      </c>
      <c r="J488" s="77"/>
      <c r="K488" s="77" t="s">
        <v>3048</v>
      </c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</row>
    <row r="489" spans="1:32" ht="15" customHeight="1" x14ac:dyDescent="0.2">
      <c r="A489" s="1" t="s">
        <v>1585</v>
      </c>
      <c r="B489" s="1" t="s">
        <v>1586</v>
      </c>
      <c r="C489" s="1" t="s">
        <v>1588</v>
      </c>
      <c r="D489" s="2"/>
      <c r="E489" s="75" t="str">
        <f t="shared" si="0"/>
        <v xml:space="preserve">RIDULME, ANNA LEA ARCEO </v>
      </c>
      <c r="F489" s="2" t="s">
        <v>42</v>
      </c>
      <c r="G489" s="78" t="s">
        <v>1585</v>
      </c>
      <c r="H489" s="25" t="s">
        <v>3216</v>
      </c>
      <c r="I489" s="77" t="s">
        <v>3048</v>
      </c>
      <c r="J489" s="77"/>
      <c r="K489" s="77" t="s">
        <v>3046</v>
      </c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</row>
    <row r="490" spans="1:32" ht="15" customHeight="1" x14ac:dyDescent="0.2">
      <c r="A490" s="1" t="s">
        <v>2177</v>
      </c>
      <c r="B490" s="1" t="s">
        <v>1237</v>
      </c>
      <c r="C490" s="1" t="s">
        <v>2179</v>
      </c>
      <c r="D490" s="2"/>
      <c r="E490" s="75" t="str">
        <f t="shared" si="0"/>
        <v xml:space="preserve">RIMANDO, JUVENAL AFOS </v>
      </c>
      <c r="F490" s="2" t="s">
        <v>62</v>
      </c>
      <c r="G490" s="78" t="s">
        <v>2177</v>
      </c>
      <c r="H490" s="25" t="s">
        <v>3218</v>
      </c>
      <c r="I490" s="77" t="s">
        <v>3046</v>
      </c>
      <c r="J490" s="77"/>
      <c r="K490" s="77" t="s">
        <v>3048</v>
      </c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</row>
    <row r="491" spans="1:32" ht="15" customHeight="1" x14ac:dyDescent="0.2">
      <c r="A491" s="1" t="s">
        <v>1592</v>
      </c>
      <c r="B491" s="1" t="s">
        <v>1593</v>
      </c>
      <c r="C491" s="1" t="s">
        <v>1594</v>
      </c>
      <c r="D491" s="2"/>
      <c r="E491" s="75" t="str">
        <f t="shared" si="0"/>
        <v xml:space="preserve">RIVERA, EDMUND MALBARTINO </v>
      </c>
      <c r="F491" s="2" t="s">
        <v>42</v>
      </c>
      <c r="G491" s="78" t="s">
        <v>1592</v>
      </c>
      <c r="H491" s="80" t="s">
        <v>227</v>
      </c>
      <c r="I491" s="77" t="s">
        <v>3048</v>
      </c>
      <c r="J491" s="77"/>
      <c r="K491" s="77" t="s">
        <v>3046</v>
      </c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</row>
    <row r="492" spans="1:32" ht="15" customHeight="1" x14ac:dyDescent="0.2">
      <c r="A492" s="1" t="s">
        <v>1592</v>
      </c>
      <c r="B492" s="1" t="s">
        <v>2031</v>
      </c>
      <c r="C492" s="1" t="s">
        <v>2032</v>
      </c>
      <c r="D492" s="2"/>
      <c r="E492" s="75" t="str">
        <f t="shared" si="0"/>
        <v xml:space="preserve">RIVERA, ROBIN DATUL </v>
      </c>
      <c r="F492" s="2" t="s">
        <v>62</v>
      </c>
      <c r="G492" s="78" t="s">
        <v>1592</v>
      </c>
      <c r="H492" s="25" t="s">
        <v>2033</v>
      </c>
      <c r="I492" s="77" t="s">
        <v>3046</v>
      </c>
      <c r="J492" s="77"/>
      <c r="K492" s="77" t="s">
        <v>3047</v>
      </c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</row>
    <row r="493" spans="1:32" ht="15" customHeight="1" x14ac:dyDescent="0.2">
      <c r="A493" s="1" t="s">
        <v>1592</v>
      </c>
      <c r="B493" s="1" t="s">
        <v>59</v>
      </c>
      <c r="C493" s="1" t="s">
        <v>1634</v>
      </c>
      <c r="D493" s="2"/>
      <c r="E493" s="75" t="str">
        <f t="shared" si="0"/>
        <v xml:space="preserve">RIVERA, RONALD BATIS </v>
      </c>
      <c r="F493" s="2" t="s">
        <v>177</v>
      </c>
      <c r="G493" s="78" t="s">
        <v>1592</v>
      </c>
      <c r="H493" s="25" t="s">
        <v>333</v>
      </c>
      <c r="I493" s="77" t="s">
        <v>3047</v>
      </c>
      <c r="J493" s="77"/>
      <c r="K493" s="77" t="s">
        <v>3047</v>
      </c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</row>
    <row r="494" spans="1:32" ht="15" customHeight="1" x14ac:dyDescent="0.2">
      <c r="A494" s="99"/>
      <c r="B494" s="99"/>
      <c r="C494" s="99"/>
      <c r="D494" s="2"/>
      <c r="E494" s="75" t="str">
        <f t="shared" si="0"/>
        <v xml:space="preserve">,   </v>
      </c>
      <c r="F494" s="2"/>
      <c r="G494" s="78"/>
      <c r="H494" s="25"/>
      <c r="I494" s="77"/>
      <c r="J494" s="77"/>
      <c r="K494" s="77" t="s">
        <v>3048</v>
      </c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</row>
    <row r="495" spans="1:32" ht="15" customHeight="1" x14ac:dyDescent="0.2">
      <c r="A495" s="1" t="s">
        <v>1021</v>
      </c>
      <c r="B495" s="1" t="s">
        <v>2142</v>
      </c>
      <c r="C495" s="1" t="s">
        <v>2144</v>
      </c>
      <c r="D495" s="2"/>
      <c r="E495" s="75" t="str">
        <f t="shared" si="0"/>
        <v xml:space="preserve">ROMANO, PERCY BAG-AYAN </v>
      </c>
      <c r="F495" s="2" t="s">
        <v>32</v>
      </c>
      <c r="G495" s="78" t="s">
        <v>1596</v>
      </c>
      <c r="H495" s="25" t="s">
        <v>2529</v>
      </c>
      <c r="I495" s="77" t="s">
        <v>3047</v>
      </c>
      <c r="J495" s="77"/>
      <c r="K495" s="77" t="s">
        <v>3048</v>
      </c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</row>
    <row r="496" spans="1:32" ht="15" customHeight="1" x14ac:dyDescent="0.2">
      <c r="A496" s="1" t="s">
        <v>1596</v>
      </c>
      <c r="B496" s="1" t="s">
        <v>1597</v>
      </c>
      <c r="C496" s="1" t="s">
        <v>1598</v>
      </c>
      <c r="D496" s="2"/>
      <c r="E496" s="75" t="str">
        <f t="shared" si="0"/>
        <v xml:space="preserve">ROQUE, ARISTOTLE GARSIN </v>
      </c>
      <c r="F496" s="2" t="s">
        <v>42</v>
      </c>
      <c r="G496" s="78" t="s">
        <v>1603</v>
      </c>
      <c r="H496" s="25" t="s">
        <v>1599</v>
      </c>
      <c r="I496" s="77" t="s">
        <v>3048</v>
      </c>
      <c r="J496" s="77"/>
      <c r="K496" s="77" t="s">
        <v>3047</v>
      </c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</row>
    <row r="497" spans="1:32" ht="15" customHeight="1" x14ac:dyDescent="0.2">
      <c r="A497" s="1" t="s">
        <v>1603</v>
      </c>
      <c r="B497" s="1" t="s">
        <v>1605</v>
      </c>
      <c r="C497" s="1" t="s">
        <v>461</v>
      </c>
      <c r="D497" s="2"/>
      <c r="E497" s="75" t="str">
        <f t="shared" si="0"/>
        <v xml:space="preserve">ROSETE, ROSENA NICOLAS </v>
      </c>
      <c r="F497" s="2" t="s">
        <v>42</v>
      </c>
      <c r="G497" s="78" t="s">
        <v>2585</v>
      </c>
      <c r="H497" s="25" t="s">
        <v>1007</v>
      </c>
      <c r="I497" s="77" t="s">
        <v>3048</v>
      </c>
      <c r="J497" s="77"/>
      <c r="K497" s="77" t="s">
        <v>3048</v>
      </c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</row>
    <row r="498" spans="1:32" ht="15" customHeight="1" x14ac:dyDescent="0.2">
      <c r="A498" s="1" t="s">
        <v>2585</v>
      </c>
      <c r="B498" s="1" t="s">
        <v>2586</v>
      </c>
      <c r="C498" s="1" t="s">
        <v>2587</v>
      </c>
      <c r="D498" s="2"/>
      <c r="E498" s="75" t="str">
        <f t="shared" si="0"/>
        <v xml:space="preserve">ROVIRA, CRISMUNDO PADULLO </v>
      </c>
      <c r="F498" s="2" t="s">
        <v>32</v>
      </c>
      <c r="G498" s="78" t="s">
        <v>1608</v>
      </c>
      <c r="H498" s="25" t="s">
        <v>138</v>
      </c>
      <c r="I498" s="77" t="s">
        <v>3047</v>
      </c>
      <c r="J498" s="77"/>
      <c r="K498" s="77" t="s">
        <v>3048</v>
      </c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</row>
    <row r="499" spans="1:32" ht="15" customHeight="1" x14ac:dyDescent="0.2">
      <c r="A499" s="1" t="s">
        <v>1608</v>
      </c>
      <c r="B499" s="1" t="s">
        <v>1610</v>
      </c>
      <c r="C499" s="1" t="s">
        <v>1612</v>
      </c>
      <c r="D499" s="2"/>
      <c r="E499" s="75" t="str">
        <f t="shared" si="0"/>
        <v xml:space="preserve">RUARO, ANN MARGARETH PERGIS </v>
      </c>
      <c r="F499" s="2" t="s">
        <v>42</v>
      </c>
      <c r="G499" s="78" t="s">
        <v>171</v>
      </c>
      <c r="H499" s="25" t="s">
        <v>696</v>
      </c>
      <c r="I499" s="77" t="s">
        <v>3048</v>
      </c>
      <c r="J499" s="77"/>
      <c r="K499" s="77" t="s">
        <v>3046</v>
      </c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</row>
    <row r="500" spans="1:32" ht="15" customHeight="1" x14ac:dyDescent="0.2">
      <c r="A500" s="1" t="s">
        <v>171</v>
      </c>
      <c r="B500" s="1" t="s">
        <v>172</v>
      </c>
      <c r="C500" s="1" t="s">
        <v>173</v>
      </c>
      <c r="D500" s="2"/>
      <c r="E500" s="75" t="str">
        <f t="shared" si="0"/>
        <v xml:space="preserve">RUIVIVAR, JOSE SALVADOR DEL ROSARIO </v>
      </c>
      <c r="F500" s="2" t="s">
        <v>42</v>
      </c>
      <c r="G500" s="78" t="s">
        <v>1883</v>
      </c>
      <c r="H500" s="25" t="s">
        <v>1620</v>
      </c>
      <c r="I500" s="77" t="s">
        <v>3048</v>
      </c>
      <c r="J500" s="77"/>
      <c r="K500" s="77" t="s">
        <v>3048</v>
      </c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</row>
    <row r="501" spans="1:32" ht="15" customHeight="1" x14ac:dyDescent="0.2">
      <c r="A501" s="1" t="s">
        <v>1883</v>
      </c>
      <c r="B501" s="1" t="s">
        <v>1885</v>
      </c>
      <c r="C501" s="1" t="s">
        <v>1886</v>
      </c>
      <c r="D501" s="2"/>
      <c r="E501" s="75" t="str">
        <f t="shared" si="0"/>
        <v xml:space="preserve">RUIZ, RONIE BATARA </v>
      </c>
      <c r="F501" s="2" t="s">
        <v>62</v>
      </c>
      <c r="G501" s="78" t="s">
        <v>1624</v>
      </c>
      <c r="H501" s="103" t="s">
        <v>819</v>
      </c>
      <c r="I501" s="77" t="s">
        <v>3046</v>
      </c>
      <c r="J501" s="77"/>
      <c r="K501" s="77" t="s">
        <v>3047</v>
      </c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</row>
    <row r="502" spans="1:32" ht="15" customHeight="1" x14ac:dyDescent="0.2">
      <c r="A502" s="1" t="s">
        <v>1624</v>
      </c>
      <c r="B502" s="1" t="s">
        <v>1625</v>
      </c>
      <c r="C502" s="1" t="s">
        <v>1626</v>
      </c>
      <c r="D502" s="2"/>
      <c r="E502" s="75" t="str">
        <f t="shared" si="0"/>
        <v xml:space="preserve">RUMBAOA, SHIRLY CABUSORA </v>
      </c>
      <c r="F502" s="2" t="s">
        <v>42</v>
      </c>
      <c r="G502" s="78" t="s">
        <v>2367</v>
      </c>
      <c r="H502" s="25" t="s">
        <v>3222</v>
      </c>
      <c r="I502" s="77" t="s">
        <v>3048</v>
      </c>
      <c r="J502" s="77"/>
      <c r="K502" s="77" t="s">
        <v>3048</v>
      </c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</row>
    <row r="503" spans="1:32" ht="15" customHeight="1" x14ac:dyDescent="0.2">
      <c r="A503" s="1" t="s">
        <v>2367</v>
      </c>
      <c r="B503" s="1" t="s">
        <v>2368</v>
      </c>
      <c r="C503" s="1" t="s">
        <v>2369</v>
      </c>
      <c r="D503" s="2"/>
      <c r="E503" s="75" t="str">
        <f t="shared" si="0"/>
        <v xml:space="preserve">SABIO, SHERWIN INTONG </v>
      </c>
      <c r="F503" s="2" t="s">
        <v>397</v>
      </c>
      <c r="G503" s="78" t="s">
        <v>1630</v>
      </c>
      <c r="H503" s="25" t="s">
        <v>785</v>
      </c>
      <c r="I503" s="77" t="s">
        <v>3047</v>
      </c>
      <c r="J503" s="77"/>
      <c r="K503" s="77" t="s">
        <v>3047</v>
      </c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</row>
    <row r="504" spans="1:32" ht="15" customHeight="1" x14ac:dyDescent="0.2">
      <c r="A504" s="1" t="s">
        <v>1630</v>
      </c>
      <c r="B504" s="1" t="s">
        <v>1631</v>
      </c>
      <c r="C504" s="1" t="s">
        <v>1632</v>
      </c>
      <c r="D504" s="2"/>
      <c r="E504" s="75" t="str">
        <f t="shared" si="0"/>
        <v xml:space="preserve">SABLAY, HAZEL DILLOZA </v>
      </c>
      <c r="F504" s="2" t="s">
        <v>42</v>
      </c>
      <c r="G504" s="78" t="s">
        <v>547</v>
      </c>
      <c r="H504" s="25" t="s">
        <v>1633</v>
      </c>
      <c r="I504" s="77" t="s">
        <v>3048</v>
      </c>
      <c r="J504" s="77"/>
      <c r="K504" s="77" t="s">
        <v>3047</v>
      </c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</row>
    <row r="505" spans="1:32" ht="15" customHeight="1" x14ac:dyDescent="0.2">
      <c r="A505" s="9" t="s">
        <v>547</v>
      </c>
      <c r="B505" s="9" t="s">
        <v>549</v>
      </c>
      <c r="C505" s="9" t="s">
        <v>551</v>
      </c>
      <c r="D505" s="82"/>
      <c r="E505" s="75" t="str">
        <f t="shared" si="0"/>
        <v xml:space="preserve">SAET, MITZI ANNE BESA </v>
      </c>
      <c r="F505" s="2" t="s">
        <v>32</v>
      </c>
      <c r="G505" s="78" t="s">
        <v>2119</v>
      </c>
      <c r="H505" s="25" t="s">
        <v>333</v>
      </c>
      <c r="I505" s="77" t="s">
        <v>3047</v>
      </c>
      <c r="J505" s="77"/>
      <c r="K505" s="77" t="s">
        <v>3046</v>
      </c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</row>
    <row r="506" spans="1:32" ht="15" customHeight="1" x14ac:dyDescent="0.2">
      <c r="A506" s="1" t="s">
        <v>2119</v>
      </c>
      <c r="B506" s="1" t="s">
        <v>2121</v>
      </c>
      <c r="C506" s="1" t="s">
        <v>2122</v>
      </c>
      <c r="D506" s="2"/>
      <c r="E506" s="75" t="str">
        <f t="shared" si="0"/>
        <v xml:space="preserve">SAGGOT, FREDA AMMAGAY </v>
      </c>
      <c r="F506" s="2" t="s">
        <v>134</v>
      </c>
      <c r="G506" s="78" t="s">
        <v>87</v>
      </c>
      <c r="H506" s="25" t="s">
        <v>333</v>
      </c>
      <c r="I506" s="77" t="s">
        <v>3047</v>
      </c>
      <c r="J506" s="77"/>
      <c r="K506" s="77" t="s">
        <v>3046</v>
      </c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</row>
    <row r="507" spans="1:32" ht="15" customHeight="1" x14ac:dyDescent="0.2">
      <c r="A507" s="1" t="s">
        <v>87</v>
      </c>
      <c r="B507" s="1" t="s">
        <v>366</v>
      </c>
      <c r="C507" s="1" t="s">
        <v>367</v>
      </c>
      <c r="D507" s="2"/>
      <c r="E507" s="75" t="str">
        <f t="shared" si="0"/>
        <v xml:space="preserve">SALAS, EUNILAINE SALVADOR </v>
      </c>
      <c r="F507" s="2" t="s">
        <v>127</v>
      </c>
      <c r="G507" s="78" t="s">
        <v>2169</v>
      </c>
      <c r="H507" s="25" t="s">
        <v>259</v>
      </c>
      <c r="I507" s="77" t="s">
        <v>3046</v>
      </c>
      <c r="J507" s="77"/>
      <c r="K507" s="77" t="s">
        <v>3047</v>
      </c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</row>
    <row r="508" spans="1:32" ht="15" customHeight="1" x14ac:dyDescent="0.2">
      <c r="A508" s="1" t="s">
        <v>2169</v>
      </c>
      <c r="B508" s="1" t="s">
        <v>2170</v>
      </c>
      <c r="C508" s="1" t="s">
        <v>220</v>
      </c>
      <c r="D508" s="2"/>
      <c r="E508" s="75" t="str">
        <f t="shared" si="0"/>
        <v xml:space="preserve">SALAYA, MA ANGELA MIRABEL </v>
      </c>
      <c r="F508" s="2" t="s">
        <v>62</v>
      </c>
      <c r="G508" s="78" t="s">
        <v>2071</v>
      </c>
      <c r="H508" s="25" t="s">
        <v>3224</v>
      </c>
      <c r="I508" s="77" t="s">
        <v>3046</v>
      </c>
      <c r="J508" s="77"/>
      <c r="K508" s="77" t="s">
        <v>3047</v>
      </c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</row>
    <row r="509" spans="1:32" ht="15" customHeight="1" x14ac:dyDescent="0.2">
      <c r="A509" s="1" t="s">
        <v>2071</v>
      </c>
      <c r="B509" s="1" t="s">
        <v>2072</v>
      </c>
      <c r="C509" s="1" t="s">
        <v>2073</v>
      </c>
      <c r="D509" s="2"/>
      <c r="E509" s="75" t="str">
        <f t="shared" si="0"/>
        <v xml:space="preserve">SALDIVAR, ROMMEL JOHN GICANA </v>
      </c>
      <c r="F509" s="2" t="s">
        <v>32</v>
      </c>
      <c r="G509" s="5" t="s">
        <v>559</v>
      </c>
      <c r="H509" s="25" t="s">
        <v>333</v>
      </c>
      <c r="I509" s="77" t="s">
        <v>3047</v>
      </c>
      <c r="J509" s="77"/>
      <c r="K509" s="77" t="s">
        <v>3048</v>
      </c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</row>
    <row r="510" spans="1:32" ht="15" customHeight="1" x14ac:dyDescent="0.2">
      <c r="A510" s="1" t="s">
        <v>559</v>
      </c>
      <c r="B510" s="1" t="s">
        <v>560</v>
      </c>
      <c r="C510" s="1" t="s">
        <v>561</v>
      </c>
      <c r="D510" s="2"/>
      <c r="E510" s="75" t="str">
        <f t="shared" si="0"/>
        <v xml:space="preserve">SALES, JAFET ANINAO </v>
      </c>
      <c r="F510" s="2" t="s">
        <v>32</v>
      </c>
      <c r="G510" s="78" t="s">
        <v>1636</v>
      </c>
      <c r="H510" s="25" t="s">
        <v>333</v>
      </c>
      <c r="I510" s="77" t="s">
        <v>3047</v>
      </c>
      <c r="J510" s="77"/>
      <c r="K510" s="77" t="s">
        <v>3048</v>
      </c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</row>
    <row r="511" spans="1:32" ht="15" customHeight="1" x14ac:dyDescent="0.2">
      <c r="A511" s="1" t="s">
        <v>1636</v>
      </c>
      <c r="B511" s="1" t="s">
        <v>1638</v>
      </c>
      <c r="C511" s="1" t="s">
        <v>1639</v>
      </c>
      <c r="D511" s="2"/>
      <c r="E511" s="75" t="str">
        <f t="shared" si="0"/>
        <v xml:space="preserve">SAMPANA, PHILLIP TUPAS </v>
      </c>
      <c r="F511" s="2" t="s">
        <v>42</v>
      </c>
      <c r="G511" s="78" t="s">
        <v>1645</v>
      </c>
      <c r="H511" s="25" t="s">
        <v>1641</v>
      </c>
      <c r="I511" s="77" t="s">
        <v>3048</v>
      </c>
      <c r="J511" s="77"/>
      <c r="K511" s="77" t="s">
        <v>3047</v>
      </c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</row>
    <row r="512" spans="1:32" ht="15" customHeight="1" x14ac:dyDescent="0.2">
      <c r="A512" s="1" t="s">
        <v>1645</v>
      </c>
      <c r="B512" s="1" t="s">
        <v>1646</v>
      </c>
      <c r="C512" s="1" t="s">
        <v>1647</v>
      </c>
      <c r="D512" s="2"/>
      <c r="E512" s="75" t="str">
        <f t="shared" si="0"/>
        <v xml:space="preserve">SANCHEZ, SHERYL PALLONES </v>
      </c>
      <c r="F512" s="2" t="s">
        <v>42</v>
      </c>
      <c r="G512" s="11" t="s">
        <v>140</v>
      </c>
      <c r="H512" s="25" t="s">
        <v>999</v>
      </c>
      <c r="I512" s="77" t="s">
        <v>3048</v>
      </c>
      <c r="J512" s="77"/>
      <c r="K512" s="77" t="s">
        <v>3046</v>
      </c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</row>
    <row r="513" spans="1:32" ht="15" customHeight="1" x14ac:dyDescent="0.2">
      <c r="A513" s="1" t="s">
        <v>140</v>
      </c>
      <c r="B513" s="1" t="s">
        <v>141</v>
      </c>
      <c r="C513" s="1" t="s">
        <v>142</v>
      </c>
      <c r="D513" s="2"/>
      <c r="E513" s="75" t="str">
        <f t="shared" si="0"/>
        <v xml:space="preserve">SANG-AN, CATHERINE VALDESTAMON </v>
      </c>
      <c r="F513" s="2" t="s">
        <v>134</v>
      </c>
      <c r="G513" s="78" t="s">
        <v>1611</v>
      </c>
      <c r="H513" s="25" t="s">
        <v>143</v>
      </c>
      <c r="I513" s="77" t="s">
        <v>3047</v>
      </c>
      <c r="J513" s="77"/>
      <c r="K513" s="77" t="s">
        <v>3048</v>
      </c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</row>
    <row r="514" spans="1:32" ht="15" customHeight="1" x14ac:dyDescent="0.2">
      <c r="A514" s="1" t="s">
        <v>1611</v>
      </c>
      <c r="B514" s="1" t="s">
        <v>1082</v>
      </c>
      <c r="C514" s="1" t="s">
        <v>1616</v>
      </c>
      <c r="D514" s="2"/>
      <c r="E514" s="75" t="str">
        <f t="shared" si="0"/>
        <v xml:space="preserve">SANTILLANA, JULIUS PASCUA </v>
      </c>
      <c r="F514" s="2" t="s">
        <v>62</v>
      </c>
      <c r="G514" s="78" t="s">
        <v>707</v>
      </c>
      <c r="H514" s="25" t="s">
        <v>1617</v>
      </c>
      <c r="I514" s="77" t="s">
        <v>3046</v>
      </c>
      <c r="J514" s="77"/>
      <c r="K514" s="77" t="s">
        <v>3046</v>
      </c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</row>
    <row r="515" spans="1:32" ht="15" customHeight="1" x14ac:dyDescent="0.2">
      <c r="A515" s="1" t="s">
        <v>707</v>
      </c>
      <c r="B515" s="1" t="s">
        <v>1654</v>
      </c>
      <c r="C515" s="1" t="s">
        <v>1656</v>
      </c>
      <c r="D515" s="2"/>
      <c r="E515" s="75" t="str">
        <f t="shared" si="0"/>
        <v xml:space="preserve">SANTOS, ALLAN SASUTA </v>
      </c>
      <c r="F515" s="2" t="s">
        <v>42</v>
      </c>
      <c r="G515" s="78" t="s">
        <v>707</v>
      </c>
      <c r="H515" s="25" t="s">
        <v>1658</v>
      </c>
      <c r="I515" s="77" t="s">
        <v>3048</v>
      </c>
      <c r="J515" s="77"/>
      <c r="K515" s="77" t="s">
        <v>3046</v>
      </c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</row>
    <row r="516" spans="1:32" ht="15" customHeight="1" x14ac:dyDescent="0.2">
      <c r="A516" s="1" t="s">
        <v>707</v>
      </c>
      <c r="B516" s="1" t="s">
        <v>2055</v>
      </c>
      <c r="C516" s="1" t="s">
        <v>1649</v>
      </c>
      <c r="D516" s="2"/>
      <c r="E516" s="75" t="str">
        <f t="shared" si="0"/>
        <v xml:space="preserve">SANTOS, JAY WALTER SANTIAGO </v>
      </c>
      <c r="F516" s="2" t="s">
        <v>62</v>
      </c>
      <c r="G516" s="78" t="s">
        <v>707</v>
      </c>
      <c r="H516" s="25" t="s">
        <v>3146</v>
      </c>
      <c r="I516" s="77" t="s">
        <v>3046</v>
      </c>
      <c r="J516" s="77"/>
      <c r="K516" s="77" t="s">
        <v>3047</v>
      </c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</row>
    <row r="517" spans="1:32" ht="15" customHeight="1" x14ac:dyDescent="0.2">
      <c r="A517" s="99"/>
      <c r="B517" s="99"/>
      <c r="C517" s="99"/>
      <c r="D517" s="2"/>
      <c r="E517" s="75" t="str">
        <f t="shared" si="0"/>
        <v xml:space="preserve">,   </v>
      </c>
      <c r="F517" s="2"/>
      <c r="G517" s="78"/>
      <c r="H517" s="25"/>
      <c r="I517" s="77"/>
      <c r="J517" s="77"/>
      <c r="K517" s="77" t="s">
        <v>3048</v>
      </c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</row>
    <row r="518" spans="1:32" ht="15" customHeight="1" x14ac:dyDescent="0.2">
      <c r="A518" s="1" t="s">
        <v>707</v>
      </c>
      <c r="B518" s="1" t="s">
        <v>1925</v>
      </c>
      <c r="C518" s="1" t="s">
        <v>1323</v>
      </c>
      <c r="D518" s="2"/>
      <c r="E518" s="75" t="str">
        <f t="shared" si="0"/>
        <v xml:space="preserve">SANTOS, NHARCISO JHOEL SULIT </v>
      </c>
      <c r="F518" s="2" t="s">
        <v>62</v>
      </c>
      <c r="G518" s="78" t="s">
        <v>707</v>
      </c>
      <c r="H518" s="25" t="s">
        <v>3228</v>
      </c>
      <c r="I518" s="77" t="s">
        <v>3046</v>
      </c>
      <c r="J518" s="77"/>
      <c r="K518" s="77" t="s">
        <v>3048</v>
      </c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</row>
    <row r="519" spans="1:32" ht="15" customHeight="1" x14ac:dyDescent="0.2">
      <c r="A519" s="1" t="s">
        <v>837</v>
      </c>
      <c r="B519" s="1" t="s">
        <v>838</v>
      </c>
      <c r="C519" s="1" t="s">
        <v>840</v>
      </c>
      <c r="D519" s="2"/>
      <c r="E519" s="75" t="str">
        <f t="shared" si="0"/>
        <v xml:space="preserve">SARMIENTO, ERIC BUDY </v>
      </c>
      <c r="F519" s="2" t="s">
        <v>134</v>
      </c>
      <c r="G519" s="11" t="s">
        <v>837</v>
      </c>
      <c r="H519" s="25" t="s">
        <v>333</v>
      </c>
      <c r="I519" s="77" t="s">
        <v>3047</v>
      </c>
      <c r="J519" s="77"/>
      <c r="K519" s="77" t="s">
        <v>3047</v>
      </c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</row>
    <row r="520" spans="1:32" ht="15" customHeight="1" x14ac:dyDescent="0.2">
      <c r="A520" s="1" t="s">
        <v>1663</v>
      </c>
      <c r="B520" s="1" t="s">
        <v>1664</v>
      </c>
      <c r="C520" s="1" t="s">
        <v>1665</v>
      </c>
      <c r="D520" s="2"/>
      <c r="E520" s="75" t="str">
        <f t="shared" si="0"/>
        <v xml:space="preserve">SECULLES, LILIBETH VERANO </v>
      </c>
      <c r="F520" s="2" t="s">
        <v>42</v>
      </c>
      <c r="G520" s="78" t="s">
        <v>1663</v>
      </c>
      <c r="H520" s="25" t="s">
        <v>1007</v>
      </c>
      <c r="I520" s="77" t="s">
        <v>3048</v>
      </c>
      <c r="J520" s="77"/>
      <c r="K520" s="77" t="s">
        <v>3046</v>
      </c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</row>
    <row r="521" spans="1:32" ht="15" customHeight="1" x14ac:dyDescent="0.2">
      <c r="A521" s="1" t="s">
        <v>97</v>
      </c>
      <c r="B521" s="1" t="s">
        <v>98</v>
      </c>
      <c r="C521" s="1" t="s">
        <v>99</v>
      </c>
      <c r="D521" s="2"/>
      <c r="E521" s="75" t="str">
        <f t="shared" si="0"/>
        <v xml:space="preserve">SEMILLA, FLORITES SARIO </v>
      </c>
      <c r="F521" s="2" t="s">
        <v>42</v>
      </c>
      <c r="G521" s="78" t="s">
        <v>97</v>
      </c>
      <c r="H521" s="25" t="s">
        <v>3230</v>
      </c>
      <c r="I521" s="77" t="s">
        <v>3048</v>
      </c>
      <c r="J521" s="77"/>
      <c r="K521" s="77" t="s">
        <v>3046</v>
      </c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</row>
    <row r="522" spans="1:32" ht="15" customHeight="1" x14ac:dyDescent="0.2">
      <c r="A522" s="1" t="s">
        <v>1975</v>
      </c>
      <c r="B522" s="1" t="s">
        <v>1977</v>
      </c>
      <c r="C522" s="1" t="s">
        <v>1978</v>
      </c>
      <c r="D522" s="2" t="s">
        <v>181</v>
      </c>
      <c r="E522" s="75" t="str">
        <f t="shared" si="0"/>
        <v>SEPTIMO, LEO CACA JR</v>
      </c>
      <c r="F522" s="2" t="s">
        <v>177</v>
      </c>
      <c r="G522" s="78" t="s">
        <v>1975</v>
      </c>
      <c r="H522" s="25" t="s">
        <v>333</v>
      </c>
      <c r="I522" s="77" t="s">
        <v>3047</v>
      </c>
      <c r="J522" s="77"/>
      <c r="K522" s="77" t="s">
        <v>3047</v>
      </c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</row>
    <row r="523" spans="1:32" ht="15" customHeight="1" x14ac:dyDescent="0.2">
      <c r="A523" s="1" t="s">
        <v>745</v>
      </c>
      <c r="B523" s="1" t="s">
        <v>746</v>
      </c>
      <c r="C523" s="1" t="s">
        <v>748</v>
      </c>
      <c r="D523" s="2"/>
      <c r="E523" s="75" t="str">
        <f t="shared" si="0"/>
        <v xml:space="preserve">SEVILLA, JERALD MANUZON </v>
      </c>
      <c r="F523" s="2" t="s">
        <v>62</v>
      </c>
      <c r="G523" s="105" t="s">
        <v>745</v>
      </c>
      <c r="H523" s="25" t="s">
        <v>259</v>
      </c>
      <c r="I523" s="77" t="s">
        <v>3046</v>
      </c>
      <c r="J523" s="77"/>
      <c r="K523" s="77" t="s">
        <v>3047</v>
      </c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</row>
    <row r="524" spans="1:32" ht="15" customHeight="1" x14ac:dyDescent="0.2">
      <c r="A524" s="1" t="s">
        <v>1988</v>
      </c>
      <c r="B524" s="1" t="s">
        <v>1989</v>
      </c>
      <c r="C524" s="1" t="s">
        <v>1990</v>
      </c>
      <c r="D524" s="2"/>
      <c r="E524" s="75" t="str">
        <f t="shared" si="0"/>
        <v xml:space="preserve">SIA, ENARD ANDAYA </v>
      </c>
      <c r="F524" s="2" t="s">
        <v>323</v>
      </c>
      <c r="G524" s="11" t="s">
        <v>1988</v>
      </c>
      <c r="H524" s="25" t="s">
        <v>636</v>
      </c>
      <c r="I524" s="77" t="s">
        <v>3046</v>
      </c>
      <c r="J524" s="77"/>
      <c r="K524" s="77" t="s">
        <v>3047</v>
      </c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</row>
    <row r="525" spans="1:32" ht="15" customHeight="1" x14ac:dyDescent="0.2">
      <c r="A525" s="1" t="s">
        <v>662</v>
      </c>
      <c r="B525" s="1" t="s">
        <v>663</v>
      </c>
      <c r="C525" s="1" t="s">
        <v>664</v>
      </c>
      <c r="D525" s="2"/>
      <c r="E525" s="75" t="str">
        <f t="shared" si="0"/>
        <v xml:space="preserve">SIBAYAN, REYGIE PIAGAN </v>
      </c>
      <c r="F525" s="2" t="s">
        <v>528</v>
      </c>
      <c r="G525" s="78" t="s">
        <v>662</v>
      </c>
      <c r="H525" s="25" t="s">
        <v>333</v>
      </c>
      <c r="I525" s="77" t="s">
        <v>3047</v>
      </c>
      <c r="J525" s="77"/>
      <c r="K525" s="77" t="s">
        <v>3046</v>
      </c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</row>
    <row r="526" spans="1:32" ht="15" customHeight="1" x14ac:dyDescent="0.2">
      <c r="A526" s="1" t="s">
        <v>1830</v>
      </c>
      <c r="B526" s="1" t="s">
        <v>687</v>
      </c>
      <c r="C526" s="1" t="s">
        <v>1831</v>
      </c>
      <c r="D526" s="2"/>
      <c r="E526" s="75" t="str">
        <f t="shared" si="0"/>
        <v xml:space="preserve">SIBUNGA, JOSEPH TAMAYO </v>
      </c>
      <c r="F526" s="2" t="s">
        <v>528</v>
      </c>
      <c r="G526" s="78" t="s">
        <v>1830</v>
      </c>
      <c r="H526" s="25" t="s">
        <v>333</v>
      </c>
      <c r="I526" s="77" t="s">
        <v>3047</v>
      </c>
      <c r="J526" s="77"/>
      <c r="K526" s="77" t="s">
        <v>3048</v>
      </c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</row>
    <row r="527" spans="1:32" ht="15" customHeight="1" x14ac:dyDescent="0.2">
      <c r="A527" s="1" t="s">
        <v>2375</v>
      </c>
      <c r="B527" s="1" t="s">
        <v>2376</v>
      </c>
      <c r="C527" s="1" t="s">
        <v>2377</v>
      </c>
      <c r="D527" s="2"/>
      <c r="E527" s="75" t="str">
        <f t="shared" si="0"/>
        <v xml:space="preserve">SIGGAYO, WILLARD MALABAD </v>
      </c>
      <c r="F527" s="2" t="s">
        <v>528</v>
      </c>
      <c r="G527" s="78" t="s">
        <v>2375</v>
      </c>
      <c r="H527" s="25" t="s">
        <v>3065</v>
      </c>
      <c r="I527" s="77" t="s">
        <v>3047</v>
      </c>
      <c r="J527" s="77"/>
      <c r="K527" s="77" t="s">
        <v>3048</v>
      </c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</row>
    <row r="528" spans="1:32" ht="15" customHeight="1" x14ac:dyDescent="0.2">
      <c r="A528" s="1" t="s">
        <v>567</v>
      </c>
      <c r="B528" s="1" t="s">
        <v>568</v>
      </c>
      <c r="C528" s="1" t="s">
        <v>570</v>
      </c>
      <c r="D528" s="2"/>
      <c r="E528" s="75" t="str">
        <f t="shared" si="0"/>
        <v xml:space="preserve">SOBREVILLA, RAYMUND CHRISTOPHER DECIPULO </v>
      </c>
      <c r="F528" s="2" t="s">
        <v>127</v>
      </c>
      <c r="G528" s="78" t="s">
        <v>567</v>
      </c>
      <c r="H528" s="25" t="s">
        <v>2732</v>
      </c>
      <c r="I528" s="77" t="s">
        <v>3046</v>
      </c>
      <c r="J528" s="77"/>
      <c r="K528" s="77" t="s">
        <v>3047</v>
      </c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</row>
    <row r="529" spans="1:32" ht="15" customHeight="1" x14ac:dyDescent="0.2">
      <c r="A529" s="1" t="s">
        <v>1671</v>
      </c>
      <c r="B529" s="1" t="s">
        <v>1674</v>
      </c>
      <c r="C529" s="1" t="s">
        <v>1675</v>
      </c>
      <c r="D529" s="2"/>
      <c r="E529" s="75" t="str">
        <f t="shared" si="0"/>
        <v xml:space="preserve">SOCORRO, GIBSON TOBIAS </v>
      </c>
      <c r="F529" s="2" t="s">
        <v>42</v>
      </c>
      <c r="G529" s="78" t="s">
        <v>1671</v>
      </c>
      <c r="H529" s="25" t="s">
        <v>736</v>
      </c>
      <c r="I529" s="77" t="s">
        <v>3048</v>
      </c>
      <c r="J529" s="77"/>
      <c r="K529" s="77" t="s">
        <v>3046</v>
      </c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</row>
    <row r="530" spans="1:32" ht="15" customHeight="1" x14ac:dyDescent="0.2">
      <c r="A530" s="1" t="s">
        <v>1677</v>
      </c>
      <c r="B530" s="1" t="s">
        <v>1678</v>
      </c>
      <c r="C530" s="1" t="s">
        <v>1680</v>
      </c>
      <c r="D530" s="2"/>
      <c r="E530" s="75" t="str">
        <f t="shared" si="0"/>
        <v xml:space="preserve">SOLON, RENA ELENA OCCIANO </v>
      </c>
      <c r="F530" s="2" t="s">
        <v>42</v>
      </c>
      <c r="G530" s="78" t="s">
        <v>1677</v>
      </c>
      <c r="H530" s="25" t="s">
        <v>1682</v>
      </c>
      <c r="I530" s="77" t="s">
        <v>3048</v>
      </c>
      <c r="J530" s="77"/>
      <c r="K530" s="77" t="s">
        <v>3046</v>
      </c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</row>
    <row r="531" spans="1:32" ht="15" customHeight="1" x14ac:dyDescent="0.2">
      <c r="A531" s="1" t="s">
        <v>1584</v>
      </c>
      <c r="B531" s="1" t="s">
        <v>2380</v>
      </c>
      <c r="C531" s="1" t="s">
        <v>823</v>
      </c>
      <c r="D531" s="2"/>
      <c r="E531" s="75" t="str">
        <f t="shared" si="0"/>
        <v xml:space="preserve">SORIANO, NEPTHALIE ADONA </v>
      </c>
      <c r="F531" s="2" t="s">
        <v>528</v>
      </c>
      <c r="G531" s="78" t="s">
        <v>1584</v>
      </c>
      <c r="H531" s="25" t="s">
        <v>3065</v>
      </c>
      <c r="I531" s="77" t="s">
        <v>3047</v>
      </c>
      <c r="J531" s="77"/>
      <c r="K531" s="77" t="s">
        <v>3046</v>
      </c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</row>
    <row r="532" spans="1:32" ht="15" customHeight="1" x14ac:dyDescent="0.3">
      <c r="A532" s="1" t="s">
        <v>324</v>
      </c>
      <c r="B532" s="1" t="s">
        <v>326</v>
      </c>
      <c r="C532" s="1" t="s">
        <v>328</v>
      </c>
      <c r="D532" s="2"/>
      <c r="E532" s="75" t="str">
        <f t="shared" si="0"/>
        <v xml:space="preserve">SOSA, GIBSON JOHN ARAOS </v>
      </c>
      <c r="F532" s="2" t="s">
        <v>127</v>
      </c>
      <c r="G532" s="79" t="s">
        <v>324</v>
      </c>
      <c r="H532" s="25" t="s">
        <v>259</v>
      </c>
      <c r="I532" s="77" t="s">
        <v>3046</v>
      </c>
      <c r="J532" s="77"/>
      <c r="K532" s="77" t="s">
        <v>3046</v>
      </c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</row>
    <row r="533" spans="1:32" ht="15" customHeight="1" x14ac:dyDescent="0.2">
      <c r="A533" s="1" t="s">
        <v>1393</v>
      </c>
      <c r="B533" s="1" t="s">
        <v>1394</v>
      </c>
      <c r="C533" s="1" t="s">
        <v>1395</v>
      </c>
      <c r="D533" s="2"/>
      <c r="E533" s="75" t="str">
        <f t="shared" si="0"/>
        <v xml:space="preserve">STA INES, ERROL MOLINA </v>
      </c>
      <c r="F533" s="2" t="s">
        <v>127</v>
      </c>
      <c r="G533" s="11" t="s">
        <v>1393</v>
      </c>
      <c r="H533" s="25" t="s">
        <v>259</v>
      </c>
      <c r="I533" s="77" t="s">
        <v>3046</v>
      </c>
      <c r="J533" s="77"/>
      <c r="K533" s="77" t="s">
        <v>3046</v>
      </c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</row>
    <row r="534" spans="1:32" ht="15" customHeight="1" x14ac:dyDescent="0.2">
      <c r="A534" s="1" t="s">
        <v>1669</v>
      </c>
      <c r="B534" s="1" t="s">
        <v>387</v>
      </c>
      <c r="C534" s="1" t="s">
        <v>1670</v>
      </c>
      <c r="D534" s="2"/>
      <c r="E534" s="75" t="str">
        <f t="shared" si="0"/>
        <v xml:space="preserve">SUASIN, ARIEL PINES </v>
      </c>
      <c r="F534" s="2" t="s">
        <v>323</v>
      </c>
      <c r="G534" s="78" t="s">
        <v>1669</v>
      </c>
      <c r="H534" s="25" t="s">
        <v>259</v>
      </c>
      <c r="I534" s="77" t="s">
        <v>3046</v>
      </c>
      <c r="J534" s="77"/>
      <c r="K534" s="77" t="s">
        <v>3047</v>
      </c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</row>
    <row r="535" spans="1:32" ht="15" customHeight="1" x14ac:dyDescent="0.2">
      <c r="A535" s="1" t="s">
        <v>522</v>
      </c>
      <c r="B535" s="1" t="s">
        <v>524</v>
      </c>
      <c r="C535" s="1" t="s">
        <v>525</v>
      </c>
      <c r="D535" s="2"/>
      <c r="E535" s="75" t="str">
        <f t="shared" si="0"/>
        <v xml:space="preserve">SUAYA-NAGESNES, RAFFY JANE ALIDAO </v>
      </c>
      <c r="F535" s="2" t="s">
        <v>127</v>
      </c>
      <c r="G535" s="11" t="s">
        <v>3234</v>
      </c>
      <c r="H535" s="25" t="s">
        <v>259</v>
      </c>
      <c r="I535" s="77" t="s">
        <v>3046</v>
      </c>
      <c r="J535" s="77"/>
      <c r="K535" s="77" t="s">
        <v>3046</v>
      </c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</row>
    <row r="536" spans="1:32" ht="15" customHeight="1" x14ac:dyDescent="0.2">
      <c r="A536" s="1" t="s">
        <v>1808</v>
      </c>
      <c r="B536" s="1" t="s">
        <v>1810</v>
      </c>
      <c r="C536" s="1" t="s">
        <v>1811</v>
      </c>
      <c r="D536" s="2"/>
      <c r="E536" s="75" t="str">
        <f t="shared" si="0"/>
        <v xml:space="preserve">SUCGANG, ROSE ANNE ROXAS </v>
      </c>
      <c r="F536" s="2" t="s">
        <v>62</v>
      </c>
      <c r="G536" s="78" t="s">
        <v>1808</v>
      </c>
      <c r="H536" s="25" t="s">
        <v>3161</v>
      </c>
      <c r="I536" s="77" t="s">
        <v>3046</v>
      </c>
      <c r="J536" s="77"/>
      <c r="K536" s="77" t="s">
        <v>3047</v>
      </c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</row>
    <row r="537" spans="1:32" ht="15" customHeight="1" x14ac:dyDescent="0.2">
      <c r="A537" s="1" t="s">
        <v>2152</v>
      </c>
      <c r="B537" s="1" t="s">
        <v>2013</v>
      </c>
      <c r="C537" s="1" t="s">
        <v>2154</v>
      </c>
      <c r="D537" s="2"/>
      <c r="E537" s="75" t="str">
        <f t="shared" si="0"/>
        <v xml:space="preserve">SUGUITAN, FREDIMAR PATTUNG </v>
      </c>
      <c r="F537" s="2" t="s">
        <v>134</v>
      </c>
      <c r="G537" s="78" t="s">
        <v>2152</v>
      </c>
      <c r="H537" s="25" t="s">
        <v>333</v>
      </c>
      <c r="I537" s="77" t="s">
        <v>3047</v>
      </c>
      <c r="J537" s="77"/>
      <c r="K537" s="77" t="s">
        <v>3046</v>
      </c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</row>
    <row r="538" spans="1:32" ht="15" customHeight="1" x14ac:dyDescent="0.2">
      <c r="A538" s="9" t="s">
        <v>1323</v>
      </c>
      <c r="B538" s="9" t="s">
        <v>1324</v>
      </c>
      <c r="C538" s="9" t="s">
        <v>1325</v>
      </c>
      <c r="D538" s="82"/>
      <c r="E538" s="75" t="str">
        <f t="shared" si="0"/>
        <v xml:space="preserve">SULIT, REYNALD LOUIE SAN MIGUEL </v>
      </c>
      <c r="F538" s="2" t="s">
        <v>323</v>
      </c>
      <c r="G538" s="78" t="s">
        <v>1323</v>
      </c>
      <c r="H538" s="25" t="s">
        <v>2137</v>
      </c>
      <c r="I538" s="77" t="s">
        <v>3046</v>
      </c>
      <c r="J538" s="77"/>
      <c r="K538" s="77" t="s">
        <v>3046</v>
      </c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</row>
    <row r="539" spans="1:32" ht="15" customHeight="1" x14ac:dyDescent="0.2">
      <c r="A539" s="1" t="s">
        <v>1609</v>
      </c>
      <c r="B539" s="1" t="s">
        <v>1613</v>
      </c>
      <c r="C539" s="1" t="s">
        <v>1614</v>
      </c>
      <c r="D539" s="2"/>
      <c r="E539" s="75" t="str">
        <f t="shared" si="0"/>
        <v xml:space="preserve">SUPIL, HARLIE MUTIA </v>
      </c>
      <c r="F539" s="2" t="s">
        <v>528</v>
      </c>
      <c r="G539" s="78" t="s">
        <v>1609</v>
      </c>
      <c r="H539" s="25" t="s">
        <v>333</v>
      </c>
      <c r="I539" s="77" t="s">
        <v>3047</v>
      </c>
      <c r="J539" s="77"/>
      <c r="K539" s="77" t="s">
        <v>3047</v>
      </c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</row>
    <row r="540" spans="1:32" ht="15" customHeight="1" x14ac:dyDescent="0.2">
      <c r="A540" s="1" t="s">
        <v>469</v>
      </c>
      <c r="B540" s="1" t="s">
        <v>64</v>
      </c>
      <c r="C540" s="1" t="s">
        <v>470</v>
      </c>
      <c r="D540" s="2"/>
      <c r="E540" s="75" t="str">
        <f t="shared" si="0"/>
        <v xml:space="preserve">SY, CHRISTIAN ONG </v>
      </c>
      <c r="F540" s="2" t="s">
        <v>318</v>
      </c>
      <c r="G540" s="78" t="s">
        <v>469</v>
      </c>
      <c r="H540" s="25" t="s">
        <v>259</v>
      </c>
      <c r="I540" s="77" t="s">
        <v>3046</v>
      </c>
      <c r="J540" s="77"/>
      <c r="K540" s="77" t="s">
        <v>3047</v>
      </c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</row>
    <row r="541" spans="1:32" ht="15" customHeight="1" x14ac:dyDescent="0.2">
      <c r="A541" s="74" t="s">
        <v>1818</v>
      </c>
      <c r="B541" s="74" t="s">
        <v>1737</v>
      </c>
      <c r="C541" s="74" t="s">
        <v>1819</v>
      </c>
      <c r="D541" s="75"/>
      <c r="E541" s="75" t="str">
        <f t="shared" si="0"/>
        <v xml:space="preserve">SYTICO, JAMES ALCERA </v>
      </c>
      <c r="F541" s="2" t="s">
        <v>127</v>
      </c>
      <c r="G541" s="11" t="s">
        <v>1818</v>
      </c>
      <c r="H541" s="25" t="s">
        <v>2203</v>
      </c>
      <c r="I541" s="77" t="s">
        <v>3046</v>
      </c>
      <c r="J541" s="77"/>
      <c r="K541" s="77" t="s">
        <v>3048</v>
      </c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</row>
    <row r="542" spans="1:32" ht="15" customHeight="1" x14ac:dyDescent="0.2">
      <c r="A542" s="74" t="s">
        <v>1960</v>
      </c>
      <c r="B542" s="74" t="s">
        <v>1962</v>
      </c>
      <c r="C542" s="74" t="s">
        <v>1963</v>
      </c>
      <c r="D542" s="75"/>
      <c r="E542" s="75" t="str">
        <f t="shared" si="0"/>
        <v xml:space="preserve">TAASINE, JOHN RAY PATRON </v>
      </c>
      <c r="F542" s="2" t="s">
        <v>32</v>
      </c>
      <c r="G542" s="5" t="s">
        <v>1960</v>
      </c>
      <c r="H542" s="25" t="s">
        <v>333</v>
      </c>
      <c r="I542" s="77" t="s">
        <v>3047</v>
      </c>
      <c r="J542" s="77"/>
      <c r="K542" s="77" t="s">
        <v>3047</v>
      </c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</row>
    <row r="543" spans="1:32" ht="15" customHeight="1" x14ac:dyDescent="0.2">
      <c r="A543" s="1" t="s">
        <v>1619</v>
      </c>
      <c r="B543" s="1" t="s">
        <v>1621</v>
      </c>
      <c r="C543" s="1" t="s">
        <v>1622</v>
      </c>
      <c r="D543" s="2"/>
      <c r="E543" s="75" t="str">
        <f t="shared" si="0"/>
        <v xml:space="preserve">TABAFUNDA, RONNEL NACIS </v>
      </c>
      <c r="F543" s="2" t="s">
        <v>528</v>
      </c>
      <c r="G543" s="78" t="s">
        <v>1619</v>
      </c>
      <c r="H543" s="25" t="s">
        <v>3065</v>
      </c>
      <c r="I543" s="77" t="s">
        <v>3047</v>
      </c>
      <c r="J543" s="77"/>
      <c r="K543" s="77" t="s">
        <v>3048</v>
      </c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</row>
    <row r="544" spans="1:32" ht="15" customHeight="1" x14ac:dyDescent="0.2">
      <c r="A544" s="1" t="s">
        <v>1683</v>
      </c>
      <c r="B544" s="1" t="s">
        <v>1684</v>
      </c>
      <c r="C544" s="1" t="s">
        <v>1685</v>
      </c>
      <c r="D544" s="2"/>
      <c r="E544" s="75" t="str">
        <f t="shared" si="0"/>
        <v xml:space="preserve">TABIO, HONEY LETH PALOMO </v>
      </c>
      <c r="F544" s="2" t="s">
        <v>42</v>
      </c>
      <c r="G544" s="78" t="s">
        <v>1683</v>
      </c>
      <c r="H544" s="25" t="s">
        <v>1686</v>
      </c>
      <c r="I544" s="77" t="s">
        <v>3048</v>
      </c>
      <c r="J544" s="77"/>
      <c r="K544" s="77" t="s">
        <v>3047</v>
      </c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</row>
    <row r="545" spans="1:32" ht="15" customHeight="1" x14ac:dyDescent="0.2">
      <c r="A545" s="1" t="s">
        <v>2382</v>
      </c>
      <c r="B545" s="1" t="s">
        <v>599</v>
      </c>
      <c r="C545" s="1" t="s">
        <v>2383</v>
      </c>
      <c r="D545" s="2"/>
      <c r="E545" s="75" t="str">
        <f t="shared" si="0"/>
        <v xml:space="preserve">TABUYO, GILBERT POLA </v>
      </c>
      <c r="F545" s="2" t="s">
        <v>177</v>
      </c>
      <c r="G545" s="78" t="s">
        <v>2382</v>
      </c>
      <c r="H545" s="25" t="s">
        <v>785</v>
      </c>
      <c r="I545" s="77" t="s">
        <v>3047</v>
      </c>
      <c r="J545" s="77"/>
      <c r="K545" s="77" t="s">
        <v>3046</v>
      </c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</row>
    <row r="546" spans="1:32" ht="15" customHeight="1" x14ac:dyDescent="0.2">
      <c r="A546" s="1" t="s">
        <v>1687</v>
      </c>
      <c r="B546" s="1" t="s">
        <v>576</v>
      </c>
      <c r="C546" s="1" t="s">
        <v>578</v>
      </c>
      <c r="D546" s="2"/>
      <c r="E546" s="75" t="str">
        <f t="shared" si="0"/>
        <v xml:space="preserve">TACORDA, JASON ABRAHAM ABION </v>
      </c>
      <c r="F546" s="2" t="s">
        <v>42</v>
      </c>
      <c r="G546" s="78" t="s">
        <v>1687</v>
      </c>
      <c r="H546" s="25" t="s">
        <v>1690</v>
      </c>
      <c r="I546" s="77" t="s">
        <v>3048</v>
      </c>
      <c r="J546" s="77"/>
      <c r="K546" s="77" t="s">
        <v>3047</v>
      </c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</row>
    <row r="547" spans="1:32" ht="15" customHeight="1" x14ac:dyDescent="0.2">
      <c r="A547" s="1" t="s">
        <v>529</v>
      </c>
      <c r="B547" s="1" t="s">
        <v>530</v>
      </c>
      <c r="C547" s="1" t="s">
        <v>532</v>
      </c>
      <c r="D547" s="2"/>
      <c r="E547" s="75" t="str">
        <f t="shared" si="0"/>
        <v xml:space="preserve">TACTAY, HENRY GOLINO </v>
      </c>
      <c r="F547" s="2" t="s">
        <v>528</v>
      </c>
      <c r="G547" s="78" t="s">
        <v>529</v>
      </c>
      <c r="H547" s="25" t="s">
        <v>3065</v>
      </c>
      <c r="I547" s="77" t="s">
        <v>3047</v>
      </c>
      <c r="J547" s="77"/>
      <c r="K547" s="77" t="s">
        <v>3047</v>
      </c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</row>
    <row r="548" spans="1:32" ht="15" customHeight="1" x14ac:dyDescent="0.2">
      <c r="A548" s="1" t="s">
        <v>892</v>
      </c>
      <c r="B548" s="1" t="s">
        <v>963</v>
      </c>
      <c r="C548" s="1" t="s">
        <v>964</v>
      </c>
      <c r="D548" s="2"/>
      <c r="E548" s="75" t="str">
        <f t="shared" si="0"/>
        <v xml:space="preserve">TAEZA, ERIKSON TE </v>
      </c>
      <c r="F548" s="2" t="s">
        <v>127</v>
      </c>
      <c r="G548" s="78" t="s">
        <v>892</v>
      </c>
      <c r="H548" s="25" t="s">
        <v>259</v>
      </c>
      <c r="I548" s="77" t="s">
        <v>3046</v>
      </c>
      <c r="J548" s="77"/>
      <c r="K548" s="77" t="s">
        <v>3047</v>
      </c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</row>
    <row r="549" spans="1:32" ht="15" customHeight="1" x14ac:dyDescent="0.2">
      <c r="A549" s="9" t="s">
        <v>2018</v>
      </c>
      <c r="B549" s="9" t="s">
        <v>2019</v>
      </c>
      <c r="C549" s="9" t="s">
        <v>2020</v>
      </c>
      <c r="D549" s="82"/>
      <c r="E549" s="75" t="str">
        <f t="shared" si="0"/>
        <v xml:space="preserve">TAGID-ID, NORIYAM PATTA </v>
      </c>
      <c r="F549" s="2" t="s">
        <v>32</v>
      </c>
      <c r="G549" s="78" t="s">
        <v>2018</v>
      </c>
      <c r="H549" s="25" t="s">
        <v>333</v>
      </c>
      <c r="I549" s="77" t="s">
        <v>3047</v>
      </c>
      <c r="J549" s="77"/>
      <c r="K549" s="77" t="s">
        <v>3046</v>
      </c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</row>
    <row r="550" spans="1:32" ht="15" customHeight="1" x14ac:dyDescent="0.2">
      <c r="A550" s="9" t="s">
        <v>2589</v>
      </c>
      <c r="B550" s="9" t="s">
        <v>2590</v>
      </c>
      <c r="C550" s="9" t="s">
        <v>2591</v>
      </c>
      <c r="D550" s="82"/>
      <c r="E550" s="75" t="str">
        <f t="shared" si="0"/>
        <v xml:space="preserve">TAGPAO, RAFAEL ALUNDAY </v>
      </c>
      <c r="F550" s="2" t="s">
        <v>32</v>
      </c>
      <c r="G550" s="5" t="s">
        <v>2589</v>
      </c>
      <c r="H550" s="25" t="s">
        <v>333</v>
      </c>
      <c r="I550" s="77" t="s">
        <v>3047</v>
      </c>
      <c r="J550" s="77"/>
      <c r="K550" s="77" t="s">
        <v>3048</v>
      </c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</row>
    <row r="551" spans="1:32" ht="15" customHeight="1" x14ac:dyDescent="0.2">
      <c r="A551" s="9" t="s">
        <v>2219</v>
      </c>
      <c r="B551" s="9" t="s">
        <v>2220</v>
      </c>
      <c r="C551" s="9" t="s">
        <v>470</v>
      </c>
      <c r="D551" s="82"/>
      <c r="E551" s="75" t="str">
        <f t="shared" si="0"/>
        <v xml:space="preserve">TAGUINOD, DANNY BOY ONG </v>
      </c>
      <c r="F551" s="2" t="s">
        <v>32</v>
      </c>
      <c r="G551" s="5" t="s">
        <v>2219</v>
      </c>
      <c r="H551" s="25" t="s">
        <v>2221</v>
      </c>
      <c r="I551" s="77" t="s">
        <v>3047</v>
      </c>
      <c r="J551" s="77"/>
      <c r="K551" s="77" t="s">
        <v>3047</v>
      </c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</row>
    <row r="552" spans="1:32" ht="15" customHeight="1" x14ac:dyDescent="0.2">
      <c r="A552" s="9" t="s">
        <v>1934</v>
      </c>
      <c r="B552" s="9" t="s">
        <v>1936</v>
      </c>
      <c r="C552" s="9" t="s">
        <v>1937</v>
      </c>
      <c r="D552" s="82"/>
      <c r="E552" s="75" t="str">
        <f t="shared" si="0"/>
        <v xml:space="preserve">TAJON, VERONICA QUILIZA </v>
      </c>
      <c r="F552" s="2" t="s">
        <v>127</v>
      </c>
      <c r="G552" s="78" t="s">
        <v>1934</v>
      </c>
      <c r="H552" s="25" t="s">
        <v>636</v>
      </c>
      <c r="I552" s="77" t="s">
        <v>3046</v>
      </c>
      <c r="J552" s="77"/>
      <c r="K552" s="77" t="s">
        <v>3047</v>
      </c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</row>
    <row r="553" spans="1:32" ht="15" customHeight="1" x14ac:dyDescent="0.2">
      <c r="A553" s="1" t="s">
        <v>1693</v>
      </c>
      <c r="B553" s="1" t="s">
        <v>1694</v>
      </c>
      <c r="C553" s="1" t="s">
        <v>1695</v>
      </c>
      <c r="D553" s="2"/>
      <c r="E553" s="75" t="str">
        <f t="shared" si="0"/>
        <v xml:space="preserve">TALLONGAN, MADELIENE GUILLO </v>
      </c>
      <c r="F553" s="2" t="s">
        <v>42</v>
      </c>
      <c r="G553" s="11" t="s">
        <v>1693</v>
      </c>
      <c r="H553" s="25" t="s">
        <v>227</v>
      </c>
      <c r="I553" s="77" t="s">
        <v>3048</v>
      </c>
      <c r="J553" s="77"/>
      <c r="K553" s="77" t="s">
        <v>3048</v>
      </c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</row>
    <row r="554" spans="1:32" ht="15" customHeight="1" x14ac:dyDescent="0.2">
      <c r="A554" s="9" t="s">
        <v>2309</v>
      </c>
      <c r="B554" s="9" t="s">
        <v>2311</v>
      </c>
      <c r="C554" s="9" t="s">
        <v>367</v>
      </c>
      <c r="D554" s="82"/>
      <c r="E554" s="75" t="str">
        <f t="shared" si="0"/>
        <v xml:space="preserve">TAMANIO, ANTHONY ELKING SALVADOR </v>
      </c>
      <c r="F554" s="2" t="s">
        <v>134</v>
      </c>
      <c r="G554" s="78" t="s">
        <v>2309</v>
      </c>
      <c r="H554" s="25" t="s">
        <v>138</v>
      </c>
      <c r="I554" s="77" t="s">
        <v>3047</v>
      </c>
      <c r="J554" s="77"/>
      <c r="K554" s="77" t="s">
        <v>3046</v>
      </c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</row>
    <row r="555" spans="1:32" ht="15" customHeight="1" x14ac:dyDescent="0.2">
      <c r="A555" s="9" t="s">
        <v>635</v>
      </c>
      <c r="B555" s="9" t="s">
        <v>2433</v>
      </c>
      <c r="C555" s="9" t="s">
        <v>2434</v>
      </c>
      <c r="D555" s="82"/>
      <c r="E555" s="75" t="str">
        <f t="shared" si="0"/>
        <v xml:space="preserve">TAMONDONG, ALEXIS YONG </v>
      </c>
      <c r="F555" s="2" t="s">
        <v>32</v>
      </c>
      <c r="G555" s="5" t="s">
        <v>635</v>
      </c>
      <c r="H555" s="25" t="s">
        <v>2435</v>
      </c>
      <c r="I555" s="77" t="s">
        <v>3047</v>
      </c>
      <c r="J555" s="77"/>
      <c r="K555" s="77" t="s">
        <v>3046</v>
      </c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</row>
    <row r="556" spans="1:32" ht="15" customHeight="1" x14ac:dyDescent="0.2">
      <c r="A556" s="1" t="s">
        <v>635</v>
      </c>
      <c r="B556" s="1" t="s">
        <v>1701</v>
      </c>
      <c r="C556" s="1" t="s">
        <v>1702</v>
      </c>
      <c r="D556" s="2"/>
      <c r="E556" s="75" t="str">
        <f t="shared" si="0"/>
        <v xml:space="preserve">TAMONDONG, MELANIE JANE OBRA </v>
      </c>
      <c r="F556" s="2" t="s">
        <v>42</v>
      </c>
      <c r="G556" s="78" t="s">
        <v>635</v>
      </c>
      <c r="H556" s="25" t="s">
        <v>1706</v>
      </c>
      <c r="I556" s="77" t="s">
        <v>3048</v>
      </c>
      <c r="J556" s="77"/>
      <c r="K556" s="77" t="s">
        <v>3046</v>
      </c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</row>
    <row r="557" spans="1:32" ht="15" customHeight="1" x14ac:dyDescent="0.3">
      <c r="A557" s="9" t="s">
        <v>319</v>
      </c>
      <c r="B557" s="9" t="s">
        <v>320</v>
      </c>
      <c r="C557" s="9" t="s">
        <v>321</v>
      </c>
      <c r="D557" s="82"/>
      <c r="E557" s="75" t="str">
        <f t="shared" si="0"/>
        <v xml:space="preserve">TAN, ACHILES YABUT </v>
      </c>
      <c r="F557" s="2" t="s">
        <v>127</v>
      </c>
      <c r="G557" s="79" t="s">
        <v>319</v>
      </c>
      <c r="H557" s="25" t="s">
        <v>259</v>
      </c>
      <c r="I557" s="77" t="s">
        <v>3046</v>
      </c>
      <c r="J557" s="77"/>
      <c r="K557" s="77" t="s">
        <v>3047</v>
      </c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</row>
    <row r="558" spans="1:32" ht="15" customHeight="1" x14ac:dyDescent="0.2">
      <c r="A558" s="9" t="s">
        <v>319</v>
      </c>
      <c r="B558" s="9" t="s">
        <v>1689</v>
      </c>
      <c r="C558" s="9" t="s">
        <v>1942</v>
      </c>
      <c r="D558" s="82"/>
      <c r="E558" s="75" t="str">
        <f t="shared" si="0"/>
        <v xml:space="preserve">TAN, ROBERT BACALTOS </v>
      </c>
      <c r="F558" s="2" t="s">
        <v>318</v>
      </c>
      <c r="G558" s="78" t="s">
        <v>319</v>
      </c>
      <c r="H558" s="25" t="s">
        <v>636</v>
      </c>
      <c r="I558" s="77" t="s">
        <v>3046</v>
      </c>
      <c r="J558" s="77"/>
      <c r="K558" s="77" t="s">
        <v>3048</v>
      </c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</row>
    <row r="559" spans="1:32" ht="15" customHeight="1" x14ac:dyDescent="0.2">
      <c r="A559" s="9" t="s">
        <v>200</v>
      </c>
      <c r="B559" s="9" t="s">
        <v>64</v>
      </c>
      <c r="C559" s="9" t="s">
        <v>65</v>
      </c>
      <c r="D559" s="82"/>
      <c r="E559" s="75" t="str">
        <f t="shared" si="0"/>
        <v xml:space="preserve">TARUN, CHRISTIAN BELTRAN </v>
      </c>
      <c r="F559" s="2" t="s">
        <v>62</v>
      </c>
      <c r="G559" s="106" t="s">
        <v>200</v>
      </c>
      <c r="H559" s="25" t="s">
        <v>3186</v>
      </c>
      <c r="I559" s="77" t="s">
        <v>3046</v>
      </c>
      <c r="J559" s="77"/>
      <c r="K559" s="77" t="s">
        <v>3047</v>
      </c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</row>
    <row r="560" spans="1:32" ht="15" customHeight="1" x14ac:dyDescent="0.2">
      <c r="A560" s="9" t="s">
        <v>2472</v>
      </c>
      <c r="B560" s="9" t="s">
        <v>2473</v>
      </c>
      <c r="C560" s="9" t="s">
        <v>2474</v>
      </c>
      <c r="D560" s="82"/>
      <c r="E560" s="75" t="str">
        <f t="shared" si="0"/>
        <v xml:space="preserve">TOLENTINO, NATHANIEL MELEGRITO </v>
      </c>
      <c r="F560" s="2" t="s">
        <v>134</v>
      </c>
      <c r="G560" s="78" t="s">
        <v>2472</v>
      </c>
      <c r="H560" s="25" t="s">
        <v>1787</v>
      </c>
      <c r="I560" s="77" t="s">
        <v>3047</v>
      </c>
      <c r="J560" s="77"/>
      <c r="K560" s="77" t="s">
        <v>3046</v>
      </c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</row>
    <row r="561" spans="1:32" ht="15" customHeight="1" x14ac:dyDescent="0.2">
      <c r="A561" s="1" t="s">
        <v>1709</v>
      </c>
      <c r="B561" s="1" t="s">
        <v>1710</v>
      </c>
      <c r="C561" s="1" t="s">
        <v>1712</v>
      </c>
      <c r="D561" s="2"/>
      <c r="E561" s="75" t="str">
        <f t="shared" si="0"/>
        <v xml:space="preserve">TORRANO, LITO NOBERTO LACUTAB </v>
      </c>
      <c r="F561" s="2" t="s">
        <v>42</v>
      </c>
      <c r="G561" s="78" t="s">
        <v>1709</v>
      </c>
      <c r="H561" s="25" t="s">
        <v>3239</v>
      </c>
      <c r="I561" s="77" t="s">
        <v>3048</v>
      </c>
      <c r="J561" s="77"/>
      <c r="K561" s="77" t="s">
        <v>3047</v>
      </c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</row>
    <row r="562" spans="1:32" ht="15" customHeight="1" x14ac:dyDescent="0.2">
      <c r="A562" s="9" t="s">
        <v>2174</v>
      </c>
      <c r="B562" s="9" t="s">
        <v>2175</v>
      </c>
      <c r="C562" s="9" t="s">
        <v>2176</v>
      </c>
      <c r="D562" s="82"/>
      <c r="E562" s="75" t="str">
        <f t="shared" si="0"/>
        <v xml:space="preserve">TRINIDAD, NOHVILENE MAR BELDIA </v>
      </c>
      <c r="F562" s="2" t="s">
        <v>32</v>
      </c>
      <c r="G562" s="78" t="s">
        <v>2174</v>
      </c>
      <c r="H562" s="25" t="s">
        <v>333</v>
      </c>
      <c r="I562" s="77" t="s">
        <v>3047</v>
      </c>
      <c r="J562" s="77"/>
      <c r="K562" s="77" t="s">
        <v>3046</v>
      </c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</row>
    <row r="563" spans="1:32" ht="15" customHeight="1" x14ac:dyDescent="0.2">
      <c r="A563" s="9" t="s">
        <v>1587</v>
      </c>
      <c r="B563" s="9" t="s">
        <v>1589</v>
      </c>
      <c r="C563" s="9" t="s">
        <v>1590</v>
      </c>
      <c r="D563" s="82"/>
      <c r="E563" s="75" t="str">
        <f t="shared" si="0"/>
        <v xml:space="preserve">TUBA, GLORELYN GADIANE </v>
      </c>
      <c r="F563" s="2" t="s">
        <v>127</v>
      </c>
      <c r="G563" s="11" t="s">
        <v>1587</v>
      </c>
      <c r="H563" s="25" t="s">
        <v>259</v>
      </c>
      <c r="I563" s="77" t="s">
        <v>3046</v>
      </c>
      <c r="J563" s="77"/>
      <c r="K563" s="77" t="s">
        <v>3047</v>
      </c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</row>
    <row r="564" spans="1:32" ht="15" customHeight="1" x14ac:dyDescent="0.2">
      <c r="A564" s="9" t="s">
        <v>353</v>
      </c>
      <c r="B564" s="9" t="s">
        <v>354</v>
      </c>
      <c r="C564" s="9" t="s">
        <v>355</v>
      </c>
      <c r="D564" s="82"/>
      <c r="E564" s="75" t="str">
        <f t="shared" si="0"/>
        <v xml:space="preserve">TUBELLEZA, JOHN CARLO VILLARINO </v>
      </c>
      <c r="F564" s="2" t="s">
        <v>32</v>
      </c>
      <c r="G564" s="5" t="s">
        <v>353</v>
      </c>
      <c r="H564" s="25" t="s">
        <v>333</v>
      </c>
      <c r="I564" s="77" t="s">
        <v>3047</v>
      </c>
      <c r="J564" s="77"/>
      <c r="K564" s="77" t="s">
        <v>3048</v>
      </c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</row>
    <row r="565" spans="1:32" ht="15" customHeight="1" x14ac:dyDescent="0.2">
      <c r="A565" s="9" t="s">
        <v>1476</v>
      </c>
      <c r="B565" s="9" t="s">
        <v>1477</v>
      </c>
      <c r="C565" s="9" t="s">
        <v>1478</v>
      </c>
      <c r="D565" s="82"/>
      <c r="E565" s="75" t="str">
        <f t="shared" si="0"/>
        <v xml:space="preserve">TUGAOEN, ALVIN REY ENGHUG </v>
      </c>
      <c r="F565" s="2" t="s">
        <v>127</v>
      </c>
      <c r="G565" s="11" t="s">
        <v>1476</v>
      </c>
      <c r="H565" s="25" t="s">
        <v>259</v>
      </c>
      <c r="I565" s="77" t="s">
        <v>3046</v>
      </c>
      <c r="J565" s="77"/>
      <c r="K565" s="77" t="s">
        <v>3048</v>
      </c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</row>
    <row r="566" spans="1:32" ht="15" customHeight="1" x14ac:dyDescent="0.2">
      <c r="A566" s="9" t="s">
        <v>1722</v>
      </c>
      <c r="B566" s="9" t="s">
        <v>1723</v>
      </c>
      <c r="C566" s="9" t="s">
        <v>1724</v>
      </c>
      <c r="D566" s="82"/>
      <c r="E566" s="75" t="str">
        <f t="shared" si="0"/>
        <v xml:space="preserve">TUMBALI, JAYANN PASICOLAN </v>
      </c>
      <c r="F566" s="2" t="s">
        <v>528</v>
      </c>
      <c r="G566" s="78" t="s">
        <v>1722</v>
      </c>
      <c r="H566" s="25" t="s">
        <v>333</v>
      </c>
      <c r="I566" s="77" t="s">
        <v>3047</v>
      </c>
      <c r="J566" s="77"/>
      <c r="K566" s="77" t="s">
        <v>3046</v>
      </c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</row>
    <row r="567" spans="1:32" ht="15" customHeight="1" x14ac:dyDescent="0.2">
      <c r="A567" s="1" t="s">
        <v>1716</v>
      </c>
      <c r="B567" s="1" t="s">
        <v>1717</v>
      </c>
      <c r="C567" s="1" t="s">
        <v>1059</v>
      </c>
      <c r="D567" s="2"/>
      <c r="E567" s="75" t="str">
        <f t="shared" si="0"/>
        <v xml:space="preserve">TURALBA, KIMBERLY JOYCE FONTANILLA </v>
      </c>
      <c r="F567" s="2" t="s">
        <v>42</v>
      </c>
      <c r="G567" s="78" t="s">
        <v>1716</v>
      </c>
      <c r="H567" s="25" t="s">
        <v>1718</v>
      </c>
      <c r="I567" s="77" t="s">
        <v>3048</v>
      </c>
      <c r="J567" s="77"/>
      <c r="K567" s="77" t="s">
        <v>3046</v>
      </c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</row>
    <row r="568" spans="1:32" ht="15" customHeight="1" x14ac:dyDescent="0.2">
      <c r="A568" s="1" t="s">
        <v>496</v>
      </c>
      <c r="B568" s="1" t="s">
        <v>276</v>
      </c>
      <c r="C568" s="1" t="s">
        <v>497</v>
      </c>
      <c r="D568" s="2"/>
      <c r="E568" s="75" t="str">
        <f t="shared" si="0"/>
        <v xml:space="preserve">UBANDO, MARY ANN OBENA </v>
      </c>
      <c r="F568" s="2" t="s">
        <v>42</v>
      </c>
      <c r="G568" s="78" t="s">
        <v>496</v>
      </c>
      <c r="H568" s="25" t="s">
        <v>709</v>
      </c>
      <c r="I568" s="77" t="s">
        <v>3048</v>
      </c>
      <c r="J568" s="77"/>
      <c r="K568" s="77" t="s">
        <v>3048</v>
      </c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</row>
    <row r="569" spans="1:32" ht="15" customHeight="1" x14ac:dyDescent="0.2">
      <c r="A569" s="74" t="s">
        <v>572</v>
      </c>
      <c r="B569" s="74" t="s">
        <v>573</v>
      </c>
      <c r="C569" s="74" t="s">
        <v>574</v>
      </c>
      <c r="D569" s="75"/>
      <c r="E569" s="75" t="str">
        <f t="shared" si="0"/>
        <v xml:space="preserve">ULPINDO, KRISANTO TAPIA </v>
      </c>
      <c r="F569" s="2" t="s">
        <v>127</v>
      </c>
      <c r="G569" s="11" t="s">
        <v>572</v>
      </c>
      <c r="H569" s="25" t="s">
        <v>2137</v>
      </c>
      <c r="I569" s="77" t="s">
        <v>3046</v>
      </c>
      <c r="J569" s="77"/>
      <c r="K569" s="77" t="s">
        <v>3046</v>
      </c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</row>
    <row r="570" spans="1:32" ht="15" customHeight="1" x14ac:dyDescent="0.2">
      <c r="A570" s="9" t="s">
        <v>1725</v>
      </c>
      <c r="B570" s="9" t="s">
        <v>2227</v>
      </c>
      <c r="C570" s="9" t="s">
        <v>707</v>
      </c>
      <c r="D570" s="82" t="s">
        <v>502</v>
      </c>
      <c r="E570" s="75" t="str">
        <f t="shared" si="0"/>
        <v>UNTALAN, EDUARDO  SANTOS II</v>
      </c>
      <c r="F570" s="2" t="s">
        <v>318</v>
      </c>
      <c r="G570" s="78" t="s">
        <v>1725</v>
      </c>
      <c r="H570" s="24" t="s">
        <v>1009</v>
      </c>
      <c r="I570" s="77" t="s">
        <v>3046</v>
      </c>
      <c r="J570" s="77"/>
      <c r="K570" s="77" t="s">
        <v>3047</v>
      </c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</row>
    <row r="571" spans="1:32" ht="15" customHeight="1" x14ac:dyDescent="0.2">
      <c r="A571" s="1" t="s">
        <v>1725</v>
      </c>
      <c r="B571" s="1" t="s">
        <v>1727</v>
      </c>
      <c r="C571" s="1" t="s">
        <v>1728</v>
      </c>
      <c r="D571" s="2"/>
      <c r="E571" s="75" t="str">
        <f t="shared" si="0"/>
        <v xml:space="preserve">UNTALAN, RACHEL GUTIERREZ </v>
      </c>
      <c r="F571" s="2" t="s">
        <v>42</v>
      </c>
      <c r="G571" s="78" t="s">
        <v>1725</v>
      </c>
      <c r="H571" s="25" t="s">
        <v>1731</v>
      </c>
      <c r="I571" s="77" t="s">
        <v>3048</v>
      </c>
      <c r="J571" s="77"/>
      <c r="K571" s="77" t="s">
        <v>3048</v>
      </c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</row>
    <row r="572" spans="1:32" ht="15" customHeight="1" x14ac:dyDescent="0.2">
      <c r="A572" s="9" t="s">
        <v>2206</v>
      </c>
      <c r="B572" s="9" t="s">
        <v>2207</v>
      </c>
      <c r="C572" s="9" t="s">
        <v>2208</v>
      </c>
      <c r="D572" s="2"/>
      <c r="E572" s="75" t="str">
        <f t="shared" si="0"/>
        <v xml:space="preserve">VALLE, MARK LAWRENCE ABENOJAR </v>
      </c>
      <c r="F572" s="2" t="s">
        <v>323</v>
      </c>
      <c r="G572" s="78" t="s">
        <v>2206</v>
      </c>
      <c r="H572" s="25" t="s">
        <v>2705</v>
      </c>
      <c r="I572" s="77" t="s">
        <v>3046</v>
      </c>
      <c r="J572" s="77"/>
      <c r="K572" s="77" t="s">
        <v>3047</v>
      </c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</row>
    <row r="573" spans="1:32" ht="15" customHeight="1" x14ac:dyDescent="0.2">
      <c r="A573" s="1" t="s">
        <v>2252</v>
      </c>
      <c r="B573" s="1" t="s">
        <v>2253</v>
      </c>
      <c r="C573" s="1" t="s">
        <v>2254</v>
      </c>
      <c r="D573" s="2"/>
      <c r="E573" s="75" t="str">
        <f t="shared" si="0"/>
        <v xml:space="preserve">VALLEJOS, DRANREB GAPAL </v>
      </c>
      <c r="F573" s="2" t="s">
        <v>32</v>
      </c>
      <c r="G573" s="5" t="s">
        <v>2252</v>
      </c>
      <c r="H573" s="25" t="s">
        <v>2255</v>
      </c>
      <c r="I573" s="77" t="s">
        <v>3047</v>
      </c>
      <c r="J573" s="77"/>
      <c r="K573" s="77" t="s">
        <v>3046</v>
      </c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</row>
    <row r="574" spans="1:32" ht="15" customHeight="1" x14ac:dyDescent="0.2">
      <c r="A574" s="1" t="s">
        <v>1284</v>
      </c>
      <c r="B574" s="1" t="s">
        <v>1736</v>
      </c>
      <c r="C574" s="1" t="s">
        <v>1738</v>
      </c>
      <c r="D574" s="2"/>
      <c r="E574" s="75" t="str">
        <f t="shared" si="0"/>
        <v xml:space="preserve">VASQUEZ, ANNIE RELLES </v>
      </c>
      <c r="F574" s="2" t="s">
        <v>42</v>
      </c>
      <c r="G574" s="78" t="s">
        <v>1284</v>
      </c>
      <c r="H574" s="25" t="s">
        <v>3243</v>
      </c>
      <c r="I574" s="77" t="s">
        <v>3048</v>
      </c>
      <c r="J574" s="77"/>
      <c r="K574" s="77" t="s">
        <v>3046</v>
      </c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</row>
    <row r="575" spans="1:32" ht="15" customHeight="1" x14ac:dyDescent="0.2">
      <c r="A575" s="1" t="s">
        <v>897</v>
      </c>
      <c r="B575" s="1" t="s">
        <v>1796</v>
      </c>
      <c r="C575" s="1" t="s">
        <v>1797</v>
      </c>
      <c r="D575" s="2"/>
      <c r="E575" s="75" t="str">
        <f t="shared" si="0"/>
        <v xml:space="preserve">VELASCO, ACE PAGADUAN </v>
      </c>
      <c r="F575" s="2" t="s">
        <v>177</v>
      </c>
      <c r="G575" s="11" t="s">
        <v>897</v>
      </c>
      <c r="H575" s="25" t="s">
        <v>333</v>
      </c>
      <c r="I575" s="77" t="s">
        <v>3047</v>
      </c>
      <c r="J575" s="77"/>
      <c r="K575" s="77" t="s">
        <v>3048</v>
      </c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</row>
    <row r="576" spans="1:32" ht="15" customHeight="1" x14ac:dyDescent="0.2">
      <c r="A576" s="59" t="s">
        <v>897</v>
      </c>
      <c r="B576" s="59" t="s">
        <v>900</v>
      </c>
      <c r="C576" s="59" t="s">
        <v>627</v>
      </c>
      <c r="D576" s="75"/>
      <c r="E576" s="75" t="str">
        <f t="shared" si="0"/>
        <v xml:space="preserve">VELASCO, EDGAR SEBASTIAN GALANG </v>
      </c>
      <c r="F576" s="2" t="s">
        <v>127</v>
      </c>
      <c r="G576" s="78" t="s">
        <v>897</v>
      </c>
      <c r="H576" s="25" t="s">
        <v>259</v>
      </c>
      <c r="I576" s="77" t="s">
        <v>3046</v>
      </c>
      <c r="J576" s="77"/>
      <c r="K576" s="77" t="s">
        <v>3048</v>
      </c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</row>
    <row r="577" spans="1:32" ht="15" customHeight="1" x14ac:dyDescent="0.2">
      <c r="A577" s="59" t="s">
        <v>442</v>
      </c>
      <c r="B577" s="59" t="s">
        <v>687</v>
      </c>
      <c r="C577" s="59" t="s">
        <v>688</v>
      </c>
      <c r="D577" s="75"/>
      <c r="E577" s="75" t="str">
        <f t="shared" si="0"/>
        <v xml:space="preserve">VENTURA, JOSEPH SAMONTE </v>
      </c>
      <c r="F577" s="2" t="s">
        <v>127</v>
      </c>
      <c r="G577" s="11" t="s">
        <v>442</v>
      </c>
      <c r="H577" s="25" t="s">
        <v>259</v>
      </c>
      <c r="I577" s="77" t="s">
        <v>3046</v>
      </c>
      <c r="J577" s="77"/>
      <c r="K577" s="77" t="s">
        <v>3047</v>
      </c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</row>
    <row r="578" spans="1:32" ht="15" customHeight="1" x14ac:dyDescent="0.2">
      <c r="A578" s="1" t="s">
        <v>192</v>
      </c>
      <c r="B578" s="1" t="s">
        <v>193</v>
      </c>
      <c r="C578" s="1" t="s">
        <v>194</v>
      </c>
      <c r="D578" s="2"/>
      <c r="E578" s="75" t="str">
        <f t="shared" si="0"/>
        <v xml:space="preserve">VER, MARIE LOUISE ROVIAN RAMOS </v>
      </c>
      <c r="F578" s="2" t="s">
        <v>42</v>
      </c>
      <c r="G578" s="78" t="s">
        <v>192</v>
      </c>
      <c r="H578" s="25" t="s">
        <v>736</v>
      </c>
      <c r="I578" s="77" t="s">
        <v>3048</v>
      </c>
      <c r="J578" s="77"/>
      <c r="K578" s="77" t="s">
        <v>3046</v>
      </c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</row>
    <row r="579" spans="1:32" ht="15" customHeight="1" x14ac:dyDescent="0.2">
      <c r="A579" s="1" t="s">
        <v>1750</v>
      </c>
      <c r="B579" s="1" t="s">
        <v>1751</v>
      </c>
      <c r="C579" s="1" t="s">
        <v>1752</v>
      </c>
      <c r="D579" s="2"/>
      <c r="E579" s="75" t="str">
        <f t="shared" si="0"/>
        <v xml:space="preserve">VIGILANCIA, SIXTO KATALBAS </v>
      </c>
      <c r="F579" s="2" t="s">
        <v>42</v>
      </c>
      <c r="G579" s="78" t="s">
        <v>1750</v>
      </c>
      <c r="H579" s="25" t="s">
        <v>684</v>
      </c>
      <c r="I579" s="77" t="s">
        <v>3048</v>
      </c>
      <c r="J579" s="77"/>
      <c r="K579" s="77" t="s">
        <v>3048</v>
      </c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</row>
    <row r="580" spans="1:32" ht="12.75" customHeight="1" x14ac:dyDescent="0.2">
      <c r="A580" s="1" t="s">
        <v>747</v>
      </c>
      <c r="B580" s="1" t="s">
        <v>749</v>
      </c>
      <c r="C580" s="1" t="s">
        <v>750</v>
      </c>
      <c r="D580" s="2"/>
      <c r="E580" s="75" t="str">
        <f t="shared" si="0"/>
        <v xml:space="preserve">VILLABRIGA, TIMOTHY HORNOZ </v>
      </c>
      <c r="F580" s="2" t="s">
        <v>32</v>
      </c>
      <c r="G580" s="5" t="s">
        <v>747</v>
      </c>
      <c r="H580" s="25" t="s">
        <v>333</v>
      </c>
      <c r="I580" s="77" t="s">
        <v>3047</v>
      </c>
      <c r="J580" s="77"/>
      <c r="K580" s="77" t="s">
        <v>3048</v>
      </c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</row>
    <row r="581" spans="1:32" ht="12.75" customHeight="1" x14ac:dyDescent="0.2">
      <c r="A581" s="1" t="s">
        <v>1020</v>
      </c>
      <c r="B581" s="1" t="s">
        <v>986</v>
      </c>
      <c r="C581" s="1" t="s">
        <v>1023</v>
      </c>
      <c r="D581" s="1"/>
      <c r="E581" s="75" t="str">
        <f t="shared" si="0"/>
        <v xml:space="preserve">VILLAGONZALO, RYAN VILLARIN </v>
      </c>
      <c r="F581" s="2" t="s">
        <v>127</v>
      </c>
      <c r="G581" s="78" t="s">
        <v>1020</v>
      </c>
      <c r="H581" s="25" t="s">
        <v>259</v>
      </c>
      <c r="I581" s="77" t="s">
        <v>3046</v>
      </c>
      <c r="J581" s="77"/>
      <c r="K581" s="77" t="s">
        <v>3048</v>
      </c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</row>
    <row r="582" spans="1:32" ht="12.75" customHeight="1" x14ac:dyDescent="0.2">
      <c r="A582" s="1" t="s">
        <v>1760</v>
      </c>
      <c r="B582" s="1" t="s">
        <v>1762</v>
      </c>
      <c r="C582" s="1" t="s">
        <v>243</v>
      </c>
      <c r="D582" s="2"/>
      <c r="E582" s="75" t="str">
        <f t="shared" si="0"/>
        <v xml:space="preserve">VILLAMIN, DOÑA WENNIE TOMAS </v>
      </c>
      <c r="F582" s="2" t="s">
        <v>42</v>
      </c>
      <c r="G582" s="78" t="s">
        <v>1760</v>
      </c>
      <c r="H582" s="25" t="s">
        <v>1763</v>
      </c>
      <c r="I582" s="77" t="s">
        <v>3048</v>
      </c>
      <c r="J582" s="77"/>
      <c r="K582" s="77" t="s">
        <v>3048</v>
      </c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</row>
    <row r="583" spans="1:32" ht="12.75" customHeight="1" x14ac:dyDescent="0.2">
      <c r="A583" s="1" t="s">
        <v>1183</v>
      </c>
      <c r="B583" s="1" t="s">
        <v>1766</v>
      </c>
      <c r="C583" s="1" t="s">
        <v>1768</v>
      </c>
      <c r="D583" s="2"/>
      <c r="E583" s="75" t="str">
        <f t="shared" si="0"/>
        <v xml:space="preserve">VILLANUEVA, MARCELINO VIERNES </v>
      </c>
      <c r="F583" s="2" t="s">
        <v>42</v>
      </c>
      <c r="G583" s="78" t="s">
        <v>1183</v>
      </c>
      <c r="H583" s="25" t="s">
        <v>3174</v>
      </c>
      <c r="I583" s="77" t="s">
        <v>3048</v>
      </c>
      <c r="J583" s="77"/>
      <c r="K583" s="77" t="s">
        <v>3047</v>
      </c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</row>
    <row r="584" spans="1:32" ht="12.75" customHeight="1" x14ac:dyDescent="0.2">
      <c r="A584" s="1" t="s">
        <v>1770</v>
      </c>
      <c r="B584" s="1" t="s">
        <v>1771</v>
      </c>
      <c r="C584" s="105" t="s">
        <v>1270</v>
      </c>
      <c r="D584" s="2"/>
      <c r="E584" s="75" t="str">
        <f t="shared" si="0"/>
        <v xml:space="preserve">VILLAS, JOHN MICHAEL BALMACEDA </v>
      </c>
      <c r="F584" s="2" t="s">
        <v>42</v>
      </c>
      <c r="G584" s="78" t="s">
        <v>1770</v>
      </c>
      <c r="H584" s="25" t="s">
        <v>3174</v>
      </c>
      <c r="I584" s="77" t="s">
        <v>3048</v>
      </c>
      <c r="J584" s="77"/>
      <c r="K584" s="77" t="s">
        <v>3046</v>
      </c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</row>
    <row r="585" spans="1:32" ht="12.75" customHeight="1" x14ac:dyDescent="0.2">
      <c r="A585" s="1" t="s">
        <v>1776</v>
      </c>
      <c r="B585" s="1" t="s">
        <v>1777</v>
      </c>
      <c r="C585" s="1" t="s">
        <v>1284</v>
      </c>
      <c r="D585" s="2"/>
      <c r="E585" s="75" t="str">
        <f t="shared" si="0"/>
        <v xml:space="preserve">VILLAVICENCIO, JOYLYN VASQUEZ </v>
      </c>
      <c r="F585" s="2" t="s">
        <v>42</v>
      </c>
      <c r="G585" s="78" t="s">
        <v>1776</v>
      </c>
      <c r="H585" s="25" t="s">
        <v>3245</v>
      </c>
      <c r="I585" s="77" t="s">
        <v>3048</v>
      </c>
      <c r="J585" s="77"/>
      <c r="K585" s="77" t="s">
        <v>3047</v>
      </c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</row>
    <row r="586" spans="1:32" ht="12.75" customHeight="1" x14ac:dyDescent="0.2">
      <c r="A586" s="1" t="s">
        <v>942</v>
      </c>
      <c r="B586" s="1" t="s">
        <v>943</v>
      </c>
      <c r="C586" s="1" t="s">
        <v>944</v>
      </c>
      <c r="D586" s="2"/>
      <c r="E586" s="75" t="str">
        <f t="shared" si="0"/>
        <v xml:space="preserve">VILLEGAS, NAIF STA ANA </v>
      </c>
      <c r="F586" s="2" t="s">
        <v>32</v>
      </c>
      <c r="G586" s="5" t="s">
        <v>942</v>
      </c>
      <c r="H586" s="25" t="s">
        <v>333</v>
      </c>
      <c r="I586" s="77" t="s">
        <v>3047</v>
      </c>
      <c r="J586" s="77"/>
      <c r="K586" s="77" t="s">
        <v>3047</v>
      </c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</row>
    <row r="587" spans="1:32" ht="12.75" customHeight="1" x14ac:dyDescent="0.2">
      <c r="A587" s="1" t="s">
        <v>2112</v>
      </c>
      <c r="B587" s="1" t="s">
        <v>588</v>
      </c>
      <c r="C587" s="1" t="s">
        <v>2113</v>
      </c>
      <c r="D587" s="2"/>
      <c r="E587" s="75" t="str">
        <f t="shared" si="0"/>
        <v xml:space="preserve">VIRTUDAZO, MICHAEL TAREPE </v>
      </c>
      <c r="F587" s="2" t="s">
        <v>62</v>
      </c>
      <c r="G587" s="78" t="s">
        <v>2112</v>
      </c>
      <c r="H587" s="25" t="s">
        <v>2063</v>
      </c>
      <c r="I587" s="77" t="s">
        <v>3046</v>
      </c>
      <c r="J587" s="77"/>
      <c r="K587" s="77" t="s">
        <v>3048</v>
      </c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</row>
    <row r="588" spans="1:32" ht="12.75" customHeight="1" x14ac:dyDescent="0.2">
      <c r="A588" s="1" t="s">
        <v>1627</v>
      </c>
      <c r="B588" s="1" t="s">
        <v>599</v>
      </c>
      <c r="C588" s="1" t="s">
        <v>1628</v>
      </c>
      <c r="D588" s="2"/>
      <c r="E588" s="75" t="str">
        <f t="shared" si="0"/>
        <v xml:space="preserve">WALIS, GILBERT JACKSON </v>
      </c>
      <c r="F588" s="2" t="s">
        <v>528</v>
      </c>
      <c r="G588" s="78" t="s">
        <v>1627</v>
      </c>
      <c r="H588" s="25" t="s">
        <v>3065</v>
      </c>
      <c r="I588" s="77" t="s">
        <v>3047</v>
      </c>
      <c r="J588" s="77"/>
      <c r="K588" s="77" t="s">
        <v>3047</v>
      </c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</row>
    <row r="589" spans="1:32" ht="12.75" customHeight="1" x14ac:dyDescent="0.2">
      <c r="A589" s="9" t="s">
        <v>2717</v>
      </c>
      <c r="B589" s="9" t="s">
        <v>2718</v>
      </c>
      <c r="C589" s="9" t="s">
        <v>2719</v>
      </c>
      <c r="D589" s="82"/>
      <c r="E589" s="75" t="str">
        <f t="shared" si="0"/>
        <v xml:space="preserve">YAGO, SHARMEN BALLEBAR </v>
      </c>
      <c r="F589" s="2" t="s">
        <v>32</v>
      </c>
      <c r="G589" s="78" t="s">
        <v>2717</v>
      </c>
      <c r="H589" s="25" t="s">
        <v>3207</v>
      </c>
      <c r="I589" s="77" t="s">
        <v>3047</v>
      </c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</row>
    <row r="590" spans="1:32" ht="12.75" customHeight="1" x14ac:dyDescent="0.2">
      <c r="A590" s="1" t="s">
        <v>1778</v>
      </c>
      <c r="B590" s="1" t="s">
        <v>1779</v>
      </c>
      <c r="C590" s="1" t="s">
        <v>707</v>
      </c>
      <c r="D590" s="2"/>
      <c r="E590" s="75" t="str">
        <f t="shared" si="0"/>
        <v xml:space="preserve">ZAFE, PRINCE ANDREI SANTOS </v>
      </c>
      <c r="F590" s="2" t="s">
        <v>42</v>
      </c>
      <c r="G590" s="11" t="s">
        <v>1778</v>
      </c>
      <c r="H590" s="25" t="s">
        <v>227</v>
      </c>
      <c r="I590" s="77" t="s">
        <v>3048</v>
      </c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</row>
    <row r="591" spans="1:32" ht="12.75" customHeight="1" x14ac:dyDescent="0.2">
      <c r="A591" s="1" t="s">
        <v>1078</v>
      </c>
      <c r="B591" s="1" t="s">
        <v>1079</v>
      </c>
      <c r="C591" s="1" t="s">
        <v>1080</v>
      </c>
      <c r="D591" s="2"/>
      <c r="E591" s="75" t="str">
        <f t="shared" si="0"/>
        <v xml:space="preserve">ZAMORA, MELVIN PANGANIBAN </v>
      </c>
      <c r="F591" s="2" t="s">
        <v>69</v>
      </c>
      <c r="G591" s="78" t="s">
        <v>1078</v>
      </c>
      <c r="H591" s="25" t="s">
        <v>333</v>
      </c>
      <c r="I591" s="77" t="s">
        <v>3047</v>
      </c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</row>
    <row r="592" spans="1:32" ht="12.75" customHeight="1" x14ac:dyDescent="0.2">
      <c r="A592" s="77"/>
      <c r="B592" s="77"/>
      <c r="C592" s="77"/>
      <c r="D592" s="107"/>
      <c r="E592" s="107"/>
      <c r="F592" s="77"/>
      <c r="G592" s="77"/>
      <c r="H592" s="108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</row>
    <row r="593" spans="1:32" ht="12.75" customHeight="1" x14ac:dyDescent="0.2">
      <c r="A593" s="77"/>
      <c r="B593" s="77"/>
      <c r="C593" s="77"/>
      <c r="D593" s="107"/>
      <c r="E593" s="107"/>
      <c r="F593" s="77"/>
      <c r="G593" s="77"/>
      <c r="H593" s="108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</row>
    <row r="594" spans="1:32" ht="15" customHeight="1" x14ac:dyDescent="0.25">
      <c r="A594" s="17" t="s">
        <v>14</v>
      </c>
      <c r="B594" s="109" t="s">
        <v>3046</v>
      </c>
      <c r="E594" s="17" t="s">
        <v>14</v>
      </c>
      <c r="F594" s="109" t="s">
        <v>3046</v>
      </c>
      <c r="J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</row>
    <row r="595" spans="1:32" ht="15" customHeight="1" x14ac:dyDescent="0.25">
      <c r="A595" s="17" t="s">
        <v>57</v>
      </c>
      <c r="B595" s="109" t="s">
        <v>3046</v>
      </c>
      <c r="E595" s="17" t="s">
        <v>57</v>
      </c>
      <c r="F595" s="109" t="s">
        <v>3046</v>
      </c>
      <c r="J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</row>
    <row r="596" spans="1:32" ht="15" customHeight="1" x14ac:dyDescent="0.25">
      <c r="A596" s="77"/>
      <c r="B596" s="77"/>
      <c r="C596" s="77"/>
      <c r="D596" s="107"/>
      <c r="E596" s="17" t="s">
        <v>62</v>
      </c>
      <c r="F596" s="109" t="s">
        <v>3046</v>
      </c>
      <c r="G596" s="77"/>
      <c r="H596" s="108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</row>
    <row r="597" spans="1:32" ht="15" customHeight="1" x14ac:dyDescent="0.25">
      <c r="A597" s="77"/>
      <c r="B597" s="77"/>
      <c r="C597" s="77"/>
      <c r="D597" s="107"/>
      <c r="E597" s="17" t="s">
        <v>318</v>
      </c>
      <c r="F597" s="109" t="s">
        <v>3046</v>
      </c>
      <c r="G597" s="77"/>
      <c r="H597" s="108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</row>
    <row r="598" spans="1:32" ht="15" customHeight="1" x14ac:dyDescent="0.25">
      <c r="A598" s="77"/>
      <c r="B598" s="77"/>
      <c r="C598" s="77"/>
      <c r="D598" s="107"/>
      <c r="E598" s="17" t="s">
        <v>127</v>
      </c>
      <c r="F598" s="109" t="s">
        <v>3046</v>
      </c>
      <c r="G598" s="77"/>
      <c r="H598" s="108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</row>
    <row r="599" spans="1:32" ht="15" customHeight="1" x14ac:dyDescent="0.25">
      <c r="A599" s="77"/>
      <c r="B599" s="77"/>
      <c r="C599" s="77"/>
      <c r="D599" s="107"/>
      <c r="E599" s="17" t="s">
        <v>323</v>
      </c>
      <c r="F599" s="109" t="s">
        <v>3046</v>
      </c>
      <c r="G599" s="77"/>
      <c r="H599" s="108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</row>
    <row r="600" spans="1:32" ht="15" customHeight="1" x14ac:dyDescent="0.25">
      <c r="A600" s="77"/>
      <c r="B600" s="77"/>
      <c r="C600" s="77"/>
      <c r="D600" s="107"/>
      <c r="E600" s="17" t="s">
        <v>305</v>
      </c>
      <c r="F600" s="109" t="s">
        <v>3047</v>
      </c>
      <c r="G600" s="77"/>
      <c r="H600" s="108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</row>
    <row r="601" spans="1:32" ht="15" customHeight="1" x14ac:dyDescent="0.25">
      <c r="A601" s="77"/>
      <c r="B601" s="77"/>
      <c r="C601" s="77"/>
      <c r="D601" s="107"/>
      <c r="E601" s="17" t="s">
        <v>397</v>
      </c>
      <c r="F601" s="109" t="s">
        <v>3047</v>
      </c>
      <c r="G601" s="77"/>
      <c r="H601" s="108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</row>
    <row r="602" spans="1:32" ht="15" customHeight="1" x14ac:dyDescent="0.25">
      <c r="A602" s="77"/>
      <c r="B602" s="77"/>
      <c r="C602" s="77"/>
      <c r="D602" s="107"/>
      <c r="E602" s="17" t="s">
        <v>528</v>
      </c>
      <c r="F602" s="109" t="s">
        <v>3047</v>
      </c>
      <c r="G602" s="77"/>
      <c r="H602" s="108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</row>
    <row r="603" spans="1:32" ht="15" customHeight="1" x14ac:dyDescent="0.25">
      <c r="A603" s="77"/>
      <c r="B603" s="77"/>
      <c r="C603" s="77"/>
      <c r="D603" s="107"/>
      <c r="E603" s="17" t="s">
        <v>177</v>
      </c>
      <c r="F603" s="109" t="s">
        <v>3047</v>
      </c>
      <c r="G603" s="77"/>
      <c r="H603" s="108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</row>
    <row r="604" spans="1:32" ht="15" customHeight="1" x14ac:dyDescent="0.25">
      <c r="A604" s="77"/>
      <c r="B604" s="77"/>
      <c r="C604" s="77"/>
      <c r="D604" s="107"/>
      <c r="E604" s="17" t="s">
        <v>69</v>
      </c>
      <c r="F604" s="109" t="s">
        <v>3047</v>
      </c>
      <c r="G604" s="77"/>
      <c r="H604" s="108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</row>
    <row r="605" spans="1:32" ht="15" customHeight="1" x14ac:dyDescent="0.25">
      <c r="A605" s="77"/>
      <c r="B605" s="77"/>
      <c r="C605" s="77"/>
      <c r="D605" s="107"/>
      <c r="E605" s="17" t="s">
        <v>134</v>
      </c>
      <c r="F605" s="109" t="s">
        <v>3047</v>
      </c>
      <c r="G605" s="77"/>
      <c r="H605" s="108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</row>
    <row r="606" spans="1:32" ht="15" customHeight="1" x14ac:dyDescent="0.25">
      <c r="A606" s="77"/>
      <c r="B606" s="77"/>
      <c r="C606" s="77"/>
      <c r="D606" s="107"/>
      <c r="E606" s="17" t="s">
        <v>32</v>
      </c>
      <c r="F606" s="109" t="s">
        <v>3047</v>
      </c>
      <c r="G606" s="77"/>
      <c r="H606" s="108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</row>
    <row r="607" spans="1:32" ht="15" customHeight="1" x14ac:dyDescent="0.25">
      <c r="A607" s="77"/>
      <c r="B607" s="77"/>
      <c r="C607" s="77"/>
      <c r="D607" s="107"/>
      <c r="E607" s="17" t="s">
        <v>42</v>
      </c>
      <c r="F607" s="109" t="s">
        <v>3048</v>
      </c>
      <c r="G607" s="77"/>
      <c r="H607" s="108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</row>
    <row r="608" spans="1:32" ht="15.75" customHeight="1" x14ac:dyDescent="0.2">
      <c r="A608" s="77"/>
      <c r="B608" s="77"/>
      <c r="C608" s="77"/>
      <c r="D608" s="107"/>
      <c r="E608" s="107"/>
      <c r="F608" s="77"/>
      <c r="G608" s="77"/>
      <c r="H608" s="108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</row>
    <row r="609" spans="1:32" ht="15.75" customHeight="1" x14ac:dyDescent="0.2">
      <c r="A609" s="77"/>
      <c r="B609" s="77"/>
      <c r="C609" s="77"/>
      <c r="D609" s="107"/>
      <c r="E609" s="107"/>
      <c r="F609" s="77"/>
      <c r="G609" s="77"/>
      <c r="H609" s="108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</row>
    <row r="610" spans="1:32" ht="15.75" customHeight="1" x14ac:dyDescent="0.2">
      <c r="A610" s="77"/>
      <c r="B610" s="77"/>
      <c r="C610" s="77"/>
      <c r="D610" s="107"/>
      <c r="E610" s="107"/>
      <c r="F610" s="77"/>
      <c r="G610" s="77"/>
      <c r="H610" s="108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</row>
    <row r="611" spans="1:32" ht="15.75" customHeight="1" x14ac:dyDescent="0.2">
      <c r="A611" s="77"/>
      <c r="B611" s="77"/>
      <c r="C611" s="77"/>
      <c r="D611" s="107"/>
      <c r="E611" s="107"/>
      <c r="F611" s="77"/>
      <c r="G611" s="77"/>
      <c r="H611" s="108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</row>
    <row r="612" spans="1:32" ht="15.75" customHeight="1" x14ac:dyDescent="0.2">
      <c r="A612" s="77"/>
      <c r="B612" s="77"/>
      <c r="C612" s="77"/>
      <c r="D612" s="107"/>
      <c r="E612" s="107"/>
      <c r="F612" s="77"/>
      <c r="G612" s="77"/>
      <c r="H612" s="108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</row>
    <row r="613" spans="1:32" ht="15.75" customHeight="1" x14ac:dyDescent="0.2">
      <c r="A613" s="77"/>
      <c r="B613" s="77"/>
      <c r="C613" s="77"/>
      <c r="D613" s="107"/>
      <c r="E613" s="107"/>
      <c r="F613" s="77"/>
      <c r="G613" s="77"/>
      <c r="H613" s="108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</row>
    <row r="614" spans="1:32" ht="15.75" customHeight="1" x14ac:dyDescent="0.2">
      <c r="A614" s="77"/>
      <c r="B614" s="77"/>
      <c r="C614" s="77"/>
      <c r="D614" s="107"/>
      <c r="E614" s="107"/>
      <c r="F614" s="77"/>
      <c r="G614" s="77"/>
      <c r="H614" s="108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</row>
    <row r="615" spans="1:32" ht="15.75" customHeight="1" x14ac:dyDescent="0.2">
      <c r="A615" s="77"/>
      <c r="B615" s="77"/>
      <c r="C615" s="77"/>
      <c r="D615" s="107"/>
      <c r="E615" s="107"/>
      <c r="F615" s="77"/>
      <c r="G615" s="77"/>
      <c r="H615" s="108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</row>
    <row r="616" spans="1:32" ht="15.75" customHeight="1" x14ac:dyDescent="0.2">
      <c r="A616" s="77"/>
      <c r="B616" s="77"/>
      <c r="C616" s="77"/>
      <c r="D616" s="107"/>
      <c r="E616" s="107"/>
      <c r="F616" s="77"/>
      <c r="G616" s="77"/>
      <c r="H616" s="108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</row>
    <row r="617" spans="1:32" ht="15.75" customHeight="1" x14ac:dyDescent="0.2">
      <c r="A617" s="77"/>
      <c r="B617" s="77"/>
      <c r="C617" s="77"/>
      <c r="D617" s="107"/>
      <c r="E617" s="107"/>
      <c r="F617" s="77"/>
      <c r="G617" s="77"/>
      <c r="H617" s="108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</row>
    <row r="618" spans="1:32" ht="15.75" customHeight="1" x14ac:dyDescent="0.2">
      <c r="A618" s="77"/>
      <c r="B618" s="77"/>
      <c r="C618" s="77"/>
      <c r="D618" s="107"/>
      <c r="E618" s="107"/>
      <c r="F618" s="77"/>
      <c r="G618" s="77"/>
      <c r="H618" s="108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</row>
    <row r="619" spans="1:32" ht="15.75" customHeight="1" x14ac:dyDescent="0.2">
      <c r="A619" s="77"/>
      <c r="B619" s="77"/>
      <c r="C619" s="77"/>
      <c r="D619" s="107"/>
      <c r="E619" s="107"/>
      <c r="F619" s="77"/>
      <c r="G619" s="77"/>
      <c r="H619" s="108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</row>
    <row r="620" spans="1:32" ht="15.75" customHeight="1" x14ac:dyDescent="0.2">
      <c r="A620" s="77"/>
      <c r="B620" s="77"/>
      <c r="C620" s="77"/>
      <c r="D620" s="107"/>
      <c r="E620" s="107"/>
      <c r="F620" s="77"/>
      <c r="G620" s="77"/>
      <c r="H620" s="108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</row>
    <row r="621" spans="1:32" ht="15.75" customHeight="1" x14ac:dyDescent="0.2">
      <c r="A621" s="77"/>
      <c r="B621" s="77"/>
      <c r="C621" s="77"/>
      <c r="D621" s="107"/>
      <c r="E621" s="107"/>
      <c r="F621" s="77"/>
      <c r="G621" s="77"/>
      <c r="H621" s="108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</row>
    <row r="622" spans="1:32" ht="15.75" customHeight="1" x14ac:dyDescent="0.2">
      <c r="A622" s="77"/>
      <c r="B622" s="77"/>
      <c r="C622" s="77"/>
      <c r="D622" s="107"/>
      <c r="E622" s="107"/>
      <c r="F622" s="77"/>
      <c r="G622" s="77"/>
      <c r="H622" s="108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</row>
    <row r="623" spans="1:32" ht="15.75" customHeight="1" x14ac:dyDescent="0.2">
      <c r="A623" s="77"/>
      <c r="B623" s="77"/>
      <c r="C623" s="77"/>
      <c r="D623" s="107"/>
      <c r="E623" s="107"/>
      <c r="F623" s="77"/>
      <c r="G623" s="77"/>
      <c r="H623" s="108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</row>
    <row r="624" spans="1:32" ht="15.75" customHeight="1" x14ac:dyDescent="0.2">
      <c r="A624" s="77"/>
      <c r="B624" s="77"/>
      <c r="C624" s="77"/>
      <c r="D624" s="107"/>
      <c r="E624" s="107"/>
      <c r="F624" s="77"/>
      <c r="G624" s="77"/>
      <c r="H624" s="108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</row>
    <row r="625" spans="1:32" ht="15.75" customHeight="1" x14ac:dyDescent="0.2">
      <c r="A625" s="77"/>
      <c r="B625" s="77"/>
      <c r="C625" s="77"/>
      <c r="D625" s="107"/>
      <c r="E625" s="107"/>
      <c r="F625" s="77"/>
      <c r="G625" s="77"/>
      <c r="H625" s="108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</row>
    <row r="626" spans="1:32" ht="15.75" customHeight="1" x14ac:dyDescent="0.2">
      <c r="A626" s="77"/>
      <c r="B626" s="77"/>
      <c r="C626" s="77"/>
      <c r="D626" s="107"/>
      <c r="E626" s="107"/>
      <c r="F626" s="77"/>
      <c r="G626" s="77"/>
      <c r="H626" s="108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</row>
    <row r="627" spans="1:32" ht="15.75" customHeight="1" x14ac:dyDescent="0.2">
      <c r="A627" s="77"/>
      <c r="B627" s="77"/>
      <c r="C627" s="77"/>
      <c r="D627" s="107"/>
      <c r="E627" s="107"/>
      <c r="F627" s="77"/>
      <c r="G627" s="77"/>
      <c r="H627" s="108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</row>
    <row r="628" spans="1:32" ht="15.75" customHeight="1" x14ac:dyDescent="0.2">
      <c r="A628" s="77"/>
      <c r="B628" s="77"/>
      <c r="C628" s="77"/>
      <c r="D628" s="107"/>
      <c r="E628" s="107"/>
      <c r="F628" s="77"/>
      <c r="G628" s="77"/>
      <c r="H628" s="108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</row>
    <row r="629" spans="1:32" ht="15.75" customHeight="1" x14ac:dyDescent="0.2">
      <c r="A629" s="77"/>
      <c r="B629" s="77"/>
      <c r="C629" s="77"/>
      <c r="D629" s="107"/>
      <c r="E629" s="107"/>
      <c r="F629" s="77"/>
      <c r="G629" s="77"/>
      <c r="H629" s="108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</row>
    <row r="630" spans="1:32" ht="15.75" customHeight="1" x14ac:dyDescent="0.2">
      <c r="A630" s="77"/>
      <c r="B630" s="77"/>
      <c r="C630" s="77"/>
      <c r="D630" s="107"/>
      <c r="E630" s="107"/>
      <c r="F630" s="77"/>
      <c r="G630" s="77"/>
      <c r="H630" s="108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</row>
    <row r="631" spans="1:32" ht="15.75" customHeight="1" x14ac:dyDescent="0.2">
      <c r="A631" s="77"/>
      <c r="B631" s="77"/>
      <c r="C631" s="77"/>
      <c r="D631" s="107"/>
      <c r="E631" s="107"/>
      <c r="F631" s="77"/>
      <c r="G631" s="77"/>
      <c r="H631" s="108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</row>
    <row r="632" spans="1:32" ht="15.75" customHeight="1" x14ac:dyDescent="0.2">
      <c r="A632" s="77"/>
      <c r="B632" s="77"/>
      <c r="C632" s="77"/>
      <c r="D632" s="107"/>
      <c r="E632" s="107"/>
      <c r="F632" s="77"/>
      <c r="G632" s="77"/>
      <c r="H632" s="108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</row>
    <row r="633" spans="1:32" ht="15.75" customHeight="1" x14ac:dyDescent="0.2">
      <c r="A633" s="77"/>
      <c r="B633" s="77"/>
      <c r="C633" s="77"/>
      <c r="D633" s="107"/>
      <c r="E633" s="107"/>
      <c r="F633" s="77"/>
      <c r="G633" s="77"/>
      <c r="H633" s="108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</row>
    <row r="634" spans="1:32" ht="15.75" customHeight="1" x14ac:dyDescent="0.2">
      <c r="A634" s="77"/>
      <c r="B634" s="77"/>
      <c r="C634" s="77"/>
      <c r="D634" s="107"/>
      <c r="E634" s="107"/>
      <c r="F634" s="77"/>
      <c r="G634" s="77"/>
      <c r="H634" s="108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</row>
    <row r="635" spans="1:32" ht="15.75" customHeight="1" x14ac:dyDescent="0.2">
      <c r="A635" s="77"/>
      <c r="B635" s="77"/>
      <c r="C635" s="77"/>
      <c r="D635" s="107"/>
      <c r="E635" s="107"/>
      <c r="F635" s="77"/>
      <c r="G635" s="77"/>
      <c r="H635" s="108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</row>
    <row r="636" spans="1:32" ht="15.75" customHeight="1" x14ac:dyDescent="0.2">
      <c r="A636" s="77"/>
      <c r="B636" s="77"/>
      <c r="C636" s="77"/>
      <c r="D636" s="107"/>
      <c r="E636" s="107"/>
      <c r="F636" s="77"/>
      <c r="G636" s="77"/>
      <c r="H636" s="108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</row>
    <row r="637" spans="1:32" ht="15.75" customHeight="1" x14ac:dyDescent="0.2">
      <c r="A637" s="77"/>
      <c r="B637" s="77"/>
      <c r="C637" s="77"/>
      <c r="D637" s="107"/>
      <c r="E637" s="107"/>
      <c r="F637" s="77"/>
      <c r="G637" s="77"/>
      <c r="H637" s="108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</row>
    <row r="638" spans="1:32" ht="15.75" customHeight="1" x14ac:dyDescent="0.2">
      <c r="A638" s="77"/>
      <c r="B638" s="77"/>
      <c r="C638" s="77"/>
      <c r="D638" s="107"/>
      <c r="E638" s="107"/>
      <c r="F638" s="77"/>
      <c r="G638" s="77"/>
      <c r="H638" s="108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</row>
    <row r="639" spans="1:32" ht="15.75" customHeight="1" x14ac:dyDescent="0.2">
      <c r="A639" s="77"/>
      <c r="B639" s="77"/>
      <c r="C639" s="77"/>
      <c r="D639" s="107"/>
      <c r="E639" s="107"/>
      <c r="F639" s="77"/>
      <c r="G639" s="77"/>
      <c r="H639" s="108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</row>
    <row r="640" spans="1:32" ht="15.75" customHeight="1" x14ac:dyDescent="0.2">
      <c r="A640" s="77"/>
      <c r="B640" s="77"/>
      <c r="C640" s="77"/>
      <c r="D640" s="107"/>
      <c r="E640" s="107"/>
      <c r="F640" s="77"/>
      <c r="G640" s="77"/>
      <c r="H640" s="108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</row>
    <row r="641" spans="1:32" ht="15.75" customHeight="1" x14ac:dyDescent="0.2">
      <c r="A641" s="77"/>
      <c r="B641" s="77"/>
      <c r="C641" s="77"/>
      <c r="D641" s="107"/>
      <c r="E641" s="107"/>
      <c r="F641" s="77"/>
      <c r="G641" s="77"/>
      <c r="H641" s="108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</row>
    <row r="642" spans="1:32" ht="15.75" customHeight="1" x14ac:dyDescent="0.2">
      <c r="A642" s="77"/>
      <c r="B642" s="77"/>
      <c r="C642" s="77"/>
      <c r="D642" s="107"/>
      <c r="E642" s="107"/>
      <c r="F642" s="77"/>
      <c r="G642" s="77"/>
      <c r="H642" s="108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</row>
    <row r="643" spans="1:32" ht="15.75" customHeight="1" x14ac:dyDescent="0.2">
      <c r="A643" s="77"/>
      <c r="B643" s="77"/>
      <c r="C643" s="77"/>
      <c r="D643" s="107"/>
      <c r="E643" s="107"/>
      <c r="F643" s="77"/>
      <c r="G643" s="77"/>
      <c r="H643" s="108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</row>
    <row r="644" spans="1:32" ht="15.75" customHeight="1" x14ac:dyDescent="0.2">
      <c r="A644" s="77"/>
      <c r="B644" s="77"/>
      <c r="C644" s="77"/>
      <c r="D644" s="107"/>
      <c r="E644" s="107"/>
      <c r="F644" s="77"/>
      <c r="G644" s="77"/>
      <c r="H644" s="108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</row>
    <row r="645" spans="1:32" ht="15.75" customHeight="1" x14ac:dyDescent="0.2">
      <c r="A645" s="77"/>
      <c r="B645" s="77"/>
      <c r="C645" s="77"/>
      <c r="D645" s="107"/>
      <c r="E645" s="107"/>
      <c r="F645" s="77"/>
      <c r="G645" s="77"/>
      <c r="H645" s="108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</row>
    <row r="646" spans="1:32" ht="15.75" customHeight="1" x14ac:dyDescent="0.2">
      <c r="A646" s="77"/>
      <c r="B646" s="77"/>
      <c r="C646" s="77"/>
      <c r="D646" s="107"/>
      <c r="E646" s="107"/>
      <c r="F646" s="77"/>
      <c r="G646" s="77"/>
      <c r="H646" s="108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</row>
    <row r="647" spans="1:32" ht="15.75" customHeight="1" x14ac:dyDescent="0.2">
      <c r="A647" s="77"/>
      <c r="B647" s="77"/>
      <c r="C647" s="77"/>
      <c r="D647" s="107"/>
      <c r="E647" s="107"/>
      <c r="F647" s="77"/>
      <c r="G647" s="77"/>
      <c r="H647" s="108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</row>
    <row r="648" spans="1:32" ht="15.75" customHeight="1" x14ac:dyDescent="0.2">
      <c r="A648" s="77"/>
      <c r="B648" s="77"/>
      <c r="C648" s="77"/>
      <c r="D648" s="107"/>
      <c r="E648" s="107"/>
      <c r="F648" s="77"/>
      <c r="G648" s="77"/>
      <c r="H648" s="108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</row>
    <row r="649" spans="1:32" ht="15.75" customHeight="1" x14ac:dyDescent="0.2">
      <c r="A649" s="77"/>
      <c r="B649" s="77"/>
      <c r="C649" s="77"/>
      <c r="D649" s="107"/>
      <c r="E649" s="107"/>
      <c r="F649" s="77"/>
      <c r="G649" s="77"/>
      <c r="H649" s="108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</row>
    <row r="650" spans="1:32" ht="15.75" customHeight="1" x14ac:dyDescent="0.2">
      <c r="A650" s="77"/>
      <c r="B650" s="77"/>
      <c r="C650" s="77"/>
      <c r="D650" s="107"/>
      <c r="E650" s="107"/>
      <c r="F650" s="77"/>
      <c r="G650" s="77"/>
      <c r="H650" s="108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</row>
    <row r="651" spans="1:32" ht="15.75" customHeight="1" x14ac:dyDescent="0.2">
      <c r="A651" s="77"/>
      <c r="B651" s="77"/>
      <c r="C651" s="77"/>
      <c r="D651" s="107"/>
      <c r="E651" s="107"/>
      <c r="F651" s="77"/>
      <c r="G651" s="77"/>
      <c r="H651" s="108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</row>
    <row r="652" spans="1:32" ht="15.75" customHeight="1" x14ac:dyDescent="0.2">
      <c r="A652" s="77"/>
      <c r="B652" s="77"/>
      <c r="C652" s="77"/>
      <c r="D652" s="107"/>
      <c r="E652" s="107"/>
      <c r="F652" s="77"/>
      <c r="G652" s="77"/>
      <c r="H652" s="108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</row>
    <row r="653" spans="1:32" ht="15.75" customHeight="1" x14ac:dyDescent="0.2">
      <c r="A653" s="77"/>
      <c r="B653" s="77"/>
      <c r="C653" s="77"/>
      <c r="D653" s="107"/>
      <c r="E653" s="107"/>
      <c r="F653" s="77"/>
      <c r="G653" s="77"/>
      <c r="H653" s="108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</row>
    <row r="654" spans="1:32" ht="15.75" customHeight="1" x14ac:dyDescent="0.2">
      <c r="A654" s="77"/>
      <c r="B654" s="77"/>
      <c r="C654" s="77"/>
      <c r="D654" s="107"/>
      <c r="E654" s="107"/>
      <c r="F654" s="77"/>
      <c r="G654" s="77"/>
      <c r="H654" s="108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</row>
    <row r="655" spans="1:32" ht="15.75" customHeight="1" x14ac:dyDescent="0.2">
      <c r="A655" s="77"/>
      <c r="B655" s="77"/>
      <c r="C655" s="77"/>
      <c r="D655" s="107"/>
      <c r="E655" s="107"/>
      <c r="F655" s="77"/>
      <c r="G655" s="77"/>
      <c r="H655" s="108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</row>
    <row r="656" spans="1:32" ht="15.75" customHeight="1" x14ac:dyDescent="0.2">
      <c r="A656" s="77"/>
      <c r="B656" s="77"/>
      <c r="C656" s="77"/>
      <c r="D656" s="107"/>
      <c r="E656" s="107"/>
      <c r="F656" s="77"/>
      <c r="G656" s="77"/>
      <c r="H656" s="108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</row>
    <row r="657" spans="1:32" ht="15.75" customHeight="1" x14ac:dyDescent="0.2">
      <c r="A657" s="77"/>
      <c r="B657" s="77"/>
      <c r="C657" s="77"/>
      <c r="D657" s="107"/>
      <c r="E657" s="107"/>
      <c r="F657" s="77"/>
      <c r="G657" s="77"/>
      <c r="H657" s="108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</row>
    <row r="658" spans="1:32" ht="15.75" customHeight="1" x14ac:dyDescent="0.2">
      <c r="A658" s="77"/>
      <c r="B658" s="77"/>
      <c r="C658" s="77"/>
      <c r="D658" s="107"/>
      <c r="E658" s="107"/>
      <c r="F658" s="77"/>
      <c r="G658" s="77"/>
      <c r="H658" s="108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</row>
    <row r="659" spans="1:32" ht="15.75" customHeight="1" x14ac:dyDescent="0.2">
      <c r="A659" s="77"/>
      <c r="B659" s="77"/>
      <c r="C659" s="77"/>
      <c r="D659" s="107"/>
      <c r="E659" s="107"/>
      <c r="F659" s="77"/>
      <c r="G659" s="77"/>
      <c r="H659" s="108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</row>
    <row r="660" spans="1:32" ht="15.75" customHeight="1" x14ac:dyDescent="0.2">
      <c r="A660" s="77"/>
      <c r="B660" s="77"/>
      <c r="C660" s="77"/>
      <c r="D660" s="107"/>
      <c r="E660" s="107"/>
      <c r="F660" s="77"/>
      <c r="G660" s="77"/>
      <c r="H660" s="108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</row>
    <row r="661" spans="1:32" ht="15.75" customHeight="1" x14ac:dyDescent="0.2">
      <c r="A661" s="77"/>
      <c r="B661" s="77"/>
      <c r="C661" s="77"/>
      <c r="D661" s="107"/>
      <c r="E661" s="107"/>
      <c r="F661" s="77"/>
      <c r="G661" s="77"/>
      <c r="H661" s="108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</row>
    <row r="662" spans="1:32" ht="15.75" customHeight="1" x14ac:dyDescent="0.2">
      <c r="A662" s="77"/>
      <c r="B662" s="77"/>
      <c r="C662" s="77"/>
      <c r="D662" s="107"/>
      <c r="E662" s="107"/>
      <c r="F662" s="77"/>
      <c r="G662" s="77"/>
      <c r="H662" s="108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</row>
    <row r="663" spans="1:32" ht="15.75" customHeight="1" x14ac:dyDescent="0.2">
      <c r="A663" s="77"/>
      <c r="B663" s="77"/>
      <c r="C663" s="77"/>
      <c r="D663" s="107"/>
      <c r="E663" s="107"/>
      <c r="F663" s="77"/>
      <c r="G663" s="77"/>
      <c r="H663" s="108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</row>
    <row r="664" spans="1:32" ht="15.75" customHeight="1" x14ac:dyDescent="0.2">
      <c r="A664" s="77"/>
      <c r="B664" s="77"/>
      <c r="C664" s="77"/>
      <c r="D664" s="107"/>
      <c r="E664" s="107"/>
      <c r="F664" s="77"/>
      <c r="G664" s="77"/>
      <c r="H664" s="108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</row>
    <row r="665" spans="1:32" ht="15.75" customHeight="1" x14ac:dyDescent="0.2">
      <c r="A665" s="77"/>
      <c r="B665" s="77"/>
      <c r="C665" s="77"/>
      <c r="D665" s="107"/>
      <c r="E665" s="107"/>
      <c r="F665" s="77"/>
      <c r="G665" s="77"/>
      <c r="H665" s="108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</row>
    <row r="666" spans="1:32" ht="15.75" customHeight="1" x14ac:dyDescent="0.2">
      <c r="A666" s="77"/>
      <c r="B666" s="77"/>
      <c r="C666" s="77"/>
      <c r="D666" s="107"/>
      <c r="E666" s="107"/>
      <c r="F666" s="77"/>
      <c r="G666" s="77"/>
      <c r="H666" s="108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</row>
    <row r="667" spans="1:32" ht="15.75" customHeight="1" x14ac:dyDescent="0.2">
      <c r="A667" s="77"/>
      <c r="B667" s="77"/>
      <c r="C667" s="77"/>
      <c r="D667" s="107"/>
      <c r="E667" s="107"/>
      <c r="F667" s="77"/>
      <c r="G667" s="77"/>
      <c r="H667" s="108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</row>
    <row r="668" spans="1:32" ht="15.75" customHeight="1" x14ac:dyDescent="0.2">
      <c r="A668" s="77"/>
      <c r="B668" s="77"/>
      <c r="C668" s="77"/>
      <c r="D668" s="107"/>
      <c r="E668" s="107"/>
      <c r="F668" s="77"/>
      <c r="G668" s="77"/>
      <c r="H668" s="108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</row>
    <row r="669" spans="1:32" ht="15.75" customHeight="1" x14ac:dyDescent="0.2">
      <c r="A669" s="77"/>
      <c r="B669" s="77"/>
      <c r="C669" s="77"/>
      <c r="D669" s="107"/>
      <c r="E669" s="107"/>
      <c r="F669" s="77"/>
      <c r="G669" s="77"/>
      <c r="H669" s="108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</row>
    <row r="670" spans="1:32" ht="15.75" customHeight="1" x14ac:dyDescent="0.2">
      <c r="A670" s="77"/>
      <c r="B670" s="77"/>
      <c r="C670" s="77"/>
      <c r="D670" s="107"/>
      <c r="E670" s="107"/>
      <c r="F670" s="77"/>
      <c r="G670" s="77"/>
      <c r="H670" s="108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</row>
    <row r="671" spans="1:32" ht="15.75" customHeight="1" x14ac:dyDescent="0.2">
      <c r="A671" s="77"/>
      <c r="B671" s="77"/>
      <c r="C671" s="77"/>
      <c r="D671" s="107"/>
      <c r="E671" s="107"/>
      <c r="F671" s="77"/>
      <c r="G671" s="77"/>
      <c r="H671" s="108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</row>
    <row r="672" spans="1:32" ht="15.75" customHeight="1" x14ac:dyDescent="0.2">
      <c r="A672" s="77"/>
      <c r="B672" s="77"/>
      <c r="C672" s="77"/>
      <c r="D672" s="107"/>
      <c r="E672" s="107"/>
      <c r="F672" s="77"/>
      <c r="G672" s="77"/>
      <c r="H672" s="108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</row>
    <row r="673" spans="1:32" ht="15.75" customHeight="1" x14ac:dyDescent="0.2">
      <c r="A673" s="77"/>
      <c r="B673" s="77"/>
      <c r="C673" s="77"/>
      <c r="D673" s="107"/>
      <c r="E673" s="107"/>
      <c r="F673" s="77"/>
      <c r="G673" s="77"/>
      <c r="H673" s="108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</row>
    <row r="674" spans="1:32" ht="15.75" customHeight="1" x14ac:dyDescent="0.2">
      <c r="A674" s="77"/>
      <c r="B674" s="77"/>
      <c r="C674" s="77"/>
      <c r="D674" s="107"/>
      <c r="E674" s="107"/>
      <c r="F674" s="77"/>
      <c r="G674" s="77"/>
      <c r="H674" s="108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</row>
    <row r="675" spans="1:32" ht="15.75" customHeight="1" x14ac:dyDescent="0.2">
      <c r="A675" s="77"/>
      <c r="B675" s="77"/>
      <c r="C675" s="77"/>
      <c r="D675" s="107"/>
      <c r="E675" s="107"/>
      <c r="F675" s="77"/>
      <c r="G675" s="77"/>
      <c r="H675" s="108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</row>
    <row r="676" spans="1:32" ht="15.75" customHeight="1" x14ac:dyDescent="0.2">
      <c r="A676" s="77"/>
      <c r="B676" s="77"/>
      <c r="C676" s="77"/>
      <c r="D676" s="107"/>
      <c r="E676" s="107"/>
      <c r="F676" s="77"/>
      <c r="G676" s="77"/>
      <c r="H676" s="108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</row>
    <row r="677" spans="1:32" ht="15.75" customHeight="1" x14ac:dyDescent="0.2">
      <c r="A677" s="77"/>
      <c r="B677" s="77"/>
      <c r="C677" s="77"/>
      <c r="D677" s="107"/>
      <c r="E677" s="107"/>
      <c r="F677" s="77"/>
      <c r="G677" s="77"/>
      <c r="H677" s="108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</row>
    <row r="678" spans="1:32" ht="15.75" customHeight="1" x14ac:dyDescent="0.2">
      <c r="A678" s="77"/>
      <c r="B678" s="77"/>
      <c r="C678" s="77"/>
      <c r="D678" s="107"/>
      <c r="E678" s="107"/>
      <c r="F678" s="77"/>
      <c r="G678" s="77"/>
      <c r="H678" s="108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</row>
    <row r="679" spans="1:32" ht="15.75" customHeight="1" x14ac:dyDescent="0.2">
      <c r="A679" s="77"/>
      <c r="B679" s="77"/>
      <c r="C679" s="77"/>
      <c r="D679" s="107"/>
      <c r="E679" s="107"/>
      <c r="F679" s="77"/>
      <c r="G679" s="77"/>
      <c r="H679" s="108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</row>
    <row r="680" spans="1:32" ht="15.75" customHeight="1" x14ac:dyDescent="0.2">
      <c r="A680" s="77"/>
      <c r="B680" s="77"/>
      <c r="C680" s="77"/>
      <c r="D680" s="107"/>
      <c r="E680" s="107"/>
      <c r="F680" s="77"/>
      <c r="G680" s="77"/>
      <c r="H680" s="108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</row>
    <row r="681" spans="1:32" ht="15.75" customHeight="1" x14ac:dyDescent="0.2">
      <c r="A681" s="77"/>
      <c r="B681" s="77"/>
      <c r="C681" s="77"/>
      <c r="D681" s="107"/>
      <c r="E681" s="107"/>
      <c r="F681" s="77"/>
      <c r="G681" s="77"/>
      <c r="H681" s="108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</row>
    <row r="682" spans="1:32" ht="15.75" customHeight="1" x14ac:dyDescent="0.2">
      <c r="A682" s="77"/>
      <c r="B682" s="77"/>
      <c r="C682" s="77"/>
      <c r="D682" s="107"/>
      <c r="E682" s="107"/>
      <c r="F682" s="77"/>
      <c r="G682" s="77"/>
      <c r="H682" s="108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</row>
    <row r="683" spans="1:32" ht="15.75" customHeight="1" x14ac:dyDescent="0.2">
      <c r="A683" s="77"/>
      <c r="B683" s="77"/>
      <c r="C683" s="77"/>
      <c r="D683" s="107"/>
      <c r="E683" s="107"/>
      <c r="F683" s="77"/>
      <c r="G683" s="77"/>
      <c r="H683" s="108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</row>
    <row r="684" spans="1:32" ht="15.75" customHeight="1" x14ac:dyDescent="0.2">
      <c r="A684" s="77"/>
      <c r="B684" s="77"/>
      <c r="C684" s="77"/>
      <c r="D684" s="107"/>
      <c r="E684" s="107"/>
      <c r="F684" s="77"/>
      <c r="G684" s="77"/>
      <c r="H684" s="108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</row>
    <row r="685" spans="1:32" ht="15.75" customHeight="1" x14ac:dyDescent="0.2">
      <c r="A685" s="77"/>
      <c r="B685" s="77"/>
      <c r="C685" s="77"/>
      <c r="D685" s="107"/>
      <c r="E685" s="107"/>
      <c r="F685" s="77"/>
      <c r="G685" s="77"/>
      <c r="H685" s="108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</row>
    <row r="686" spans="1:32" ht="15.75" customHeight="1" x14ac:dyDescent="0.2">
      <c r="A686" s="77"/>
      <c r="B686" s="77"/>
      <c r="C686" s="77"/>
      <c r="D686" s="107"/>
      <c r="E686" s="107"/>
      <c r="F686" s="77"/>
      <c r="G686" s="77"/>
      <c r="H686" s="108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</row>
    <row r="687" spans="1:32" ht="15.75" customHeight="1" x14ac:dyDescent="0.2">
      <c r="A687" s="77"/>
      <c r="B687" s="77"/>
      <c r="C687" s="77"/>
      <c r="D687" s="107"/>
      <c r="E687" s="107"/>
      <c r="F687" s="77"/>
      <c r="G687" s="77"/>
      <c r="H687" s="108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</row>
    <row r="688" spans="1:32" ht="15.75" customHeight="1" x14ac:dyDescent="0.2">
      <c r="A688" s="77"/>
      <c r="B688" s="77"/>
      <c r="C688" s="77"/>
      <c r="D688" s="107"/>
      <c r="E688" s="107"/>
      <c r="F688" s="77"/>
      <c r="G688" s="77"/>
      <c r="H688" s="108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</row>
    <row r="689" spans="1:32" ht="15.75" customHeight="1" x14ac:dyDescent="0.2">
      <c r="A689" s="77"/>
      <c r="B689" s="77"/>
      <c r="C689" s="77"/>
      <c r="D689" s="107"/>
      <c r="E689" s="107"/>
      <c r="F689" s="77"/>
      <c r="G689" s="77"/>
      <c r="H689" s="108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</row>
    <row r="690" spans="1:32" ht="15.75" customHeight="1" x14ac:dyDescent="0.2">
      <c r="A690" s="77"/>
      <c r="B690" s="77"/>
      <c r="C690" s="77"/>
      <c r="D690" s="107"/>
      <c r="E690" s="107"/>
      <c r="F690" s="77"/>
      <c r="G690" s="77"/>
      <c r="H690" s="108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</row>
    <row r="691" spans="1:32" ht="15.75" customHeight="1" x14ac:dyDescent="0.2">
      <c r="A691" s="77"/>
      <c r="B691" s="77"/>
      <c r="C691" s="77"/>
      <c r="D691" s="107"/>
      <c r="E691" s="107"/>
      <c r="F691" s="77"/>
      <c r="G691" s="77"/>
      <c r="H691" s="108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</row>
    <row r="692" spans="1:32" ht="15.75" customHeight="1" x14ac:dyDescent="0.2">
      <c r="A692" s="77"/>
      <c r="B692" s="77"/>
      <c r="C692" s="77"/>
      <c r="D692" s="107"/>
      <c r="E692" s="107"/>
      <c r="F692" s="77"/>
      <c r="G692" s="77"/>
      <c r="H692" s="108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</row>
    <row r="693" spans="1:32" ht="15.75" customHeight="1" x14ac:dyDescent="0.2">
      <c r="A693" s="77"/>
      <c r="B693" s="77"/>
      <c r="C693" s="77"/>
      <c r="D693" s="107"/>
      <c r="E693" s="107"/>
      <c r="F693" s="77"/>
      <c r="G693" s="77"/>
      <c r="H693" s="108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</row>
    <row r="694" spans="1:32" ht="15.75" customHeight="1" x14ac:dyDescent="0.2">
      <c r="A694" s="77"/>
      <c r="B694" s="77"/>
      <c r="C694" s="77"/>
      <c r="D694" s="107"/>
      <c r="E694" s="107"/>
      <c r="F694" s="77"/>
      <c r="G694" s="77"/>
      <c r="H694" s="108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</row>
    <row r="695" spans="1:32" ht="15.75" customHeight="1" x14ac:dyDescent="0.2">
      <c r="A695" s="77"/>
      <c r="B695" s="77"/>
      <c r="C695" s="77"/>
      <c r="D695" s="107"/>
      <c r="E695" s="107"/>
      <c r="F695" s="77"/>
      <c r="G695" s="77"/>
      <c r="H695" s="108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</row>
    <row r="696" spans="1:32" ht="15.75" customHeight="1" x14ac:dyDescent="0.2">
      <c r="A696" s="77"/>
      <c r="B696" s="77"/>
      <c r="C696" s="77"/>
      <c r="D696" s="107"/>
      <c r="E696" s="107"/>
      <c r="F696" s="77"/>
      <c r="G696" s="77"/>
      <c r="H696" s="108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</row>
    <row r="697" spans="1:32" ht="15.75" customHeight="1" x14ac:dyDescent="0.2">
      <c r="A697" s="77"/>
      <c r="B697" s="77"/>
      <c r="C697" s="77"/>
      <c r="D697" s="107"/>
      <c r="E697" s="107"/>
      <c r="F697" s="77"/>
      <c r="G697" s="77"/>
      <c r="H697" s="108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</row>
    <row r="698" spans="1:32" ht="15.75" customHeight="1" x14ac:dyDescent="0.2">
      <c r="A698" s="77"/>
      <c r="B698" s="77"/>
      <c r="C698" s="77"/>
      <c r="D698" s="107"/>
      <c r="E698" s="107"/>
      <c r="F698" s="77"/>
      <c r="G698" s="77"/>
      <c r="H698" s="108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</row>
    <row r="699" spans="1:32" ht="15.75" customHeight="1" x14ac:dyDescent="0.2">
      <c r="A699" s="77"/>
      <c r="B699" s="77"/>
      <c r="C699" s="77"/>
      <c r="D699" s="107"/>
      <c r="E699" s="107"/>
      <c r="F699" s="77"/>
      <c r="G699" s="77"/>
      <c r="H699" s="108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</row>
    <row r="700" spans="1:32" ht="15.75" customHeight="1" x14ac:dyDescent="0.2">
      <c r="A700" s="77"/>
      <c r="B700" s="77"/>
      <c r="C700" s="77"/>
      <c r="D700" s="107"/>
      <c r="E700" s="107"/>
      <c r="F700" s="77"/>
      <c r="G700" s="77"/>
      <c r="H700" s="108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</row>
    <row r="701" spans="1:32" ht="15.75" customHeight="1" x14ac:dyDescent="0.2">
      <c r="A701" s="77"/>
      <c r="B701" s="77"/>
      <c r="C701" s="77"/>
      <c r="D701" s="107"/>
      <c r="E701" s="107"/>
      <c r="F701" s="77"/>
      <c r="G701" s="77"/>
      <c r="H701" s="108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</row>
    <row r="702" spans="1:32" ht="15.75" customHeight="1" x14ac:dyDescent="0.2">
      <c r="A702" s="77"/>
      <c r="B702" s="77"/>
      <c r="C702" s="77"/>
      <c r="D702" s="107"/>
      <c r="E702" s="107"/>
      <c r="F702" s="77"/>
      <c r="G702" s="77"/>
      <c r="H702" s="108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</row>
    <row r="703" spans="1:32" ht="15.75" customHeight="1" x14ac:dyDescent="0.2">
      <c r="A703" s="77"/>
      <c r="B703" s="77"/>
      <c r="C703" s="77"/>
      <c r="D703" s="107"/>
      <c r="E703" s="107"/>
      <c r="F703" s="77"/>
      <c r="G703" s="77"/>
      <c r="H703" s="108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</row>
    <row r="704" spans="1:32" ht="15.75" customHeight="1" x14ac:dyDescent="0.2">
      <c r="A704" s="77"/>
      <c r="B704" s="77"/>
      <c r="C704" s="77"/>
      <c r="D704" s="107"/>
      <c r="E704" s="107"/>
      <c r="F704" s="77"/>
      <c r="G704" s="77"/>
      <c r="H704" s="108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</row>
    <row r="705" spans="1:32" ht="15.75" customHeight="1" x14ac:dyDescent="0.2">
      <c r="A705" s="77"/>
      <c r="B705" s="77"/>
      <c r="C705" s="77"/>
      <c r="D705" s="107"/>
      <c r="E705" s="107"/>
      <c r="F705" s="77"/>
      <c r="G705" s="77"/>
      <c r="H705" s="108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</row>
    <row r="706" spans="1:32" ht="15.75" customHeight="1" x14ac:dyDescent="0.2">
      <c r="A706" s="77"/>
      <c r="B706" s="77"/>
      <c r="C706" s="77"/>
      <c r="D706" s="107"/>
      <c r="E706" s="107"/>
      <c r="F706" s="77"/>
      <c r="G706" s="77"/>
      <c r="H706" s="108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</row>
    <row r="707" spans="1:32" ht="15.75" customHeight="1" x14ac:dyDescent="0.2">
      <c r="A707" s="77"/>
      <c r="B707" s="77"/>
      <c r="C707" s="77"/>
      <c r="D707" s="107"/>
      <c r="E707" s="107"/>
      <c r="F707" s="77"/>
      <c r="G707" s="77"/>
      <c r="H707" s="108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</row>
    <row r="708" spans="1:32" ht="15.75" customHeight="1" x14ac:dyDescent="0.2">
      <c r="A708" s="77"/>
      <c r="B708" s="77"/>
      <c r="C708" s="77"/>
      <c r="D708" s="107"/>
      <c r="E708" s="107"/>
      <c r="F708" s="77"/>
      <c r="G708" s="77"/>
      <c r="H708" s="108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</row>
    <row r="709" spans="1:32" ht="15.75" customHeight="1" x14ac:dyDescent="0.2">
      <c r="A709" s="77"/>
      <c r="B709" s="77"/>
      <c r="C709" s="77"/>
      <c r="D709" s="107"/>
      <c r="E709" s="107"/>
      <c r="F709" s="77"/>
      <c r="G709" s="77"/>
      <c r="H709" s="108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</row>
    <row r="710" spans="1:32" ht="15.75" customHeight="1" x14ac:dyDescent="0.2">
      <c r="A710" s="77"/>
      <c r="B710" s="77"/>
      <c r="C710" s="77"/>
      <c r="D710" s="107"/>
      <c r="E710" s="107"/>
      <c r="F710" s="77"/>
      <c r="G710" s="77"/>
      <c r="H710" s="108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</row>
    <row r="711" spans="1:32" ht="15.75" customHeight="1" x14ac:dyDescent="0.2">
      <c r="A711" s="77"/>
      <c r="B711" s="77"/>
      <c r="C711" s="77"/>
      <c r="D711" s="107"/>
      <c r="E711" s="107"/>
      <c r="F711" s="77"/>
      <c r="G711" s="77"/>
      <c r="H711" s="108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</row>
    <row r="712" spans="1:32" ht="15.75" customHeight="1" x14ac:dyDescent="0.2">
      <c r="A712" s="77"/>
      <c r="B712" s="77"/>
      <c r="C712" s="77"/>
      <c r="D712" s="107"/>
      <c r="E712" s="107"/>
      <c r="F712" s="77"/>
      <c r="G712" s="77"/>
      <c r="H712" s="108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</row>
    <row r="713" spans="1:32" ht="15.75" customHeight="1" x14ac:dyDescent="0.2">
      <c r="A713" s="77"/>
      <c r="B713" s="77"/>
      <c r="C713" s="77"/>
      <c r="D713" s="107"/>
      <c r="E713" s="107"/>
      <c r="F713" s="77"/>
      <c r="G713" s="77"/>
      <c r="H713" s="108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</row>
    <row r="714" spans="1:32" ht="15.75" customHeight="1" x14ac:dyDescent="0.2">
      <c r="A714" s="77"/>
      <c r="B714" s="77"/>
      <c r="C714" s="77"/>
      <c r="D714" s="107"/>
      <c r="E714" s="107"/>
      <c r="F714" s="77"/>
      <c r="G714" s="77"/>
      <c r="H714" s="108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</row>
    <row r="715" spans="1:32" ht="15.75" customHeight="1" x14ac:dyDescent="0.2">
      <c r="A715" s="77"/>
      <c r="B715" s="77"/>
      <c r="C715" s="77"/>
      <c r="D715" s="107"/>
      <c r="E715" s="107"/>
      <c r="F715" s="77"/>
      <c r="G715" s="77"/>
      <c r="H715" s="108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</row>
    <row r="716" spans="1:32" ht="15.75" customHeight="1" x14ac:dyDescent="0.2">
      <c r="A716" s="77"/>
      <c r="B716" s="77"/>
      <c r="C716" s="77"/>
      <c r="D716" s="107"/>
      <c r="E716" s="107"/>
      <c r="F716" s="77"/>
      <c r="G716" s="77"/>
      <c r="H716" s="108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</row>
    <row r="717" spans="1:32" ht="15.75" customHeight="1" x14ac:dyDescent="0.2">
      <c r="A717" s="77"/>
      <c r="B717" s="77"/>
      <c r="C717" s="77"/>
      <c r="D717" s="107"/>
      <c r="E717" s="107"/>
      <c r="F717" s="77"/>
      <c r="G717" s="77"/>
      <c r="H717" s="108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</row>
    <row r="718" spans="1:32" ht="15.75" customHeight="1" x14ac:dyDescent="0.2">
      <c r="A718" s="77"/>
      <c r="B718" s="77"/>
      <c r="C718" s="77"/>
      <c r="D718" s="107"/>
      <c r="E718" s="107"/>
      <c r="F718" s="77"/>
      <c r="G718" s="77"/>
      <c r="H718" s="108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</row>
    <row r="719" spans="1:32" ht="15.75" customHeight="1" x14ac:dyDescent="0.2">
      <c r="A719" s="77"/>
      <c r="B719" s="77"/>
      <c r="C719" s="77"/>
      <c r="D719" s="107"/>
      <c r="E719" s="107"/>
      <c r="F719" s="77"/>
      <c r="G719" s="77"/>
      <c r="H719" s="108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</row>
    <row r="720" spans="1:32" ht="15.75" customHeight="1" x14ac:dyDescent="0.2">
      <c r="A720" s="77"/>
      <c r="B720" s="77"/>
      <c r="C720" s="77"/>
      <c r="D720" s="107"/>
      <c r="E720" s="107"/>
      <c r="F720" s="77"/>
      <c r="G720" s="77"/>
      <c r="H720" s="108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</row>
    <row r="721" spans="1:32" ht="15.75" customHeight="1" x14ac:dyDescent="0.2">
      <c r="A721" s="77"/>
      <c r="B721" s="77"/>
      <c r="C721" s="77"/>
      <c r="D721" s="107"/>
      <c r="E721" s="107"/>
      <c r="F721" s="77"/>
      <c r="G721" s="77"/>
      <c r="H721" s="108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</row>
    <row r="722" spans="1:32" ht="15.75" customHeight="1" x14ac:dyDescent="0.2">
      <c r="A722" s="77"/>
      <c r="B722" s="77"/>
      <c r="C722" s="77"/>
      <c r="D722" s="107"/>
      <c r="E722" s="107"/>
      <c r="F722" s="77"/>
      <c r="G722" s="77"/>
      <c r="H722" s="108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</row>
    <row r="723" spans="1:32" ht="15.75" customHeight="1" x14ac:dyDescent="0.2">
      <c r="A723" s="77"/>
      <c r="B723" s="77"/>
      <c r="C723" s="77"/>
      <c r="D723" s="107"/>
      <c r="E723" s="107"/>
      <c r="F723" s="77"/>
      <c r="G723" s="77"/>
      <c r="H723" s="108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</row>
    <row r="724" spans="1:32" ht="15.75" customHeight="1" x14ac:dyDescent="0.2">
      <c r="A724" s="77"/>
      <c r="B724" s="77"/>
      <c r="C724" s="77"/>
      <c r="D724" s="107"/>
      <c r="E724" s="107"/>
      <c r="F724" s="77"/>
      <c r="G724" s="77"/>
      <c r="H724" s="108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</row>
    <row r="725" spans="1:32" ht="15.75" customHeight="1" x14ac:dyDescent="0.2">
      <c r="A725" s="77"/>
      <c r="B725" s="77"/>
      <c r="C725" s="77"/>
      <c r="D725" s="107"/>
      <c r="E725" s="107"/>
      <c r="F725" s="77"/>
      <c r="G725" s="77"/>
      <c r="H725" s="108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</row>
    <row r="726" spans="1:32" ht="15.75" customHeight="1" x14ac:dyDescent="0.2">
      <c r="A726" s="77"/>
      <c r="B726" s="77"/>
      <c r="C726" s="77"/>
      <c r="D726" s="107"/>
      <c r="E726" s="107"/>
      <c r="F726" s="77"/>
      <c r="G726" s="77"/>
      <c r="H726" s="108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</row>
    <row r="727" spans="1:32" ht="15.75" customHeight="1" x14ac:dyDescent="0.2">
      <c r="A727" s="77"/>
      <c r="B727" s="77"/>
      <c r="C727" s="77"/>
      <c r="D727" s="107"/>
      <c r="E727" s="107"/>
      <c r="F727" s="77"/>
      <c r="G727" s="77"/>
      <c r="H727" s="108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</row>
    <row r="728" spans="1:32" ht="15.75" customHeight="1" x14ac:dyDescent="0.2">
      <c r="A728" s="77"/>
      <c r="B728" s="77"/>
      <c r="C728" s="77"/>
      <c r="D728" s="107"/>
      <c r="E728" s="107"/>
      <c r="F728" s="77"/>
      <c r="G728" s="77"/>
      <c r="H728" s="108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</row>
    <row r="729" spans="1:32" ht="15.75" customHeight="1" x14ac:dyDescent="0.2">
      <c r="A729" s="77"/>
      <c r="B729" s="77"/>
      <c r="C729" s="77"/>
      <c r="D729" s="107"/>
      <c r="E729" s="107"/>
      <c r="F729" s="77"/>
      <c r="G729" s="77"/>
      <c r="H729" s="108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</row>
    <row r="730" spans="1:32" ht="15.75" customHeight="1" x14ac:dyDescent="0.2">
      <c r="A730" s="77"/>
      <c r="B730" s="77"/>
      <c r="C730" s="77"/>
      <c r="D730" s="107"/>
      <c r="E730" s="107"/>
      <c r="F730" s="77"/>
      <c r="G730" s="77"/>
      <c r="H730" s="108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</row>
    <row r="731" spans="1:32" ht="15.75" customHeight="1" x14ac:dyDescent="0.2">
      <c r="A731" s="77"/>
      <c r="B731" s="77"/>
      <c r="C731" s="77"/>
      <c r="D731" s="107"/>
      <c r="E731" s="107"/>
      <c r="F731" s="77"/>
      <c r="G731" s="77"/>
      <c r="H731" s="108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</row>
    <row r="732" spans="1:32" ht="15.75" customHeight="1" x14ac:dyDescent="0.2">
      <c r="A732" s="77"/>
      <c r="B732" s="77"/>
      <c r="C732" s="77"/>
      <c r="D732" s="107"/>
      <c r="E732" s="107"/>
      <c r="F732" s="77"/>
      <c r="G732" s="77"/>
      <c r="H732" s="108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</row>
    <row r="733" spans="1:32" ht="15.75" customHeight="1" x14ac:dyDescent="0.2">
      <c r="A733" s="77"/>
      <c r="B733" s="77"/>
      <c r="C733" s="77"/>
      <c r="D733" s="107"/>
      <c r="E733" s="107"/>
      <c r="F733" s="77"/>
      <c r="G733" s="77"/>
      <c r="H733" s="108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</row>
    <row r="734" spans="1:32" ht="15.75" customHeight="1" x14ac:dyDescent="0.2">
      <c r="A734" s="77"/>
      <c r="B734" s="77"/>
      <c r="C734" s="77"/>
      <c r="D734" s="107"/>
      <c r="E734" s="107"/>
      <c r="F734" s="77"/>
      <c r="G734" s="77"/>
      <c r="H734" s="108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</row>
    <row r="735" spans="1:32" ht="15.75" customHeight="1" x14ac:dyDescent="0.2">
      <c r="A735" s="77"/>
      <c r="B735" s="77"/>
      <c r="C735" s="77"/>
      <c r="D735" s="107"/>
      <c r="E735" s="107"/>
      <c r="F735" s="77"/>
      <c r="G735" s="77"/>
      <c r="H735" s="108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</row>
    <row r="736" spans="1:32" ht="15.75" customHeight="1" x14ac:dyDescent="0.2">
      <c r="A736" s="77"/>
      <c r="B736" s="77"/>
      <c r="C736" s="77"/>
      <c r="D736" s="107"/>
      <c r="E736" s="107"/>
      <c r="F736" s="77"/>
      <c r="G736" s="77"/>
      <c r="H736" s="108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</row>
    <row r="737" spans="1:32" ht="15.75" customHeight="1" x14ac:dyDescent="0.2">
      <c r="A737" s="77"/>
      <c r="B737" s="77"/>
      <c r="C737" s="77"/>
      <c r="D737" s="107"/>
      <c r="E737" s="107"/>
      <c r="F737" s="77"/>
      <c r="G737" s="77"/>
      <c r="H737" s="108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</row>
    <row r="738" spans="1:32" ht="15.75" customHeight="1" x14ac:dyDescent="0.2">
      <c r="A738" s="77"/>
      <c r="B738" s="77"/>
      <c r="C738" s="77"/>
      <c r="D738" s="107"/>
      <c r="E738" s="107"/>
      <c r="F738" s="77"/>
      <c r="G738" s="77"/>
      <c r="H738" s="108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</row>
    <row r="739" spans="1:32" ht="15.75" customHeight="1" x14ac:dyDescent="0.2">
      <c r="A739" s="77"/>
      <c r="B739" s="77"/>
      <c r="C739" s="77"/>
      <c r="D739" s="107"/>
      <c r="E739" s="107"/>
      <c r="F739" s="77"/>
      <c r="G739" s="77"/>
      <c r="H739" s="108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</row>
    <row r="740" spans="1:32" ht="15.75" customHeight="1" x14ac:dyDescent="0.2">
      <c r="A740" s="77"/>
      <c r="B740" s="77"/>
      <c r="C740" s="77"/>
      <c r="D740" s="107"/>
      <c r="E740" s="107"/>
      <c r="F740" s="77"/>
      <c r="G740" s="77"/>
      <c r="H740" s="108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</row>
    <row r="741" spans="1:32" ht="15.75" customHeight="1" x14ac:dyDescent="0.2">
      <c r="A741" s="77"/>
      <c r="B741" s="77"/>
      <c r="C741" s="77"/>
      <c r="D741" s="107"/>
      <c r="E741" s="107"/>
      <c r="F741" s="77"/>
      <c r="G741" s="77"/>
      <c r="H741" s="108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</row>
    <row r="742" spans="1:32" ht="15.75" customHeight="1" x14ac:dyDescent="0.2">
      <c r="A742" s="77"/>
      <c r="B742" s="77"/>
      <c r="C742" s="77"/>
      <c r="D742" s="107"/>
      <c r="E742" s="107"/>
      <c r="F742" s="77"/>
      <c r="G742" s="77"/>
      <c r="H742" s="108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</row>
    <row r="743" spans="1:32" ht="15.75" customHeight="1" x14ac:dyDescent="0.2">
      <c r="A743" s="77"/>
      <c r="B743" s="77"/>
      <c r="C743" s="77"/>
      <c r="D743" s="107"/>
      <c r="E743" s="107"/>
      <c r="F743" s="77"/>
      <c r="G743" s="77"/>
      <c r="H743" s="108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</row>
    <row r="744" spans="1:32" ht="15.75" customHeight="1" x14ac:dyDescent="0.2">
      <c r="A744" s="77"/>
      <c r="B744" s="77"/>
      <c r="C744" s="77"/>
      <c r="D744" s="107"/>
      <c r="E744" s="107"/>
      <c r="F744" s="77"/>
      <c r="G744" s="77"/>
      <c r="H744" s="108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</row>
    <row r="745" spans="1:32" ht="15.75" customHeight="1" x14ac:dyDescent="0.2">
      <c r="A745" s="77"/>
      <c r="B745" s="77"/>
      <c r="C745" s="77"/>
      <c r="D745" s="107"/>
      <c r="E745" s="107"/>
      <c r="F745" s="77"/>
      <c r="G745" s="77"/>
      <c r="H745" s="108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</row>
    <row r="746" spans="1:32" ht="15.75" customHeight="1" x14ac:dyDescent="0.2">
      <c r="A746" s="77"/>
      <c r="B746" s="77"/>
      <c r="C746" s="77"/>
      <c r="D746" s="107"/>
      <c r="E746" s="107"/>
      <c r="F746" s="77"/>
      <c r="G746" s="77"/>
      <c r="H746" s="108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</row>
    <row r="747" spans="1:32" ht="15.75" customHeight="1" x14ac:dyDescent="0.2">
      <c r="A747" s="77"/>
      <c r="B747" s="77"/>
      <c r="C747" s="77"/>
      <c r="D747" s="107"/>
      <c r="E747" s="107"/>
      <c r="F747" s="77"/>
      <c r="G747" s="77"/>
      <c r="H747" s="108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</row>
    <row r="748" spans="1:32" ht="15.75" customHeight="1" x14ac:dyDescent="0.2">
      <c r="A748" s="77"/>
      <c r="B748" s="77"/>
      <c r="C748" s="77"/>
      <c r="D748" s="107"/>
      <c r="E748" s="107"/>
      <c r="F748" s="77"/>
      <c r="G748" s="77"/>
      <c r="H748" s="108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</row>
    <row r="749" spans="1:32" ht="15.75" customHeight="1" x14ac:dyDescent="0.2">
      <c r="A749" s="77"/>
      <c r="B749" s="77"/>
      <c r="C749" s="77"/>
      <c r="D749" s="107"/>
      <c r="E749" s="107"/>
      <c r="F749" s="77"/>
      <c r="G749" s="77"/>
      <c r="H749" s="108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</row>
    <row r="750" spans="1:32" ht="15.75" customHeight="1" x14ac:dyDescent="0.2">
      <c r="A750" s="77"/>
      <c r="B750" s="77"/>
      <c r="C750" s="77"/>
      <c r="D750" s="107"/>
      <c r="E750" s="107"/>
      <c r="F750" s="77"/>
      <c r="G750" s="77"/>
      <c r="H750" s="108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</row>
    <row r="751" spans="1:32" ht="15.75" customHeight="1" x14ac:dyDescent="0.2">
      <c r="A751" s="77"/>
      <c r="B751" s="77"/>
      <c r="C751" s="77"/>
      <c r="D751" s="107"/>
      <c r="E751" s="107"/>
      <c r="F751" s="77"/>
      <c r="G751" s="77"/>
      <c r="H751" s="108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</row>
    <row r="752" spans="1:32" ht="15.75" customHeight="1" x14ac:dyDescent="0.2">
      <c r="A752" s="77"/>
      <c r="B752" s="77"/>
      <c r="C752" s="77"/>
      <c r="D752" s="107"/>
      <c r="E752" s="107"/>
      <c r="F752" s="77"/>
      <c r="G752" s="77"/>
      <c r="H752" s="108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</row>
    <row r="753" spans="1:32" ht="15.75" customHeight="1" x14ac:dyDescent="0.2">
      <c r="A753" s="77"/>
      <c r="B753" s="77"/>
      <c r="C753" s="77"/>
      <c r="D753" s="107"/>
      <c r="E753" s="107"/>
      <c r="F753" s="77"/>
      <c r="G753" s="77"/>
      <c r="H753" s="108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</row>
    <row r="754" spans="1:32" ht="15.75" customHeight="1" x14ac:dyDescent="0.2">
      <c r="A754" s="77"/>
      <c r="B754" s="77"/>
      <c r="C754" s="77"/>
      <c r="D754" s="107"/>
      <c r="E754" s="107"/>
      <c r="F754" s="77"/>
      <c r="G754" s="77"/>
      <c r="H754" s="108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</row>
    <row r="755" spans="1:32" ht="15.75" customHeight="1" x14ac:dyDescent="0.2">
      <c r="A755" s="77"/>
      <c r="B755" s="77"/>
      <c r="C755" s="77"/>
      <c r="D755" s="107"/>
      <c r="E755" s="107"/>
      <c r="F755" s="77"/>
      <c r="G755" s="77"/>
      <c r="H755" s="108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</row>
    <row r="756" spans="1:32" ht="15.75" customHeight="1" x14ac:dyDescent="0.2">
      <c r="A756" s="77"/>
      <c r="B756" s="77"/>
      <c r="C756" s="77"/>
      <c r="D756" s="107"/>
      <c r="E756" s="107"/>
      <c r="F756" s="77"/>
      <c r="G756" s="77"/>
      <c r="H756" s="108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</row>
    <row r="757" spans="1:32" ht="15.75" customHeight="1" x14ac:dyDescent="0.2">
      <c r="A757" s="77"/>
      <c r="B757" s="77"/>
      <c r="C757" s="77"/>
      <c r="D757" s="107"/>
      <c r="E757" s="107"/>
      <c r="F757" s="77"/>
      <c r="G757" s="77"/>
      <c r="H757" s="108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</row>
    <row r="758" spans="1:32" ht="15.75" customHeight="1" x14ac:dyDescent="0.2">
      <c r="A758" s="77"/>
      <c r="B758" s="77"/>
      <c r="C758" s="77"/>
      <c r="D758" s="107"/>
      <c r="E758" s="107"/>
      <c r="F758" s="77"/>
      <c r="G758" s="77"/>
      <c r="H758" s="108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</row>
    <row r="759" spans="1:32" ht="15.75" customHeight="1" x14ac:dyDescent="0.2">
      <c r="A759" s="77"/>
      <c r="B759" s="77"/>
      <c r="C759" s="77"/>
      <c r="D759" s="107"/>
      <c r="E759" s="107"/>
      <c r="F759" s="77"/>
      <c r="G759" s="77"/>
      <c r="H759" s="108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</row>
    <row r="760" spans="1:32" ht="15.75" customHeight="1" x14ac:dyDescent="0.2">
      <c r="A760" s="77"/>
      <c r="B760" s="77"/>
      <c r="C760" s="77"/>
      <c r="D760" s="107"/>
      <c r="E760" s="107"/>
      <c r="F760" s="77"/>
      <c r="G760" s="77"/>
      <c r="H760" s="108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</row>
    <row r="761" spans="1:32" ht="15.75" customHeight="1" x14ac:dyDescent="0.2">
      <c r="A761" s="77"/>
      <c r="B761" s="77"/>
      <c r="C761" s="77"/>
      <c r="D761" s="107"/>
      <c r="E761" s="107"/>
      <c r="F761" s="77"/>
      <c r="G761" s="77"/>
      <c r="H761" s="108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</row>
    <row r="762" spans="1:32" ht="15.75" customHeight="1" x14ac:dyDescent="0.2">
      <c r="A762" s="77"/>
      <c r="B762" s="77"/>
      <c r="C762" s="77"/>
      <c r="D762" s="107"/>
      <c r="E762" s="107"/>
      <c r="F762" s="77"/>
      <c r="G762" s="77"/>
      <c r="H762" s="108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</row>
    <row r="763" spans="1:32" ht="15.75" customHeight="1" x14ac:dyDescent="0.2">
      <c r="A763" s="77"/>
      <c r="B763" s="77"/>
      <c r="C763" s="77"/>
      <c r="D763" s="107"/>
      <c r="E763" s="107"/>
      <c r="F763" s="77"/>
      <c r="G763" s="77"/>
      <c r="H763" s="108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</row>
    <row r="764" spans="1:32" ht="15.75" customHeight="1" x14ac:dyDescent="0.2">
      <c r="A764" s="77"/>
      <c r="B764" s="77"/>
      <c r="C764" s="77"/>
      <c r="D764" s="107"/>
      <c r="E764" s="107"/>
      <c r="F764" s="77"/>
      <c r="G764" s="77"/>
      <c r="H764" s="108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</row>
    <row r="765" spans="1:32" ht="15.75" customHeight="1" x14ac:dyDescent="0.2">
      <c r="A765" s="77"/>
      <c r="B765" s="77"/>
      <c r="C765" s="77"/>
      <c r="D765" s="107"/>
      <c r="E765" s="107"/>
      <c r="F765" s="77"/>
      <c r="G765" s="77"/>
      <c r="H765" s="108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</row>
    <row r="766" spans="1:32" ht="15.75" customHeight="1" x14ac:dyDescent="0.2">
      <c r="A766" s="77"/>
      <c r="B766" s="77"/>
      <c r="C766" s="77"/>
      <c r="D766" s="107"/>
      <c r="E766" s="107"/>
      <c r="F766" s="77"/>
      <c r="G766" s="77"/>
      <c r="H766" s="108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</row>
    <row r="767" spans="1:32" ht="15.75" customHeight="1" x14ac:dyDescent="0.2">
      <c r="A767" s="77"/>
      <c r="B767" s="77"/>
      <c r="C767" s="77"/>
      <c r="D767" s="107"/>
      <c r="E767" s="107"/>
      <c r="F767" s="77"/>
      <c r="G767" s="77"/>
      <c r="H767" s="108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</row>
    <row r="768" spans="1:32" ht="15.75" customHeight="1" x14ac:dyDescent="0.2">
      <c r="A768" s="77"/>
      <c r="B768" s="77"/>
      <c r="C768" s="77"/>
      <c r="D768" s="107"/>
      <c r="E768" s="107"/>
      <c r="F768" s="77"/>
      <c r="G768" s="77"/>
      <c r="H768" s="108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</row>
    <row r="769" spans="1:32" ht="15.75" customHeight="1" x14ac:dyDescent="0.2">
      <c r="A769" s="77"/>
      <c r="B769" s="77"/>
      <c r="C769" s="77"/>
      <c r="D769" s="107"/>
      <c r="E769" s="107"/>
      <c r="F769" s="77"/>
      <c r="G769" s="77"/>
      <c r="H769" s="108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</row>
    <row r="770" spans="1:32" ht="15.75" customHeight="1" x14ac:dyDescent="0.2">
      <c r="A770" s="77"/>
      <c r="B770" s="77"/>
      <c r="C770" s="77"/>
      <c r="D770" s="107"/>
      <c r="E770" s="107"/>
      <c r="F770" s="77"/>
      <c r="G770" s="77"/>
      <c r="H770" s="108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</row>
    <row r="771" spans="1:32" ht="15.75" customHeight="1" x14ac:dyDescent="0.2">
      <c r="A771" s="77"/>
      <c r="B771" s="77"/>
      <c r="C771" s="77"/>
      <c r="D771" s="107"/>
      <c r="E771" s="107"/>
      <c r="F771" s="77"/>
      <c r="G771" s="77"/>
      <c r="H771" s="108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</row>
    <row r="772" spans="1:32" ht="15.75" customHeight="1" x14ac:dyDescent="0.2">
      <c r="A772" s="77"/>
      <c r="B772" s="77"/>
      <c r="C772" s="77"/>
      <c r="D772" s="107"/>
      <c r="E772" s="107"/>
      <c r="F772" s="77"/>
      <c r="G772" s="77"/>
      <c r="H772" s="108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</row>
    <row r="773" spans="1:32" ht="15.75" customHeight="1" x14ac:dyDescent="0.2">
      <c r="A773" s="77"/>
      <c r="B773" s="77"/>
      <c r="C773" s="77"/>
      <c r="D773" s="107"/>
      <c r="E773" s="107"/>
      <c r="F773" s="77"/>
      <c r="G773" s="77"/>
      <c r="H773" s="108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</row>
    <row r="774" spans="1:32" ht="15.75" customHeight="1" x14ac:dyDescent="0.2">
      <c r="A774" s="77"/>
      <c r="B774" s="77"/>
      <c r="C774" s="77"/>
      <c r="D774" s="107"/>
      <c r="E774" s="107"/>
      <c r="F774" s="77"/>
      <c r="G774" s="77"/>
      <c r="H774" s="108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</row>
    <row r="775" spans="1:32" ht="15.75" customHeight="1" x14ac:dyDescent="0.2">
      <c r="A775" s="77"/>
      <c r="B775" s="77"/>
      <c r="C775" s="77"/>
      <c r="D775" s="107"/>
      <c r="E775" s="107"/>
      <c r="F775" s="77"/>
      <c r="G775" s="77"/>
      <c r="H775" s="108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</row>
    <row r="776" spans="1:32" ht="15.75" customHeight="1" x14ac:dyDescent="0.2">
      <c r="A776" s="77"/>
      <c r="B776" s="77"/>
      <c r="C776" s="77"/>
      <c r="D776" s="107"/>
      <c r="E776" s="107"/>
      <c r="F776" s="77"/>
      <c r="G776" s="77"/>
      <c r="H776" s="108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</row>
    <row r="777" spans="1:32" ht="15.75" customHeight="1" x14ac:dyDescent="0.2">
      <c r="A777" s="77"/>
      <c r="B777" s="77"/>
      <c r="C777" s="77"/>
      <c r="D777" s="107"/>
      <c r="E777" s="107"/>
      <c r="F777" s="77"/>
      <c r="G777" s="77"/>
      <c r="H777" s="108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</row>
    <row r="778" spans="1:32" ht="15.75" customHeight="1" x14ac:dyDescent="0.2">
      <c r="A778" s="77"/>
      <c r="B778" s="77"/>
      <c r="C778" s="77"/>
      <c r="D778" s="107"/>
      <c r="E778" s="107"/>
      <c r="F778" s="77"/>
      <c r="G778" s="77"/>
      <c r="H778" s="108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</row>
    <row r="779" spans="1:32" ht="15.75" customHeight="1" x14ac:dyDescent="0.2">
      <c r="A779" s="77"/>
      <c r="B779" s="77"/>
      <c r="C779" s="77"/>
      <c r="D779" s="107"/>
      <c r="E779" s="107"/>
      <c r="F779" s="77"/>
      <c r="G779" s="77"/>
      <c r="H779" s="108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</row>
    <row r="780" spans="1:32" ht="15.75" customHeight="1" x14ac:dyDescent="0.2">
      <c r="A780" s="77"/>
      <c r="B780" s="77"/>
      <c r="C780" s="77"/>
      <c r="D780" s="107"/>
      <c r="E780" s="107"/>
      <c r="F780" s="77"/>
      <c r="G780" s="77"/>
      <c r="H780" s="108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</row>
    <row r="781" spans="1:32" ht="15.75" customHeight="1" x14ac:dyDescent="0.2">
      <c r="A781" s="77"/>
      <c r="B781" s="77"/>
      <c r="C781" s="77"/>
      <c r="D781" s="107"/>
      <c r="E781" s="107"/>
      <c r="F781" s="77"/>
      <c r="G781" s="77"/>
      <c r="H781" s="108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</row>
    <row r="782" spans="1:32" ht="15.75" customHeight="1" x14ac:dyDescent="0.2">
      <c r="A782" s="77"/>
      <c r="B782" s="77"/>
      <c r="C782" s="77"/>
      <c r="D782" s="107"/>
      <c r="E782" s="107"/>
      <c r="F782" s="77"/>
      <c r="G782" s="77"/>
      <c r="H782" s="108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</row>
    <row r="783" spans="1:32" ht="15.75" customHeight="1" x14ac:dyDescent="0.2">
      <c r="A783" s="77"/>
      <c r="B783" s="77"/>
      <c r="C783" s="77"/>
      <c r="D783" s="107"/>
      <c r="E783" s="107"/>
      <c r="F783" s="77"/>
      <c r="G783" s="77"/>
      <c r="H783" s="108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</row>
    <row r="784" spans="1:32" ht="15.75" customHeight="1" x14ac:dyDescent="0.2">
      <c r="A784" s="77"/>
      <c r="B784" s="77"/>
      <c r="C784" s="77"/>
      <c r="D784" s="107"/>
      <c r="E784" s="107"/>
      <c r="F784" s="77"/>
      <c r="G784" s="77"/>
      <c r="H784" s="108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</row>
    <row r="785" spans="1:32" ht="15.75" customHeight="1" x14ac:dyDescent="0.2">
      <c r="A785" s="77"/>
      <c r="B785" s="77"/>
      <c r="C785" s="77"/>
      <c r="D785" s="107"/>
      <c r="E785" s="107"/>
      <c r="F785" s="77"/>
      <c r="G785" s="77"/>
      <c r="H785" s="108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</row>
    <row r="786" spans="1:32" ht="15.75" customHeight="1" x14ac:dyDescent="0.2">
      <c r="A786" s="77"/>
      <c r="B786" s="77"/>
      <c r="C786" s="77"/>
      <c r="D786" s="107"/>
      <c r="E786" s="107"/>
      <c r="F786" s="77"/>
      <c r="G786" s="77"/>
      <c r="H786" s="108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</row>
    <row r="787" spans="1:32" ht="15.75" customHeight="1" x14ac:dyDescent="0.2">
      <c r="A787" s="77"/>
      <c r="B787" s="77"/>
      <c r="C787" s="77"/>
      <c r="D787" s="107"/>
      <c r="E787" s="107"/>
      <c r="F787" s="77"/>
      <c r="G787" s="77"/>
      <c r="H787" s="108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</row>
    <row r="788" spans="1:32" ht="15.75" customHeight="1" x14ac:dyDescent="0.2">
      <c r="A788" s="77"/>
      <c r="B788" s="77"/>
      <c r="C788" s="77"/>
      <c r="D788" s="107"/>
      <c r="E788" s="107"/>
      <c r="F788" s="77"/>
      <c r="G788" s="77"/>
      <c r="H788" s="108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</row>
    <row r="789" spans="1:32" ht="15.75" customHeight="1" x14ac:dyDescent="0.2">
      <c r="A789" s="77"/>
      <c r="B789" s="77"/>
      <c r="C789" s="77"/>
      <c r="D789" s="107"/>
      <c r="E789" s="107"/>
      <c r="F789" s="77"/>
      <c r="G789" s="77"/>
      <c r="H789" s="108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</row>
    <row r="790" spans="1:32" ht="15.75" customHeight="1" x14ac:dyDescent="0.2">
      <c r="A790" s="77"/>
      <c r="B790" s="77"/>
      <c r="C790" s="77"/>
      <c r="D790" s="107"/>
      <c r="E790" s="107"/>
      <c r="F790" s="77"/>
      <c r="G790" s="77"/>
      <c r="H790" s="108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</row>
    <row r="791" spans="1:32" ht="15.75" customHeight="1" x14ac:dyDescent="0.2">
      <c r="A791" s="77"/>
      <c r="B791" s="77"/>
      <c r="C791" s="77"/>
      <c r="D791" s="107"/>
      <c r="E791" s="107"/>
      <c r="F791" s="77"/>
      <c r="G791" s="77"/>
      <c r="H791" s="108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</row>
    <row r="792" spans="1:32" ht="15.75" customHeight="1" x14ac:dyDescent="0.2">
      <c r="A792" s="77"/>
      <c r="B792" s="77"/>
      <c r="C792" s="77"/>
      <c r="D792" s="107"/>
      <c r="E792" s="107"/>
      <c r="F792" s="77"/>
      <c r="G792" s="77"/>
      <c r="H792" s="108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</row>
    <row r="793" spans="1:32" ht="15.75" customHeight="1" x14ac:dyDescent="0.2">
      <c r="A793" s="77"/>
      <c r="B793" s="77"/>
      <c r="C793" s="77"/>
      <c r="D793" s="107"/>
      <c r="E793" s="107"/>
      <c r="F793" s="77"/>
      <c r="G793" s="77"/>
      <c r="H793" s="108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</row>
    <row r="794" spans="1:32" ht="15.75" customHeight="1" x14ac:dyDescent="0.2">
      <c r="A794" s="77"/>
      <c r="B794" s="77"/>
      <c r="C794" s="77"/>
      <c r="D794" s="107"/>
      <c r="E794" s="107"/>
      <c r="F794" s="77"/>
      <c r="G794" s="77"/>
      <c r="H794" s="108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</row>
    <row r="795" spans="1:32" ht="15.75" customHeight="1" x14ac:dyDescent="0.2">
      <c r="A795" s="77"/>
      <c r="B795" s="77"/>
      <c r="C795" s="77"/>
      <c r="D795" s="107"/>
      <c r="E795" s="107"/>
      <c r="F795" s="77"/>
      <c r="G795" s="77"/>
      <c r="H795" s="108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</row>
    <row r="796" spans="1:32" ht="15.75" customHeight="1" x14ac:dyDescent="0.2">
      <c r="A796" s="77"/>
      <c r="B796" s="77"/>
      <c r="C796" s="77"/>
      <c r="D796" s="107"/>
      <c r="E796" s="107"/>
      <c r="F796" s="77"/>
      <c r="G796" s="77"/>
      <c r="H796" s="108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</row>
    <row r="797" spans="1:32" ht="15.75" customHeight="1" x14ac:dyDescent="0.2">
      <c r="A797" s="77"/>
      <c r="B797" s="77"/>
      <c r="C797" s="77"/>
      <c r="D797" s="107"/>
      <c r="E797" s="107"/>
      <c r="F797" s="77"/>
      <c r="G797" s="77"/>
      <c r="H797" s="108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</row>
    <row r="798" spans="1:32" ht="15.75" customHeight="1" x14ac:dyDescent="0.2">
      <c r="A798" s="77"/>
      <c r="B798" s="77"/>
      <c r="C798" s="77"/>
      <c r="D798" s="107"/>
      <c r="E798" s="107"/>
      <c r="F798" s="77"/>
      <c r="G798" s="77"/>
      <c r="H798" s="108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</row>
    <row r="799" spans="1:32" ht="15.75" customHeight="1" x14ac:dyDescent="0.2">
      <c r="A799" s="77"/>
      <c r="B799" s="77"/>
      <c r="C799" s="77"/>
      <c r="D799" s="107"/>
      <c r="E799" s="107"/>
      <c r="F799" s="77"/>
      <c r="G799" s="77"/>
      <c r="H799" s="108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</row>
    <row r="800" spans="1:32" ht="15.75" customHeight="1" x14ac:dyDescent="0.2">
      <c r="A800" s="77"/>
      <c r="B800" s="77"/>
      <c r="C800" s="77"/>
      <c r="D800" s="107"/>
      <c r="E800" s="107"/>
      <c r="F800" s="77"/>
      <c r="G800" s="77"/>
      <c r="H800" s="108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</row>
    <row r="801" spans="1:32" ht="15.75" customHeight="1" x14ac:dyDescent="0.2">
      <c r="A801" s="77"/>
      <c r="B801" s="77"/>
      <c r="C801" s="77"/>
      <c r="D801" s="107"/>
      <c r="E801" s="107"/>
      <c r="F801" s="77"/>
      <c r="G801" s="77"/>
      <c r="H801" s="108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</row>
    <row r="802" spans="1:32" ht="15.75" customHeight="1" x14ac:dyDescent="0.2">
      <c r="A802" s="77"/>
      <c r="B802" s="77"/>
      <c r="C802" s="77"/>
      <c r="D802" s="107"/>
      <c r="E802" s="107"/>
      <c r="F802" s="77"/>
      <c r="G802" s="77"/>
      <c r="H802" s="108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</row>
    <row r="803" spans="1:32" ht="15.75" customHeight="1" x14ac:dyDescent="0.2">
      <c r="A803" s="77"/>
      <c r="B803" s="77"/>
      <c r="C803" s="77"/>
      <c r="D803" s="107"/>
      <c r="E803" s="107"/>
      <c r="F803" s="77"/>
      <c r="G803" s="77"/>
      <c r="H803" s="108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</row>
    <row r="804" spans="1:32" ht="15.75" customHeight="1" x14ac:dyDescent="0.2">
      <c r="A804" s="77"/>
      <c r="B804" s="77"/>
      <c r="C804" s="77"/>
      <c r="D804" s="107"/>
      <c r="E804" s="107"/>
      <c r="F804" s="77"/>
      <c r="G804" s="77"/>
      <c r="H804" s="108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</row>
    <row r="805" spans="1:32" ht="15.75" customHeight="1" x14ac:dyDescent="0.2">
      <c r="A805" s="77"/>
      <c r="B805" s="77"/>
      <c r="C805" s="77"/>
      <c r="D805" s="107"/>
      <c r="E805" s="107"/>
      <c r="F805" s="77"/>
      <c r="G805" s="77"/>
      <c r="H805" s="108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</row>
    <row r="806" spans="1:32" ht="15.75" customHeight="1" x14ac:dyDescent="0.2">
      <c r="A806" s="77"/>
      <c r="B806" s="77"/>
      <c r="C806" s="77"/>
      <c r="D806" s="107"/>
      <c r="E806" s="107"/>
      <c r="F806" s="77"/>
      <c r="G806" s="77"/>
      <c r="H806" s="108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</row>
    <row r="807" spans="1:32" ht="15.75" customHeight="1" x14ac:dyDescent="0.2">
      <c r="A807" s="77"/>
      <c r="B807" s="77"/>
      <c r="C807" s="77"/>
      <c r="D807" s="107"/>
      <c r="E807" s="107"/>
      <c r="F807" s="77"/>
      <c r="G807" s="77"/>
      <c r="H807" s="108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</row>
    <row r="808" spans="1:32" ht="15.75" customHeight="1" x14ac:dyDescent="0.2">
      <c r="A808" s="77"/>
      <c r="B808" s="77"/>
      <c r="C808" s="77"/>
      <c r="D808" s="107"/>
      <c r="E808" s="107"/>
      <c r="F808" s="77"/>
      <c r="G808" s="77"/>
      <c r="H808" s="108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</row>
    <row r="809" spans="1:32" ht="15.75" customHeight="1" x14ac:dyDescent="0.2">
      <c r="A809" s="77"/>
      <c r="B809" s="77"/>
      <c r="C809" s="77"/>
      <c r="D809" s="107"/>
      <c r="E809" s="107"/>
      <c r="F809" s="77"/>
      <c r="G809" s="77"/>
      <c r="H809" s="108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</row>
    <row r="810" spans="1:32" ht="15.75" customHeight="1" x14ac:dyDescent="0.2">
      <c r="A810" s="77"/>
      <c r="B810" s="77"/>
      <c r="C810" s="77"/>
      <c r="D810" s="107"/>
      <c r="E810" s="107"/>
      <c r="F810" s="77"/>
      <c r="G810" s="77"/>
      <c r="H810" s="108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</row>
    <row r="811" spans="1:32" ht="15.75" customHeight="1" x14ac:dyDescent="0.2">
      <c r="A811" s="77"/>
      <c r="B811" s="77"/>
      <c r="C811" s="77"/>
      <c r="D811" s="107"/>
      <c r="E811" s="107"/>
      <c r="F811" s="77"/>
      <c r="G811" s="77"/>
      <c r="H811" s="108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</row>
    <row r="812" spans="1:32" ht="15.75" customHeight="1" x14ac:dyDescent="0.2">
      <c r="A812" s="77"/>
      <c r="B812" s="77"/>
      <c r="C812" s="77"/>
      <c r="D812" s="107"/>
      <c r="E812" s="107"/>
      <c r="F812" s="77"/>
      <c r="G812" s="77"/>
      <c r="H812" s="108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</row>
    <row r="813" spans="1:32" ht="15.75" customHeight="1" x14ac:dyDescent="0.2">
      <c r="A813" s="77"/>
      <c r="B813" s="77"/>
      <c r="C813" s="77"/>
      <c r="D813" s="107"/>
      <c r="E813" s="107"/>
      <c r="F813" s="77"/>
      <c r="G813" s="77"/>
      <c r="H813" s="108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</row>
    <row r="814" spans="1:32" ht="15.75" customHeight="1" x14ac:dyDescent="0.2">
      <c r="A814" s="77"/>
      <c r="B814" s="77"/>
      <c r="C814" s="77"/>
      <c r="D814" s="107"/>
      <c r="E814" s="107"/>
      <c r="F814" s="77"/>
      <c r="G814" s="77"/>
      <c r="H814" s="108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</row>
    <row r="815" spans="1:32" ht="15.75" customHeight="1" x14ac:dyDescent="0.2">
      <c r="A815" s="77"/>
      <c r="B815" s="77"/>
      <c r="C815" s="77"/>
      <c r="D815" s="107"/>
      <c r="E815" s="107"/>
      <c r="F815" s="77"/>
      <c r="G815" s="77"/>
      <c r="H815" s="108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</row>
    <row r="816" spans="1:32" ht="15.75" customHeight="1" x14ac:dyDescent="0.2">
      <c r="A816" s="77"/>
      <c r="B816" s="77"/>
      <c r="C816" s="77"/>
      <c r="D816" s="107"/>
      <c r="E816" s="107"/>
      <c r="F816" s="77"/>
      <c r="G816" s="77"/>
      <c r="H816" s="108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</row>
    <row r="817" spans="1:32" ht="15.75" customHeight="1" x14ac:dyDescent="0.2">
      <c r="A817" s="77"/>
      <c r="B817" s="77"/>
      <c r="C817" s="77"/>
      <c r="D817" s="107"/>
      <c r="E817" s="107"/>
      <c r="F817" s="77"/>
      <c r="G817" s="77"/>
      <c r="H817" s="108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</row>
    <row r="818" spans="1:32" ht="15.75" customHeight="1" x14ac:dyDescent="0.2">
      <c r="A818" s="77"/>
      <c r="B818" s="77"/>
      <c r="C818" s="77"/>
      <c r="D818" s="107"/>
      <c r="E818" s="107"/>
      <c r="F818" s="77"/>
      <c r="G818" s="77"/>
      <c r="H818" s="108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</row>
    <row r="819" spans="1:32" ht="15.75" customHeight="1" x14ac:dyDescent="0.2">
      <c r="A819" s="77"/>
      <c r="B819" s="77"/>
      <c r="C819" s="77"/>
      <c r="D819" s="107"/>
      <c r="E819" s="107"/>
      <c r="F819" s="77"/>
      <c r="G819" s="77"/>
      <c r="H819" s="108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</row>
    <row r="820" spans="1:32" ht="15.75" customHeight="1" x14ac:dyDescent="0.2">
      <c r="A820" s="77"/>
      <c r="B820" s="77"/>
      <c r="C820" s="77"/>
      <c r="D820" s="107"/>
      <c r="E820" s="107"/>
      <c r="F820" s="77"/>
      <c r="G820" s="77"/>
      <c r="H820" s="108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</row>
    <row r="821" spans="1:32" ht="15.75" customHeight="1" x14ac:dyDescent="0.2">
      <c r="A821" s="77"/>
      <c r="B821" s="77"/>
      <c r="C821" s="77"/>
      <c r="D821" s="107"/>
      <c r="E821" s="107"/>
      <c r="F821" s="77"/>
      <c r="G821" s="77"/>
      <c r="H821" s="108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</row>
    <row r="822" spans="1:32" ht="15.75" customHeight="1" x14ac:dyDescent="0.2">
      <c r="A822" s="77"/>
      <c r="B822" s="77"/>
      <c r="C822" s="77"/>
      <c r="D822" s="107"/>
      <c r="E822" s="107"/>
      <c r="F822" s="77"/>
      <c r="G822" s="77"/>
      <c r="H822" s="108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</row>
    <row r="823" spans="1:32" ht="15.75" customHeight="1" x14ac:dyDescent="0.2">
      <c r="A823" s="77"/>
      <c r="B823" s="77"/>
      <c r="C823" s="77"/>
      <c r="D823" s="107"/>
      <c r="E823" s="107"/>
      <c r="F823" s="77"/>
      <c r="G823" s="77"/>
      <c r="H823" s="108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</row>
    <row r="824" spans="1:32" ht="15.75" customHeight="1" x14ac:dyDescent="0.2">
      <c r="A824" s="77"/>
      <c r="B824" s="77"/>
      <c r="C824" s="77"/>
      <c r="D824" s="107"/>
      <c r="E824" s="107"/>
      <c r="F824" s="77"/>
      <c r="G824" s="77"/>
      <c r="H824" s="108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</row>
    <row r="825" spans="1:32" ht="15.75" customHeight="1" x14ac:dyDescent="0.2">
      <c r="A825" s="77"/>
      <c r="B825" s="77"/>
      <c r="C825" s="77"/>
      <c r="D825" s="107"/>
      <c r="E825" s="107"/>
      <c r="F825" s="77"/>
      <c r="G825" s="77"/>
      <c r="H825" s="108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</row>
    <row r="826" spans="1:32" ht="15.75" customHeight="1" x14ac:dyDescent="0.2">
      <c r="A826" s="77"/>
      <c r="B826" s="77"/>
      <c r="C826" s="77"/>
      <c r="D826" s="107"/>
      <c r="E826" s="107"/>
      <c r="F826" s="77"/>
      <c r="G826" s="77"/>
      <c r="H826" s="108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</row>
    <row r="827" spans="1:32" ht="15.75" customHeight="1" x14ac:dyDescent="0.2">
      <c r="A827" s="77"/>
      <c r="B827" s="77"/>
      <c r="C827" s="77"/>
      <c r="D827" s="107"/>
      <c r="E827" s="107"/>
      <c r="F827" s="77"/>
      <c r="G827" s="77"/>
      <c r="H827" s="108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</row>
    <row r="828" spans="1:32" ht="15.75" customHeight="1" x14ac:dyDescent="0.2">
      <c r="A828" s="77"/>
      <c r="B828" s="77"/>
      <c r="C828" s="77"/>
      <c r="D828" s="107"/>
      <c r="E828" s="107"/>
      <c r="F828" s="77"/>
      <c r="G828" s="77"/>
      <c r="H828" s="108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</row>
    <row r="829" spans="1:32" ht="15.75" customHeight="1" x14ac:dyDescent="0.2">
      <c r="A829" s="77"/>
      <c r="B829" s="77"/>
      <c r="C829" s="77"/>
      <c r="D829" s="107"/>
      <c r="E829" s="107"/>
      <c r="F829" s="77"/>
      <c r="G829" s="77"/>
      <c r="H829" s="108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</row>
    <row r="830" spans="1:32" ht="15.75" customHeight="1" x14ac:dyDescent="0.2">
      <c r="A830" s="77"/>
      <c r="B830" s="77"/>
      <c r="C830" s="77"/>
      <c r="D830" s="107"/>
      <c r="E830" s="107"/>
      <c r="F830" s="77"/>
      <c r="G830" s="77"/>
      <c r="H830" s="108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</row>
    <row r="831" spans="1:32" ht="15.75" customHeight="1" x14ac:dyDescent="0.2">
      <c r="A831" s="77"/>
      <c r="B831" s="77"/>
      <c r="C831" s="77"/>
      <c r="D831" s="107"/>
      <c r="E831" s="107"/>
      <c r="F831" s="77"/>
      <c r="G831" s="77"/>
      <c r="H831" s="108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</row>
    <row r="832" spans="1:32" ht="15.75" customHeight="1" x14ac:dyDescent="0.2">
      <c r="A832" s="77"/>
      <c r="B832" s="77"/>
      <c r="C832" s="77"/>
      <c r="D832" s="107"/>
      <c r="E832" s="107"/>
      <c r="F832" s="77"/>
      <c r="G832" s="77"/>
      <c r="H832" s="108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</row>
    <row r="833" spans="1:32" ht="15.75" customHeight="1" x14ac:dyDescent="0.2">
      <c r="A833" s="77"/>
      <c r="B833" s="77"/>
      <c r="C833" s="77"/>
      <c r="D833" s="107"/>
      <c r="E833" s="107"/>
      <c r="F833" s="77"/>
      <c r="G833" s="77"/>
      <c r="H833" s="108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</row>
    <row r="834" spans="1:32" ht="15.75" customHeight="1" x14ac:dyDescent="0.2">
      <c r="A834" s="77"/>
      <c r="B834" s="77"/>
      <c r="C834" s="77"/>
      <c r="D834" s="107"/>
      <c r="E834" s="107"/>
      <c r="F834" s="77"/>
      <c r="G834" s="77"/>
      <c r="H834" s="108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</row>
    <row r="835" spans="1:32" ht="15.75" customHeight="1" x14ac:dyDescent="0.2">
      <c r="A835" s="77"/>
      <c r="B835" s="77"/>
      <c r="C835" s="77"/>
      <c r="D835" s="107"/>
      <c r="E835" s="107"/>
      <c r="F835" s="77"/>
      <c r="G835" s="77"/>
      <c r="H835" s="108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</row>
    <row r="836" spans="1:32" ht="15.75" customHeight="1" x14ac:dyDescent="0.2">
      <c r="A836" s="77"/>
      <c r="B836" s="77"/>
      <c r="C836" s="77"/>
      <c r="D836" s="107"/>
      <c r="E836" s="107"/>
      <c r="F836" s="77"/>
      <c r="G836" s="77"/>
      <c r="H836" s="108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</row>
    <row r="837" spans="1:32" ht="15.75" customHeight="1" x14ac:dyDescent="0.2">
      <c r="A837" s="77"/>
      <c r="B837" s="77"/>
      <c r="C837" s="77"/>
      <c r="D837" s="107"/>
      <c r="E837" s="107"/>
      <c r="F837" s="77"/>
      <c r="G837" s="77"/>
      <c r="H837" s="108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</row>
    <row r="838" spans="1:32" ht="15.75" customHeight="1" x14ac:dyDescent="0.2">
      <c r="A838" s="77"/>
      <c r="B838" s="77"/>
      <c r="C838" s="77"/>
      <c r="D838" s="107"/>
      <c r="E838" s="107"/>
      <c r="F838" s="77"/>
      <c r="G838" s="77"/>
      <c r="H838" s="108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</row>
    <row r="839" spans="1:32" ht="15.75" customHeight="1" x14ac:dyDescent="0.2">
      <c r="A839" s="77"/>
      <c r="B839" s="77"/>
      <c r="C839" s="77"/>
      <c r="D839" s="107"/>
      <c r="E839" s="107"/>
      <c r="F839" s="77"/>
      <c r="G839" s="77"/>
      <c r="H839" s="108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</row>
    <row r="840" spans="1:32" ht="15.75" customHeight="1" x14ac:dyDescent="0.2">
      <c r="A840" s="77"/>
      <c r="B840" s="77"/>
      <c r="C840" s="77"/>
      <c r="D840" s="107"/>
      <c r="E840" s="107"/>
      <c r="F840" s="77"/>
      <c r="G840" s="77"/>
      <c r="H840" s="108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</row>
    <row r="841" spans="1:32" ht="15.75" customHeight="1" x14ac:dyDescent="0.2">
      <c r="A841" s="77"/>
      <c r="B841" s="77"/>
      <c r="C841" s="77"/>
      <c r="D841" s="107"/>
      <c r="E841" s="107"/>
      <c r="F841" s="77"/>
      <c r="G841" s="77"/>
      <c r="H841" s="108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</row>
    <row r="842" spans="1:32" ht="15.75" customHeight="1" x14ac:dyDescent="0.2">
      <c r="A842" s="77"/>
      <c r="B842" s="77"/>
      <c r="C842" s="77"/>
      <c r="D842" s="107"/>
      <c r="E842" s="107"/>
      <c r="F842" s="77"/>
      <c r="G842" s="77"/>
      <c r="H842" s="108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</row>
    <row r="843" spans="1:32" ht="15.75" customHeight="1" x14ac:dyDescent="0.2">
      <c r="A843" s="77"/>
      <c r="B843" s="77"/>
      <c r="C843" s="77"/>
      <c r="D843" s="107"/>
      <c r="E843" s="107"/>
      <c r="F843" s="77"/>
      <c r="G843" s="77"/>
      <c r="H843" s="108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</row>
    <row r="844" spans="1:32" ht="15.75" customHeight="1" x14ac:dyDescent="0.2">
      <c r="A844" s="77"/>
      <c r="B844" s="77"/>
      <c r="C844" s="77"/>
      <c r="D844" s="107"/>
      <c r="E844" s="107"/>
      <c r="F844" s="77"/>
      <c r="G844" s="77"/>
      <c r="H844" s="108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</row>
    <row r="845" spans="1:32" ht="15.75" customHeight="1" x14ac:dyDescent="0.2">
      <c r="A845" s="77"/>
      <c r="B845" s="77"/>
      <c r="C845" s="77"/>
      <c r="D845" s="107"/>
      <c r="E845" s="107"/>
      <c r="F845" s="77"/>
      <c r="G845" s="77"/>
      <c r="H845" s="108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</row>
    <row r="846" spans="1:32" ht="15.75" customHeight="1" x14ac:dyDescent="0.2">
      <c r="A846" s="77"/>
      <c r="B846" s="77"/>
      <c r="C846" s="77"/>
      <c r="D846" s="107"/>
      <c r="E846" s="107"/>
      <c r="F846" s="77"/>
      <c r="G846" s="77"/>
      <c r="H846" s="108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</row>
    <row r="847" spans="1:32" ht="15.75" customHeight="1" x14ac:dyDescent="0.2">
      <c r="A847" s="77"/>
      <c r="B847" s="77"/>
      <c r="C847" s="77"/>
      <c r="D847" s="107"/>
      <c r="E847" s="107"/>
      <c r="F847" s="77"/>
      <c r="G847" s="77"/>
      <c r="H847" s="108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</row>
    <row r="848" spans="1:32" ht="15.75" customHeight="1" x14ac:dyDescent="0.2">
      <c r="A848" s="77"/>
      <c r="B848" s="77"/>
      <c r="C848" s="77"/>
      <c r="D848" s="107"/>
      <c r="E848" s="107"/>
      <c r="F848" s="77"/>
      <c r="G848" s="77"/>
      <c r="H848" s="108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</row>
    <row r="849" spans="1:32" ht="15.75" customHeight="1" x14ac:dyDescent="0.2">
      <c r="A849" s="77"/>
      <c r="B849" s="77"/>
      <c r="C849" s="77"/>
      <c r="D849" s="107"/>
      <c r="E849" s="107"/>
      <c r="F849" s="77"/>
      <c r="G849" s="77"/>
      <c r="H849" s="108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</row>
    <row r="850" spans="1:32" ht="15.75" customHeight="1" x14ac:dyDescent="0.2">
      <c r="A850" s="77"/>
      <c r="B850" s="77"/>
      <c r="C850" s="77"/>
      <c r="D850" s="107"/>
      <c r="E850" s="107"/>
      <c r="F850" s="77"/>
      <c r="G850" s="77"/>
      <c r="H850" s="108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</row>
    <row r="851" spans="1:32" ht="15.75" customHeight="1" x14ac:dyDescent="0.2">
      <c r="A851" s="77"/>
      <c r="B851" s="77"/>
      <c r="C851" s="77"/>
      <c r="D851" s="107"/>
      <c r="E851" s="107"/>
      <c r="F851" s="77"/>
      <c r="G851" s="77"/>
      <c r="H851" s="108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</row>
    <row r="852" spans="1:32" ht="15.75" customHeight="1" x14ac:dyDescent="0.2">
      <c r="A852" s="77"/>
      <c r="B852" s="77"/>
      <c r="C852" s="77"/>
      <c r="D852" s="107"/>
      <c r="E852" s="107"/>
      <c r="F852" s="77"/>
      <c r="G852" s="77"/>
      <c r="H852" s="108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</row>
    <row r="853" spans="1:32" ht="15.75" customHeight="1" x14ac:dyDescent="0.2">
      <c r="A853" s="77"/>
      <c r="B853" s="77"/>
      <c r="C853" s="77"/>
      <c r="D853" s="107"/>
      <c r="E853" s="107"/>
      <c r="F853" s="77"/>
      <c r="G853" s="77"/>
      <c r="H853" s="108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</row>
    <row r="854" spans="1:32" ht="15.75" customHeight="1" x14ac:dyDescent="0.2">
      <c r="A854" s="77"/>
      <c r="B854" s="77"/>
      <c r="C854" s="77"/>
      <c r="D854" s="107"/>
      <c r="E854" s="107"/>
      <c r="F854" s="77"/>
      <c r="G854" s="77"/>
      <c r="H854" s="108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</row>
    <row r="855" spans="1:32" ht="15.75" customHeight="1" x14ac:dyDescent="0.2">
      <c r="A855" s="77"/>
      <c r="B855" s="77"/>
      <c r="C855" s="77"/>
      <c r="D855" s="107"/>
      <c r="E855" s="107"/>
      <c r="F855" s="77"/>
      <c r="G855" s="77"/>
      <c r="H855" s="108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</row>
    <row r="856" spans="1:32" ht="15.75" customHeight="1" x14ac:dyDescent="0.2">
      <c r="A856" s="77"/>
      <c r="B856" s="77"/>
      <c r="C856" s="77"/>
      <c r="D856" s="107"/>
      <c r="E856" s="107"/>
      <c r="F856" s="77"/>
      <c r="G856" s="77"/>
      <c r="H856" s="108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</row>
    <row r="857" spans="1:32" ht="15.75" customHeight="1" x14ac:dyDescent="0.2">
      <c r="A857" s="77"/>
      <c r="B857" s="77"/>
      <c r="C857" s="77"/>
      <c r="D857" s="107"/>
      <c r="E857" s="107"/>
      <c r="F857" s="77"/>
      <c r="G857" s="77"/>
      <c r="H857" s="108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</row>
    <row r="858" spans="1:32" ht="15.75" customHeight="1" x14ac:dyDescent="0.2">
      <c r="A858" s="77"/>
      <c r="B858" s="77"/>
      <c r="C858" s="77"/>
      <c r="D858" s="107"/>
      <c r="E858" s="107"/>
      <c r="F858" s="77"/>
      <c r="G858" s="77"/>
      <c r="H858" s="108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</row>
    <row r="859" spans="1:32" ht="15.75" customHeight="1" x14ac:dyDescent="0.2">
      <c r="A859" s="77"/>
      <c r="B859" s="77"/>
      <c r="C859" s="77"/>
      <c r="D859" s="107"/>
      <c r="E859" s="107"/>
      <c r="F859" s="77"/>
      <c r="G859" s="77"/>
      <c r="H859" s="108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</row>
    <row r="860" spans="1:32" ht="15.75" customHeight="1" x14ac:dyDescent="0.2">
      <c r="A860" s="77"/>
      <c r="B860" s="77"/>
      <c r="C860" s="77"/>
      <c r="D860" s="107"/>
      <c r="E860" s="107"/>
      <c r="F860" s="77"/>
      <c r="G860" s="77"/>
      <c r="H860" s="108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</row>
    <row r="861" spans="1:32" ht="15.75" customHeight="1" x14ac:dyDescent="0.2">
      <c r="A861" s="77"/>
      <c r="B861" s="77"/>
      <c r="C861" s="77"/>
      <c r="D861" s="107"/>
      <c r="E861" s="107"/>
      <c r="F861" s="77"/>
      <c r="G861" s="77"/>
      <c r="H861" s="108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</row>
    <row r="862" spans="1:32" ht="15.75" customHeight="1" x14ac:dyDescent="0.2">
      <c r="A862" s="77"/>
      <c r="B862" s="77"/>
      <c r="C862" s="77"/>
      <c r="D862" s="107"/>
      <c r="E862" s="107"/>
      <c r="F862" s="77"/>
      <c r="G862" s="77"/>
      <c r="H862" s="108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</row>
    <row r="863" spans="1:32" ht="15.75" customHeight="1" x14ac:dyDescent="0.2">
      <c r="A863" s="77"/>
      <c r="B863" s="77"/>
      <c r="C863" s="77"/>
      <c r="D863" s="107"/>
      <c r="E863" s="107"/>
      <c r="F863" s="77"/>
      <c r="G863" s="77"/>
      <c r="H863" s="108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</row>
    <row r="864" spans="1:32" ht="15.75" customHeight="1" x14ac:dyDescent="0.2">
      <c r="A864" s="77"/>
      <c r="B864" s="77"/>
      <c r="C864" s="77"/>
      <c r="D864" s="107"/>
      <c r="E864" s="107"/>
      <c r="F864" s="77"/>
      <c r="G864" s="77"/>
      <c r="H864" s="108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</row>
    <row r="865" spans="1:32" ht="15.75" customHeight="1" x14ac:dyDescent="0.2">
      <c r="A865" s="77"/>
      <c r="B865" s="77"/>
      <c r="C865" s="77"/>
      <c r="D865" s="107"/>
      <c r="E865" s="107"/>
      <c r="F865" s="77"/>
      <c r="G865" s="77"/>
      <c r="H865" s="108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</row>
    <row r="866" spans="1:32" ht="15.75" customHeight="1" x14ac:dyDescent="0.2">
      <c r="A866" s="77"/>
      <c r="B866" s="77"/>
      <c r="C866" s="77"/>
      <c r="D866" s="107"/>
      <c r="E866" s="107"/>
      <c r="F866" s="77"/>
      <c r="G866" s="77"/>
      <c r="H866" s="108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</row>
    <row r="867" spans="1:32" ht="15.75" customHeight="1" x14ac:dyDescent="0.2">
      <c r="A867" s="77"/>
      <c r="B867" s="77"/>
      <c r="C867" s="77"/>
      <c r="D867" s="107"/>
      <c r="E867" s="107"/>
      <c r="F867" s="77"/>
      <c r="G867" s="77"/>
      <c r="H867" s="108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</row>
    <row r="868" spans="1:32" ht="15.75" customHeight="1" x14ac:dyDescent="0.2">
      <c r="A868" s="77"/>
      <c r="B868" s="77"/>
      <c r="C868" s="77"/>
      <c r="D868" s="107"/>
      <c r="E868" s="107"/>
      <c r="F868" s="77"/>
      <c r="G868" s="77"/>
      <c r="H868" s="108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</row>
    <row r="869" spans="1:32" ht="15.75" customHeight="1" x14ac:dyDescent="0.2">
      <c r="A869" s="77"/>
      <c r="B869" s="77"/>
      <c r="C869" s="77"/>
      <c r="D869" s="107"/>
      <c r="E869" s="107"/>
      <c r="F869" s="77"/>
      <c r="G869" s="77"/>
      <c r="H869" s="108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</row>
    <row r="870" spans="1:32" ht="15.75" customHeight="1" x14ac:dyDescent="0.2">
      <c r="A870" s="77"/>
      <c r="B870" s="77"/>
      <c r="C870" s="77"/>
      <c r="D870" s="107"/>
      <c r="E870" s="107"/>
      <c r="F870" s="77"/>
      <c r="G870" s="77"/>
      <c r="H870" s="108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</row>
    <row r="871" spans="1:32" ht="15.75" customHeight="1" x14ac:dyDescent="0.2">
      <c r="A871" s="77"/>
      <c r="B871" s="77"/>
      <c r="C871" s="77"/>
      <c r="D871" s="107"/>
      <c r="E871" s="107"/>
      <c r="F871" s="77"/>
      <c r="G871" s="77"/>
      <c r="H871" s="108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</row>
    <row r="872" spans="1:32" ht="15.75" customHeight="1" x14ac:dyDescent="0.2">
      <c r="A872" s="77"/>
      <c r="B872" s="77"/>
      <c r="C872" s="77"/>
      <c r="D872" s="107"/>
      <c r="E872" s="107"/>
      <c r="F872" s="77"/>
      <c r="G872" s="77"/>
      <c r="H872" s="108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</row>
    <row r="873" spans="1:32" ht="15.75" customHeight="1" x14ac:dyDescent="0.2">
      <c r="A873" s="77"/>
      <c r="B873" s="77"/>
      <c r="C873" s="77"/>
      <c r="D873" s="107"/>
      <c r="E873" s="107"/>
      <c r="F873" s="77"/>
      <c r="G873" s="77"/>
      <c r="H873" s="108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</row>
    <row r="874" spans="1:32" ht="15.75" customHeight="1" x14ac:dyDescent="0.2">
      <c r="A874" s="77"/>
      <c r="B874" s="77"/>
      <c r="C874" s="77"/>
      <c r="D874" s="107"/>
      <c r="E874" s="107"/>
      <c r="F874" s="77"/>
      <c r="G874" s="77"/>
      <c r="H874" s="108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</row>
    <row r="875" spans="1:32" ht="15.75" customHeight="1" x14ac:dyDescent="0.2">
      <c r="A875" s="77"/>
      <c r="B875" s="77"/>
      <c r="C875" s="77"/>
      <c r="D875" s="107"/>
      <c r="E875" s="107"/>
      <c r="F875" s="77"/>
      <c r="G875" s="77"/>
      <c r="H875" s="108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</row>
    <row r="876" spans="1:32" ht="15.75" customHeight="1" x14ac:dyDescent="0.2">
      <c r="A876" s="77"/>
      <c r="B876" s="77"/>
      <c r="C876" s="77"/>
      <c r="D876" s="107"/>
      <c r="E876" s="107"/>
      <c r="F876" s="77"/>
      <c r="G876" s="77"/>
      <c r="H876" s="108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</row>
    <row r="877" spans="1:32" ht="15.75" customHeight="1" x14ac:dyDescent="0.2">
      <c r="A877" s="77"/>
      <c r="B877" s="77"/>
      <c r="C877" s="77"/>
      <c r="D877" s="107"/>
      <c r="E877" s="107"/>
      <c r="F877" s="77"/>
      <c r="G877" s="77"/>
      <c r="H877" s="108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</row>
    <row r="878" spans="1:32" ht="15.75" customHeight="1" x14ac:dyDescent="0.2">
      <c r="A878" s="77"/>
      <c r="B878" s="77"/>
      <c r="C878" s="77"/>
      <c r="D878" s="107"/>
      <c r="E878" s="107"/>
      <c r="F878" s="77"/>
      <c r="G878" s="77"/>
      <c r="H878" s="108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</row>
    <row r="879" spans="1:32" ht="15.75" customHeight="1" x14ac:dyDescent="0.2">
      <c r="A879" s="77"/>
      <c r="B879" s="77"/>
      <c r="C879" s="77"/>
      <c r="D879" s="107"/>
      <c r="E879" s="107"/>
      <c r="F879" s="77"/>
      <c r="G879" s="77"/>
      <c r="H879" s="108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</row>
    <row r="880" spans="1:32" ht="15.75" customHeight="1" x14ac:dyDescent="0.2">
      <c r="A880" s="77"/>
      <c r="B880" s="77"/>
      <c r="C880" s="77"/>
      <c r="D880" s="107"/>
      <c r="E880" s="107"/>
      <c r="F880" s="77"/>
      <c r="G880" s="77"/>
      <c r="H880" s="108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</row>
    <row r="881" spans="1:32" ht="15.75" customHeight="1" x14ac:dyDescent="0.2">
      <c r="A881" s="77"/>
      <c r="B881" s="77"/>
      <c r="C881" s="77"/>
      <c r="D881" s="107"/>
      <c r="E881" s="107"/>
      <c r="F881" s="77"/>
      <c r="G881" s="77"/>
      <c r="H881" s="108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</row>
    <row r="882" spans="1:32" ht="15.75" customHeight="1" x14ac:dyDescent="0.2">
      <c r="A882" s="77"/>
      <c r="B882" s="77"/>
      <c r="C882" s="77"/>
      <c r="D882" s="107"/>
      <c r="E882" s="107"/>
      <c r="F882" s="77"/>
      <c r="G882" s="77"/>
      <c r="H882" s="108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</row>
    <row r="883" spans="1:32" ht="15.75" customHeight="1" x14ac:dyDescent="0.2">
      <c r="A883" s="77"/>
      <c r="B883" s="77"/>
      <c r="C883" s="77"/>
      <c r="D883" s="107"/>
      <c r="E883" s="107"/>
      <c r="F883" s="77"/>
      <c r="G883" s="77"/>
      <c r="H883" s="108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</row>
    <row r="884" spans="1:32" ht="15.75" customHeight="1" x14ac:dyDescent="0.2">
      <c r="A884" s="77"/>
      <c r="B884" s="77"/>
      <c r="C884" s="77"/>
      <c r="D884" s="107"/>
      <c r="E884" s="107"/>
      <c r="F884" s="77"/>
      <c r="G884" s="77"/>
      <c r="H884" s="108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</row>
    <row r="885" spans="1:32" ht="15.75" customHeight="1" x14ac:dyDescent="0.2">
      <c r="A885" s="77"/>
      <c r="B885" s="77"/>
      <c r="C885" s="77"/>
      <c r="D885" s="107"/>
      <c r="E885" s="107"/>
      <c r="F885" s="77"/>
      <c r="G885" s="77"/>
      <c r="H885" s="108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</row>
    <row r="886" spans="1:32" ht="15.75" customHeight="1" x14ac:dyDescent="0.2">
      <c r="A886" s="77"/>
      <c r="B886" s="77"/>
      <c r="C886" s="77"/>
      <c r="D886" s="107"/>
      <c r="E886" s="107"/>
      <c r="F886" s="77"/>
      <c r="G886" s="77"/>
      <c r="H886" s="108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</row>
    <row r="887" spans="1:32" ht="15.75" customHeight="1" x14ac:dyDescent="0.2">
      <c r="A887" s="77"/>
      <c r="B887" s="77"/>
      <c r="C887" s="77"/>
      <c r="D887" s="107"/>
      <c r="E887" s="107"/>
      <c r="F887" s="77"/>
      <c r="G887" s="77"/>
      <c r="H887" s="108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</row>
    <row r="888" spans="1:32" ht="15.75" customHeight="1" x14ac:dyDescent="0.2">
      <c r="A888" s="77"/>
      <c r="B888" s="77"/>
      <c r="C888" s="77"/>
      <c r="D888" s="107"/>
      <c r="E888" s="107"/>
      <c r="F888" s="77"/>
      <c r="G888" s="77"/>
      <c r="H888" s="108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</row>
    <row r="889" spans="1:32" ht="15.75" customHeight="1" x14ac:dyDescent="0.2">
      <c r="A889" s="77"/>
      <c r="B889" s="77"/>
      <c r="C889" s="77"/>
      <c r="D889" s="107"/>
      <c r="E889" s="107"/>
      <c r="F889" s="77"/>
      <c r="G889" s="77"/>
      <c r="H889" s="108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</row>
    <row r="890" spans="1:32" ht="15.75" customHeight="1" x14ac:dyDescent="0.2">
      <c r="A890" s="77"/>
      <c r="B890" s="77"/>
      <c r="C890" s="77"/>
      <c r="D890" s="107"/>
      <c r="E890" s="107"/>
      <c r="F890" s="77"/>
      <c r="G890" s="77"/>
      <c r="H890" s="108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</row>
    <row r="891" spans="1:32" ht="15.75" customHeight="1" x14ac:dyDescent="0.2">
      <c r="A891" s="77"/>
      <c r="B891" s="77"/>
      <c r="C891" s="77"/>
      <c r="D891" s="107"/>
      <c r="E891" s="107"/>
      <c r="F891" s="77"/>
      <c r="G891" s="77"/>
      <c r="H891" s="108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</row>
    <row r="892" spans="1:32" ht="15.75" customHeight="1" x14ac:dyDescent="0.2">
      <c r="A892" s="77"/>
      <c r="B892" s="77"/>
      <c r="C892" s="77"/>
      <c r="D892" s="107"/>
      <c r="E892" s="107"/>
      <c r="F892" s="77"/>
      <c r="G892" s="77"/>
      <c r="H892" s="108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</row>
    <row r="893" spans="1:32" ht="15.75" customHeight="1" x14ac:dyDescent="0.2">
      <c r="A893" s="77"/>
      <c r="B893" s="77"/>
      <c r="C893" s="77"/>
      <c r="D893" s="107"/>
      <c r="E893" s="107"/>
      <c r="F893" s="77"/>
      <c r="G893" s="77"/>
      <c r="H893" s="108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</row>
    <row r="894" spans="1:32" ht="15.75" customHeight="1" x14ac:dyDescent="0.2">
      <c r="A894" s="77"/>
      <c r="B894" s="77"/>
      <c r="C894" s="77"/>
      <c r="D894" s="107"/>
      <c r="E894" s="107"/>
      <c r="F894" s="77"/>
      <c r="G894" s="77"/>
      <c r="H894" s="108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</row>
    <row r="895" spans="1:32" ht="15.75" customHeight="1" x14ac:dyDescent="0.2">
      <c r="A895" s="77"/>
      <c r="B895" s="77"/>
      <c r="C895" s="77"/>
      <c r="D895" s="107"/>
      <c r="E895" s="107"/>
      <c r="F895" s="77"/>
      <c r="G895" s="77"/>
      <c r="H895" s="108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</row>
    <row r="896" spans="1:32" ht="15.75" customHeight="1" x14ac:dyDescent="0.2">
      <c r="A896" s="77"/>
      <c r="B896" s="77"/>
      <c r="C896" s="77"/>
      <c r="D896" s="107"/>
      <c r="E896" s="107"/>
      <c r="F896" s="77"/>
      <c r="G896" s="77"/>
      <c r="H896" s="108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</row>
    <row r="897" spans="1:32" ht="15.75" customHeight="1" x14ac:dyDescent="0.2">
      <c r="A897" s="77"/>
      <c r="B897" s="77"/>
      <c r="C897" s="77"/>
      <c r="D897" s="107"/>
      <c r="E897" s="107"/>
      <c r="F897" s="77"/>
      <c r="G897" s="77"/>
      <c r="H897" s="108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</row>
    <row r="898" spans="1:32" ht="15.75" customHeight="1" x14ac:dyDescent="0.2">
      <c r="A898" s="77"/>
      <c r="B898" s="77"/>
      <c r="C898" s="77"/>
      <c r="D898" s="107"/>
      <c r="E898" s="107"/>
      <c r="F898" s="77"/>
      <c r="G898" s="77"/>
      <c r="H898" s="108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</row>
    <row r="899" spans="1:32" ht="15.75" customHeight="1" x14ac:dyDescent="0.2">
      <c r="A899" s="77"/>
      <c r="B899" s="77"/>
      <c r="C899" s="77"/>
      <c r="D899" s="107"/>
      <c r="E899" s="107"/>
      <c r="F899" s="77"/>
      <c r="G899" s="77"/>
      <c r="H899" s="108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</row>
    <row r="900" spans="1:32" ht="15.75" customHeight="1" x14ac:dyDescent="0.2">
      <c r="A900" s="77"/>
      <c r="B900" s="77"/>
      <c r="C900" s="77"/>
      <c r="D900" s="107"/>
      <c r="E900" s="107"/>
      <c r="F900" s="77"/>
      <c r="G900" s="77"/>
      <c r="H900" s="108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</row>
    <row r="901" spans="1:32" ht="15.75" customHeight="1" x14ac:dyDescent="0.2">
      <c r="A901" s="77"/>
      <c r="B901" s="77"/>
      <c r="C901" s="77"/>
      <c r="D901" s="107"/>
      <c r="E901" s="107"/>
      <c r="F901" s="77"/>
      <c r="G901" s="77"/>
      <c r="H901" s="108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</row>
    <row r="902" spans="1:32" ht="15.75" customHeight="1" x14ac:dyDescent="0.2">
      <c r="A902" s="77"/>
      <c r="B902" s="77"/>
      <c r="C902" s="77"/>
      <c r="D902" s="107"/>
      <c r="E902" s="107"/>
      <c r="F902" s="77"/>
      <c r="G902" s="77"/>
      <c r="H902" s="108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</row>
    <row r="903" spans="1:32" ht="15.75" customHeight="1" x14ac:dyDescent="0.2">
      <c r="A903" s="77"/>
      <c r="B903" s="77"/>
      <c r="C903" s="77"/>
      <c r="D903" s="107"/>
      <c r="E903" s="107"/>
      <c r="F903" s="77"/>
      <c r="G903" s="77"/>
      <c r="H903" s="108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</row>
    <row r="904" spans="1:32" ht="15.75" customHeight="1" x14ac:dyDescent="0.2">
      <c r="A904" s="77"/>
      <c r="B904" s="77"/>
      <c r="C904" s="77"/>
      <c r="D904" s="107"/>
      <c r="E904" s="107"/>
      <c r="F904" s="77"/>
      <c r="G904" s="77"/>
      <c r="H904" s="108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</row>
    <row r="905" spans="1:32" ht="15.75" customHeight="1" x14ac:dyDescent="0.2">
      <c r="A905" s="77"/>
      <c r="B905" s="77"/>
      <c r="C905" s="77"/>
      <c r="D905" s="107"/>
      <c r="E905" s="107"/>
      <c r="F905" s="77"/>
      <c r="G905" s="77"/>
      <c r="H905" s="108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</row>
    <row r="906" spans="1:32" ht="15.75" customHeight="1" x14ac:dyDescent="0.2">
      <c r="A906" s="77"/>
      <c r="B906" s="77"/>
      <c r="C906" s="77"/>
      <c r="D906" s="107"/>
      <c r="E906" s="107"/>
      <c r="F906" s="77"/>
      <c r="G906" s="77"/>
      <c r="H906" s="108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</row>
    <row r="907" spans="1:32" ht="15.75" customHeight="1" x14ac:dyDescent="0.2">
      <c r="A907" s="77"/>
      <c r="B907" s="77"/>
      <c r="C907" s="77"/>
      <c r="D907" s="107"/>
      <c r="E907" s="107"/>
      <c r="F907" s="77"/>
      <c r="G907" s="77"/>
      <c r="H907" s="108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</row>
    <row r="908" spans="1:32" ht="15.75" customHeight="1" x14ac:dyDescent="0.2">
      <c r="A908" s="77"/>
      <c r="B908" s="77"/>
      <c r="C908" s="77"/>
      <c r="D908" s="107"/>
      <c r="E908" s="107"/>
      <c r="F908" s="77"/>
      <c r="G908" s="77"/>
      <c r="H908" s="108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</row>
    <row r="909" spans="1:32" ht="15.75" customHeight="1" x14ac:dyDescent="0.2">
      <c r="A909" s="77"/>
      <c r="B909" s="77"/>
      <c r="C909" s="77"/>
      <c r="D909" s="107"/>
      <c r="E909" s="107"/>
      <c r="F909" s="77"/>
      <c r="G909" s="77"/>
      <c r="H909" s="108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</row>
    <row r="910" spans="1:32" ht="15.75" customHeight="1" x14ac:dyDescent="0.2">
      <c r="A910" s="77"/>
      <c r="B910" s="77"/>
      <c r="C910" s="77"/>
      <c r="D910" s="107"/>
      <c r="E910" s="107"/>
      <c r="F910" s="77"/>
      <c r="G910" s="77"/>
      <c r="H910" s="108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</row>
    <row r="911" spans="1:32" ht="15.75" customHeight="1" x14ac:dyDescent="0.2">
      <c r="A911" s="77"/>
      <c r="B911" s="77"/>
      <c r="C911" s="77"/>
      <c r="D911" s="107"/>
      <c r="E911" s="107"/>
      <c r="F911" s="77"/>
      <c r="G911" s="77"/>
      <c r="H911" s="108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</row>
    <row r="912" spans="1:32" ht="15.75" customHeight="1" x14ac:dyDescent="0.2">
      <c r="A912" s="77"/>
      <c r="B912" s="77"/>
      <c r="C912" s="77"/>
      <c r="D912" s="107"/>
      <c r="E912" s="107"/>
      <c r="F912" s="77"/>
      <c r="G912" s="77"/>
      <c r="H912" s="108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</row>
    <row r="913" spans="1:32" ht="15.75" customHeight="1" x14ac:dyDescent="0.2">
      <c r="A913" s="77"/>
      <c r="B913" s="77"/>
      <c r="C913" s="77"/>
      <c r="D913" s="107"/>
      <c r="E913" s="107"/>
      <c r="F913" s="77"/>
      <c r="G913" s="77"/>
      <c r="H913" s="108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</row>
    <row r="914" spans="1:32" ht="15.75" customHeight="1" x14ac:dyDescent="0.2">
      <c r="A914" s="77"/>
      <c r="B914" s="77"/>
      <c r="C914" s="77"/>
      <c r="D914" s="107"/>
      <c r="E914" s="107"/>
      <c r="F914" s="77"/>
      <c r="G914" s="77"/>
      <c r="H914" s="108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</row>
    <row r="915" spans="1:32" ht="15.75" customHeight="1" x14ac:dyDescent="0.2">
      <c r="A915" s="77"/>
      <c r="B915" s="77"/>
      <c r="C915" s="77"/>
      <c r="D915" s="107"/>
      <c r="E915" s="107"/>
      <c r="F915" s="77"/>
      <c r="G915" s="77"/>
      <c r="H915" s="108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</row>
    <row r="916" spans="1:32" ht="15.75" customHeight="1" x14ac:dyDescent="0.2">
      <c r="A916" s="77"/>
      <c r="B916" s="77"/>
      <c r="C916" s="77"/>
      <c r="D916" s="107"/>
      <c r="E916" s="107"/>
      <c r="F916" s="77"/>
      <c r="G916" s="77"/>
      <c r="H916" s="108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</row>
    <row r="917" spans="1:32" ht="15.75" customHeight="1" x14ac:dyDescent="0.2">
      <c r="A917" s="77"/>
      <c r="B917" s="77"/>
      <c r="C917" s="77"/>
      <c r="D917" s="107"/>
      <c r="E917" s="107"/>
      <c r="F917" s="77"/>
      <c r="G917" s="77"/>
      <c r="H917" s="108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</row>
    <row r="918" spans="1:32" ht="15.75" customHeight="1" x14ac:dyDescent="0.2">
      <c r="A918" s="77"/>
      <c r="B918" s="77"/>
      <c r="C918" s="77"/>
      <c r="D918" s="107"/>
      <c r="E918" s="107"/>
      <c r="F918" s="77"/>
      <c r="G918" s="77"/>
      <c r="H918" s="108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</row>
    <row r="919" spans="1:32" ht="15.75" customHeight="1" x14ac:dyDescent="0.2">
      <c r="A919" s="77"/>
      <c r="B919" s="77"/>
      <c r="C919" s="77"/>
      <c r="D919" s="107"/>
      <c r="E919" s="107"/>
      <c r="F919" s="77"/>
      <c r="G919" s="77"/>
      <c r="H919" s="108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</row>
    <row r="920" spans="1:32" ht="15.75" customHeight="1" x14ac:dyDescent="0.2">
      <c r="A920" s="77"/>
      <c r="B920" s="77"/>
      <c r="C920" s="77"/>
      <c r="D920" s="107"/>
      <c r="E920" s="107"/>
      <c r="F920" s="77"/>
      <c r="G920" s="77"/>
      <c r="H920" s="108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</row>
    <row r="921" spans="1:32" ht="15.75" customHeight="1" x14ac:dyDescent="0.2">
      <c r="A921" s="77"/>
      <c r="B921" s="77"/>
      <c r="C921" s="77"/>
      <c r="D921" s="107"/>
      <c r="E921" s="107"/>
      <c r="F921" s="77"/>
      <c r="G921" s="77"/>
      <c r="H921" s="108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</row>
    <row r="922" spans="1:32" ht="15.75" customHeight="1" x14ac:dyDescent="0.2">
      <c r="A922" s="77"/>
      <c r="B922" s="77"/>
      <c r="C922" s="77"/>
      <c r="D922" s="107"/>
      <c r="E922" s="107"/>
      <c r="F922" s="77"/>
      <c r="G922" s="77"/>
      <c r="H922" s="108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</row>
    <row r="923" spans="1:32" ht="15.75" customHeight="1" x14ac:dyDescent="0.2">
      <c r="A923" s="77"/>
      <c r="B923" s="77"/>
      <c r="C923" s="77"/>
      <c r="D923" s="107"/>
      <c r="E923" s="107"/>
      <c r="F923" s="77"/>
      <c r="G923" s="77"/>
      <c r="H923" s="108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</row>
    <row r="924" spans="1:32" ht="15.75" customHeight="1" x14ac:dyDescent="0.2">
      <c r="A924" s="77"/>
      <c r="B924" s="77"/>
      <c r="C924" s="77"/>
      <c r="D924" s="107"/>
      <c r="E924" s="107"/>
      <c r="F924" s="77"/>
      <c r="G924" s="77"/>
      <c r="H924" s="108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</row>
    <row r="925" spans="1:32" ht="15.75" customHeight="1" x14ac:dyDescent="0.2">
      <c r="A925" s="77"/>
      <c r="B925" s="77"/>
      <c r="C925" s="77"/>
      <c r="D925" s="107"/>
      <c r="E925" s="107"/>
      <c r="F925" s="77"/>
      <c r="G925" s="77"/>
      <c r="H925" s="108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</row>
    <row r="926" spans="1:32" ht="15.75" customHeight="1" x14ac:dyDescent="0.2">
      <c r="A926" s="77"/>
      <c r="B926" s="77"/>
      <c r="C926" s="77"/>
      <c r="D926" s="107"/>
      <c r="E926" s="107"/>
      <c r="F926" s="77"/>
      <c r="G926" s="77"/>
      <c r="H926" s="108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</row>
    <row r="927" spans="1:32" ht="15.75" customHeight="1" x14ac:dyDescent="0.2">
      <c r="A927" s="77"/>
      <c r="B927" s="77"/>
      <c r="C927" s="77"/>
      <c r="D927" s="107"/>
      <c r="E927" s="107"/>
      <c r="F927" s="77"/>
      <c r="G927" s="77"/>
      <c r="H927" s="108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</row>
    <row r="928" spans="1:32" ht="15.75" customHeight="1" x14ac:dyDescent="0.2">
      <c r="A928" s="77"/>
      <c r="B928" s="77"/>
      <c r="C928" s="77"/>
      <c r="D928" s="107"/>
      <c r="E928" s="107"/>
      <c r="F928" s="77"/>
      <c r="G928" s="77"/>
      <c r="H928" s="108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</row>
    <row r="929" spans="1:32" ht="15.75" customHeight="1" x14ac:dyDescent="0.2">
      <c r="A929" s="77"/>
      <c r="B929" s="77"/>
      <c r="C929" s="77"/>
      <c r="D929" s="107"/>
      <c r="E929" s="107"/>
      <c r="F929" s="77"/>
      <c r="G929" s="77"/>
      <c r="H929" s="108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</row>
    <row r="930" spans="1:32" ht="15.75" customHeight="1" x14ac:dyDescent="0.2">
      <c r="A930" s="77"/>
      <c r="B930" s="77"/>
      <c r="C930" s="77"/>
      <c r="D930" s="107"/>
      <c r="E930" s="107"/>
      <c r="F930" s="77"/>
      <c r="G930" s="77"/>
      <c r="H930" s="108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</row>
    <row r="931" spans="1:32" ht="15.75" customHeight="1" x14ac:dyDescent="0.2">
      <c r="A931" s="77"/>
      <c r="B931" s="77"/>
      <c r="C931" s="77"/>
      <c r="D931" s="107"/>
      <c r="E931" s="107"/>
      <c r="F931" s="77"/>
      <c r="G931" s="77"/>
      <c r="H931" s="108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</row>
    <row r="932" spans="1:32" ht="15.75" customHeight="1" x14ac:dyDescent="0.2">
      <c r="A932" s="77"/>
      <c r="B932" s="77"/>
      <c r="C932" s="77"/>
      <c r="D932" s="107"/>
      <c r="E932" s="107"/>
      <c r="F932" s="77"/>
      <c r="G932" s="77"/>
      <c r="H932" s="108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</row>
    <row r="933" spans="1:32" ht="15.75" customHeight="1" x14ac:dyDescent="0.2">
      <c r="A933" s="77"/>
      <c r="B933" s="77"/>
      <c r="C933" s="77"/>
      <c r="D933" s="107"/>
      <c r="E933" s="107"/>
      <c r="F933" s="77"/>
      <c r="G933" s="77"/>
      <c r="H933" s="108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</row>
    <row r="934" spans="1:32" ht="15.75" customHeight="1" x14ac:dyDescent="0.2">
      <c r="A934" s="77"/>
      <c r="B934" s="77"/>
      <c r="C934" s="77"/>
      <c r="D934" s="107"/>
      <c r="E934" s="107"/>
      <c r="F934" s="77"/>
      <c r="G934" s="77"/>
      <c r="H934" s="108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</row>
    <row r="935" spans="1:32" ht="15.75" customHeight="1" x14ac:dyDescent="0.2">
      <c r="A935" s="77"/>
      <c r="B935" s="77"/>
      <c r="C935" s="77"/>
      <c r="D935" s="107"/>
      <c r="E935" s="107"/>
      <c r="F935" s="77"/>
      <c r="G935" s="77"/>
      <c r="H935" s="108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</row>
    <row r="936" spans="1:32" ht="15.75" customHeight="1" x14ac:dyDescent="0.2">
      <c r="A936" s="77"/>
      <c r="B936" s="77"/>
      <c r="C936" s="77"/>
      <c r="D936" s="107"/>
      <c r="E936" s="107"/>
      <c r="F936" s="77"/>
      <c r="G936" s="77"/>
      <c r="H936" s="108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</row>
    <row r="937" spans="1:32" ht="15.75" customHeight="1" x14ac:dyDescent="0.2">
      <c r="A937" s="77"/>
      <c r="B937" s="77"/>
      <c r="C937" s="77"/>
      <c r="D937" s="107"/>
      <c r="E937" s="107"/>
      <c r="F937" s="77"/>
      <c r="G937" s="77"/>
      <c r="H937" s="108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</row>
    <row r="938" spans="1:32" ht="15.75" customHeight="1" x14ac:dyDescent="0.2">
      <c r="A938" s="77"/>
      <c r="B938" s="77"/>
      <c r="C938" s="77"/>
      <c r="D938" s="107"/>
      <c r="E938" s="107"/>
      <c r="F938" s="77"/>
      <c r="G938" s="77"/>
      <c r="H938" s="108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</row>
    <row r="939" spans="1:32" ht="15.75" customHeight="1" x14ac:dyDescent="0.2">
      <c r="A939" s="77"/>
      <c r="B939" s="77"/>
      <c r="C939" s="77"/>
      <c r="D939" s="107"/>
      <c r="E939" s="107"/>
      <c r="F939" s="77"/>
      <c r="G939" s="77"/>
      <c r="H939" s="108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</row>
    <row r="940" spans="1:32" ht="15.75" customHeight="1" x14ac:dyDescent="0.2">
      <c r="A940" s="77"/>
      <c r="B940" s="77"/>
      <c r="C940" s="77"/>
      <c r="D940" s="107"/>
      <c r="E940" s="107"/>
      <c r="F940" s="77"/>
      <c r="G940" s="77"/>
      <c r="H940" s="108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</row>
    <row r="941" spans="1:32" ht="15.75" customHeight="1" x14ac:dyDescent="0.2">
      <c r="A941" s="77"/>
      <c r="B941" s="77"/>
      <c r="C941" s="77"/>
      <c r="D941" s="107"/>
      <c r="E941" s="107"/>
      <c r="F941" s="77"/>
      <c r="G941" s="77"/>
      <c r="H941" s="108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</row>
    <row r="942" spans="1:32" ht="15.75" customHeight="1" x14ac:dyDescent="0.2">
      <c r="A942" s="77"/>
      <c r="B942" s="77"/>
      <c r="C942" s="77"/>
      <c r="D942" s="107"/>
      <c r="E942" s="107"/>
      <c r="F942" s="77"/>
      <c r="G942" s="77"/>
      <c r="H942" s="108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</row>
    <row r="943" spans="1:32" ht="15.75" customHeight="1" x14ac:dyDescent="0.2">
      <c r="A943" s="77"/>
      <c r="B943" s="77"/>
      <c r="C943" s="77"/>
      <c r="D943" s="107"/>
      <c r="E943" s="107"/>
      <c r="F943" s="77"/>
      <c r="G943" s="77"/>
      <c r="H943" s="108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</row>
    <row r="944" spans="1:32" ht="15.75" customHeight="1" x14ac:dyDescent="0.2">
      <c r="A944" s="77"/>
      <c r="B944" s="77"/>
      <c r="C944" s="77"/>
      <c r="D944" s="107"/>
      <c r="E944" s="107"/>
      <c r="F944" s="77"/>
      <c r="G944" s="77"/>
      <c r="H944" s="108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</row>
    <row r="945" spans="1:32" ht="15.75" customHeight="1" x14ac:dyDescent="0.2">
      <c r="A945" s="77"/>
      <c r="B945" s="77"/>
      <c r="C945" s="77"/>
      <c r="D945" s="107"/>
      <c r="E945" s="107"/>
      <c r="F945" s="77"/>
      <c r="G945" s="77"/>
      <c r="H945" s="108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</row>
    <row r="946" spans="1:32" ht="15.75" customHeight="1" x14ac:dyDescent="0.2">
      <c r="A946" s="77"/>
      <c r="B946" s="77"/>
      <c r="C946" s="77"/>
      <c r="D946" s="107"/>
      <c r="E946" s="107"/>
      <c r="F946" s="77"/>
      <c r="G946" s="77"/>
      <c r="H946" s="108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</row>
    <row r="947" spans="1:32" ht="15.75" customHeight="1" x14ac:dyDescent="0.2">
      <c r="A947" s="77"/>
      <c r="B947" s="77"/>
      <c r="C947" s="77"/>
      <c r="D947" s="107"/>
      <c r="E947" s="107"/>
      <c r="F947" s="77"/>
      <c r="G947" s="77"/>
      <c r="H947" s="108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</row>
    <row r="948" spans="1:32" ht="15.75" customHeight="1" x14ac:dyDescent="0.2">
      <c r="A948" s="77"/>
      <c r="B948" s="77"/>
      <c r="C948" s="77"/>
      <c r="D948" s="107"/>
      <c r="E948" s="107"/>
      <c r="F948" s="77"/>
      <c r="G948" s="77"/>
      <c r="H948" s="108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</row>
    <row r="949" spans="1:32" ht="15.75" customHeight="1" x14ac:dyDescent="0.2">
      <c r="A949" s="77"/>
      <c r="B949" s="77"/>
      <c r="C949" s="77"/>
      <c r="D949" s="107"/>
      <c r="E949" s="107"/>
      <c r="F949" s="77"/>
      <c r="G949" s="77"/>
      <c r="H949" s="108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</row>
    <row r="950" spans="1:32" ht="15.75" customHeight="1" x14ac:dyDescent="0.2">
      <c r="A950" s="77"/>
      <c r="B950" s="77"/>
      <c r="C950" s="77"/>
      <c r="D950" s="107"/>
      <c r="E950" s="107"/>
      <c r="F950" s="77"/>
      <c r="G950" s="77"/>
      <c r="H950" s="108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</row>
    <row r="951" spans="1:32" ht="15.75" customHeight="1" x14ac:dyDescent="0.2">
      <c r="A951" s="77"/>
      <c r="B951" s="77"/>
      <c r="C951" s="77"/>
      <c r="D951" s="107"/>
      <c r="E951" s="107"/>
      <c r="F951" s="77"/>
      <c r="G951" s="77"/>
      <c r="H951" s="108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</row>
    <row r="952" spans="1:32" ht="15.75" customHeight="1" x14ac:dyDescent="0.2">
      <c r="A952" s="77"/>
      <c r="B952" s="77"/>
      <c r="C952" s="77"/>
      <c r="D952" s="107"/>
      <c r="E952" s="107"/>
      <c r="F952" s="77"/>
      <c r="G952" s="77"/>
      <c r="H952" s="108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</row>
    <row r="953" spans="1:32" ht="15.75" customHeight="1" x14ac:dyDescent="0.2">
      <c r="A953" s="77"/>
      <c r="B953" s="77"/>
      <c r="C953" s="77"/>
      <c r="D953" s="107"/>
      <c r="E953" s="107"/>
      <c r="F953" s="77"/>
      <c r="G953" s="77"/>
      <c r="H953" s="108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</row>
    <row r="954" spans="1:32" ht="15.75" customHeight="1" x14ac:dyDescent="0.2">
      <c r="A954" s="77"/>
      <c r="B954" s="77"/>
      <c r="C954" s="77"/>
      <c r="D954" s="107"/>
      <c r="E954" s="107"/>
      <c r="F954" s="77"/>
      <c r="G954" s="77"/>
      <c r="H954" s="108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</row>
    <row r="955" spans="1:32" ht="15.75" customHeight="1" x14ac:dyDescent="0.2">
      <c r="A955" s="77"/>
      <c r="B955" s="77"/>
      <c r="C955" s="77"/>
      <c r="D955" s="107"/>
      <c r="E955" s="107"/>
      <c r="F955" s="77"/>
      <c r="G955" s="77"/>
      <c r="H955" s="108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</row>
    <row r="956" spans="1:32" ht="15.75" customHeight="1" x14ac:dyDescent="0.2">
      <c r="A956" s="77"/>
      <c r="B956" s="77"/>
      <c r="C956" s="77"/>
      <c r="D956" s="107"/>
      <c r="E956" s="107"/>
      <c r="F956" s="77"/>
      <c r="G956" s="77"/>
      <c r="H956" s="108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</row>
    <row r="957" spans="1:32" ht="15.75" customHeight="1" x14ac:dyDescent="0.2">
      <c r="A957" s="77"/>
      <c r="B957" s="77"/>
      <c r="C957" s="77"/>
      <c r="D957" s="107"/>
      <c r="E957" s="107"/>
      <c r="F957" s="77"/>
      <c r="G957" s="77"/>
      <c r="H957" s="108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</row>
    <row r="958" spans="1:32" ht="15.75" customHeight="1" x14ac:dyDescent="0.2">
      <c r="A958" s="77"/>
      <c r="B958" s="77"/>
      <c r="C958" s="77"/>
      <c r="D958" s="107"/>
      <c r="E958" s="107"/>
      <c r="F958" s="77"/>
      <c r="G958" s="77"/>
      <c r="H958" s="108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</row>
    <row r="959" spans="1:32" ht="15.75" customHeight="1" x14ac:dyDescent="0.2">
      <c r="A959" s="77"/>
      <c r="B959" s="77"/>
      <c r="C959" s="77"/>
      <c r="D959" s="107"/>
      <c r="E959" s="107"/>
      <c r="F959" s="77"/>
      <c r="G959" s="77"/>
      <c r="H959" s="108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</row>
    <row r="960" spans="1:32" ht="15.75" customHeight="1" x14ac:dyDescent="0.2">
      <c r="A960" s="77"/>
      <c r="B960" s="77"/>
      <c r="C960" s="77"/>
      <c r="D960" s="107"/>
      <c r="E960" s="107"/>
      <c r="F960" s="77"/>
      <c r="G960" s="77"/>
      <c r="H960" s="108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</row>
    <row r="961" spans="1:32" ht="15.75" customHeight="1" x14ac:dyDescent="0.2">
      <c r="A961" s="77"/>
      <c r="B961" s="77"/>
      <c r="C961" s="77"/>
      <c r="D961" s="107"/>
      <c r="E961" s="107"/>
      <c r="F961" s="77"/>
      <c r="G961" s="77"/>
      <c r="H961" s="108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</row>
    <row r="962" spans="1:32" ht="15.75" customHeight="1" x14ac:dyDescent="0.2">
      <c r="A962" s="77"/>
      <c r="B962" s="77"/>
      <c r="C962" s="77"/>
      <c r="D962" s="107"/>
      <c r="E962" s="107"/>
      <c r="F962" s="77"/>
      <c r="G962" s="77"/>
      <c r="H962" s="108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</row>
    <row r="963" spans="1:32" ht="15.75" customHeight="1" x14ac:dyDescent="0.2">
      <c r="A963" s="77"/>
      <c r="B963" s="77"/>
      <c r="C963" s="77"/>
      <c r="D963" s="107"/>
      <c r="E963" s="107"/>
      <c r="F963" s="77"/>
      <c r="G963" s="77"/>
      <c r="H963" s="108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</row>
    <row r="964" spans="1:32" ht="15.75" customHeight="1" x14ac:dyDescent="0.2">
      <c r="A964" s="77"/>
      <c r="B964" s="77"/>
      <c r="C964" s="77"/>
      <c r="D964" s="107"/>
      <c r="E964" s="107"/>
      <c r="F964" s="77"/>
      <c r="G964" s="77"/>
      <c r="H964" s="108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</row>
    <row r="965" spans="1:32" ht="15.75" customHeight="1" x14ac:dyDescent="0.2">
      <c r="A965" s="77"/>
      <c r="B965" s="77"/>
      <c r="C965" s="77"/>
      <c r="D965" s="107"/>
      <c r="E965" s="107"/>
      <c r="F965" s="77"/>
      <c r="G965" s="77"/>
      <c r="H965" s="108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</row>
    <row r="966" spans="1:32" ht="15.75" customHeight="1" x14ac:dyDescent="0.2">
      <c r="A966" s="77"/>
      <c r="B966" s="77"/>
      <c r="C966" s="77"/>
      <c r="D966" s="107"/>
      <c r="E966" s="107"/>
      <c r="F966" s="77"/>
      <c r="G966" s="77"/>
      <c r="H966" s="108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</row>
    <row r="967" spans="1:32" ht="15.75" customHeight="1" x14ac:dyDescent="0.2">
      <c r="A967" s="77"/>
      <c r="B967" s="77"/>
      <c r="C967" s="77"/>
      <c r="D967" s="107"/>
      <c r="E967" s="107"/>
      <c r="F967" s="77"/>
      <c r="G967" s="77"/>
      <c r="H967" s="108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</row>
    <row r="968" spans="1:32" ht="15.75" customHeight="1" x14ac:dyDescent="0.2">
      <c r="A968" s="77"/>
      <c r="B968" s="77"/>
      <c r="C968" s="77"/>
      <c r="D968" s="107"/>
      <c r="E968" s="107"/>
      <c r="F968" s="77"/>
      <c r="G968" s="77"/>
      <c r="H968" s="108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</row>
    <row r="969" spans="1:32" ht="15.75" customHeight="1" x14ac:dyDescent="0.2">
      <c r="A969" s="77"/>
      <c r="B969" s="77"/>
      <c r="C969" s="77"/>
      <c r="D969" s="107"/>
      <c r="E969" s="107"/>
      <c r="F969" s="77"/>
      <c r="G969" s="77"/>
      <c r="H969" s="108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</row>
    <row r="970" spans="1:32" ht="15.75" customHeight="1" x14ac:dyDescent="0.2">
      <c r="A970" s="77"/>
      <c r="B970" s="77"/>
      <c r="C970" s="77"/>
      <c r="D970" s="107"/>
      <c r="E970" s="107"/>
      <c r="F970" s="77"/>
      <c r="G970" s="77"/>
      <c r="H970" s="108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</row>
    <row r="971" spans="1:32" ht="15.75" customHeight="1" x14ac:dyDescent="0.2">
      <c r="A971" s="77"/>
      <c r="B971" s="77"/>
      <c r="C971" s="77"/>
      <c r="D971" s="107"/>
      <c r="E971" s="107"/>
      <c r="F971" s="77"/>
      <c r="G971" s="77"/>
      <c r="H971" s="108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</row>
    <row r="972" spans="1:32" ht="15.75" customHeight="1" x14ac:dyDescent="0.2">
      <c r="A972" s="77"/>
      <c r="B972" s="77"/>
      <c r="C972" s="77"/>
      <c r="D972" s="107"/>
      <c r="E972" s="107"/>
      <c r="F972" s="77"/>
      <c r="G972" s="77"/>
      <c r="H972" s="108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</row>
    <row r="973" spans="1:32" ht="15.75" customHeight="1" x14ac:dyDescent="0.2">
      <c r="A973" s="77"/>
      <c r="B973" s="77"/>
      <c r="C973" s="77"/>
      <c r="D973" s="107"/>
      <c r="E973" s="107"/>
      <c r="F973" s="77"/>
      <c r="G973" s="77"/>
      <c r="H973" s="108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</row>
    <row r="974" spans="1:32" ht="15.75" customHeight="1" x14ac:dyDescent="0.2">
      <c r="A974" s="77"/>
      <c r="B974" s="77"/>
      <c r="C974" s="77"/>
      <c r="D974" s="107"/>
      <c r="E974" s="107"/>
      <c r="F974" s="77"/>
      <c r="G974" s="77"/>
      <c r="H974" s="108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</row>
    <row r="975" spans="1:32" ht="15.75" customHeight="1" x14ac:dyDescent="0.2">
      <c r="A975" s="77"/>
      <c r="B975" s="77"/>
      <c r="C975" s="77"/>
      <c r="D975" s="107"/>
      <c r="E975" s="107"/>
      <c r="F975" s="77"/>
      <c r="G975" s="77"/>
      <c r="H975" s="108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</row>
    <row r="976" spans="1:32" ht="15.75" customHeight="1" x14ac:dyDescent="0.2">
      <c r="A976" s="77"/>
      <c r="B976" s="77"/>
      <c r="C976" s="77"/>
      <c r="D976" s="107"/>
      <c r="E976" s="107"/>
      <c r="F976" s="77"/>
      <c r="G976" s="77"/>
      <c r="H976" s="108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</row>
    <row r="977" spans="1:32" ht="15.75" customHeight="1" x14ac:dyDescent="0.2">
      <c r="A977" s="77"/>
      <c r="B977" s="77"/>
      <c r="C977" s="77"/>
      <c r="D977" s="107"/>
      <c r="E977" s="107"/>
      <c r="F977" s="77"/>
      <c r="G977" s="77"/>
      <c r="H977" s="108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</row>
    <row r="978" spans="1:32" ht="15.75" customHeight="1" x14ac:dyDescent="0.2">
      <c r="A978" s="77"/>
      <c r="B978" s="77"/>
      <c r="C978" s="77"/>
      <c r="D978" s="107"/>
      <c r="E978" s="107"/>
      <c r="F978" s="77"/>
      <c r="G978" s="77"/>
      <c r="H978" s="108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</row>
    <row r="979" spans="1:32" ht="15.75" customHeight="1" x14ac:dyDescent="0.2">
      <c r="A979" s="77"/>
      <c r="B979" s="77"/>
      <c r="C979" s="77"/>
      <c r="D979" s="107"/>
      <c r="E979" s="107"/>
      <c r="F979" s="77"/>
      <c r="G979" s="77"/>
      <c r="H979" s="108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</row>
    <row r="980" spans="1:32" ht="15.75" customHeight="1" x14ac:dyDescent="0.2">
      <c r="A980" s="77"/>
      <c r="B980" s="77"/>
      <c r="C980" s="77"/>
      <c r="D980" s="107"/>
      <c r="E980" s="107"/>
      <c r="F980" s="77"/>
      <c r="G980" s="77"/>
      <c r="H980" s="108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</row>
    <row r="981" spans="1:32" ht="15.75" customHeight="1" x14ac:dyDescent="0.2">
      <c r="A981" s="77"/>
      <c r="B981" s="77"/>
      <c r="C981" s="77"/>
      <c r="D981" s="107"/>
      <c r="E981" s="107"/>
      <c r="F981" s="77"/>
      <c r="G981" s="77"/>
      <c r="H981" s="108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</row>
    <row r="982" spans="1:32" ht="15.75" customHeight="1" x14ac:dyDescent="0.2">
      <c r="A982" s="77"/>
      <c r="B982" s="77"/>
      <c r="C982" s="77"/>
      <c r="D982" s="107"/>
      <c r="E982" s="107"/>
      <c r="F982" s="77"/>
      <c r="G982" s="77"/>
      <c r="H982" s="108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</row>
    <row r="983" spans="1:32" ht="15.75" customHeight="1" x14ac:dyDescent="0.2">
      <c r="A983" s="77"/>
      <c r="B983" s="77"/>
      <c r="C983" s="77"/>
      <c r="D983" s="107"/>
      <c r="E983" s="107"/>
      <c r="F983" s="77"/>
      <c r="G983" s="77"/>
      <c r="H983" s="108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</row>
    <row r="984" spans="1:32" ht="15.75" customHeight="1" x14ac:dyDescent="0.2">
      <c r="A984" s="77"/>
      <c r="B984" s="77"/>
      <c r="C984" s="77"/>
      <c r="D984" s="107"/>
      <c r="E984" s="107"/>
      <c r="F984" s="77"/>
      <c r="G984" s="77"/>
      <c r="H984" s="108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</row>
    <row r="985" spans="1:32" ht="15.75" customHeight="1" x14ac:dyDescent="0.2">
      <c r="A985" s="77"/>
      <c r="B985" s="77"/>
      <c r="C985" s="77"/>
      <c r="D985" s="107"/>
      <c r="E985" s="107"/>
      <c r="F985" s="77"/>
      <c r="G985" s="77"/>
      <c r="H985" s="108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</row>
    <row r="986" spans="1:32" ht="15.75" customHeight="1" x14ac:dyDescent="0.2">
      <c r="A986" s="77"/>
      <c r="B986" s="77"/>
      <c r="C986" s="77"/>
      <c r="D986" s="107"/>
      <c r="E986" s="107"/>
      <c r="F986" s="77"/>
      <c r="G986" s="77"/>
      <c r="H986" s="108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</row>
    <row r="987" spans="1:32" ht="15.75" customHeight="1" x14ac:dyDescent="0.2">
      <c r="A987" s="77"/>
      <c r="B987" s="77"/>
      <c r="C987" s="77"/>
      <c r="D987" s="107"/>
      <c r="E987" s="107"/>
      <c r="F987" s="77"/>
      <c r="G987" s="77"/>
      <c r="H987" s="108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</row>
    <row r="988" spans="1:32" ht="15.75" customHeight="1" x14ac:dyDescent="0.2">
      <c r="A988" s="77"/>
      <c r="B988" s="77"/>
      <c r="C988" s="77"/>
      <c r="D988" s="107"/>
      <c r="E988" s="107"/>
      <c r="F988" s="77"/>
      <c r="G988" s="77"/>
      <c r="H988" s="108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</row>
    <row r="989" spans="1:32" ht="15.75" customHeight="1" x14ac:dyDescent="0.2">
      <c r="A989" s="77"/>
      <c r="B989" s="77"/>
      <c r="C989" s="77"/>
      <c r="D989" s="107"/>
      <c r="E989" s="107"/>
      <c r="F989" s="77"/>
      <c r="G989" s="77"/>
      <c r="H989" s="108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</row>
    <row r="990" spans="1:32" ht="15.75" customHeight="1" x14ac:dyDescent="0.2">
      <c r="A990" s="77"/>
      <c r="B990" s="77"/>
      <c r="C990" s="77"/>
      <c r="D990" s="107"/>
      <c r="E990" s="107"/>
      <c r="F990" s="77"/>
      <c r="G990" s="77"/>
      <c r="H990" s="108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</row>
    <row r="991" spans="1:32" ht="15.75" customHeight="1" x14ac:dyDescent="0.2">
      <c r="A991" s="77"/>
      <c r="B991" s="77"/>
      <c r="C991" s="77"/>
      <c r="D991" s="107"/>
      <c r="E991" s="107"/>
      <c r="F991" s="77"/>
      <c r="G991" s="77"/>
      <c r="H991" s="108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</row>
    <row r="992" spans="1:32" ht="15.75" customHeight="1" x14ac:dyDescent="0.2">
      <c r="A992" s="77"/>
      <c r="B992" s="77"/>
      <c r="C992" s="77"/>
      <c r="D992" s="107"/>
      <c r="E992" s="107"/>
      <c r="F992" s="77"/>
      <c r="G992" s="77"/>
      <c r="H992" s="108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</row>
    <row r="993" spans="1:32" ht="15.75" customHeight="1" x14ac:dyDescent="0.2">
      <c r="A993" s="77"/>
      <c r="B993" s="77"/>
      <c r="C993" s="77"/>
      <c r="D993" s="107"/>
      <c r="E993" s="107"/>
      <c r="F993" s="77"/>
      <c r="G993" s="77"/>
      <c r="H993" s="108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</row>
    <row r="994" spans="1:32" ht="15.75" customHeight="1" x14ac:dyDescent="0.2">
      <c r="A994" s="77"/>
      <c r="B994" s="77"/>
      <c r="C994" s="77"/>
      <c r="D994" s="107"/>
      <c r="E994" s="107"/>
      <c r="F994" s="77"/>
      <c r="G994" s="77"/>
      <c r="H994" s="108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</row>
    <row r="995" spans="1:32" ht="15.75" customHeight="1" x14ac:dyDescent="0.2">
      <c r="A995" s="77"/>
      <c r="B995" s="77"/>
      <c r="C995" s="77"/>
      <c r="D995" s="107"/>
      <c r="E995" s="107"/>
      <c r="F995" s="77"/>
      <c r="G995" s="77"/>
      <c r="H995" s="108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</row>
    <row r="996" spans="1:32" ht="15.75" customHeight="1" x14ac:dyDescent="0.2">
      <c r="A996" s="77"/>
      <c r="B996" s="77"/>
      <c r="C996" s="77"/>
      <c r="D996" s="107"/>
      <c r="E996" s="107"/>
      <c r="F996" s="77"/>
      <c r="G996" s="77"/>
      <c r="H996" s="108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</row>
    <row r="997" spans="1:32" ht="15.75" customHeight="1" x14ac:dyDescent="0.2">
      <c r="A997" s="77"/>
      <c r="B997" s="77"/>
      <c r="C997" s="77"/>
      <c r="D997" s="107"/>
      <c r="E997" s="107"/>
      <c r="F997" s="77"/>
      <c r="G997" s="77"/>
      <c r="H997" s="108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</row>
    <row r="998" spans="1:32" ht="15.75" customHeight="1" x14ac:dyDescent="0.2">
      <c r="A998" s="77"/>
      <c r="B998" s="77"/>
      <c r="C998" s="77"/>
      <c r="D998" s="107"/>
      <c r="E998" s="107"/>
      <c r="F998" s="77"/>
      <c r="G998" s="77"/>
      <c r="H998" s="108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</row>
    <row r="999" spans="1:32" ht="15.75" customHeight="1" x14ac:dyDescent="0.2">
      <c r="A999" s="77"/>
      <c r="B999" s="77"/>
      <c r="C999" s="77"/>
      <c r="D999" s="107"/>
      <c r="E999" s="107"/>
      <c r="F999" s="77"/>
      <c r="G999" s="77"/>
      <c r="H999" s="108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</row>
    <row r="1000" spans="1:32" ht="15.75" customHeight="1" x14ac:dyDescent="0.2">
      <c r="A1000" s="77"/>
      <c r="B1000" s="77"/>
      <c r="C1000" s="77"/>
      <c r="D1000" s="107"/>
      <c r="E1000" s="107"/>
      <c r="F1000" s="77"/>
      <c r="G1000" s="77"/>
      <c r="H1000" s="108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</row>
  </sheetData>
  <autoFilter ref="A1:AF657" xr:uid="{00000000-0009-0000-0000-000007000000}"/>
  <printOptions horizontalCentered="1"/>
  <pageMargins left="0.31496062992126" right="0.31496062992126" top="0.59055118110236204" bottom="7.8740157480315001E-2" header="0" footer="0"/>
  <pageSetup paperSize="14" fitToHeight="0" orientation="portrait"/>
  <headerFooter>
    <oddFooter>&amp;RPage &amp;P of</oddFooter>
  </headerFooter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X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" customHeight="1" x14ac:dyDescent="0.2"/>
  <cols>
    <col min="1" max="1" width="5.7109375" customWidth="1"/>
    <col min="2" max="2" width="34.5703125" customWidth="1"/>
    <col min="3" max="4" width="11" customWidth="1"/>
    <col min="5" max="5" width="13.28515625" customWidth="1"/>
    <col min="6" max="7" width="13.42578125" customWidth="1"/>
    <col min="8" max="8" width="33.85546875" customWidth="1"/>
    <col min="9" max="9" width="46.28515625" customWidth="1"/>
    <col min="10" max="10" width="40.28515625" customWidth="1"/>
    <col min="11" max="11" width="41.85546875" customWidth="1"/>
    <col min="12" max="12" width="37.42578125" customWidth="1"/>
    <col min="13" max="13" width="27.28515625" customWidth="1"/>
    <col min="14" max="14" width="32.42578125" customWidth="1"/>
    <col min="15" max="15" width="48" customWidth="1"/>
    <col min="16" max="20" width="8.7109375" customWidth="1"/>
    <col min="21" max="21" width="30.42578125" customWidth="1"/>
    <col min="22" max="24" width="8.7109375" customWidth="1"/>
    <col min="25" max="26" width="14.42578125" customWidth="1"/>
  </cols>
  <sheetData>
    <row r="1" spans="1:24" ht="12.75" customHeight="1" x14ac:dyDescent="0.2">
      <c r="A1" s="19"/>
      <c r="B1" s="19"/>
      <c r="C1" s="19"/>
      <c r="D1" s="19"/>
      <c r="E1" s="182" t="s">
        <v>2</v>
      </c>
      <c r="F1" s="173"/>
      <c r="G1" s="174"/>
      <c r="H1" s="183" t="s">
        <v>292</v>
      </c>
      <c r="I1" s="173"/>
      <c r="J1" s="174"/>
      <c r="K1" s="184" t="s">
        <v>150</v>
      </c>
      <c r="L1" s="173"/>
      <c r="M1" s="174"/>
      <c r="N1" s="84"/>
      <c r="O1" s="84"/>
      <c r="P1" s="84"/>
      <c r="Q1" s="45"/>
    </row>
    <row r="2" spans="1:24" ht="12.75" customHeight="1" x14ac:dyDescent="0.25">
      <c r="A2" s="19"/>
      <c r="B2" s="19"/>
      <c r="C2" s="85" t="s">
        <v>2</v>
      </c>
      <c r="D2" s="85" t="s">
        <v>2</v>
      </c>
      <c r="E2" s="86" t="s">
        <v>3057</v>
      </c>
      <c r="F2" s="86" t="s">
        <v>3058</v>
      </c>
      <c r="G2" s="86" t="s">
        <v>3059</v>
      </c>
      <c r="H2" s="85" t="s">
        <v>3057</v>
      </c>
      <c r="I2" s="85" t="s">
        <v>3058</v>
      </c>
      <c r="J2" s="85" t="s">
        <v>3059</v>
      </c>
      <c r="K2" s="85" t="s">
        <v>3057</v>
      </c>
      <c r="L2" s="85" t="s">
        <v>3058</v>
      </c>
      <c r="M2" s="85" t="s">
        <v>3059</v>
      </c>
      <c r="N2" s="17" t="s">
        <v>151</v>
      </c>
      <c r="S2" s="19" t="s">
        <v>14</v>
      </c>
      <c r="T2" s="87" t="s">
        <v>3046</v>
      </c>
      <c r="U2" s="19" t="s">
        <v>3024</v>
      </c>
      <c r="W2" s="17" t="s">
        <v>3060</v>
      </c>
      <c r="X2" s="17" t="s">
        <v>4</v>
      </c>
    </row>
    <row r="3" spans="1:24" ht="12.75" customHeight="1" x14ac:dyDescent="0.25">
      <c r="A3" s="86" t="s">
        <v>3061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S3" s="19" t="s">
        <v>57</v>
      </c>
      <c r="T3" s="87" t="s">
        <v>3046</v>
      </c>
      <c r="U3" s="19" t="s">
        <v>3025</v>
      </c>
    </row>
    <row r="4" spans="1:24" ht="12.75" customHeight="1" x14ac:dyDescent="0.25">
      <c r="A4" s="19">
        <v>1</v>
      </c>
      <c r="B4" s="19" t="s">
        <v>3062</v>
      </c>
      <c r="C4" s="19" t="e">
        <f t="shared" ref="C4:C67" si="0">VLOOKUP(E4,$S$2:$T$15,2,0)</f>
        <v>#REF!</v>
      </c>
      <c r="D4" s="19" t="e">
        <f t="shared" ref="D4:D67" si="1">VLOOKUP(E4,$S$2:$U$15,3,0)</f>
        <v>#REF!</v>
      </c>
      <c r="E4" s="19" t="e">
        <f t="shared" ref="E4:E67" si="2">VLOOKUP(B4,#REF!,2,0)</f>
        <v>#REF!</v>
      </c>
      <c r="F4" s="19" t="e">
        <f>VLOOKUP(B4,'Station List'!#REF!,2,0)</f>
        <v>#REF!</v>
      </c>
      <c r="G4" s="19" t="e">
        <f>VLOOKUP(B4,#REF!,2,0)</f>
        <v>#REF!</v>
      </c>
      <c r="H4" s="19" t="e">
        <f t="shared" ref="H4:H408" si="3">VLOOKUP(B4,#REF!,3,0)</f>
        <v>#REF!</v>
      </c>
      <c r="I4" s="19" t="e">
        <f>VLOOKUP(B4,'Station List'!#REF!,4,0)</f>
        <v>#REF!</v>
      </c>
      <c r="J4" s="19" t="e">
        <f>VLOOKUP(B4,#REF!,3,0)</f>
        <v>#REF!</v>
      </c>
      <c r="K4" s="19" t="e">
        <f t="shared" ref="K4:K166" si="4">VLOOKUP(B4,#REF!,4,0)</f>
        <v>#REF!</v>
      </c>
      <c r="L4" s="19" t="e">
        <f>VLOOKUP(B4,'Station List'!#REF!,9,0)</f>
        <v>#REF!</v>
      </c>
      <c r="M4" s="19" t="e">
        <f>VLOOKUP(B4,#REF!,4,0)</f>
        <v>#REF!</v>
      </c>
      <c r="N4" s="17"/>
      <c r="O4" s="17"/>
      <c r="P4" s="17"/>
      <c r="Q4" s="17"/>
      <c r="R4" s="17"/>
      <c r="S4" s="19" t="s">
        <v>62</v>
      </c>
      <c r="T4" s="87" t="s">
        <v>3046</v>
      </c>
      <c r="U4" s="19" t="s">
        <v>92</v>
      </c>
      <c r="V4" s="17"/>
      <c r="W4" s="17" t="e">
        <f t="shared" ref="W4:W67" si="5">IF(I4=J4,0,1)</f>
        <v>#REF!</v>
      </c>
      <c r="X4" s="17" t="e">
        <f t="shared" ref="X4:X67" si="6">IF(L4=M4,0,1)</f>
        <v>#REF!</v>
      </c>
    </row>
    <row r="5" spans="1:24" ht="12.75" customHeight="1" x14ac:dyDescent="0.25">
      <c r="A5" s="19">
        <v>2</v>
      </c>
      <c r="B5" s="19" t="s">
        <v>3064</v>
      </c>
      <c r="C5" s="19" t="e">
        <f t="shared" si="0"/>
        <v>#REF!</v>
      </c>
      <c r="D5" s="19" t="e">
        <f t="shared" si="1"/>
        <v>#REF!</v>
      </c>
      <c r="E5" s="19" t="e">
        <f t="shared" si="2"/>
        <v>#REF!</v>
      </c>
      <c r="F5" s="19" t="e">
        <f>VLOOKUP(B5,'Station List'!#REF!,2,0)</f>
        <v>#REF!</v>
      </c>
      <c r="G5" s="19" t="e">
        <f>VLOOKUP(B5,#REF!,2,0)</f>
        <v>#REF!</v>
      </c>
      <c r="H5" s="19" t="e">
        <f t="shared" si="3"/>
        <v>#REF!</v>
      </c>
      <c r="I5" s="19" t="e">
        <f>VLOOKUP(B5,'Station List'!#REF!,4,0)</f>
        <v>#REF!</v>
      </c>
      <c r="J5" s="19" t="e">
        <f>VLOOKUP(B5,#REF!,3,0)</f>
        <v>#REF!</v>
      </c>
      <c r="K5" s="19" t="e">
        <f t="shared" si="4"/>
        <v>#REF!</v>
      </c>
      <c r="L5" s="19" t="e">
        <f>VLOOKUP(B5,'Station List'!#REF!,9,0)</f>
        <v>#REF!</v>
      </c>
      <c r="M5" s="19" t="e">
        <f>VLOOKUP(B5,#REF!,4,0)</f>
        <v>#REF!</v>
      </c>
      <c r="N5" s="17"/>
      <c r="O5" s="17"/>
      <c r="P5" s="17"/>
      <c r="Q5" s="17"/>
      <c r="R5" s="17"/>
      <c r="S5" s="19" t="s">
        <v>318</v>
      </c>
      <c r="T5" s="87" t="s">
        <v>3046</v>
      </c>
      <c r="U5" s="19" t="s">
        <v>3027</v>
      </c>
      <c r="V5" s="17"/>
      <c r="W5" s="17" t="e">
        <f t="shared" si="5"/>
        <v>#REF!</v>
      </c>
      <c r="X5" s="17" t="e">
        <f t="shared" si="6"/>
        <v>#REF!</v>
      </c>
    </row>
    <row r="6" spans="1:24" ht="12.75" customHeight="1" x14ac:dyDescent="0.25">
      <c r="A6" s="19">
        <v>3</v>
      </c>
      <c r="B6" s="19" t="s">
        <v>3066</v>
      </c>
      <c r="C6" s="19" t="e">
        <f t="shared" si="0"/>
        <v>#REF!</v>
      </c>
      <c r="D6" s="19" t="e">
        <f t="shared" si="1"/>
        <v>#REF!</v>
      </c>
      <c r="E6" s="19" t="e">
        <f t="shared" si="2"/>
        <v>#REF!</v>
      </c>
      <c r="F6" s="19" t="e">
        <f>VLOOKUP(B6,'Station List'!#REF!,2,0)</f>
        <v>#REF!</v>
      </c>
      <c r="G6" s="19" t="e">
        <f>VLOOKUP(B6,#REF!,2,0)</f>
        <v>#REF!</v>
      </c>
      <c r="H6" s="19" t="e">
        <f t="shared" si="3"/>
        <v>#REF!</v>
      </c>
      <c r="I6" s="19" t="e">
        <f>VLOOKUP(B6,'Station List'!#REF!,4,0)</f>
        <v>#REF!</v>
      </c>
      <c r="J6" s="19" t="e">
        <f>VLOOKUP(B6,#REF!,3,0)</f>
        <v>#REF!</v>
      </c>
      <c r="K6" s="19" t="e">
        <f t="shared" si="4"/>
        <v>#REF!</v>
      </c>
      <c r="L6" s="19" t="e">
        <f>VLOOKUP(B6,'Station List'!#REF!,9,0)</f>
        <v>#REF!</v>
      </c>
      <c r="M6" s="19" t="e">
        <f>VLOOKUP(B6,#REF!,4,0)</f>
        <v>#REF!</v>
      </c>
      <c r="N6" s="17"/>
      <c r="O6" s="17"/>
      <c r="P6" s="17"/>
      <c r="Q6" s="17"/>
      <c r="R6" s="17"/>
      <c r="S6" s="19" t="s">
        <v>127</v>
      </c>
      <c r="T6" s="87" t="s">
        <v>3046</v>
      </c>
      <c r="U6" s="19" t="s">
        <v>3028</v>
      </c>
      <c r="V6" s="17"/>
      <c r="W6" s="17" t="e">
        <f t="shared" si="5"/>
        <v>#REF!</v>
      </c>
      <c r="X6" s="17" t="e">
        <f t="shared" si="6"/>
        <v>#REF!</v>
      </c>
    </row>
    <row r="7" spans="1:24" ht="12.75" customHeight="1" x14ac:dyDescent="0.25">
      <c r="A7" s="19">
        <v>4</v>
      </c>
      <c r="B7" s="19" t="s">
        <v>3067</v>
      </c>
      <c r="C7" s="19" t="e">
        <f t="shared" si="0"/>
        <v>#REF!</v>
      </c>
      <c r="D7" s="19" t="e">
        <f t="shared" si="1"/>
        <v>#REF!</v>
      </c>
      <c r="E7" s="19" t="e">
        <f t="shared" si="2"/>
        <v>#REF!</v>
      </c>
      <c r="F7" s="19" t="e">
        <f>VLOOKUP(B7,'Station List'!#REF!,2,0)</f>
        <v>#REF!</v>
      </c>
      <c r="G7" s="19" t="e">
        <f>VLOOKUP(B7,#REF!,2,0)</f>
        <v>#REF!</v>
      </c>
      <c r="H7" s="19" t="e">
        <f t="shared" si="3"/>
        <v>#REF!</v>
      </c>
      <c r="I7" s="19" t="e">
        <f>VLOOKUP(B7,'Station List'!#REF!,4,0)</f>
        <v>#REF!</v>
      </c>
      <c r="J7" s="19" t="e">
        <f>VLOOKUP(B7,#REF!,3,0)</f>
        <v>#REF!</v>
      </c>
      <c r="K7" s="19" t="e">
        <f t="shared" si="4"/>
        <v>#REF!</v>
      </c>
      <c r="L7" s="19" t="e">
        <f>VLOOKUP(B7,'Station List'!#REF!,9,0)</f>
        <v>#REF!</v>
      </c>
      <c r="M7" s="19" t="e">
        <f>VLOOKUP(B7,#REF!,4,0)</f>
        <v>#REF!</v>
      </c>
      <c r="N7" s="17"/>
      <c r="O7" s="17"/>
      <c r="P7" s="17"/>
      <c r="Q7" s="17"/>
      <c r="R7" s="17"/>
      <c r="S7" s="19" t="s">
        <v>323</v>
      </c>
      <c r="T7" s="87" t="s">
        <v>3046</v>
      </c>
      <c r="U7" s="19" t="s">
        <v>3029</v>
      </c>
      <c r="V7" s="17"/>
      <c r="W7" s="17" t="e">
        <f t="shared" si="5"/>
        <v>#REF!</v>
      </c>
      <c r="X7" s="17" t="e">
        <f t="shared" si="6"/>
        <v>#REF!</v>
      </c>
    </row>
    <row r="8" spans="1:24" ht="12.75" customHeight="1" x14ac:dyDescent="0.25">
      <c r="A8" s="19">
        <v>5</v>
      </c>
      <c r="B8" s="19" t="s">
        <v>3069</v>
      </c>
      <c r="C8" s="19" t="e">
        <f t="shared" si="0"/>
        <v>#REF!</v>
      </c>
      <c r="D8" s="19" t="e">
        <f t="shared" si="1"/>
        <v>#REF!</v>
      </c>
      <c r="E8" s="19" t="e">
        <f t="shared" si="2"/>
        <v>#REF!</v>
      </c>
      <c r="F8" s="19" t="e">
        <f>VLOOKUP(B8,'Station List'!#REF!,2,0)</f>
        <v>#REF!</v>
      </c>
      <c r="G8" s="19" t="e">
        <f>VLOOKUP(B8,#REF!,2,0)</f>
        <v>#REF!</v>
      </c>
      <c r="H8" s="19" t="e">
        <f t="shared" si="3"/>
        <v>#REF!</v>
      </c>
      <c r="I8" s="19" t="e">
        <f>VLOOKUP(B8,'Station List'!#REF!,4,0)</f>
        <v>#REF!</v>
      </c>
      <c r="J8" s="19" t="e">
        <f>VLOOKUP(B8,#REF!,3,0)</f>
        <v>#REF!</v>
      </c>
      <c r="K8" s="19" t="e">
        <f t="shared" si="4"/>
        <v>#REF!</v>
      </c>
      <c r="L8" s="19" t="e">
        <f>VLOOKUP(B8,'Station List'!#REF!,9,0)</f>
        <v>#REF!</v>
      </c>
      <c r="M8" s="19" t="e">
        <f>VLOOKUP(B8,#REF!,4,0)</f>
        <v>#REF!</v>
      </c>
      <c r="N8" s="17"/>
      <c r="O8" s="17"/>
      <c r="P8" s="17"/>
      <c r="Q8" s="17"/>
      <c r="R8" s="17"/>
      <c r="S8" s="19" t="s">
        <v>305</v>
      </c>
      <c r="T8" s="87" t="s">
        <v>3047</v>
      </c>
      <c r="U8" s="19" t="s">
        <v>3031</v>
      </c>
      <c r="V8" s="17"/>
      <c r="W8" s="17" t="e">
        <f t="shared" si="5"/>
        <v>#REF!</v>
      </c>
      <c r="X8" s="17" t="e">
        <f t="shared" si="6"/>
        <v>#REF!</v>
      </c>
    </row>
    <row r="9" spans="1:24" ht="12.75" customHeight="1" x14ac:dyDescent="0.25">
      <c r="A9" s="19">
        <v>6</v>
      </c>
      <c r="B9" s="19" t="s">
        <v>3070</v>
      </c>
      <c r="C9" s="19" t="e">
        <f t="shared" si="0"/>
        <v>#REF!</v>
      </c>
      <c r="D9" s="19" t="e">
        <f t="shared" si="1"/>
        <v>#REF!</v>
      </c>
      <c r="E9" s="19" t="e">
        <f t="shared" si="2"/>
        <v>#REF!</v>
      </c>
      <c r="F9" s="19" t="e">
        <f>VLOOKUP(B9,'Station List'!#REF!,2,0)</f>
        <v>#REF!</v>
      </c>
      <c r="G9" s="19" t="e">
        <f>VLOOKUP(B9,#REF!,2,0)</f>
        <v>#REF!</v>
      </c>
      <c r="H9" s="19" t="e">
        <f t="shared" si="3"/>
        <v>#REF!</v>
      </c>
      <c r="I9" s="19" t="e">
        <f>VLOOKUP(B9,'Station List'!#REF!,4,0)</f>
        <v>#REF!</v>
      </c>
      <c r="J9" s="19" t="e">
        <f>VLOOKUP(B9,#REF!,3,0)</f>
        <v>#REF!</v>
      </c>
      <c r="K9" s="19" t="e">
        <f t="shared" si="4"/>
        <v>#REF!</v>
      </c>
      <c r="L9" s="19" t="e">
        <f>VLOOKUP(B9,'Station List'!#REF!,9,0)</f>
        <v>#REF!</v>
      </c>
      <c r="M9" s="19" t="e">
        <f>VLOOKUP(B9,#REF!,4,0)</f>
        <v>#REF!</v>
      </c>
      <c r="N9" s="17"/>
      <c r="O9" s="17"/>
      <c r="P9" s="17"/>
      <c r="Q9" s="17"/>
      <c r="R9" s="17"/>
      <c r="S9" s="19" t="s">
        <v>397</v>
      </c>
      <c r="T9" s="87" t="s">
        <v>3047</v>
      </c>
      <c r="U9" s="19" t="s">
        <v>3032</v>
      </c>
      <c r="V9" s="17"/>
      <c r="W9" s="17" t="e">
        <f t="shared" si="5"/>
        <v>#REF!</v>
      </c>
      <c r="X9" s="17" t="e">
        <f t="shared" si="6"/>
        <v>#REF!</v>
      </c>
    </row>
    <row r="10" spans="1:24" ht="12.75" customHeight="1" x14ac:dyDescent="0.25">
      <c r="A10" s="19">
        <v>7</v>
      </c>
      <c r="B10" s="88" t="s">
        <v>3071</v>
      </c>
      <c r="C10" s="88" t="e">
        <f t="shared" si="0"/>
        <v>#REF!</v>
      </c>
      <c r="D10" s="88" t="e">
        <f t="shared" si="1"/>
        <v>#REF!</v>
      </c>
      <c r="E10" s="19" t="e">
        <f t="shared" si="2"/>
        <v>#REF!</v>
      </c>
      <c r="F10" s="19" t="e">
        <f>VLOOKUP(B10,'Station List'!#REF!,2,0)</f>
        <v>#REF!</v>
      </c>
      <c r="G10" s="19" t="e">
        <f>VLOOKUP(B10,#REF!,2,0)</f>
        <v>#REF!</v>
      </c>
      <c r="H10" s="19" t="e">
        <f t="shared" si="3"/>
        <v>#REF!</v>
      </c>
      <c r="I10" s="19" t="s">
        <v>797</v>
      </c>
      <c r="J10" s="19" t="e">
        <f>VLOOKUP(B10,#REF!,3,0)</f>
        <v>#REF!</v>
      </c>
      <c r="K10" s="19" t="e">
        <f t="shared" si="4"/>
        <v>#REF!</v>
      </c>
      <c r="L10" s="19" t="e">
        <f>VLOOKUP(B10,'Station List'!#REF!,9,0)</f>
        <v>#REF!</v>
      </c>
      <c r="M10" s="19" t="e">
        <f>VLOOKUP(B10,#REF!,4,0)</f>
        <v>#REF!</v>
      </c>
      <c r="N10" s="17" t="s">
        <v>3073</v>
      </c>
      <c r="O10" s="17"/>
      <c r="P10" s="17"/>
      <c r="Q10" s="17"/>
      <c r="R10" s="17"/>
      <c r="S10" s="19" t="s">
        <v>528</v>
      </c>
      <c r="T10" s="87" t="s">
        <v>3047</v>
      </c>
      <c r="U10" s="19" t="s">
        <v>3033</v>
      </c>
      <c r="V10" s="17"/>
      <c r="W10" s="17" t="e">
        <f t="shared" si="5"/>
        <v>#REF!</v>
      </c>
      <c r="X10" s="17" t="e">
        <f t="shared" si="6"/>
        <v>#REF!</v>
      </c>
    </row>
    <row r="11" spans="1:24" ht="12.75" customHeight="1" x14ac:dyDescent="0.25">
      <c r="A11" s="19">
        <v>8</v>
      </c>
      <c r="B11" s="19" t="s">
        <v>3074</v>
      </c>
      <c r="C11" s="19" t="e">
        <f t="shared" si="0"/>
        <v>#REF!</v>
      </c>
      <c r="D11" s="19" t="e">
        <f t="shared" si="1"/>
        <v>#REF!</v>
      </c>
      <c r="E11" s="19" t="e">
        <f t="shared" si="2"/>
        <v>#REF!</v>
      </c>
      <c r="F11" s="19" t="e">
        <f>VLOOKUP(B11,'Station List'!#REF!,2,0)</f>
        <v>#REF!</v>
      </c>
      <c r="G11" s="19" t="e">
        <f>VLOOKUP(B11,#REF!,2,0)</f>
        <v>#REF!</v>
      </c>
      <c r="H11" s="19" t="e">
        <f t="shared" si="3"/>
        <v>#REF!</v>
      </c>
      <c r="I11" s="19" t="e">
        <f>VLOOKUP(B11,'Station List'!#REF!,4,0)</f>
        <v>#REF!</v>
      </c>
      <c r="J11" s="19" t="e">
        <f>VLOOKUP(B11,#REF!,3,0)</f>
        <v>#REF!</v>
      </c>
      <c r="K11" s="19" t="e">
        <f t="shared" si="4"/>
        <v>#REF!</v>
      </c>
      <c r="L11" s="19" t="e">
        <f>VLOOKUP(B11,'Station List'!#REF!,9,0)</f>
        <v>#REF!</v>
      </c>
      <c r="M11" s="19" t="e">
        <f>VLOOKUP(B11,#REF!,4,0)</f>
        <v>#REF!</v>
      </c>
      <c r="N11" s="17"/>
      <c r="O11" s="17"/>
      <c r="P11" s="17"/>
      <c r="Q11" s="17"/>
      <c r="R11" s="17"/>
      <c r="S11" s="19" t="s">
        <v>177</v>
      </c>
      <c r="T11" s="87" t="s">
        <v>3047</v>
      </c>
      <c r="U11" s="19" t="s">
        <v>3035</v>
      </c>
      <c r="V11" s="17"/>
      <c r="W11" s="17" t="e">
        <f t="shared" si="5"/>
        <v>#REF!</v>
      </c>
      <c r="X11" s="17" t="e">
        <f t="shared" si="6"/>
        <v>#REF!</v>
      </c>
    </row>
    <row r="12" spans="1:24" ht="12.75" customHeight="1" x14ac:dyDescent="0.25">
      <c r="A12" s="19">
        <v>9</v>
      </c>
      <c r="B12" s="19" t="s">
        <v>3075</v>
      </c>
      <c r="C12" s="19" t="e">
        <f t="shared" si="0"/>
        <v>#REF!</v>
      </c>
      <c r="D12" s="19" t="e">
        <f t="shared" si="1"/>
        <v>#REF!</v>
      </c>
      <c r="E12" s="19" t="e">
        <f t="shared" si="2"/>
        <v>#REF!</v>
      </c>
      <c r="F12" s="19" t="e">
        <f>VLOOKUP(B12,'Station List'!#REF!,2,0)</f>
        <v>#REF!</v>
      </c>
      <c r="G12" s="19" t="e">
        <f>VLOOKUP(B12,#REF!,2,0)</f>
        <v>#REF!</v>
      </c>
      <c r="H12" s="19" t="e">
        <f t="shared" si="3"/>
        <v>#REF!</v>
      </c>
      <c r="I12" s="19" t="e">
        <f>VLOOKUP(B12,'Station List'!#REF!,4,0)</f>
        <v>#REF!</v>
      </c>
      <c r="J12" s="19" t="e">
        <f>VLOOKUP(B12,#REF!,3,0)</f>
        <v>#REF!</v>
      </c>
      <c r="K12" s="19" t="e">
        <f t="shared" si="4"/>
        <v>#REF!</v>
      </c>
      <c r="L12" s="19" t="e">
        <f>VLOOKUP(B12,'Station List'!#REF!,9,0)</f>
        <v>#REF!</v>
      </c>
      <c r="M12" s="19" t="e">
        <f>VLOOKUP(B12,#REF!,4,0)</f>
        <v>#REF!</v>
      </c>
      <c r="N12" s="17"/>
      <c r="O12" s="17"/>
      <c r="P12" s="17"/>
      <c r="Q12" s="17"/>
      <c r="R12" s="17"/>
      <c r="S12" s="19" t="s">
        <v>69</v>
      </c>
      <c r="T12" s="87" t="s">
        <v>3047</v>
      </c>
      <c r="U12" s="19" t="s">
        <v>3036</v>
      </c>
      <c r="V12" s="17"/>
      <c r="W12" s="17" t="e">
        <f t="shared" si="5"/>
        <v>#REF!</v>
      </c>
      <c r="X12" s="17" t="e">
        <f t="shared" si="6"/>
        <v>#REF!</v>
      </c>
    </row>
    <row r="13" spans="1:24" ht="12.75" customHeight="1" x14ac:dyDescent="0.25">
      <c r="A13" s="19">
        <v>10</v>
      </c>
      <c r="B13" s="19" t="s">
        <v>3076</v>
      </c>
      <c r="C13" s="19" t="e">
        <f t="shared" si="0"/>
        <v>#REF!</v>
      </c>
      <c r="D13" s="19" t="e">
        <f t="shared" si="1"/>
        <v>#REF!</v>
      </c>
      <c r="E13" s="19" t="e">
        <f t="shared" si="2"/>
        <v>#REF!</v>
      </c>
      <c r="F13" s="19" t="e">
        <f>VLOOKUP(B13,'Station List'!#REF!,2,0)</f>
        <v>#REF!</v>
      </c>
      <c r="G13" s="19" t="e">
        <f>VLOOKUP(B13,#REF!,2,0)</f>
        <v>#REF!</v>
      </c>
      <c r="H13" s="19" t="e">
        <f t="shared" si="3"/>
        <v>#REF!</v>
      </c>
      <c r="I13" s="19" t="e">
        <f>VLOOKUP(B13,'Station List'!#REF!,4,0)</f>
        <v>#REF!</v>
      </c>
      <c r="J13" s="19" t="e">
        <f>VLOOKUP(B13,#REF!,3,0)</f>
        <v>#REF!</v>
      </c>
      <c r="K13" s="19" t="e">
        <f t="shared" si="4"/>
        <v>#REF!</v>
      </c>
      <c r="L13" s="19" t="e">
        <f>VLOOKUP(B13,'Station List'!#REF!,9,0)</f>
        <v>#REF!</v>
      </c>
      <c r="M13" s="19" t="e">
        <f>VLOOKUP(B13,#REF!,4,0)</f>
        <v>#REF!</v>
      </c>
      <c r="N13" s="17"/>
      <c r="O13" s="17"/>
      <c r="P13" s="17"/>
      <c r="Q13" s="17"/>
      <c r="R13" s="17"/>
      <c r="S13" s="19" t="s">
        <v>134</v>
      </c>
      <c r="T13" s="87" t="s">
        <v>3047</v>
      </c>
      <c r="U13" s="19" t="s">
        <v>3037</v>
      </c>
      <c r="V13" s="17"/>
      <c r="W13" s="17" t="e">
        <f t="shared" si="5"/>
        <v>#REF!</v>
      </c>
      <c r="X13" s="17" t="e">
        <f t="shared" si="6"/>
        <v>#REF!</v>
      </c>
    </row>
    <row r="14" spans="1:24" ht="12.75" customHeight="1" x14ac:dyDescent="0.25">
      <c r="A14" s="19">
        <v>11</v>
      </c>
      <c r="B14" s="19" t="s">
        <v>3077</v>
      </c>
      <c r="C14" s="19" t="e">
        <f t="shared" si="0"/>
        <v>#REF!</v>
      </c>
      <c r="D14" s="19" t="e">
        <f t="shared" si="1"/>
        <v>#REF!</v>
      </c>
      <c r="E14" s="19" t="e">
        <f t="shared" si="2"/>
        <v>#REF!</v>
      </c>
      <c r="F14" s="19" t="e">
        <f>VLOOKUP(B14,'Station List'!#REF!,2,0)</f>
        <v>#REF!</v>
      </c>
      <c r="G14" s="19" t="e">
        <f>VLOOKUP(B14,#REF!,2,0)</f>
        <v>#REF!</v>
      </c>
      <c r="H14" s="19" t="e">
        <f t="shared" si="3"/>
        <v>#REF!</v>
      </c>
      <c r="I14" s="19" t="e">
        <f>VLOOKUP(B14,'Station List'!#REF!,4,0)</f>
        <v>#REF!</v>
      </c>
      <c r="J14" s="19" t="e">
        <f>VLOOKUP(B14,#REF!,3,0)</f>
        <v>#REF!</v>
      </c>
      <c r="K14" s="19" t="e">
        <f t="shared" si="4"/>
        <v>#REF!</v>
      </c>
      <c r="L14" s="19" t="e">
        <f>VLOOKUP(B14,'Station List'!#REF!,9,0)</f>
        <v>#REF!</v>
      </c>
      <c r="M14" s="19" t="e">
        <f>VLOOKUP(B14,#REF!,4,0)</f>
        <v>#REF!</v>
      </c>
      <c r="N14" s="17"/>
      <c r="O14" s="17"/>
      <c r="P14" s="17"/>
      <c r="Q14" s="17"/>
      <c r="R14" s="17"/>
      <c r="S14" s="19" t="s">
        <v>32</v>
      </c>
      <c r="T14" s="87" t="s">
        <v>3047</v>
      </c>
      <c r="U14" s="19" t="s">
        <v>3038</v>
      </c>
      <c r="V14" s="17"/>
      <c r="W14" s="17" t="e">
        <f t="shared" si="5"/>
        <v>#REF!</v>
      </c>
      <c r="X14" s="17" t="e">
        <f t="shared" si="6"/>
        <v>#REF!</v>
      </c>
    </row>
    <row r="15" spans="1:24" ht="12.75" customHeight="1" x14ac:dyDescent="0.25">
      <c r="A15" s="19">
        <v>12</v>
      </c>
      <c r="B15" s="19" t="s">
        <v>3078</v>
      </c>
      <c r="C15" s="19" t="e">
        <f t="shared" si="0"/>
        <v>#REF!</v>
      </c>
      <c r="D15" s="19" t="e">
        <f t="shared" si="1"/>
        <v>#REF!</v>
      </c>
      <c r="E15" s="19" t="e">
        <f t="shared" si="2"/>
        <v>#REF!</v>
      </c>
      <c r="F15" s="19" t="e">
        <f>VLOOKUP(B15,'Station List'!#REF!,2,0)</f>
        <v>#REF!</v>
      </c>
      <c r="G15" s="19" t="e">
        <f>VLOOKUP(B15,#REF!,2,0)</f>
        <v>#REF!</v>
      </c>
      <c r="H15" s="19" t="e">
        <f t="shared" si="3"/>
        <v>#REF!</v>
      </c>
      <c r="I15" s="19" t="e">
        <f>VLOOKUP(B15,'Station List'!#REF!,4,0)</f>
        <v>#REF!</v>
      </c>
      <c r="J15" s="19" t="e">
        <f>VLOOKUP(B15,#REF!,3,0)</f>
        <v>#REF!</v>
      </c>
      <c r="K15" s="19" t="e">
        <f t="shared" si="4"/>
        <v>#REF!</v>
      </c>
      <c r="L15" s="92" t="e">
        <f>VLOOKUP(B15,'Station List'!#REF!,9,0)</f>
        <v>#REF!</v>
      </c>
      <c r="M15" s="19" t="e">
        <f>VLOOKUP(B15,#REF!,4,0)</f>
        <v>#REF!</v>
      </c>
      <c r="N15" s="17"/>
      <c r="O15" s="17"/>
      <c r="P15" s="17"/>
      <c r="Q15" s="17"/>
      <c r="R15" s="17"/>
      <c r="S15" s="19" t="s">
        <v>42</v>
      </c>
      <c r="T15" s="87" t="s">
        <v>3048</v>
      </c>
      <c r="U15" s="19" t="s">
        <v>42</v>
      </c>
      <c r="V15" s="17"/>
      <c r="W15" s="17" t="e">
        <f t="shared" si="5"/>
        <v>#REF!</v>
      </c>
      <c r="X15" s="17" t="e">
        <f t="shared" si="6"/>
        <v>#REF!</v>
      </c>
    </row>
    <row r="16" spans="1:24" ht="12.75" customHeight="1" x14ac:dyDescent="0.2">
      <c r="A16" s="19">
        <v>13</v>
      </c>
      <c r="B16" s="19" t="s">
        <v>3079</v>
      </c>
      <c r="C16" s="19" t="e">
        <f t="shared" si="0"/>
        <v>#REF!</v>
      </c>
      <c r="D16" s="19" t="e">
        <f t="shared" si="1"/>
        <v>#REF!</v>
      </c>
      <c r="E16" s="19" t="e">
        <f t="shared" si="2"/>
        <v>#REF!</v>
      </c>
      <c r="F16" s="19" t="e">
        <f>VLOOKUP(B16,'Station List'!#REF!,2,0)</f>
        <v>#REF!</v>
      </c>
      <c r="G16" s="19" t="e">
        <f>VLOOKUP(B16,#REF!,2,0)</f>
        <v>#REF!</v>
      </c>
      <c r="H16" s="19" t="e">
        <f t="shared" si="3"/>
        <v>#REF!</v>
      </c>
      <c r="I16" s="19" t="e">
        <f>VLOOKUP(B16,'Station List'!#REF!,4,0)</f>
        <v>#REF!</v>
      </c>
      <c r="J16" s="19" t="e">
        <f>VLOOKUP(B16,#REF!,3,0)</f>
        <v>#REF!</v>
      </c>
      <c r="K16" s="19" t="e">
        <f t="shared" si="4"/>
        <v>#REF!</v>
      </c>
      <c r="L16" s="19" t="e">
        <f>VLOOKUP(B16,'Station List'!#REF!,9,0)</f>
        <v>#REF!</v>
      </c>
      <c r="M16" s="19" t="e">
        <f>VLOOKUP(B16,#REF!,4,0)</f>
        <v>#REF!</v>
      </c>
      <c r="N16" s="17"/>
      <c r="O16" s="17"/>
      <c r="P16" s="17"/>
      <c r="Q16" s="17"/>
      <c r="R16" s="17"/>
      <c r="S16" s="17"/>
      <c r="T16" s="17"/>
      <c r="U16" s="17"/>
      <c r="V16" s="17"/>
      <c r="W16" s="17" t="e">
        <f t="shared" si="5"/>
        <v>#REF!</v>
      </c>
      <c r="X16" s="17" t="e">
        <f t="shared" si="6"/>
        <v>#REF!</v>
      </c>
    </row>
    <row r="17" spans="1:24" ht="12.75" customHeight="1" x14ac:dyDescent="0.2">
      <c r="A17" s="19">
        <v>14</v>
      </c>
      <c r="B17" s="19" t="s">
        <v>3080</v>
      </c>
      <c r="C17" s="19" t="e">
        <f t="shared" si="0"/>
        <v>#REF!</v>
      </c>
      <c r="D17" s="19" t="e">
        <f t="shared" si="1"/>
        <v>#REF!</v>
      </c>
      <c r="E17" s="19" t="e">
        <f t="shared" si="2"/>
        <v>#REF!</v>
      </c>
      <c r="F17" s="19" t="e">
        <f>VLOOKUP(B17,'Station List'!#REF!,2,0)</f>
        <v>#REF!</v>
      </c>
      <c r="G17" s="19" t="e">
        <f>VLOOKUP(B17,#REF!,2,0)</f>
        <v>#REF!</v>
      </c>
      <c r="H17" s="19" t="e">
        <f t="shared" si="3"/>
        <v>#REF!</v>
      </c>
      <c r="I17" s="19" t="e">
        <f>VLOOKUP(B17,'Station List'!#REF!,4,0)</f>
        <v>#REF!</v>
      </c>
      <c r="J17" s="19" t="e">
        <f>VLOOKUP(B17,#REF!,3,0)</f>
        <v>#REF!</v>
      </c>
      <c r="K17" s="19" t="e">
        <f t="shared" si="4"/>
        <v>#REF!</v>
      </c>
      <c r="L17" s="19" t="e">
        <f>VLOOKUP(B17,'Station List'!#REF!,9,0)</f>
        <v>#REF!</v>
      </c>
      <c r="M17" s="19" t="e">
        <f>VLOOKUP(B17,#REF!,4,0)</f>
        <v>#REF!</v>
      </c>
      <c r="N17" s="17"/>
      <c r="O17" s="17"/>
      <c r="P17" s="17"/>
      <c r="Q17" s="17"/>
      <c r="R17" s="17"/>
      <c r="S17" s="17"/>
      <c r="T17" s="17"/>
      <c r="U17" s="17"/>
      <c r="V17" s="17"/>
      <c r="W17" s="17" t="e">
        <f t="shared" si="5"/>
        <v>#REF!</v>
      </c>
      <c r="X17" s="17" t="e">
        <f t="shared" si="6"/>
        <v>#REF!</v>
      </c>
    </row>
    <row r="18" spans="1:24" ht="12.75" customHeight="1" x14ac:dyDescent="0.2">
      <c r="A18" s="19">
        <v>15</v>
      </c>
      <c r="B18" s="19" t="s">
        <v>3082</v>
      </c>
      <c r="C18" s="19" t="e">
        <f t="shared" si="0"/>
        <v>#REF!</v>
      </c>
      <c r="D18" s="19" t="e">
        <f t="shared" si="1"/>
        <v>#REF!</v>
      </c>
      <c r="E18" s="19" t="e">
        <f t="shared" si="2"/>
        <v>#REF!</v>
      </c>
      <c r="F18" s="19" t="e">
        <f>VLOOKUP(B18,'Station List'!#REF!,2,0)</f>
        <v>#REF!</v>
      </c>
      <c r="G18" s="19" t="e">
        <f>VLOOKUP(B18,#REF!,2,0)</f>
        <v>#REF!</v>
      </c>
      <c r="H18" s="19" t="e">
        <f t="shared" si="3"/>
        <v>#REF!</v>
      </c>
      <c r="I18" s="19" t="e">
        <f>VLOOKUP(B18,'Station List'!#REF!,4,0)</f>
        <v>#REF!</v>
      </c>
      <c r="J18" s="19" t="e">
        <f>VLOOKUP(B18,#REF!,3,0)</f>
        <v>#REF!</v>
      </c>
      <c r="K18" s="19" t="e">
        <f t="shared" si="4"/>
        <v>#REF!</v>
      </c>
      <c r="L18" s="19" t="e">
        <f>VLOOKUP(B18,'Station List'!#REF!,9,0)</f>
        <v>#REF!</v>
      </c>
      <c r="M18" s="19" t="e">
        <f>VLOOKUP(B18,#REF!,4,0)</f>
        <v>#REF!</v>
      </c>
      <c r="N18" s="17"/>
      <c r="O18" s="17"/>
      <c r="P18" s="17"/>
      <c r="Q18" s="17"/>
      <c r="R18" s="17"/>
      <c r="S18" s="17"/>
      <c r="T18" s="17"/>
      <c r="U18" s="17"/>
      <c r="V18" s="17"/>
      <c r="W18" s="17" t="e">
        <f t="shared" si="5"/>
        <v>#REF!</v>
      </c>
      <c r="X18" s="17" t="e">
        <f t="shared" si="6"/>
        <v>#REF!</v>
      </c>
    </row>
    <row r="19" spans="1:24" ht="12.75" customHeight="1" x14ac:dyDescent="0.2">
      <c r="A19" s="19">
        <v>16</v>
      </c>
      <c r="B19" s="19" t="s">
        <v>3083</v>
      </c>
      <c r="C19" s="19" t="e">
        <f t="shared" si="0"/>
        <v>#REF!</v>
      </c>
      <c r="D19" s="19" t="e">
        <f t="shared" si="1"/>
        <v>#REF!</v>
      </c>
      <c r="E19" s="19" t="e">
        <f t="shared" si="2"/>
        <v>#REF!</v>
      </c>
      <c r="F19" s="19" t="e">
        <f>VLOOKUP(B19,'Station List'!#REF!,2,0)</f>
        <v>#REF!</v>
      </c>
      <c r="G19" s="19" t="e">
        <f>VLOOKUP(B19,#REF!,2,0)</f>
        <v>#REF!</v>
      </c>
      <c r="H19" s="19" t="e">
        <f t="shared" si="3"/>
        <v>#REF!</v>
      </c>
      <c r="I19" s="19" t="e">
        <f>VLOOKUP(B19,'Station List'!#REF!,4,0)</f>
        <v>#REF!</v>
      </c>
      <c r="J19" s="19" t="e">
        <f>VLOOKUP(B19,#REF!,3,0)</f>
        <v>#REF!</v>
      </c>
      <c r="K19" s="19" t="e">
        <f t="shared" si="4"/>
        <v>#REF!</v>
      </c>
      <c r="L19" s="19" t="e">
        <f>VLOOKUP(B19,'Station List'!#REF!,9,0)</f>
        <v>#REF!</v>
      </c>
      <c r="M19" s="19" t="e">
        <f>VLOOKUP(B19,#REF!,4,0)</f>
        <v>#REF!</v>
      </c>
      <c r="N19" s="17"/>
      <c r="O19" s="17"/>
      <c r="P19" s="17"/>
      <c r="Q19" s="17"/>
      <c r="R19" s="17"/>
      <c r="S19" s="17"/>
      <c r="T19" s="17"/>
      <c r="U19" s="17"/>
      <c r="V19" s="17"/>
      <c r="W19" s="17" t="e">
        <f t="shared" si="5"/>
        <v>#REF!</v>
      </c>
      <c r="X19" s="17" t="e">
        <f t="shared" si="6"/>
        <v>#REF!</v>
      </c>
    </row>
    <row r="20" spans="1:24" ht="12.75" customHeight="1" x14ac:dyDescent="0.2">
      <c r="A20" s="19">
        <v>17</v>
      </c>
      <c r="B20" s="19" t="s">
        <v>3085</v>
      </c>
      <c r="C20" s="19" t="e">
        <f t="shared" si="0"/>
        <v>#REF!</v>
      </c>
      <c r="D20" s="19" t="e">
        <f t="shared" si="1"/>
        <v>#REF!</v>
      </c>
      <c r="E20" s="19" t="e">
        <f t="shared" si="2"/>
        <v>#REF!</v>
      </c>
      <c r="F20" s="19" t="e">
        <f>VLOOKUP(B20,'Station List'!#REF!,2,0)</f>
        <v>#REF!</v>
      </c>
      <c r="G20" s="19" t="e">
        <f>VLOOKUP(B20,#REF!,2,0)</f>
        <v>#REF!</v>
      </c>
      <c r="H20" s="19" t="e">
        <f t="shared" si="3"/>
        <v>#REF!</v>
      </c>
      <c r="I20" s="19" t="e">
        <f>VLOOKUP(B20,'Station List'!#REF!,4,0)</f>
        <v>#REF!</v>
      </c>
      <c r="J20" s="19" t="e">
        <f>VLOOKUP(B20,#REF!,3,0)</f>
        <v>#REF!</v>
      </c>
      <c r="K20" s="19" t="e">
        <f t="shared" si="4"/>
        <v>#REF!</v>
      </c>
      <c r="L20" s="19" t="e">
        <f>VLOOKUP(B20,'Station List'!#REF!,9,0)</f>
        <v>#REF!</v>
      </c>
      <c r="M20" s="19" t="e">
        <f>VLOOKUP(B20,#REF!,4,0)</f>
        <v>#REF!</v>
      </c>
      <c r="N20" s="17"/>
      <c r="O20" s="17"/>
      <c r="P20" s="17"/>
      <c r="Q20" s="17"/>
      <c r="R20" s="17"/>
      <c r="S20" s="17"/>
      <c r="T20" s="17"/>
      <c r="U20" s="17"/>
      <c r="V20" s="17"/>
      <c r="W20" s="17" t="e">
        <f t="shared" si="5"/>
        <v>#REF!</v>
      </c>
      <c r="X20" s="17" t="e">
        <f t="shared" si="6"/>
        <v>#REF!</v>
      </c>
    </row>
    <row r="21" spans="1:24" ht="12.75" customHeight="1" x14ac:dyDescent="0.2">
      <c r="A21" s="19">
        <v>18</v>
      </c>
      <c r="B21" s="19" t="s">
        <v>3090</v>
      </c>
      <c r="C21" s="19" t="e">
        <f t="shared" si="0"/>
        <v>#REF!</v>
      </c>
      <c r="D21" s="19" t="e">
        <f t="shared" si="1"/>
        <v>#REF!</v>
      </c>
      <c r="E21" s="19" t="e">
        <f t="shared" si="2"/>
        <v>#REF!</v>
      </c>
      <c r="F21" s="19" t="e">
        <f>VLOOKUP(B21,'Station List'!#REF!,2,0)</f>
        <v>#REF!</v>
      </c>
      <c r="G21" s="19" t="e">
        <f>VLOOKUP(B21,#REF!,2,0)</f>
        <v>#REF!</v>
      </c>
      <c r="H21" s="19" t="e">
        <f t="shared" si="3"/>
        <v>#REF!</v>
      </c>
      <c r="I21" s="19" t="e">
        <f>VLOOKUP(B21,'Station List'!#REF!,4,0)</f>
        <v>#REF!</v>
      </c>
      <c r="J21" s="19" t="e">
        <f>VLOOKUP(B21,#REF!,3,0)</f>
        <v>#REF!</v>
      </c>
      <c r="K21" s="19" t="e">
        <f t="shared" si="4"/>
        <v>#REF!</v>
      </c>
      <c r="L21" s="19" t="e">
        <f>VLOOKUP(B21,'Station List'!#REF!,9,0)</f>
        <v>#REF!</v>
      </c>
      <c r="M21" s="19" t="e">
        <f>VLOOKUP(B21,#REF!,4,0)</f>
        <v>#REF!</v>
      </c>
      <c r="N21" s="17"/>
      <c r="O21" s="17"/>
      <c r="P21" s="17"/>
      <c r="Q21" s="17"/>
      <c r="R21" s="17"/>
      <c r="S21" s="17"/>
      <c r="T21" s="17"/>
      <c r="U21" s="17"/>
      <c r="V21" s="17"/>
      <c r="W21" s="17" t="e">
        <f t="shared" si="5"/>
        <v>#REF!</v>
      </c>
      <c r="X21" s="17" t="e">
        <f t="shared" si="6"/>
        <v>#REF!</v>
      </c>
    </row>
    <row r="22" spans="1:24" ht="12.75" customHeight="1" x14ac:dyDescent="0.2">
      <c r="A22" s="19">
        <v>19</v>
      </c>
      <c r="B22" s="19" t="s">
        <v>3096</v>
      </c>
      <c r="C22" s="19" t="e">
        <f t="shared" si="0"/>
        <v>#REF!</v>
      </c>
      <c r="D22" s="19" t="e">
        <f t="shared" si="1"/>
        <v>#REF!</v>
      </c>
      <c r="E22" s="19" t="e">
        <f t="shared" si="2"/>
        <v>#REF!</v>
      </c>
      <c r="F22" s="19" t="e">
        <f>VLOOKUP(B22,'Station List'!#REF!,2,0)</f>
        <v>#REF!</v>
      </c>
      <c r="G22" s="19" t="e">
        <f>VLOOKUP(B22,#REF!,2,0)</f>
        <v>#REF!</v>
      </c>
      <c r="H22" s="19" t="e">
        <f t="shared" si="3"/>
        <v>#REF!</v>
      </c>
      <c r="I22" s="19" t="e">
        <f>VLOOKUP(B22,'Station List'!#REF!,4,0)</f>
        <v>#REF!</v>
      </c>
      <c r="J22" s="19" t="e">
        <f>VLOOKUP(B22,#REF!,3,0)</f>
        <v>#REF!</v>
      </c>
      <c r="K22" s="19" t="e">
        <f t="shared" si="4"/>
        <v>#REF!</v>
      </c>
      <c r="L22" s="19" t="e">
        <f>VLOOKUP(B22,'Station List'!#REF!,9,0)</f>
        <v>#REF!</v>
      </c>
      <c r="M22" s="19" t="e">
        <f>VLOOKUP(B22,#REF!,4,0)</f>
        <v>#REF!</v>
      </c>
      <c r="N22" s="17"/>
      <c r="O22" s="17"/>
      <c r="P22" s="17"/>
      <c r="Q22" s="17"/>
      <c r="R22" s="17"/>
      <c r="S22" s="17"/>
      <c r="T22" s="17"/>
      <c r="U22" s="17"/>
      <c r="V22" s="17"/>
      <c r="W22" s="17" t="e">
        <f t="shared" si="5"/>
        <v>#REF!</v>
      </c>
      <c r="X22" s="17" t="e">
        <f t="shared" si="6"/>
        <v>#REF!</v>
      </c>
    </row>
    <row r="23" spans="1:24" ht="12.75" customHeight="1" x14ac:dyDescent="0.2">
      <c r="A23" s="19">
        <v>20</v>
      </c>
      <c r="B23" s="19" t="s">
        <v>3101</v>
      </c>
      <c r="C23" s="19" t="e">
        <f t="shared" si="0"/>
        <v>#REF!</v>
      </c>
      <c r="D23" s="19" t="e">
        <f t="shared" si="1"/>
        <v>#REF!</v>
      </c>
      <c r="E23" s="19" t="e">
        <f t="shared" si="2"/>
        <v>#REF!</v>
      </c>
      <c r="F23" s="19" t="e">
        <f>VLOOKUP(B23,'Station List'!#REF!,2,0)</f>
        <v>#REF!</v>
      </c>
      <c r="G23" s="19" t="e">
        <f>VLOOKUP(B23,#REF!,2,0)</f>
        <v>#REF!</v>
      </c>
      <c r="H23" s="19" t="e">
        <f t="shared" si="3"/>
        <v>#REF!</v>
      </c>
      <c r="I23" s="19" t="e">
        <f>VLOOKUP(B23,'Station List'!#REF!,4,0)</f>
        <v>#REF!</v>
      </c>
      <c r="J23" s="19" t="e">
        <f>VLOOKUP(B23,#REF!,3,0)</f>
        <v>#REF!</v>
      </c>
      <c r="K23" s="19" t="e">
        <f t="shared" si="4"/>
        <v>#REF!</v>
      </c>
      <c r="L23" s="19" t="e">
        <f>VLOOKUP(B23,'Station List'!#REF!,9,0)</f>
        <v>#REF!</v>
      </c>
      <c r="M23" s="19" t="e">
        <f>VLOOKUP(B23,#REF!,4,0)</f>
        <v>#REF!</v>
      </c>
      <c r="N23" s="17"/>
      <c r="O23" s="17"/>
      <c r="P23" s="17"/>
      <c r="Q23" s="17"/>
      <c r="R23" s="17"/>
      <c r="S23" s="17"/>
      <c r="T23" s="17"/>
      <c r="U23" s="17"/>
      <c r="V23" s="17"/>
      <c r="W23" s="17" t="e">
        <f t="shared" si="5"/>
        <v>#REF!</v>
      </c>
      <c r="X23" s="17" t="e">
        <f t="shared" si="6"/>
        <v>#REF!</v>
      </c>
    </row>
    <row r="24" spans="1:24" ht="12.75" customHeight="1" x14ac:dyDescent="0.2">
      <c r="A24" s="19">
        <v>21</v>
      </c>
      <c r="B24" s="19" t="s">
        <v>3104</v>
      </c>
      <c r="C24" s="19" t="e">
        <f t="shared" si="0"/>
        <v>#REF!</v>
      </c>
      <c r="D24" s="19" t="e">
        <f t="shared" si="1"/>
        <v>#REF!</v>
      </c>
      <c r="E24" s="19" t="e">
        <f t="shared" si="2"/>
        <v>#REF!</v>
      </c>
      <c r="F24" s="19" t="e">
        <f>VLOOKUP(B24,'Station List'!#REF!,2,0)</f>
        <v>#REF!</v>
      </c>
      <c r="G24" s="19" t="e">
        <f>VLOOKUP(B24,#REF!,2,0)</f>
        <v>#REF!</v>
      </c>
      <c r="H24" s="19" t="e">
        <f t="shared" si="3"/>
        <v>#REF!</v>
      </c>
      <c r="I24" s="19" t="e">
        <f>VLOOKUP(B24,'Station List'!#REF!,4,0)</f>
        <v>#REF!</v>
      </c>
      <c r="J24" s="19" t="e">
        <f>VLOOKUP(B24,#REF!,3,0)</f>
        <v>#REF!</v>
      </c>
      <c r="K24" s="19" t="e">
        <f t="shared" si="4"/>
        <v>#REF!</v>
      </c>
      <c r="L24" s="19" t="e">
        <f>VLOOKUP(B24,'Station List'!#REF!,9,0)</f>
        <v>#REF!</v>
      </c>
      <c r="M24" s="19" t="e">
        <f>VLOOKUP(B24,#REF!,4,0)</f>
        <v>#REF!</v>
      </c>
      <c r="N24" s="17"/>
      <c r="O24" s="17"/>
      <c r="P24" s="17"/>
      <c r="Q24" s="17"/>
      <c r="R24" s="17"/>
      <c r="S24" s="17"/>
      <c r="T24" s="17"/>
      <c r="U24" s="17"/>
      <c r="V24" s="17"/>
      <c r="W24" s="17" t="e">
        <f t="shared" si="5"/>
        <v>#REF!</v>
      </c>
      <c r="X24" s="17" t="e">
        <f t="shared" si="6"/>
        <v>#REF!</v>
      </c>
    </row>
    <row r="25" spans="1:24" ht="12.75" customHeight="1" x14ac:dyDescent="0.2">
      <c r="A25" s="19">
        <v>22</v>
      </c>
      <c r="B25" s="19" t="s">
        <v>3106</v>
      </c>
      <c r="C25" s="19" t="e">
        <f t="shared" si="0"/>
        <v>#REF!</v>
      </c>
      <c r="D25" s="19" t="e">
        <f t="shared" si="1"/>
        <v>#REF!</v>
      </c>
      <c r="E25" s="19" t="e">
        <f t="shared" si="2"/>
        <v>#REF!</v>
      </c>
      <c r="F25" s="19" t="e">
        <f>VLOOKUP(B25,'Station List'!#REF!,2,0)</f>
        <v>#REF!</v>
      </c>
      <c r="G25" s="19" t="e">
        <f>VLOOKUP(B25,#REF!,2,0)</f>
        <v>#REF!</v>
      </c>
      <c r="H25" s="19" t="e">
        <f t="shared" si="3"/>
        <v>#REF!</v>
      </c>
      <c r="I25" s="19" t="e">
        <f>VLOOKUP(B25,'Station List'!#REF!,4,0)</f>
        <v>#REF!</v>
      </c>
      <c r="J25" s="19" t="e">
        <f>VLOOKUP(B25,#REF!,3,0)</f>
        <v>#REF!</v>
      </c>
      <c r="K25" s="19" t="e">
        <f t="shared" si="4"/>
        <v>#REF!</v>
      </c>
      <c r="L25" s="19" t="e">
        <f>VLOOKUP(B25,'Station List'!#REF!,9,0)</f>
        <v>#REF!</v>
      </c>
      <c r="M25" s="19" t="e">
        <f>VLOOKUP(B25,#REF!,4,0)</f>
        <v>#REF!</v>
      </c>
      <c r="N25" s="17"/>
      <c r="O25" s="17"/>
      <c r="P25" s="17"/>
      <c r="Q25" s="17"/>
      <c r="R25" s="17"/>
      <c r="S25" s="17"/>
      <c r="T25" s="17"/>
      <c r="U25" s="17"/>
      <c r="V25" s="17"/>
      <c r="W25" s="17" t="e">
        <f t="shared" si="5"/>
        <v>#REF!</v>
      </c>
      <c r="X25" s="17" t="e">
        <f t="shared" si="6"/>
        <v>#REF!</v>
      </c>
    </row>
    <row r="26" spans="1:24" ht="12.75" customHeight="1" x14ac:dyDescent="0.2">
      <c r="A26" s="19">
        <v>23</v>
      </c>
      <c r="B26" s="19" t="s">
        <v>3107</v>
      </c>
      <c r="C26" s="19" t="e">
        <f t="shared" si="0"/>
        <v>#REF!</v>
      </c>
      <c r="D26" s="19" t="e">
        <f t="shared" si="1"/>
        <v>#REF!</v>
      </c>
      <c r="E26" s="19" t="e">
        <f t="shared" si="2"/>
        <v>#REF!</v>
      </c>
      <c r="F26" s="19" t="e">
        <f>VLOOKUP(B26,'Station List'!#REF!,2,0)</f>
        <v>#REF!</v>
      </c>
      <c r="G26" s="19" t="e">
        <f>VLOOKUP(B26,#REF!,2,0)</f>
        <v>#REF!</v>
      </c>
      <c r="H26" s="19" t="e">
        <f t="shared" si="3"/>
        <v>#REF!</v>
      </c>
      <c r="I26" s="19" t="e">
        <f>VLOOKUP(B26,'Station List'!#REF!,4,0)</f>
        <v>#REF!</v>
      </c>
      <c r="J26" s="19" t="e">
        <f>VLOOKUP(B26,#REF!,3,0)</f>
        <v>#REF!</v>
      </c>
      <c r="K26" s="19" t="e">
        <f t="shared" si="4"/>
        <v>#REF!</v>
      </c>
      <c r="L26" s="19" t="e">
        <f>VLOOKUP(B26,'Station List'!#REF!,9,0)</f>
        <v>#REF!</v>
      </c>
      <c r="M26" s="19" t="e">
        <f>VLOOKUP(B26,#REF!,4,0)</f>
        <v>#REF!</v>
      </c>
      <c r="N26" s="17"/>
      <c r="O26" s="17"/>
      <c r="P26" s="17"/>
      <c r="Q26" s="17"/>
      <c r="R26" s="17"/>
      <c r="S26" s="17"/>
      <c r="T26" s="17"/>
      <c r="U26" s="17"/>
      <c r="V26" s="17"/>
      <c r="W26" s="17" t="e">
        <f t="shared" si="5"/>
        <v>#REF!</v>
      </c>
      <c r="X26" s="17" t="e">
        <f t="shared" si="6"/>
        <v>#REF!</v>
      </c>
    </row>
    <row r="27" spans="1:24" ht="12.75" customHeight="1" x14ac:dyDescent="0.2">
      <c r="A27" s="19">
        <v>24</v>
      </c>
      <c r="B27" s="19" t="s">
        <v>3111</v>
      </c>
      <c r="C27" s="19" t="e">
        <f t="shared" si="0"/>
        <v>#REF!</v>
      </c>
      <c r="D27" s="19" t="e">
        <f t="shared" si="1"/>
        <v>#REF!</v>
      </c>
      <c r="E27" s="19" t="e">
        <f t="shared" si="2"/>
        <v>#REF!</v>
      </c>
      <c r="F27" s="19" t="e">
        <f>VLOOKUP(B27,'Station List'!#REF!,2,0)</f>
        <v>#REF!</v>
      </c>
      <c r="G27" s="19" t="e">
        <f>VLOOKUP(B27,#REF!,2,0)</f>
        <v>#REF!</v>
      </c>
      <c r="H27" s="19" t="e">
        <f t="shared" si="3"/>
        <v>#REF!</v>
      </c>
      <c r="I27" s="19" t="e">
        <f>VLOOKUP(B27,'Station List'!#REF!,4,0)</f>
        <v>#REF!</v>
      </c>
      <c r="J27" s="19" t="e">
        <f>VLOOKUP(B27,#REF!,3,0)</f>
        <v>#REF!</v>
      </c>
      <c r="K27" s="19" t="e">
        <f t="shared" si="4"/>
        <v>#REF!</v>
      </c>
      <c r="L27" s="19" t="e">
        <f>VLOOKUP(B27,'Station List'!#REF!,9,0)</f>
        <v>#REF!</v>
      </c>
      <c r="M27" s="19" t="e">
        <f>VLOOKUP(B27,#REF!,4,0)</f>
        <v>#REF!</v>
      </c>
      <c r="N27" s="17"/>
      <c r="O27" s="17"/>
      <c r="P27" s="17"/>
      <c r="Q27" s="17"/>
      <c r="R27" s="17"/>
      <c r="S27" s="17"/>
      <c r="T27" s="17"/>
      <c r="U27" s="17"/>
      <c r="V27" s="17"/>
      <c r="W27" s="17" t="e">
        <f t="shared" si="5"/>
        <v>#REF!</v>
      </c>
      <c r="X27" s="17" t="e">
        <f t="shared" si="6"/>
        <v>#REF!</v>
      </c>
    </row>
    <row r="28" spans="1:24" ht="12.75" customHeight="1" x14ac:dyDescent="0.2">
      <c r="A28" s="19">
        <v>25</v>
      </c>
      <c r="B28" s="19" t="s">
        <v>3115</v>
      </c>
      <c r="C28" s="19" t="e">
        <f t="shared" si="0"/>
        <v>#REF!</v>
      </c>
      <c r="D28" s="19" t="e">
        <f t="shared" si="1"/>
        <v>#REF!</v>
      </c>
      <c r="E28" s="19" t="e">
        <f t="shared" si="2"/>
        <v>#REF!</v>
      </c>
      <c r="F28" s="19" t="e">
        <f>VLOOKUP(B28,'Station List'!#REF!,2,0)</f>
        <v>#REF!</v>
      </c>
      <c r="G28" s="19" t="e">
        <f>VLOOKUP(B28,#REF!,2,0)</f>
        <v>#REF!</v>
      </c>
      <c r="H28" s="19" t="e">
        <f t="shared" si="3"/>
        <v>#REF!</v>
      </c>
      <c r="I28" s="19" t="e">
        <f>VLOOKUP(B28,'Station List'!#REF!,4,0)</f>
        <v>#REF!</v>
      </c>
      <c r="J28" s="19" t="e">
        <f>VLOOKUP(B28,#REF!,3,0)</f>
        <v>#REF!</v>
      </c>
      <c r="K28" s="19" t="e">
        <f t="shared" si="4"/>
        <v>#REF!</v>
      </c>
      <c r="L28" s="19" t="e">
        <f>VLOOKUP(B28,'Station List'!#REF!,9,0)</f>
        <v>#REF!</v>
      </c>
      <c r="M28" s="19" t="e">
        <f>VLOOKUP(B28,#REF!,4,0)</f>
        <v>#REF!</v>
      </c>
      <c r="N28" s="17"/>
      <c r="O28" s="17"/>
      <c r="P28" s="17"/>
      <c r="Q28" s="17"/>
      <c r="R28" s="17"/>
      <c r="S28" s="17"/>
      <c r="T28" s="17"/>
      <c r="U28" s="17"/>
      <c r="V28" s="17"/>
      <c r="W28" s="17" t="e">
        <f t="shared" si="5"/>
        <v>#REF!</v>
      </c>
      <c r="X28" s="17" t="e">
        <f t="shared" si="6"/>
        <v>#REF!</v>
      </c>
    </row>
    <row r="29" spans="1:24" ht="12.75" customHeight="1" x14ac:dyDescent="0.2">
      <c r="A29" s="19">
        <v>26</v>
      </c>
      <c r="B29" s="19" t="s">
        <v>3117</v>
      </c>
      <c r="C29" s="19" t="e">
        <f t="shared" si="0"/>
        <v>#REF!</v>
      </c>
      <c r="D29" s="19" t="e">
        <f t="shared" si="1"/>
        <v>#REF!</v>
      </c>
      <c r="E29" s="19" t="e">
        <f t="shared" si="2"/>
        <v>#REF!</v>
      </c>
      <c r="F29" s="19" t="e">
        <f>VLOOKUP(B29,'Station List'!#REF!,2,0)</f>
        <v>#REF!</v>
      </c>
      <c r="G29" s="19" t="e">
        <f>VLOOKUP(B29,#REF!,2,0)</f>
        <v>#REF!</v>
      </c>
      <c r="H29" s="19" t="e">
        <f t="shared" si="3"/>
        <v>#REF!</v>
      </c>
      <c r="I29" s="19" t="e">
        <f>VLOOKUP(B29,'Station List'!#REF!,4,0)</f>
        <v>#REF!</v>
      </c>
      <c r="J29" s="19" t="e">
        <f>VLOOKUP(B29,#REF!,3,0)</f>
        <v>#REF!</v>
      </c>
      <c r="K29" s="19" t="e">
        <f t="shared" si="4"/>
        <v>#REF!</v>
      </c>
      <c r="L29" s="19" t="e">
        <f>VLOOKUP(B29,'Station List'!#REF!,9,0)</f>
        <v>#REF!</v>
      </c>
      <c r="M29" s="19" t="e">
        <f>VLOOKUP(B29,#REF!,4,0)</f>
        <v>#REF!</v>
      </c>
      <c r="N29" s="17"/>
      <c r="O29" s="17"/>
      <c r="P29" s="17"/>
      <c r="Q29" s="17"/>
      <c r="R29" s="17"/>
      <c r="S29" s="17"/>
      <c r="T29" s="17"/>
      <c r="U29" s="17"/>
      <c r="V29" s="17"/>
      <c r="W29" s="17" t="e">
        <f t="shared" si="5"/>
        <v>#REF!</v>
      </c>
      <c r="X29" s="17" t="e">
        <f t="shared" si="6"/>
        <v>#REF!</v>
      </c>
    </row>
    <row r="30" spans="1:24" ht="12.75" customHeight="1" x14ac:dyDescent="0.2">
      <c r="A30" s="19">
        <v>27</v>
      </c>
      <c r="B30" s="19" t="s">
        <v>3118</v>
      </c>
      <c r="C30" s="19" t="e">
        <f t="shared" si="0"/>
        <v>#REF!</v>
      </c>
      <c r="D30" s="19" t="e">
        <f t="shared" si="1"/>
        <v>#REF!</v>
      </c>
      <c r="E30" s="19" t="e">
        <f t="shared" si="2"/>
        <v>#REF!</v>
      </c>
      <c r="F30" s="19" t="e">
        <f>VLOOKUP(B30,'Station List'!#REF!,2,0)</f>
        <v>#REF!</v>
      </c>
      <c r="G30" s="19" t="e">
        <f>VLOOKUP(B30,#REF!,2,0)</f>
        <v>#REF!</v>
      </c>
      <c r="H30" s="19" t="e">
        <f t="shared" si="3"/>
        <v>#REF!</v>
      </c>
      <c r="I30" s="19" t="e">
        <f>VLOOKUP(B30,'Station List'!#REF!,4,0)</f>
        <v>#REF!</v>
      </c>
      <c r="J30" s="19" t="e">
        <f>VLOOKUP(B30,#REF!,3,0)</f>
        <v>#REF!</v>
      </c>
      <c r="K30" s="19" t="e">
        <f t="shared" si="4"/>
        <v>#REF!</v>
      </c>
      <c r="L30" s="19" t="e">
        <f>VLOOKUP(B30,'Station List'!#REF!,9,0)</f>
        <v>#REF!</v>
      </c>
      <c r="M30" s="19" t="e">
        <f>VLOOKUP(B30,#REF!,4,0)</f>
        <v>#REF!</v>
      </c>
      <c r="N30" s="17"/>
      <c r="O30" s="17"/>
      <c r="P30" s="17"/>
      <c r="Q30" s="17"/>
      <c r="R30" s="17"/>
      <c r="S30" s="17"/>
      <c r="T30" s="17"/>
      <c r="U30" s="17"/>
      <c r="V30" s="17"/>
      <c r="W30" s="17" t="e">
        <f t="shared" si="5"/>
        <v>#REF!</v>
      </c>
      <c r="X30" s="17" t="e">
        <f t="shared" si="6"/>
        <v>#REF!</v>
      </c>
    </row>
    <row r="31" spans="1:24" ht="12.75" customHeight="1" x14ac:dyDescent="0.2">
      <c r="A31" s="19">
        <v>28</v>
      </c>
      <c r="B31" s="88" t="s">
        <v>3119</v>
      </c>
      <c r="C31" s="88" t="e">
        <f t="shared" si="0"/>
        <v>#REF!</v>
      </c>
      <c r="D31" s="88" t="e">
        <f t="shared" si="1"/>
        <v>#REF!</v>
      </c>
      <c r="E31" s="19" t="e">
        <f t="shared" si="2"/>
        <v>#REF!</v>
      </c>
      <c r="F31" s="19" t="e">
        <f>VLOOKUP(B31,'Station List'!#REF!,2,0)</f>
        <v>#REF!</v>
      </c>
      <c r="G31" s="19" t="e">
        <f>VLOOKUP(B31,#REF!,2,0)</f>
        <v>#REF!</v>
      </c>
      <c r="H31" s="19" t="e">
        <f t="shared" si="3"/>
        <v>#REF!</v>
      </c>
      <c r="I31" s="19" t="e">
        <f>VLOOKUP(B31,'Station List'!#REF!,4,0)</f>
        <v>#REF!</v>
      </c>
      <c r="J31" s="19" t="e">
        <f>VLOOKUP(B31,#REF!,3,0)</f>
        <v>#REF!</v>
      </c>
      <c r="K31" s="19" t="e">
        <f t="shared" si="4"/>
        <v>#REF!</v>
      </c>
      <c r="L31" s="19" t="e">
        <f>VLOOKUP(B31,'Station List'!#REF!,9,0)</f>
        <v>#REF!</v>
      </c>
      <c r="M31" s="19" t="e">
        <f>VLOOKUP(B31,#REF!,4,0)</f>
        <v>#REF!</v>
      </c>
      <c r="N31" s="17" t="s">
        <v>3073</v>
      </c>
      <c r="O31" s="17"/>
      <c r="P31" s="17"/>
      <c r="Q31" s="17"/>
      <c r="R31" s="17"/>
      <c r="S31" s="17"/>
      <c r="T31" s="17"/>
      <c r="U31" s="17"/>
      <c r="V31" s="17"/>
      <c r="W31" s="17" t="e">
        <f t="shared" si="5"/>
        <v>#REF!</v>
      </c>
      <c r="X31" s="17" t="e">
        <f t="shared" si="6"/>
        <v>#REF!</v>
      </c>
    </row>
    <row r="32" spans="1:24" ht="12.75" customHeight="1" x14ac:dyDescent="0.2">
      <c r="A32" s="19">
        <v>29</v>
      </c>
      <c r="B32" s="19" t="s">
        <v>3122</v>
      </c>
      <c r="C32" s="19" t="e">
        <f t="shared" si="0"/>
        <v>#REF!</v>
      </c>
      <c r="D32" s="19" t="e">
        <f t="shared" si="1"/>
        <v>#REF!</v>
      </c>
      <c r="E32" s="19" t="e">
        <f t="shared" si="2"/>
        <v>#REF!</v>
      </c>
      <c r="F32" s="19" t="e">
        <f>VLOOKUP(B32,'Station List'!#REF!,2,0)</f>
        <v>#REF!</v>
      </c>
      <c r="G32" s="19" t="e">
        <f>VLOOKUP(B32,#REF!,2,0)</f>
        <v>#REF!</v>
      </c>
      <c r="H32" s="19" t="e">
        <f t="shared" si="3"/>
        <v>#REF!</v>
      </c>
      <c r="I32" s="19" t="e">
        <f>VLOOKUP(B32,'Station List'!#REF!,4,0)</f>
        <v>#REF!</v>
      </c>
      <c r="J32" s="19" t="e">
        <f>VLOOKUP(B32,#REF!,3,0)</f>
        <v>#REF!</v>
      </c>
      <c r="K32" s="19" t="e">
        <f t="shared" si="4"/>
        <v>#REF!</v>
      </c>
      <c r="L32" s="19" t="e">
        <f>VLOOKUP(B32,'Station List'!#REF!,9,0)</f>
        <v>#REF!</v>
      </c>
      <c r="M32" s="19" t="e">
        <f>VLOOKUP(B32,#REF!,4,0)</f>
        <v>#REF!</v>
      </c>
      <c r="N32" s="17"/>
      <c r="O32" s="17"/>
      <c r="P32" s="17"/>
      <c r="Q32" s="17"/>
      <c r="R32" s="17"/>
      <c r="S32" s="17"/>
      <c r="T32" s="17"/>
      <c r="U32" s="17"/>
      <c r="V32" s="17"/>
      <c r="W32" s="17" t="e">
        <f t="shared" si="5"/>
        <v>#REF!</v>
      </c>
      <c r="X32" s="17" t="e">
        <f t="shared" si="6"/>
        <v>#REF!</v>
      </c>
    </row>
    <row r="33" spans="1:24" ht="12.75" customHeight="1" x14ac:dyDescent="0.2">
      <c r="A33" s="19">
        <v>30</v>
      </c>
      <c r="B33" s="19" t="s">
        <v>3123</v>
      </c>
      <c r="C33" s="19" t="e">
        <f t="shared" si="0"/>
        <v>#REF!</v>
      </c>
      <c r="D33" s="19" t="e">
        <f t="shared" si="1"/>
        <v>#REF!</v>
      </c>
      <c r="E33" s="19" t="e">
        <f t="shared" si="2"/>
        <v>#REF!</v>
      </c>
      <c r="F33" s="19" t="e">
        <f>VLOOKUP(B33,'Station List'!#REF!,2,0)</f>
        <v>#REF!</v>
      </c>
      <c r="G33" s="19" t="e">
        <f>VLOOKUP(B33,#REF!,2,0)</f>
        <v>#REF!</v>
      </c>
      <c r="H33" s="19" t="e">
        <f t="shared" si="3"/>
        <v>#REF!</v>
      </c>
      <c r="I33" s="19" t="e">
        <f>VLOOKUP(B33,'Station List'!#REF!,4,0)</f>
        <v>#REF!</v>
      </c>
      <c r="J33" s="19" t="e">
        <f>VLOOKUP(B33,#REF!,3,0)</f>
        <v>#REF!</v>
      </c>
      <c r="K33" s="19" t="e">
        <f t="shared" si="4"/>
        <v>#REF!</v>
      </c>
      <c r="L33" s="19" t="e">
        <f>VLOOKUP(B33,'Station List'!#REF!,9,0)</f>
        <v>#REF!</v>
      </c>
      <c r="M33" s="19" t="e">
        <f>VLOOKUP(B33,#REF!,4,0)</f>
        <v>#REF!</v>
      </c>
      <c r="N33" s="17"/>
      <c r="O33" s="17"/>
      <c r="P33" s="17"/>
      <c r="Q33" s="17"/>
      <c r="R33" s="17"/>
      <c r="S33" s="17"/>
      <c r="T33" s="17"/>
      <c r="U33" s="17"/>
      <c r="V33" s="17"/>
      <c r="W33" s="17" t="e">
        <f t="shared" si="5"/>
        <v>#REF!</v>
      </c>
      <c r="X33" s="17" t="e">
        <f t="shared" si="6"/>
        <v>#REF!</v>
      </c>
    </row>
    <row r="34" spans="1:24" ht="12.75" customHeight="1" x14ac:dyDescent="0.2">
      <c r="A34" s="19">
        <v>31</v>
      </c>
      <c r="B34" s="19" t="s">
        <v>3124</v>
      </c>
      <c r="C34" s="19" t="e">
        <f t="shared" si="0"/>
        <v>#REF!</v>
      </c>
      <c r="D34" s="19" t="e">
        <f t="shared" si="1"/>
        <v>#REF!</v>
      </c>
      <c r="E34" s="19" t="e">
        <f t="shared" si="2"/>
        <v>#REF!</v>
      </c>
      <c r="F34" s="19" t="e">
        <f>VLOOKUP(B34,'Station List'!#REF!,2,0)</f>
        <v>#REF!</v>
      </c>
      <c r="G34" s="19" t="e">
        <f>VLOOKUP(B34,#REF!,2,0)</f>
        <v>#REF!</v>
      </c>
      <c r="H34" s="19" t="e">
        <f t="shared" si="3"/>
        <v>#REF!</v>
      </c>
      <c r="I34" s="19" t="e">
        <f>VLOOKUP(B34,'Station List'!#REF!,4,0)</f>
        <v>#REF!</v>
      </c>
      <c r="J34" s="19" t="e">
        <f>VLOOKUP(B34,#REF!,3,0)</f>
        <v>#REF!</v>
      </c>
      <c r="K34" s="19" t="e">
        <f t="shared" si="4"/>
        <v>#REF!</v>
      </c>
      <c r="L34" s="19" t="e">
        <f>VLOOKUP(B34,'Station List'!#REF!,9,0)</f>
        <v>#REF!</v>
      </c>
      <c r="M34" s="19" t="e">
        <f>VLOOKUP(B34,#REF!,4,0)</f>
        <v>#REF!</v>
      </c>
      <c r="N34" s="17"/>
      <c r="O34" s="17"/>
      <c r="P34" s="17"/>
      <c r="Q34" s="17"/>
      <c r="R34" s="17"/>
      <c r="S34" s="17"/>
      <c r="T34" s="17"/>
      <c r="U34" s="17"/>
      <c r="V34" s="17"/>
      <c r="W34" s="17" t="e">
        <f t="shared" si="5"/>
        <v>#REF!</v>
      </c>
      <c r="X34" s="17" t="e">
        <f t="shared" si="6"/>
        <v>#REF!</v>
      </c>
    </row>
    <row r="35" spans="1:24" ht="12.75" customHeight="1" x14ac:dyDescent="0.2">
      <c r="A35" s="19">
        <v>32</v>
      </c>
      <c r="B35" s="19" t="s">
        <v>3126</v>
      </c>
      <c r="C35" s="19" t="e">
        <f t="shared" si="0"/>
        <v>#REF!</v>
      </c>
      <c r="D35" s="19" t="e">
        <f t="shared" si="1"/>
        <v>#REF!</v>
      </c>
      <c r="E35" s="19" t="e">
        <f t="shared" si="2"/>
        <v>#REF!</v>
      </c>
      <c r="F35" s="19" t="e">
        <f>VLOOKUP(B35,'Station List'!#REF!,2,0)</f>
        <v>#REF!</v>
      </c>
      <c r="G35" s="19" t="e">
        <f>VLOOKUP(B35,#REF!,2,0)</f>
        <v>#REF!</v>
      </c>
      <c r="H35" s="19" t="e">
        <f t="shared" si="3"/>
        <v>#REF!</v>
      </c>
      <c r="I35" s="19" t="e">
        <f>VLOOKUP(B35,'Station List'!#REF!,4,0)</f>
        <v>#REF!</v>
      </c>
      <c r="J35" s="19" t="e">
        <f>VLOOKUP(B35,#REF!,3,0)</f>
        <v>#REF!</v>
      </c>
      <c r="K35" s="19" t="e">
        <f t="shared" si="4"/>
        <v>#REF!</v>
      </c>
      <c r="L35" s="19" t="e">
        <f>VLOOKUP(B35,'Station List'!#REF!,9,0)</f>
        <v>#REF!</v>
      </c>
      <c r="M35" s="19" t="e">
        <f>VLOOKUP(B35,#REF!,4,0)</f>
        <v>#REF!</v>
      </c>
      <c r="N35" s="17"/>
      <c r="O35" s="17"/>
      <c r="P35" s="17"/>
      <c r="Q35" s="17"/>
      <c r="R35" s="17"/>
      <c r="S35" s="17"/>
      <c r="T35" s="17"/>
      <c r="U35" s="17"/>
      <c r="V35" s="17"/>
      <c r="W35" s="17" t="e">
        <f t="shared" si="5"/>
        <v>#REF!</v>
      </c>
      <c r="X35" s="17" t="e">
        <f t="shared" si="6"/>
        <v>#REF!</v>
      </c>
    </row>
    <row r="36" spans="1:24" ht="12.75" customHeight="1" x14ac:dyDescent="0.2">
      <c r="A36" s="19">
        <v>33</v>
      </c>
      <c r="B36" s="19" t="s">
        <v>3127</v>
      </c>
      <c r="C36" s="19" t="e">
        <f t="shared" si="0"/>
        <v>#REF!</v>
      </c>
      <c r="D36" s="19" t="e">
        <f t="shared" si="1"/>
        <v>#REF!</v>
      </c>
      <c r="E36" s="19" t="e">
        <f t="shared" si="2"/>
        <v>#REF!</v>
      </c>
      <c r="F36" s="19" t="e">
        <f>VLOOKUP(B36,'Station List'!#REF!,2,0)</f>
        <v>#REF!</v>
      </c>
      <c r="G36" s="19" t="e">
        <f>VLOOKUP(B36,#REF!,2,0)</f>
        <v>#REF!</v>
      </c>
      <c r="H36" s="19" t="e">
        <f t="shared" si="3"/>
        <v>#REF!</v>
      </c>
      <c r="I36" s="19" t="e">
        <f>VLOOKUP(B36,'Station List'!#REF!,4,0)</f>
        <v>#REF!</v>
      </c>
      <c r="J36" s="19" t="e">
        <f>VLOOKUP(B36,#REF!,3,0)</f>
        <v>#REF!</v>
      </c>
      <c r="K36" s="19" t="e">
        <f t="shared" si="4"/>
        <v>#REF!</v>
      </c>
      <c r="L36" s="19" t="e">
        <f>VLOOKUP(B36,'Station List'!#REF!,9,0)</f>
        <v>#REF!</v>
      </c>
      <c r="M36" s="19" t="e">
        <f>VLOOKUP(B36,#REF!,4,0)</f>
        <v>#REF!</v>
      </c>
      <c r="N36" s="17"/>
      <c r="O36" s="17"/>
      <c r="P36" s="17"/>
      <c r="Q36" s="17"/>
      <c r="R36" s="17"/>
      <c r="S36" s="17"/>
      <c r="T36" s="17"/>
      <c r="U36" s="17"/>
      <c r="V36" s="17"/>
      <c r="W36" s="17" t="e">
        <f t="shared" si="5"/>
        <v>#REF!</v>
      </c>
      <c r="X36" s="17" t="e">
        <f t="shared" si="6"/>
        <v>#REF!</v>
      </c>
    </row>
    <row r="37" spans="1:24" ht="12.75" customHeight="1" x14ac:dyDescent="0.2">
      <c r="A37" s="19">
        <v>34</v>
      </c>
      <c r="B37" s="19" t="s">
        <v>3128</v>
      </c>
      <c r="C37" s="19" t="e">
        <f t="shared" si="0"/>
        <v>#REF!</v>
      </c>
      <c r="D37" s="19" t="e">
        <f t="shared" si="1"/>
        <v>#REF!</v>
      </c>
      <c r="E37" s="19" t="e">
        <f t="shared" si="2"/>
        <v>#REF!</v>
      </c>
      <c r="F37" s="19" t="e">
        <f>VLOOKUP(B37,'Station List'!#REF!,2,0)</f>
        <v>#REF!</v>
      </c>
      <c r="G37" s="19" t="e">
        <f>VLOOKUP(B37,#REF!,2,0)</f>
        <v>#REF!</v>
      </c>
      <c r="H37" s="19" t="e">
        <f t="shared" si="3"/>
        <v>#REF!</v>
      </c>
      <c r="I37" s="19" t="e">
        <f>VLOOKUP(B37,'Station List'!#REF!,4,0)</f>
        <v>#REF!</v>
      </c>
      <c r="J37" s="19" t="e">
        <f>VLOOKUP(B37,#REF!,3,0)</f>
        <v>#REF!</v>
      </c>
      <c r="K37" s="19" t="e">
        <f t="shared" si="4"/>
        <v>#REF!</v>
      </c>
      <c r="L37" s="19" t="e">
        <f>VLOOKUP(B37,'Station List'!#REF!,9,0)</f>
        <v>#REF!</v>
      </c>
      <c r="M37" s="19" t="e">
        <f>VLOOKUP(B37,#REF!,4,0)</f>
        <v>#REF!</v>
      </c>
      <c r="N37" s="17"/>
      <c r="O37" s="17"/>
      <c r="P37" s="17"/>
      <c r="Q37" s="17"/>
      <c r="R37" s="17"/>
      <c r="S37" s="17"/>
      <c r="T37" s="17"/>
      <c r="U37" s="17"/>
      <c r="V37" s="17"/>
      <c r="W37" s="17" t="e">
        <f t="shared" si="5"/>
        <v>#REF!</v>
      </c>
      <c r="X37" s="17" t="e">
        <f t="shared" si="6"/>
        <v>#REF!</v>
      </c>
    </row>
    <row r="38" spans="1:24" ht="12.75" customHeight="1" x14ac:dyDescent="0.2">
      <c r="A38" s="19">
        <v>35</v>
      </c>
      <c r="B38" s="19" t="s">
        <v>3131</v>
      </c>
      <c r="C38" s="19" t="e">
        <f t="shared" si="0"/>
        <v>#REF!</v>
      </c>
      <c r="D38" s="19" t="e">
        <f t="shared" si="1"/>
        <v>#REF!</v>
      </c>
      <c r="E38" s="19" t="e">
        <f t="shared" si="2"/>
        <v>#REF!</v>
      </c>
      <c r="F38" s="19" t="e">
        <f>VLOOKUP(B38,'Station List'!#REF!,2,0)</f>
        <v>#REF!</v>
      </c>
      <c r="G38" s="19" t="e">
        <f>VLOOKUP(B38,#REF!,2,0)</f>
        <v>#REF!</v>
      </c>
      <c r="H38" s="19" t="e">
        <f t="shared" si="3"/>
        <v>#REF!</v>
      </c>
      <c r="I38" s="19" t="e">
        <f>VLOOKUP(B38,'Station List'!#REF!,4,0)</f>
        <v>#REF!</v>
      </c>
      <c r="J38" s="19" t="e">
        <f>VLOOKUP(B38,#REF!,3,0)</f>
        <v>#REF!</v>
      </c>
      <c r="K38" s="19" t="e">
        <f t="shared" si="4"/>
        <v>#REF!</v>
      </c>
      <c r="L38" s="19" t="e">
        <f>VLOOKUP(B38,'Station List'!#REF!,9,0)</f>
        <v>#REF!</v>
      </c>
      <c r="M38" s="19" t="e">
        <f>VLOOKUP(B38,#REF!,4,0)</f>
        <v>#REF!</v>
      </c>
      <c r="N38" s="17"/>
      <c r="O38" s="17"/>
      <c r="P38" s="17"/>
      <c r="Q38" s="17"/>
      <c r="R38" s="17"/>
      <c r="S38" s="17"/>
      <c r="T38" s="17"/>
      <c r="U38" s="17"/>
      <c r="V38" s="17"/>
      <c r="W38" s="17" t="e">
        <f t="shared" si="5"/>
        <v>#REF!</v>
      </c>
      <c r="X38" s="17" t="e">
        <f t="shared" si="6"/>
        <v>#REF!</v>
      </c>
    </row>
    <row r="39" spans="1:24" ht="12.75" customHeight="1" x14ac:dyDescent="0.2">
      <c r="A39" s="19">
        <v>36</v>
      </c>
      <c r="B39" s="19" t="s">
        <v>3132</v>
      </c>
      <c r="C39" s="19" t="e">
        <f t="shared" si="0"/>
        <v>#REF!</v>
      </c>
      <c r="D39" s="19" t="e">
        <f t="shared" si="1"/>
        <v>#REF!</v>
      </c>
      <c r="E39" s="19" t="e">
        <f t="shared" si="2"/>
        <v>#REF!</v>
      </c>
      <c r="F39" s="19" t="e">
        <f>VLOOKUP(B39,'Station List'!#REF!,2,0)</f>
        <v>#REF!</v>
      </c>
      <c r="G39" s="19" t="e">
        <f>VLOOKUP(B39,#REF!,2,0)</f>
        <v>#REF!</v>
      </c>
      <c r="H39" s="19" t="e">
        <f t="shared" si="3"/>
        <v>#REF!</v>
      </c>
      <c r="I39" s="19" t="e">
        <f>VLOOKUP(B39,'Station List'!#REF!,4,0)</f>
        <v>#REF!</v>
      </c>
      <c r="J39" s="19" t="e">
        <f>VLOOKUP(B39,#REF!,3,0)</f>
        <v>#REF!</v>
      </c>
      <c r="K39" s="19" t="e">
        <f t="shared" si="4"/>
        <v>#REF!</v>
      </c>
      <c r="L39" s="19" t="e">
        <f>VLOOKUP(B39,'Station List'!#REF!,9,0)</f>
        <v>#REF!</v>
      </c>
      <c r="M39" s="19" t="e">
        <f>VLOOKUP(B39,#REF!,4,0)</f>
        <v>#REF!</v>
      </c>
      <c r="N39" s="17"/>
      <c r="O39" s="17"/>
      <c r="P39" s="17"/>
      <c r="Q39" s="17"/>
      <c r="R39" s="17"/>
      <c r="S39" s="17"/>
      <c r="T39" s="17"/>
      <c r="U39" s="17"/>
      <c r="V39" s="17"/>
      <c r="W39" s="17" t="e">
        <f t="shared" si="5"/>
        <v>#REF!</v>
      </c>
      <c r="X39" s="17" t="e">
        <f t="shared" si="6"/>
        <v>#REF!</v>
      </c>
    </row>
    <row r="40" spans="1:24" ht="12.75" customHeight="1" x14ac:dyDescent="0.2">
      <c r="A40" s="19">
        <v>37</v>
      </c>
      <c r="B40" s="19" t="s">
        <v>3133</v>
      </c>
      <c r="C40" s="19" t="e">
        <f t="shared" si="0"/>
        <v>#REF!</v>
      </c>
      <c r="D40" s="19" t="e">
        <f t="shared" si="1"/>
        <v>#REF!</v>
      </c>
      <c r="E40" s="19" t="e">
        <f t="shared" si="2"/>
        <v>#REF!</v>
      </c>
      <c r="F40" s="19" t="e">
        <f>VLOOKUP(B40,'Station List'!#REF!,2,0)</f>
        <v>#REF!</v>
      </c>
      <c r="G40" s="19" t="e">
        <f>VLOOKUP(B40,#REF!,2,0)</f>
        <v>#REF!</v>
      </c>
      <c r="H40" s="19" t="e">
        <f t="shared" si="3"/>
        <v>#REF!</v>
      </c>
      <c r="I40" s="19" t="e">
        <f>VLOOKUP(B40,'Station List'!#REF!,4,0)</f>
        <v>#REF!</v>
      </c>
      <c r="J40" s="19" t="e">
        <f>VLOOKUP(B40,#REF!,3,0)</f>
        <v>#REF!</v>
      </c>
      <c r="K40" s="19" t="e">
        <f t="shared" si="4"/>
        <v>#REF!</v>
      </c>
      <c r="L40" s="19" t="e">
        <f>VLOOKUP(B40,'Station List'!#REF!,9,0)</f>
        <v>#REF!</v>
      </c>
      <c r="M40" s="19" t="e">
        <f>VLOOKUP(B40,#REF!,4,0)</f>
        <v>#REF!</v>
      </c>
      <c r="N40" s="17"/>
      <c r="O40" s="17"/>
      <c r="P40" s="17"/>
      <c r="Q40" s="17"/>
      <c r="R40" s="17"/>
      <c r="S40" s="17"/>
      <c r="T40" s="17"/>
      <c r="U40" s="17"/>
      <c r="V40" s="17"/>
      <c r="W40" s="17" t="e">
        <f t="shared" si="5"/>
        <v>#REF!</v>
      </c>
      <c r="X40" s="17" t="e">
        <f t="shared" si="6"/>
        <v>#REF!</v>
      </c>
    </row>
    <row r="41" spans="1:24" ht="12.75" customHeight="1" x14ac:dyDescent="0.2">
      <c r="A41" s="19">
        <v>38</v>
      </c>
      <c r="B41" s="19" t="s">
        <v>3134</v>
      </c>
      <c r="C41" s="19" t="e">
        <f t="shared" si="0"/>
        <v>#REF!</v>
      </c>
      <c r="D41" s="19" t="e">
        <f t="shared" si="1"/>
        <v>#REF!</v>
      </c>
      <c r="E41" s="19" t="e">
        <f t="shared" si="2"/>
        <v>#REF!</v>
      </c>
      <c r="F41" s="19" t="e">
        <f>VLOOKUP(B41,'Station List'!#REF!,2,0)</f>
        <v>#REF!</v>
      </c>
      <c r="G41" s="19" t="e">
        <f>VLOOKUP(B41,#REF!,2,0)</f>
        <v>#REF!</v>
      </c>
      <c r="H41" s="19" t="e">
        <f t="shared" si="3"/>
        <v>#REF!</v>
      </c>
      <c r="I41" s="19" t="e">
        <f>VLOOKUP(B41,'Station List'!#REF!,4,0)</f>
        <v>#REF!</v>
      </c>
      <c r="J41" s="19" t="e">
        <f>VLOOKUP(B41,#REF!,3,0)</f>
        <v>#REF!</v>
      </c>
      <c r="K41" s="19" t="e">
        <f t="shared" si="4"/>
        <v>#REF!</v>
      </c>
      <c r="L41" s="19" t="e">
        <f>VLOOKUP(B41,'Station List'!#REF!,9,0)</f>
        <v>#REF!</v>
      </c>
      <c r="M41" s="19" t="e">
        <f>VLOOKUP(B41,#REF!,4,0)</f>
        <v>#REF!</v>
      </c>
      <c r="N41" s="17"/>
      <c r="O41" s="17"/>
      <c r="P41" s="17"/>
      <c r="Q41" s="17"/>
      <c r="R41" s="17"/>
      <c r="S41" s="17"/>
      <c r="T41" s="17"/>
      <c r="U41" s="17"/>
      <c r="V41" s="17"/>
      <c r="W41" s="17" t="e">
        <f t="shared" si="5"/>
        <v>#REF!</v>
      </c>
      <c r="X41" s="17" t="e">
        <f t="shared" si="6"/>
        <v>#REF!</v>
      </c>
    </row>
    <row r="42" spans="1:24" ht="12.75" customHeight="1" x14ac:dyDescent="0.2">
      <c r="A42" s="19">
        <v>39</v>
      </c>
      <c r="B42" s="19" t="s">
        <v>3135</v>
      </c>
      <c r="C42" s="19" t="e">
        <f t="shared" si="0"/>
        <v>#REF!</v>
      </c>
      <c r="D42" s="19" t="e">
        <f t="shared" si="1"/>
        <v>#REF!</v>
      </c>
      <c r="E42" s="19" t="e">
        <f t="shared" si="2"/>
        <v>#REF!</v>
      </c>
      <c r="F42" s="19" t="e">
        <f>VLOOKUP(B42,'Station List'!#REF!,2,0)</f>
        <v>#REF!</v>
      </c>
      <c r="G42" s="19" t="e">
        <f>VLOOKUP(B42,#REF!,2,0)</f>
        <v>#REF!</v>
      </c>
      <c r="H42" s="19" t="e">
        <f t="shared" si="3"/>
        <v>#REF!</v>
      </c>
      <c r="I42" s="19" t="e">
        <f>VLOOKUP(B42,'Station List'!#REF!,4,0)</f>
        <v>#REF!</v>
      </c>
      <c r="J42" s="19" t="e">
        <f>VLOOKUP(B42,#REF!,3,0)</f>
        <v>#REF!</v>
      </c>
      <c r="K42" s="19" t="e">
        <f t="shared" si="4"/>
        <v>#REF!</v>
      </c>
      <c r="L42" s="19" t="e">
        <f>VLOOKUP(B42,'Station List'!#REF!,9,0)</f>
        <v>#REF!</v>
      </c>
      <c r="M42" s="19" t="e">
        <f>VLOOKUP(B42,#REF!,4,0)</f>
        <v>#REF!</v>
      </c>
      <c r="N42" s="17"/>
      <c r="O42" s="17"/>
      <c r="P42" s="17"/>
      <c r="Q42" s="17"/>
      <c r="R42" s="17"/>
      <c r="S42" s="17"/>
      <c r="T42" s="17"/>
      <c r="U42" s="17"/>
      <c r="V42" s="17"/>
      <c r="W42" s="17" t="e">
        <f t="shared" si="5"/>
        <v>#REF!</v>
      </c>
      <c r="X42" s="17" t="e">
        <f t="shared" si="6"/>
        <v>#REF!</v>
      </c>
    </row>
    <row r="43" spans="1:24" ht="12.75" customHeight="1" x14ac:dyDescent="0.2">
      <c r="A43" s="19">
        <v>40</v>
      </c>
      <c r="B43" s="19" t="s">
        <v>3138</v>
      </c>
      <c r="C43" s="19" t="e">
        <f t="shared" si="0"/>
        <v>#REF!</v>
      </c>
      <c r="D43" s="19" t="e">
        <f t="shared" si="1"/>
        <v>#REF!</v>
      </c>
      <c r="E43" s="19" t="e">
        <f t="shared" si="2"/>
        <v>#REF!</v>
      </c>
      <c r="F43" s="19" t="e">
        <f>VLOOKUP(B43,'Station List'!#REF!,2,0)</f>
        <v>#REF!</v>
      </c>
      <c r="G43" s="19" t="e">
        <f>VLOOKUP(B43,#REF!,2,0)</f>
        <v>#REF!</v>
      </c>
      <c r="H43" s="19" t="e">
        <f t="shared" si="3"/>
        <v>#REF!</v>
      </c>
      <c r="I43" s="19" t="e">
        <f>VLOOKUP(B43,'Station List'!#REF!,4,0)</f>
        <v>#REF!</v>
      </c>
      <c r="J43" s="19" t="e">
        <f>VLOOKUP(B43,#REF!,3,0)</f>
        <v>#REF!</v>
      </c>
      <c r="K43" s="19" t="e">
        <f t="shared" si="4"/>
        <v>#REF!</v>
      </c>
      <c r="L43" s="19" t="e">
        <f>VLOOKUP(B43,'Station List'!#REF!,9,0)</f>
        <v>#REF!</v>
      </c>
      <c r="M43" s="19" t="e">
        <f>VLOOKUP(B43,#REF!,4,0)</f>
        <v>#REF!</v>
      </c>
      <c r="N43" s="17"/>
      <c r="O43" s="17"/>
      <c r="P43" s="17"/>
      <c r="Q43" s="17"/>
      <c r="R43" s="17"/>
      <c r="S43" s="17"/>
      <c r="T43" s="17"/>
      <c r="U43" s="17"/>
      <c r="V43" s="17"/>
      <c r="W43" s="17" t="e">
        <f t="shared" si="5"/>
        <v>#REF!</v>
      </c>
      <c r="X43" s="17" t="e">
        <f t="shared" si="6"/>
        <v>#REF!</v>
      </c>
    </row>
    <row r="44" spans="1:24" ht="12.75" customHeight="1" x14ac:dyDescent="0.2">
      <c r="A44" s="19">
        <v>41</v>
      </c>
      <c r="B44" s="19" t="s">
        <v>3139</v>
      </c>
      <c r="C44" s="19" t="e">
        <f t="shared" si="0"/>
        <v>#REF!</v>
      </c>
      <c r="D44" s="19" t="e">
        <f t="shared" si="1"/>
        <v>#REF!</v>
      </c>
      <c r="E44" s="19" t="e">
        <f t="shared" si="2"/>
        <v>#REF!</v>
      </c>
      <c r="F44" s="19" t="e">
        <f>VLOOKUP(B44,'Station List'!#REF!,2,0)</f>
        <v>#REF!</v>
      </c>
      <c r="G44" s="19" t="e">
        <f>VLOOKUP(B44,#REF!,2,0)</f>
        <v>#REF!</v>
      </c>
      <c r="H44" s="19" t="e">
        <f t="shared" si="3"/>
        <v>#REF!</v>
      </c>
      <c r="I44" s="19" t="e">
        <f>VLOOKUP(B44,'Station List'!#REF!,4,0)</f>
        <v>#REF!</v>
      </c>
      <c r="J44" s="19" t="e">
        <f>VLOOKUP(B44,#REF!,3,0)</f>
        <v>#REF!</v>
      </c>
      <c r="K44" s="19" t="e">
        <f t="shared" si="4"/>
        <v>#REF!</v>
      </c>
      <c r="L44" s="19" t="e">
        <f>VLOOKUP(B44,'Station List'!#REF!,9,0)</f>
        <v>#REF!</v>
      </c>
      <c r="M44" s="19" t="e">
        <f>VLOOKUP(B44,#REF!,4,0)</f>
        <v>#REF!</v>
      </c>
      <c r="N44" s="17"/>
      <c r="O44" s="17"/>
      <c r="P44" s="17"/>
      <c r="Q44" s="17"/>
      <c r="R44" s="17"/>
      <c r="S44" s="17"/>
      <c r="T44" s="17"/>
      <c r="U44" s="17"/>
      <c r="V44" s="17"/>
      <c r="W44" s="17" t="e">
        <f t="shared" si="5"/>
        <v>#REF!</v>
      </c>
      <c r="X44" s="17" t="e">
        <f t="shared" si="6"/>
        <v>#REF!</v>
      </c>
    </row>
    <row r="45" spans="1:24" ht="12.75" customHeight="1" x14ac:dyDescent="0.2">
      <c r="A45" s="19">
        <v>42</v>
      </c>
      <c r="B45" s="19" t="s">
        <v>3140</v>
      </c>
      <c r="C45" s="19" t="e">
        <f t="shared" si="0"/>
        <v>#REF!</v>
      </c>
      <c r="D45" s="19" t="e">
        <f t="shared" si="1"/>
        <v>#REF!</v>
      </c>
      <c r="E45" s="19" t="e">
        <f t="shared" si="2"/>
        <v>#REF!</v>
      </c>
      <c r="F45" s="19" t="e">
        <f>VLOOKUP(B45,'Station List'!#REF!,2,0)</f>
        <v>#REF!</v>
      </c>
      <c r="G45" s="19" t="e">
        <f>VLOOKUP(B45,#REF!,2,0)</f>
        <v>#REF!</v>
      </c>
      <c r="H45" s="19" t="e">
        <f t="shared" si="3"/>
        <v>#REF!</v>
      </c>
      <c r="I45" s="19" t="e">
        <f>VLOOKUP(B45,'Station List'!#REF!,4,0)</f>
        <v>#REF!</v>
      </c>
      <c r="J45" s="19" t="e">
        <f>VLOOKUP(B45,#REF!,3,0)</f>
        <v>#REF!</v>
      </c>
      <c r="K45" s="19" t="e">
        <f t="shared" si="4"/>
        <v>#REF!</v>
      </c>
      <c r="L45" s="19" t="e">
        <f>VLOOKUP(B45,'Station List'!#REF!,9,0)</f>
        <v>#REF!</v>
      </c>
      <c r="M45" s="19" t="e">
        <f>VLOOKUP(B45,#REF!,4,0)</f>
        <v>#REF!</v>
      </c>
      <c r="N45" s="17"/>
      <c r="O45" s="17"/>
      <c r="P45" s="17"/>
      <c r="Q45" s="17"/>
      <c r="R45" s="17"/>
      <c r="S45" s="17"/>
      <c r="T45" s="17"/>
      <c r="U45" s="17"/>
      <c r="V45" s="17"/>
      <c r="W45" s="17" t="e">
        <f t="shared" si="5"/>
        <v>#REF!</v>
      </c>
      <c r="X45" s="17" t="e">
        <f t="shared" si="6"/>
        <v>#REF!</v>
      </c>
    </row>
    <row r="46" spans="1:24" ht="12.75" customHeight="1" x14ac:dyDescent="0.2">
      <c r="A46" s="19">
        <v>43</v>
      </c>
      <c r="B46" s="19" t="s">
        <v>3141</v>
      </c>
      <c r="C46" s="19" t="e">
        <f t="shared" si="0"/>
        <v>#REF!</v>
      </c>
      <c r="D46" s="19" t="e">
        <f t="shared" si="1"/>
        <v>#REF!</v>
      </c>
      <c r="E46" s="19" t="e">
        <f t="shared" si="2"/>
        <v>#REF!</v>
      </c>
      <c r="F46" s="19" t="e">
        <f>VLOOKUP(B46,'Station List'!#REF!,2,0)</f>
        <v>#REF!</v>
      </c>
      <c r="G46" s="19" t="e">
        <f>VLOOKUP(B46,#REF!,2,0)</f>
        <v>#REF!</v>
      </c>
      <c r="H46" s="19" t="e">
        <f t="shared" si="3"/>
        <v>#REF!</v>
      </c>
      <c r="I46" s="19" t="e">
        <f>VLOOKUP(B46,'Station List'!#REF!,4,0)</f>
        <v>#REF!</v>
      </c>
      <c r="J46" s="19" t="e">
        <f>VLOOKUP(B46,#REF!,3,0)</f>
        <v>#REF!</v>
      </c>
      <c r="K46" s="19" t="e">
        <f t="shared" si="4"/>
        <v>#REF!</v>
      </c>
      <c r="L46" s="19" t="e">
        <f>VLOOKUP(B46,'Station List'!#REF!,9,0)</f>
        <v>#REF!</v>
      </c>
      <c r="M46" s="19" t="e">
        <f>VLOOKUP(B46,#REF!,4,0)</f>
        <v>#REF!</v>
      </c>
      <c r="N46" s="17"/>
      <c r="O46" s="17"/>
      <c r="P46" s="17"/>
      <c r="Q46" s="17"/>
      <c r="R46" s="17"/>
      <c r="S46" s="17"/>
      <c r="T46" s="17"/>
      <c r="U46" s="17"/>
      <c r="V46" s="17"/>
      <c r="W46" s="17" t="e">
        <f t="shared" si="5"/>
        <v>#REF!</v>
      </c>
      <c r="X46" s="17" t="e">
        <f t="shared" si="6"/>
        <v>#REF!</v>
      </c>
    </row>
    <row r="47" spans="1:24" ht="12.75" customHeight="1" x14ac:dyDescent="0.2">
      <c r="A47" s="19">
        <v>44</v>
      </c>
      <c r="B47" s="19" t="s">
        <v>3142</v>
      </c>
      <c r="C47" s="19" t="e">
        <f t="shared" si="0"/>
        <v>#REF!</v>
      </c>
      <c r="D47" s="19" t="e">
        <f t="shared" si="1"/>
        <v>#REF!</v>
      </c>
      <c r="E47" s="19" t="e">
        <f t="shared" si="2"/>
        <v>#REF!</v>
      </c>
      <c r="F47" s="19" t="e">
        <f>VLOOKUP(B47,'Station List'!#REF!,2,0)</f>
        <v>#REF!</v>
      </c>
      <c r="G47" s="19" t="e">
        <f>VLOOKUP(B47,#REF!,2,0)</f>
        <v>#REF!</v>
      </c>
      <c r="H47" s="19" t="e">
        <f t="shared" si="3"/>
        <v>#REF!</v>
      </c>
      <c r="I47" s="19" t="e">
        <f>VLOOKUP(B47,'Station List'!#REF!,4,0)</f>
        <v>#REF!</v>
      </c>
      <c r="J47" s="19" t="e">
        <f>VLOOKUP(B47,#REF!,3,0)</f>
        <v>#REF!</v>
      </c>
      <c r="K47" s="19" t="e">
        <f t="shared" si="4"/>
        <v>#REF!</v>
      </c>
      <c r="L47" s="19" t="e">
        <f>VLOOKUP(B47,'Station List'!#REF!,9,0)</f>
        <v>#REF!</v>
      </c>
      <c r="M47" s="19" t="e">
        <f>VLOOKUP(B47,#REF!,4,0)</f>
        <v>#REF!</v>
      </c>
      <c r="N47" s="17"/>
      <c r="O47" s="17"/>
      <c r="P47" s="17"/>
      <c r="Q47" s="17"/>
      <c r="R47" s="17"/>
      <c r="S47" s="17"/>
      <c r="T47" s="17"/>
      <c r="U47" s="17"/>
      <c r="V47" s="17"/>
      <c r="W47" s="17" t="e">
        <f t="shared" si="5"/>
        <v>#REF!</v>
      </c>
      <c r="X47" s="17" t="e">
        <f t="shared" si="6"/>
        <v>#REF!</v>
      </c>
    </row>
    <row r="48" spans="1:24" ht="12.75" customHeight="1" x14ac:dyDescent="0.2">
      <c r="A48" s="19">
        <v>45</v>
      </c>
      <c r="B48" s="19" t="s">
        <v>3143</v>
      </c>
      <c r="C48" s="19" t="e">
        <f t="shared" si="0"/>
        <v>#REF!</v>
      </c>
      <c r="D48" s="19" t="e">
        <f t="shared" si="1"/>
        <v>#REF!</v>
      </c>
      <c r="E48" s="19" t="e">
        <f t="shared" si="2"/>
        <v>#REF!</v>
      </c>
      <c r="F48" s="19" t="e">
        <f>VLOOKUP(B48,'Station List'!#REF!,2,0)</f>
        <v>#REF!</v>
      </c>
      <c r="G48" s="19" t="e">
        <f>VLOOKUP(B48,#REF!,2,0)</f>
        <v>#REF!</v>
      </c>
      <c r="H48" s="19" t="e">
        <f t="shared" si="3"/>
        <v>#REF!</v>
      </c>
      <c r="I48" s="19" t="e">
        <f>VLOOKUP(B48,'Station List'!#REF!,4,0)</f>
        <v>#REF!</v>
      </c>
      <c r="J48" s="19" t="e">
        <f>VLOOKUP(B48,#REF!,3,0)</f>
        <v>#REF!</v>
      </c>
      <c r="K48" s="19" t="e">
        <f t="shared" si="4"/>
        <v>#REF!</v>
      </c>
      <c r="L48" s="19" t="e">
        <f>VLOOKUP(B48,'Station List'!#REF!,9,0)</f>
        <v>#REF!</v>
      </c>
      <c r="M48" s="19" t="e">
        <f>VLOOKUP(B48,#REF!,4,0)</f>
        <v>#REF!</v>
      </c>
      <c r="N48" s="17"/>
      <c r="O48" s="17"/>
      <c r="P48" s="17"/>
      <c r="Q48" s="17"/>
      <c r="R48" s="17"/>
      <c r="S48" s="17"/>
      <c r="T48" s="17"/>
      <c r="U48" s="17"/>
      <c r="V48" s="17"/>
      <c r="W48" s="17" t="e">
        <f t="shared" si="5"/>
        <v>#REF!</v>
      </c>
      <c r="X48" s="17" t="e">
        <f t="shared" si="6"/>
        <v>#REF!</v>
      </c>
    </row>
    <row r="49" spans="1:24" ht="12.75" customHeight="1" x14ac:dyDescent="0.2">
      <c r="A49" s="19">
        <v>46</v>
      </c>
      <c r="B49" s="19" t="s">
        <v>3145</v>
      </c>
      <c r="C49" s="19" t="e">
        <f t="shared" si="0"/>
        <v>#REF!</v>
      </c>
      <c r="D49" s="19" t="e">
        <f t="shared" si="1"/>
        <v>#REF!</v>
      </c>
      <c r="E49" s="19" t="e">
        <f t="shared" si="2"/>
        <v>#REF!</v>
      </c>
      <c r="F49" s="19" t="e">
        <f>VLOOKUP(B49,'Station List'!#REF!,2,0)</f>
        <v>#REF!</v>
      </c>
      <c r="G49" s="19" t="e">
        <f>VLOOKUP(B49,#REF!,2,0)</f>
        <v>#REF!</v>
      </c>
      <c r="H49" s="19" t="e">
        <f t="shared" si="3"/>
        <v>#REF!</v>
      </c>
      <c r="I49" s="19" t="e">
        <f>VLOOKUP(B49,'Station List'!#REF!,4,0)</f>
        <v>#REF!</v>
      </c>
      <c r="J49" s="19" t="e">
        <f>VLOOKUP(B49,#REF!,3,0)</f>
        <v>#REF!</v>
      </c>
      <c r="K49" s="19" t="e">
        <f t="shared" si="4"/>
        <v>#REF!</v>
      </c>
      <c r="L49" s="19" t="e">
        <f>VLOOKUP(B49,'Station List'!#REF!,9,0)</f>
        <v>#REF!</v>
      </c>
      <c r="M49" s="19" t="e">
        <f>VLOOKUP(B49,#REF!,4,0)</f>
        <v>#REF!</v>
      </c>
      <c r="N49" s="17"/>
      <c r="O49" s="17"/>
      <c r="P49" s="17"/>
      <c r="Q49" s="17"/>
      <c r="R49" s="17"/>
      <c r="S49" s="17"/>
      <c r="T49" s="17"/>
      <c r="U49" s="17"/>
      <c r="V49" s="17"/>
      <c r="W49" s="17" t="e">
        <f t="shared" si="5"/>
        <v>#REF!</v>
      </c>
      <c r="X49" s="17" t="e">
        <f t="shared" si="6"/>
        <v>#REF!</v>
      </c>
    </row>
    <row r="50" spans="1:24" ht="12.75" customHeight="1" x14ac:dyDescent="0.2">
      <c r="A50" s="19">
        <v>47</v>
      </c>
      <c r="B50" s="19" t="s">
        <v>3149</v>
      </c>
      <c r="C50" s="19" t="e">
        <f t="shared" si="0"/>
        <v>#REF!</v>
      </c>
      <c r="D50" s="19" t="e">
        <f t="shared" si="1"/>
        <v>#REF!</v>
      </c>
      <c r="E50" s="19" t="e">
        <f t="shared" si="2"/>
        <v>#REF!</v>
      </c>
      <c r="F50" s="19" t="e">
        <f>VLOOKUP(B50,'Station List'!#REF!,2,0)</f>
        <v>#REF!</v>
      </c>
      <c r="G50" s="19" t="e">
        <f>VLOOKUP(B50,#REF!,2,0)</f>
        <v>#REF!</v>
      </c>
      <c r="H50" s="19" t="e">
        <f t="shared" si="3"/>
        <v>#REF!</v>
      </c>
      <c r="I50" s="19" t="e">
        <f>VLOOKUP(B50,'Station List'!#REF!,4,0)</f>
        <v>#REF!</v>
      </c>
      <c r="J50" s="19" t="e">
        <f>VLOOKUP(B50,#REF!,3,0)</f>
        <v>#REF!</v>
      </c>
      <c r="K50" s="19" t="e">
        <f t="shared" si="4"/>
        <v>#REF!</v>
      </c>
      <c r="L50" s="19" t="e">
        <f>VLOOKUP(B50,'Station List'!#REF!,9,0)</f>
        <v>#REF!</v>
      </c>
      <c r="M50" s="19" t="e">
        <f>VLOOKUP(B50,#REF!,4,0)</f>
        <v>#REF!</v>
      </c>
      <c r="N50" s="17"/>
      <c r="O50" s="17"/>
      <c r="P50" s="17"/>
      <c r="Q50" s="17"/>
      <c r="R50" s="17"/>
      <c r="S50" s="17"/>
      <c r="T50" s="17"/>
      <c r="U50" s="17"/>
      <c r="V50" s="17"/>
      <c r="W50" s="17" t="e">
        <f t="shared" si="5"/>
        <v>#REF!</v>
      </c>
      <c r="X50" s="17" t="e">
        <f t="shared" si="6"/>
        <v>#REF!</v>
      </c>
    </row>
    <row r="51" spans="1:24" ht="12.75" customHeight="1" x14ac:dyDescent="0.2">
      <c r="A51" s="19">
        <v>48</v>
      </c>
      <c r="B51" s="19" t="s">
        <v>3152</v>
      </c>
      <c r="C51" s="19" t="e">
        <f t="shared" si="0"/>
        <v>#REF!</v>
      </c>
      <c r="D51" s="19" t="e">
        <f t="shared" si="1"/>
        <v>#REF!</v>
      </c>
      <c r="E51" s="19" t="e">
        <f t="shared" si="2"/>
        <v>#REF!</v>
      </c>
      <c r="F51" s="19" t="e">
        <f>VLOOKUP(B51,'Station List'!#REF!,2,0)</f>
        <v>#REF!</v>
      </c>
      <c r="G51" s="19" t="e">
        <f>VLOOKUP(B51,#REF!,2,0)</f>
        <v>#REF!</v>
      </c>
      <c r="H51" s="19" t="e">
        <f t="shared" si="3"/>
        <v>#REF!</v>
      </c>
      <c r="I51" s="19" t="e">
        <f>VLOOKUP(B51,'Station List'!#REF!,4,0)</f>
        <v>#REF!</v>
      </c>
      <c r="J51" s="19" t="e">
        <f>VLOOKUP(B51,#REF!,3,0)</f>
        <v>#REF!</v>
      </c>
      <c r="K51" s="19" t="e">
        <f t="shared" si="4"/>
        <v>#REF!</v>
      </c>
      <c r="L51" s="19" t="e">
        <f>VLOOKUP(B51,'Station List'!#REF!,9,0)</f>
        <v>#REF!</v>
      </c>
      <c r="M51" s="19" t="e">
        <f>VLOOKUP(B51,#REF!,4,0)</f>
        <v>#REF!</v>
      </c>
      <c r="N51" s="17"/>
      <c r="O51" s="17"/>
      <c r="P51" s="17"/>
      <c r="Q51" s="17"/>
      <c r="R51" s="17"/>
      <c r="S51" s="17"/>
      <c r="T51" s="17"/>
      <c r="U51" s="17"/>
      <c r="V51" s="17"/>
      <c r="W51" s="17" t="e">
        <f t="shared" si="5"/>
        <v>#REF!</v>
      </c>
      <c r="X51" s="17" t="e">
        <f t="shared" si="6"/>
        <v>#REF!</v>
      </c>
    </row>
    <row r="52" spans="1:24" ht="12.75" customHeight="1" x14ac:dyDescent="0.2">
      <c r="A52" s="19">
        <v>49</v>
      </c>
      <c r="B52" s="19" t="s">
        <v>3154</v>
      </c>
      <c r="C52" s="19" t="e">
        <f t="shared" si="0"/>
        <v>#REF!</v>
      </c>
      <c r="D52" s="19" t="e">
        <f t="shared" si="1"/>
        <v>#REF!</v>
      </c>
      <c r="E52" s="19" t="e">
        <f t="shared" si="2"/>
        <v>#REF!</v>
      </c>
      <c r="F52" s="19" t="e">
        <f>VLOOKUP(B52,'Station List'!#REF!,2,0)</f>
        <v>#REF!</v>
      </c>
      <c r="G52" s="19" t="e">
        <f>VLOOKUP(B52,#REF!,2,0)</f>
        <v>#REF!</v>
      </c>
      <c r="H52" s="19" t="e">
        <f t="shared" si="3"/>
        <v>#REF!</v>
      </c>
      <c r="I52" s="19" t="e">
        <f>VLOOKUP(B52,'Station List'!#REF!,4,0)</f>
        <v>#REF!</v>
      </c>
      <c r="J52" s="19" t="e">
        <f>VLOOKUP(B52,#REF!,3,0)</f>
        <v>#REF!</v>
      </c>
      <c r="K52" s="19" t="e">
        <f t="shared" si="4"/>
        <v>#REF!</v>
      </c>
      <c r="L52" s="19" t="e">
        <f>VLOOKUP(B52,'Station List'!#REF!,9,0)</f>
        <v>#REF!</v>
      </c>
      <c r="M52" s="19" t="e">
        <f>VLOOKUP(B52,#REF!,4,0)</f>
        <v>#REF!</v>
      </c>
      <c r="N52" s="17"/>
      <c r="O52" s="17"/>
      <c r="P52" s="17"/>
      <c r="Q52" s="17"/>
      <c r="R52" s="17"/>
      <c r="S52" s="17"/>
      <c r="T52" s="17"/>
      <c r="U52" s="17"/>
      <c r="V52" s="17"/>
      <c r="W52" s="17" t="e">
        <f t="shared" si="5"/>
        <v>#REF!</v>
      </c>
      <c r="X52" s="17" t="e">
        <f t="shared" si="6"/>
        <v>#REF!</v>
      </c>
    </row>
    <row r="53" spans="1:24" ht="12.75" customHeight="1" x14ac:dyDescent="0.2">
      <c r="A53" s="19">
        <v>50</v>
      </c>
      <c r="B53" s="19" t="s">
        <v>3155</v>
      </c>
      <c r="C53" s="19" t="e">
        <f t="shared" si="0"/>
        <v>#REF!</v>
      </c>
      <c r="D53" s="19" t="e">
        <f t="shared" si="1"/>
        <v>#REF!</v>
      </c>
      <c r="E53" s="19" t="e">
        <f t="shared" si="2"/>
        <v>#REF!</v>
      </c>
      <c r="F53" s="19" t="e">
        <f>VLOOKUP(B53,'Station List'!#REF!,2,0)</f>
        <v>#REF!</v>
      </c>
      <c r="G53" s="19" t="e">
        <f>VLOOKUP(B53,#REF!,2,0)</f>
        <v>#REF!</v>
      </c>
      <c r="H53" s="19" t="e">
        <f t="shared" si="3"/>
        <v>#REF!</v>
      </c>
      <c r="I53" s="19" t="e">
        <f>VLOOKUP(B53,'Station List'!#REF!,4,0)</f>
        <v>#REF!</v>
      </c>
      <c r="J53" s="19" t="e">
        <f>VLOOKUP(B53,#REF!,3,0)</f>
        <v>#REF!</v>
      </c>
      <c r="K53" s="19" t="e">
        <f t="shared" si="4"/>
        <v>#REF!</v>
      </c>
      <c r="L53" s="102" t="e">
        <f>VLOOKUP(B53,'Station List'!#REF!,9,0)</f>
        <v>#REF!</v>
      </c>
      <c r="M53" s="19" t="e">
        <f>VLOOKUP(B53,#REF!,4,0)</f>
        <v>#REF!</v>
      </c>
      <c r="N53" s="17"/>
      <c r="O53" s="17"/>
      <c r="P53" s="17"/>
      <c r="Q53" s="17"/>
      <c r="R53" s="17"/>
      <c r="S53" s="17"/>
      <c r="T53" s="17"/>
      <c r="U53" s="17"/>
      <c r="V53" s="17"/>
      <c r="W53" s="17" t="e">
        <f t="shared" si="5"/>
        <v>#REF!</v>
      </c>
      <c r="X53" s="17" t="e">
        <f t="shared" si="6"/>
        <v>#REF!</v>
      </c>
    </row>
    <row r="54" spans="1:24" ht="12.75" customHeight="1" x14ac:dyDescent="0.2">
      <c r="A54" s="19">
        <v>51</v>
      </c>
      <c r="B54" s="19" t="s">
        <v>3157</v>
      </c>
      <c r="C54" s="19" t="e">
        <f t="shared" si="0"/>
        <v>#REF!</v>
      </c>
      <c r="D54" s="19" t="e">
        <f t="shared" si="1"/>
        <v>#REF!</v>
      </c>
      <c r="E54" s="19" t="e">
        <f t="shared" si="2"/>
        <v>#REF!</v>
      </c>
      <c r="F54" s="19" t="e">
        <f>VLOOKUP(B54,'Station List'!#REF!,2,0)</f>
        <v>#REF!</v>
      </c>
      <c r="G54" s="19" t="e">
        <f>VLOOKUP(B54,#REF!,2,0)</f>
        <v>#REF!</v>
      </c>
      <c r="H54" s="19" t="e">
        <f t="shared" si="3"/>
        <v>#REF!</v>
      </c>
      <c r="I54" s="19" t="e">
        <f>VLOOKUP(B54,'Station List'!#REF!,4,0)</f>
        <v>#REF!</v>
      </c>
      <c r="J54" s="19" t="e">
        <f>VLOOKUP(B54,#REF!,3,0)</f>
        <v>#REF!</v>
      </c>
      <c r="K54" s="19" t="e">
        <f t="shared" si="4"/>
        <v>#REF!</v>
      </c>
      <c r="L54" s="19" t="e">
        <f>VLOOKUP(B54,'Station List'!#REF!,9,0)</f>
        <v>#REF!</v>
      </c>
      <c r="M54" s="19" t="e">
        <f>VLOOKUP(B54,#REF!,4,0)</f>
        <v>#REF!</v>
      </c>
      <c r="N54" s="17"/>
      <c r="O54" s="17"/>
      <c r="P54" s="17"/>
      <c r="Q54" s="17"/>
      <c r="R54" s="17"/>
      <c r="S54" s="17"/>
      <c r="T54" s="17"/>
      <c r="U54" s="17"/>
      <c r="V54" s="17"/>
      <c r="W54" s="17" t="e">
        <f t="shared" si="5"/>
        <v>#REF!</v>
      </c>
      <c r="X54" s="17" t="e">
        <f t="shared" si="6"/>
        <v>#REF!</v>
      </c>
    </row>
    <row r="55" spans="1:24" ht="12.75" customHeight="1" x14ac:dyDescent="0.2">
      <c r="A55" s="19">
        <v>52</v>
      </c>
      <c r="B55" s="19" t="s">
        <v>3158</v>
      </c>
      <c r="C55" s="19" t="e">
        <f t="shared" si="0"/>
        <v>#REF!</v>
      </c>
      <c r="D55" s="19" t="e">
        <f t="shared" si="1"/>
        <v>#REF!</v>
      </c>
      <c r="E55" s="19" t="e">
        <f t="shared" si="2"/>
        <v>#REF!</v>
      </c>
      <c r="F55" s="19" t="e">
        <f>VLOOKUP(B55,'Station List'!#REF!,2,0)</f>
        <v>#REF!</v>
      </c>
      <c r="G55" s="19" t="e">
        <f>VLOOKUP(B55,#REF!,2,0)</f>
        <v>#REF!</v>
      </c>
      <c r="H55" s="19" t="e">
        <f t="shared" si="3"/>
        <v>#REF!</v>
      </c>
      <c r="I55" s="19" t="e">
        <f>VLOOKUP(B55,'Station List'!#REF!,4,0)</f>
        <v>#REF!</v>
      </c>
      <c r="J55" s="19" t="e">
        <f>VLOOKUP(B55,#REF!,3,0)</f>
        <v>#REF!</v>
      </c>
      <c r="K55" s="19" t="e">
        <f t="shared" si="4"/>
        <v>#REF!</v>
      </c>
      <c r="L55" s="102" t="e">
        <f>VLOOKUP(B55,'Station List'!#REF!,9,0)</f>
        <v>#REF!</v>
      </c>
      <c r="M55" s="19" t="e">
        <f>VLOOKUP(B55,#REF!,4,0)</f>
        <v>#REF!</v>
      </c>
      <c r="N55" s="17"/>
      <c r="O55" s="17"/>
      <c r="P55" s="17"/>
      <c r="Q55" s="17"/>
      <c r="R55" s="17"/>
      <c r="S55" s="17"/>
      <c r="T55" s="17"/>
      <c r="U55" s="17"/>
      <c r="V55" s="17"/>
      <c r="W55" s="17" t="e">
        <f t="shared" si="5"/>
        <v>#REF!</v>
      </c>
      <c r="X55" s="17" t="e">
        <f t="shared" si="6"/>
        <v>#REF!</v>
      </c>
    </row>
    <row r="56" spans="1:24" ht="12.75" customHeight="1" x14ac:dyDescent="0.2">
      <c r="A56" s="19">
        <v>53</v>
      </c>
      <c r="B56" s="19" t="s">
        <v>3160</v>
      </c>
      <c r="C56" s="19" t="e">
        <f t="shared" si="0"/>
        <v>#REF!</v>
      </c>
      <c r="D56" s="19" t="e">
        <f t="shared" si="1"/>
        <v>#REF!</v>
      </c>
      <c r="E56" s="19" t="e">
        <f t="shared" si="2"/>
        <v>#REF!</v>
      </c>
      <c r="F56" s="19" t="e">
        <f>VLOOKUP(B56,'Station List'!#REF!,2,0)</f>
        <v>#REF!</v>
      </c>
      <c r="G56" s="19" t="e">
        <f>VLOOKUP(B56,#REF!,2,0)</f>
        <v>#REF!</v>
      </c>
      <c r="H56" s="19" t="e">
        <f t="shared" si="3"/>
        <v>#REF!</v>
      </c>
      <c r="I56" s="19" t="e">
        <f>VLOOKUP(B56,'Station List'!#REF!,4,0)</f>
        <v>#REF!</v>
      </c>
      <c r="J56" s="19" t="e">
        <f>VLOOKUP(B56,#REF!,3,0)</f>
        <v>#REF!</v>
      </c>
      <c r="K56" s="19" t="e">
        <f t="shared" si="4"/>
        <v>#REF!</v>
      </c>
      <c r="L56" s="19" t="e">
        <f>VLOOKUP(B56,'Station List'!#REF!,9,0)</f>
        <v>#REF!</v>
      </c>
      <c r="M56" s="19" t="e">
        <f>VLOOKUP(B56,#REF!,4,0)</f>
        <v>#REF!</v>
      </c>
      <c r="N56" s="17"/>
      <c r="O56" s="17"/>
      <c r="P56" s="17"/>
      <c r="Q56" s="17"/>
      <c r="R56" s="17"/>
      <c r="S56" s="17"/>
      <c r="T56" s="17"/>
      <c r="U56" s="17"/>
      <c r="V56" s="17"/>
      <c r="W56" s="17" t="e">
        <f t="shared" si="5"/>
        <v>#REF!</v>
      </c>
      <c r="X56" s="17" t="e">
        <f t="shared" si="6"/>
        <v>#REF!</v>
      </c>
    </row>
    <row r="57" spans="1:24" ht="12.75" customHeight="1" x14ac:dyDescent="0.2">
      <c r="A57" s="19">
        <v>54</v>
      </c>
      <c r="B57" s="19" t="s">
        <v>3163</v>
      </c>
      <c r="C57" s="19" t="e">
        <f t="shared" si="0"/>
        <v>#REF!</v>
      </c>
      <c r="D57" s="19" t="e">
        <f t="shared" si="1"/>
        <v>#REF!</v>
      </c>
      <c r="E57" s="19" t="e">
        <f t="shared" si="2"/>
        <v>#REF!</v>
      </c>
      <c r="F57" s="19" t="e">
        <f>VLOOKUP(B57,'Station List'!#REF!,2,0)</f>
        <v>#REF!</v>
      </c>
      <c r="G57" s="19" t="e">
        <f>VLOOKUP(B57,#REF!,2,0)</f>
        <v>#REF!</v>
      </c>
      <c r="H57" s="19" t="e">
        <f t="shared" si="3"/>
        <v>#REF!</v>
      </c>
      <c r="I57" s="19" t="e">
        <f>VLOOKUP(B57,'Station List'!#REF!,4,0)</f>
        <v>#REF!</v>
      </c>
      <c r="J57" s="19" t="e">
        <f>VLOOKUP(B57,#REF!,3,0)</f>
        <v>#REF!</v>
      </c>
      <c r="K57" s="19" t="e">
        <f t="shared" si="4"/>
        <v>#REF!</v>
      </c>
      <c r="L57" s="19" t="e">
        <f>VLOOKUP(B57,'Station List'!#REF!,9,0)</f>
        <v>#REF!</v>
      </c>
      <c r="M57" s="19" t="e">
        <f>VLOOKUP(B57,#REF!,4,0)</f>
        <v>#REF!</v>
      </c>
      <c r="N57" s="17"/>
      <c r="O57" s="17"/>
      <c r="P57" s="17"/>
      <c r="Q57" s="17"/>
      <c r="R57" s="17"/>
      <c r="S57" s="17"/>
      <c r="T57" s="17"/>
      <c r="U57" s="17"/>
      <c r="V57" s="17"/>
      <c r="W57" s="17" t="e">
        <f t="shared" si="5"/>
        <v>#REF!</v>
      </c>
      <c r="X57" s="17" t="e">
        <f t="shared" si="6"/>
        <v>#REF!</v>
      </c>
    </row>
    <row r="58" spans="1:24" ht="12.75" customHeight="1" x14ac:dyDescent="0.2">
      <c r="A58" s="19">
        <v>55</v>
      </c>
      <c r="B58" s="19" t="s">
        <v>3167</v>
      </c>
      <c r="C58" s="19" t="e">
        <f t="shared" si="0"/>
        <v>#REF!</v>
      </c>
      <c r="D58" s="19" t="e">
        <f t="shared" si="1"/>
        <v>#REF!</v>
      </c>
      <c r="E58" s="19" t="e">
        <f t="shared" si="2"/>
        <v>#REF!</v>
      </c>
      <c r="F58" s="19" t="e">
        <f>VLOOKUP(B58,'Station List'!#REF!,2,0)</f>
        <v>#REF!</v>
      </c>
      <c r="G58" s="19" t="e">
        <f>VLOOKUP(B58,#REF!,2,0)</f>
        <v>#REF!</v>
      </c>
      <c r="H58" s="19" t="e">
        <f t="shared" si="3"/>
        <v>#REF!</v>
      </c>
      <c r="I58" s="19" t="e">
        <f>VLOOKUP(B58,'Station List'!#REF!,4,0)</f>
        <v>#REF!</v>
      </c>
      <c r="J58" s="19" t="e">
        <f>VLOOKUP(B58,#REF!,3,0)</f>
        <v>#REF!</v>
      </c>
      <c r="K58" s="19" t="e">
        <f t="shared" si="4"/>
        <v>#REF!</v>
      </c>
      <c r="L58" s="19" t="e">
        <f>VLOOKUP(B58,'Station List'!#REF!,9,0)</f>
        <v>#REF!</v>
      </c>
      <c r="M58" s="19" t="e">
        <f>VLOOKUP(B58,#REF!,4,0)</f>
        <v>#REF!</v>
      </c>
      <c r="N58" s="17"/>
      <c r="O58" s="17"/>
      <c r="P58" s="17"/>
      <c r="Q58" s="17"/>
      <c r="R58" s="17"/>
      <c r="S58" s="17"/>
      <c r="T58" s="17"/>
      <c r="U58" s="17"/>
      <c r="V58" s="17"/>
      <c r="W58" s="17" t="e">
        <f t="shared" si="5"/>
        <v>#REF!</v>
      </c>
      <c r="X58" s="17" t="e">
        <f t="shared" si="6"/>
        <v>#REF!</v>
      </c>
    </row>
    <row r="59" spans="1:24" ht="12.75" customHeight="1" x14ac:dyDescent="0.2">
      <c r="A59" s="19">
        <v>56</v>
      </c>
      <c r="B59" s="19" t="s">
        <v>3168</v>
      </c>
      <c r="C59" s="19" t="e">
        <f t="shared" si="0"/>
        <v>#REF!</v>
      </c>
      <c r="D59" s="19" t="e">
        <f t="shared" si="1"/>
        <v>#REF!</v>
      </c>
      <c r="E59" s="19" t="e">
        <f t="shared" si="2"/>
        <v>#REF!</v>
      </c>
      <c r="F59" s="19" t="e">
        <f>VLOOKUP(B59,'Station List'!#REF!,2,0)</f>
        <v>#REF!</v>
      </c>
      <c r="G59" s="19" t="e">
        <f>VLOOKUP(B59,#REF!,2,0)</f>
        <v>#REF!</v>
      </c>
      <c r="H59" s="19" t="e">
        <f t="shared" si="3"/>
        <v>#REF!</v>
      </c>
      <c r="I59" s="19" t="e">
        <f>VLOOKUP(B59,'Station List'!#REF!,4,0)</f>
        <v>#REF!</v>
      </c>
      <c r="J59" s="19" t="e">
        <f>VLOOKUP(B59,#REF!,3,0)</f>
        <v>#REF!</v>
      </c>
      <c r="K59" s="19" t="e">
        <f t="shared" si="4"/>
        <v>#REF!</v>
      </c>
      <c r="L59" s="19" t="e">
        <f>VLOOKUP(B59,'Station List'!#REF!,9,0)</f>
        <v>#REF!</v>
      </c>
      <c r="M59" s="19" t="e">
        <f>VLOOKUP(B59,#REF!,4,0)</f>
        <v>#REF!</v>
      </c>
      <c r="N59" s="17"/>
      <c r="O59" s="17"/>
      <c r="P59" s="17"/>
      <c r="Q59" s="17"/>
      <c r="R59" s="17"/>
      <c r="S59" s="17"/>
      <c r="T59" s="17"/>
      <c r="U59" s="17"/>
      <c r="V59" s="17"/>
      <c r="W59" s="17" t="e">
        <f t="shared" si="5"/>
        <v>#REF!</v>
      </c>
      <c r="X59" s="17" t="e">
        <f t="shared" si="6"/>
        <v>#REF!</v>
      </c>
    </row>
    <row r="60" spans="1:24" ht="12.75" customHeight="1" x14ac:dyDescent="0.2">
      <c r="A60" s="19">
        <v>57</v>
      </c>
      <c r="B60" s="19" t="s">
        <v>3169</v>
      </c>
      <c r="C60" s="19" t="e">
        <f t="shared" si="0"/>
        <v>#REF!</v>
      </c>
      <c r="D60" s="19" t="e">
        <f t="shared" si="1"/>
        <v>#REF!</v>
      </c>
      <c r="E60" s="19" t="e">
        <f t="shared" si="2"/>
        <v>#REF!</v>
      </c>
      <c r="F60" s="19" t="e">
        <f>VLOOKUP(B60,'Station List'!#REF!,2,0)</f>
        <v>#REF!</v>
      </c>
      <c r="G60" s="19" t="e">
        <f>VLOOKUP(B60,#REF!,2,0)</f>
        <v>#REF!</v>
      </c>
      <c r="H60" s="19" t="e">
        <f t="shared" si="3"/>
        <v>#REF!</v>
      </c>
      <c r="I60" s="19" t="e">
        <f>VLOOKUP(B60,'Station List'!#REF!,4,0)</f>
        <v>#REF!</v>
      </c>
      <c r="J60" s="19" t="e">
        <f>VLOOKUP(B60,#REF!,3,0)</f>
        <v>#REF!</v>
      </c>
      <c r="K60" s="19" t="e">
        <f t="shared" si="4"/>
        <v>#REF!</v>
      </c>
      <c r="L60" s="19" t="e">
        <f>VLOOKUP(B60,'Station List'!#REF!,9,0)</f>
        <v>#REF!</v>
      </c>
      <c r="M60" s="19" t="e">
        <f>VLOOKUP(B60,#REF!,4,0)</f>
        <v>#REF!</v>
      </c>
      <c r="N60" s="17"/>
      <c r="O60" s="17"/>
      <c r="P60" s="17"/>
      <c r="Q60" s="17"/>
      <c r="R60" s="17"/>
      <c r="S60" s="17"/>
      <c r="T60" s="17"/>
      <c r="U60" s="17"/>
      <c r="V60" s="17"/>
      <c r="W60" s="17" t="e">
        <f t="shared" si="5"/>
        <v>#REF!</v>
      </c>
      <c r="X60" s="17" t="e">
        <f t="shared" si="6"/>
        <v>#REF!</v>
      </c>
    </row>
    <row r="61" spans="1:24" ht="12.75" customHeight="1" x14ac:dyDescent="0.2">
      <c r="A61" s="19">
        <v>58</v>
      </c>
      <c r="B61" s="19" t="s">
        <v>3170</v>
      </c>
      <c r="C61" s="19" t="e">
        <f t="shared" si="0"/>
        <v>#REF!</v>
      </c>
      <c r="D61" s="19" t="e">
        <f t="shared" si="1"/>
        <v>#REF!</v>
      </c>
      <c r="E61" s="19" t="e">
        <f t="shared" si="2"/>
        <v>#REF!</v>
      </c>
      <c r="F61" s="19" t="e">
        <f>VLOOKUP(B61,'Station List'!#REF!,2,0)</f>
        <v>#REF!</v>
      </c>
      <c r="G61" s="19" t="e">
        <f>VLOOKUP(B61,#REF!,2,0)</f>
        <v>#REF!</v>
      </c>
      <c r="H61" s="19" t="e">
        <f t="shared" si="3"/>
        <v>#REF!</v>
      </c>
      <c r="I61" s="19" t="e">
        <f>VLOOKUP(B61,'Station List'!#REF!,4,0)</f>
        <v>#REF!</v>
      </c>
      <c r="J61" s="19" t="e">
        <f>VLOOKUP(B61,#REF!,3,0)</f>
        <v>#REF!</v>
      </c>
      <c r="K61" s="19" t="e">
        <f t="shared" si="4"/>
        <v>#REF!</v>
      </c>
      <c r="L61" s="19" t="e">
        <f>VLOOKUP(B61,'Station List'!#REF!,9,0)</f>
        <v>#REF!</v>
      </c>
      <c r="M61" s="19" t="e">
        <f>VLOOKUP(B61,#REF!,4,0)</f>
        <v>#REF!</v>
      </c>
      <c r="N61" s="17"/>
      <c r="O61" s="17"/>
      <c r="P61" s="17"/>
      <c r="Q61" s="17"/>
      <c r="R61" s="17"/>
      <c r="S61" s="17"/>
      <c r="T61" s="17"/>
      <c r="U61" s="17"/>
      <c r="V61" s="17"/>
      <c r="W61" s="17" t="e">
        <f t="shared" si="5"/>
        <v>#REF!</v>
      </c>
      <c r="X61" s="17" t="e">
        <f t="shared" si="6"/>
        <v>#REF!</v>
      </c>
    </row>
    <row r="62" spans="1:24" ht="12.75" customHeight="1" x14ac:dyDescent="0.2">
      <c r="A62" s="19">
        <v>59</v>
      </c>
      <c r="B62" s="19" t="s">
        <v>3171</v>
      </c>
      <c r="C62" s="19" t="e">
        <f t="shared" si="0"/>
        <v>#REF!</v>
      </c>
      <c r="D62" s="19" t="e">
        <f t="shared" si="1"/>
        <v>#REF!</v>
      </c>
      <c r="E62" s="19" t="e">
        <f t="shared" si="2"/>
        <v>#REF!</v>
      </c>
      <c r="F62" s="19" t="e">
        <f>VLOOKUP(B62,'Station List'!#REF!,2,0)</f>
        <v>#REF!</v>
      </c>
      <c r="G62" s="19" t="e">
        <f>VLOOKUP(B62,#REF!,2,0)</f>
        <v>#REF!</v>
      </c>
      <c r="H62" s="19" t="e">
        <f t="shared" si="3"/>
        <v>#REF!</v>
      </c>
      <c r="I62" s="19" t="e">
        <f>VLOOKUP(B62,'Station List'!#REF!,4,0)</f>
        <v>#REF!</v>
      </c>
      <c r="J62" s="19" t="e">
        <f>VLOOKUP(B62,#REF!,3,0)</f>
        <v>#REF!</v>
      </c>
      <c r="K62" s="19" t="e">
        <f t="shared" si="4"/>
        <v>#REF!</v>
      </c>
      <c r="L62" s="19" t="e">
        <f>VLOOKUP(B62,'Station List'!#REF!,9,0)</f>
        <v>#REF!</v>
      </c>
      <c r="M62" s="19" t="e">
        <f>VLOOKUP(B62,#REF!,4,0)</f>
        <v>#REF!</v>
      </c>
      <c r="N62" s="17"/>
      <c r="O62" s="17"/>
      <c r="P62" s="17"/>
      <c r="Q62" s="17"/>
      <c r="R62" s="17"/>
      <c r="S62" s="17"/>
      <c r="T62" s="17"/>
      <c r="U62" s="17"/>
      <c r="V62" s="17"/>
      <c r="W62" s="17" t="e">
        <f t="shared" si="5"/>
        <v>#REF!</v>
      </c>
      <c r="X62" s="17" t="e">
        <f t="shared" si="6"/>
        <v>#REF!</v>
      </c>
    </row>
    <row r="63" spans="1:24" ht="12.75" customHeight="1" x14ac:dyDescent="0.2">
      <c r="A63" s="19">
        <v>60</v>
      </c>
      <c r="B63" s="19" t="s">
        <v>3172</v>
      </c>
      <c r="C63" s="19" t="e">
        <f t="shared" si="0"/>
        <v>#REF!</v>
      </c>
      <c r="D63" s="19" t="e">
        <f t="shared" si="1"/>
        <v>#REF!</v>
      </c>
      <c r="E63" s="19" t="e">
        <f t="shared" si="2"/>
        <v>#REF!</v>
      </c>
      <c r="F63" s="19" t="e">
        <f>VLOOKUP(B63,'Station List'!#REF!,2,0)</f>
        <v>#REF!</v>
      </c>
      <c r="G63" s="19" t="e">
        <f>VLOOKUP(B63,#REF!,2,0)</f>
        <v>#REF!</v>
      </c>
      <c r="H63" s="19" t="e">
        <f t="shared" si="3"/>
        <v>#REF!</v>
      </c>
      <c r="I63" s="19" t="e">
        <f>VLOOKUP(B63,'Station List'!#REF!,4,0)</f>
        <v>#REF!</v>
      </c>
      <c r="J63" s="19" t="e">
        <f>VLOOKUP(B63,#REF!,3,0)</f>
        <v>#REF!</v>
      </c>
      <c r="K63" s="19" t="e">
        <f t="shared" si="4"/>
        <v>#REF!</v>
      </c>
      <c r="L63" s="19" t="e">
        <f>VLOOKUP(B63,'Station List'!#REF!,9,0)</f>
        <v>#REF!</v>
      </c>
      <c r="M63" s="19" t="e">
        <f>VLOOKUP(B63,#REF!,4,0)</f>
        <v>#REF!</v>
      </c>
      <c r="N63" s="17"/>
      <c r="O63" s="17"/>
      <c r="P63" s="17"/>
      <c r="Q63" s="17"/>
      <c r="R63" s="17"/>
      <c r="S63" s="17"/>
      <c r="T63" s="17"/>
      <c r="U63" s="17"/>
      <c r="V63" s="17"/>
      <c r="W63" s="17" t="e">
        <f t="shared" si="5"/>
        <v>#REF!</v>
      </c>
      <c r="X63" s="17" t="e">
        <f t="shared" si="6"/>
        <v>#REF!</v>
      </c>
    </row>
    <row r="64" spans="1:24" ht="12.75" customHeight="1" x14ac:dyDescent="0.2">
      <c r="A64" s="19">
        <v>61</v>
      </c>
      <c r="B64" s="19" t="s">
        <v>3175</v>
      </c>
      <c r="C64" s="19" t="e">
        <f t="shared" si="0"/>
        <v>#REF!</v>
      </c>
      <c r="D64" s="19" t="e">
        <f t="shared" si="1"/>
        <v>#REF!</v>
      </c>
      <c r="E64" s="19" t="e">
        <f t="shared" si="2"/>
        <v>#REF!</v>
      </c>
      <c r="F64" s="19" t="e">
        <f>VLOOKUP(B64,'Station List'!#REF!,2,0)</f>
        <v>#REF!</v>
      </c>
      <c r="G64" s="19" t="e">
        <f>VLOOKUP(B64,#REF!,2,0)</f>
        <v>#REF!</v>
      </c>
      <c r="H64" s="19" t="e">
        <f t="shared" si="3"/>
        <v>#REF!</v>
      </c>
      <c r="I64" s="19" t="e">
        <f>VLOOKUP(B64,'Station List'!#REF!,4,0)</f>
        <v>#REF!</v>
      </c>
      <c r="J64" s="19" t="e">
        <f>VLOOKUP(B64,#REF!,3,0)</f>
        <v>#REF!</v>
      </c>
      <c r="K64" s="19" t="e">
        <f t="shared" si="4"/>
        <v>#REF!</v>
      </c>
      <c r="L64" s="19" t="e">
        <f>VLOOKUP(B64,'Station List'!#REF!,9,0)</f>
        <v>#REF!</v>
      </c>
      <c r="M64" s="19" t="e">
        <f>VLOOKUP(B64,#REF!,4,0)</f>
        <v>#REF!</v>
      </c>
      <c r="N64" s="17"/>
      <c r="O64" s="17"/>
      <c r="P64" s="17"/>
      <c r="Q64" s="17"/>
      <c r="R64" s="17"/>
      <c r="S64" s="17"/>
      <c r="T64" s="17"/>
      <c r="U64" s="17"/>
      <c r="V64" s="17"/>
      <c r="W64" s="17" t="e">
        <f t="shared" si="5"/>
        <v>#REF!</v>
      </c>
      <c r="X64" s="17" t="e">
        <f t="shared" si="6"/>
        <v>#REF!</v>
      </c>
    </row>
    <row r="65" spans="1:24" ht="12.75" customHeight="1" x14ac:dyDescent="0.2">
      <c r="A65" s="19">
        <v>62</v>
      </c>
      <c r="B65" s="19" t="s">
        <v>3176</v>
      </c>
      <c r="C65" s="19" t="e">
        <f t="shared" si="0"/>
        <v>#REF!</v>
      </c>
      <c r="D65" s="19" t="e">
        <f t="shared" si="1"/>
        <v>#REF!</v>
      </c>
      <c r="E65" s="19" t="e">
        <f t="shared" si="2"/>
        <v>#REF!</v>
      </c>
      <c r="F65" s="19" t="e">
        <f>VLOOKUP(B65,'Station List'!#REF!,2,0)</f>
        <v>#REF!</v>
      </c>
      <c r="G65" s="19" t="e">
        <f>VLOOKUP(B65,#REF!,2,0)</f>
        <v>#REF!</v>
      </c>
      <c r="H65" s="19" t="e">
        <f t="shared" si="3"/>
        <v>#REF!</v>
      </c>
      <c r="I65" s="19" t="e">
        <f>VLOOKUP(B65,'Station List'!#REF!,4,0)</f>
        <v>#REF!</v>
      </c>
      <c r="J65" s="19" t="e">
        <f>VLOOKUP(B65,#REF!,3,0)</f>
        <v>#REF!</v>
      </c>
      <c r="K65" s="19" t="e">
        <f t="shared" si="4"/>
        <v>#REF!</v>
      </c>
      <c r="L65" s="19" t="e">
        <f>VLOOKUP(B65,'Station List'!#REF!,9,0)</f>
        <v>#REF!</v>
      </c>
      <c r="M65" s="19" t="e">
        <f>VLOOKUP(B65,#REF!,4,0)</f>
        <v>#REF!</v>
      </c>
      <c r="N65" s="17"/>
      <c r="O65" s="17"/>
      <c r="P65" s="17"/>
      <c r="Q65" s="17"/>
      <c r="R65" s="17"/>
      <c r="S65" s="17"/>
      <c r="T65" s="17"/>
      <c r="U65" s="17"/>
      <c r="V65" s="17"/>
      <c r="W65" s="17" t="e">
        <f t="shared" si="5"/>
        <v>#REF!</v>
      </c>
      <c r="X65" s="17" t="e">
        <f t="shared" si="6"/>
        <v>#REF!</v>
      </c>
    </row>
    <row r="66" spans="1:24" ht="12.75" customHeight="1" x14ac:dyDescent="0.2">
      <c r="A66" s="19">
        <v>63</v>
      </c>
      <c r="B66" s="19" t="s">
        <v>3177</v>
      </c>
      <c r="C66" s="19" t="e">
        <f t="shared" si="0"/>
        <v>#REF!</v>
      </c>
      <c r="D66" s="19" t="e">
        <f t="shared" si="1"/>
        <v>#REF!</v>
      </c>
      <c r="E66" s="19" t="e">
        <f t="shared" si="2"/>
        <v>#REF!</v>
      </c>
      <c r="F66" s="19" t="e">
        <f>VLOOKUP(B66,'Station List'!#REF!,2,0)</f>
        <v>#REF!</v>
      </c>
      <c r="G66" s="19" t="e">
        <f>VLOOKUP(B66,#REF!,2,0)</f>
        <v>#REF!</v>
      </c>
      <c r="H66" s="19" t="e">
        <f t="shared" si="3"/>
        <v>#REF!</v>
      </c>
      <c r="I66" s="19" t="e">
        <f>VLOOKUP(B66,'Station List'!#REF!,4,0)</f>
        <v>#REF!</v>
      </c>
      <c r="J66" s="19" t="e">
        <f>VLOOKUP(B66,#REF!,3,0)</f>
        <v>#REF!</v>
      </c>
      <c r="K66" s="19" t="e">
        <f t="shared" si="4"/>
        <v>#REF!</v>
      </c>
      <c r="L66" s="19" t="e">
        <f>VLOOKUP(B66,'Station List'!#REF!,9,0)</f>
        <v>#REF!</v>
      </c>
      <c r="M66" s="19" t="e">
        <f>VLOOKUP(B66,#REF!,4,0)</f>
        <v>#REF!</v>
      </c>
      <c r="N66" s="17"/>
      <c r="O66" s="17"/>
      <c r="P66" s="17"/>
      <c r="Q66" s="17"/>
      <c r="R66" s="17"/>
      <c r="S66" s="17"/>
      <c r="T66" s="17"/>
      <c r="U66" s="17"/>
      <c r="V66" s="17"/>
      <c r="W66" s="17" t="e">
        <f t="shared" si="5"/>
        <v>#REF!</v>
      </c>
      <c r="X66" s="17" t="e">
        <f t="shared" si="6"/>
        <v>#REF!</v>
      </c>
    </row>
    <row r="67" spans="1:24" ht="12.75" customHeight="1" x14ac:dyDescent="0.2">
      <c r="A67" s="19">
        <v>64</v>
      </c>
      <c r="B67" s="19" t="s">
        <v>3178</v>
      </c>
      <c r="C67" s="19" t="e">
        <f t="shared" si="0"/>
        <v>#REF!</v>
      </c>
      <c r="D67" s="19" t="e">
        <f t="shared" si="1"/>
        <v>#REF!</v>
      </c>
      <c r="E67" s="19" t="e">
        <f t="shared" si="2"/>
        <v>#REF!</v>
      </c>
      <c r="F67" s="19" t="e">
        <f>VLOOKUP(B67,'Station List'!#REF!,2,0)</f>
        <v>#REF!</v>
      </c>
      <c r="G67" s="19" t="e">
        <f>VLOOKUP(B67,#REF!,2,0)</f>
        <v>#REF!</v>
      </c>
      <c r="H67" s="19" t="e">
        <f t="shared" si="3"/>
        <v>#REF!</v>
      </c>
      <c r="I67" s="19" t="e">
        <f>VLOOKUP(B67,'Station List'!#REF!,4,0)</f>
        <v>#REF!</v>
      </c>
      <c r="J67" s="19" t="e">
        <f>VLOOKUP(B67,#REF!,3,0)</f>
        <v>#REF!</v>
      </c>
      <c r="K67" s="19" t="e">
        <f t="shared" si="4"/>
        <v>#REF!</v>
      </c>
      <c r="L67" s="19" t="e">
        <f>VLOOKUP(B67,'Station List'!#REF!,9,0)</f>
        <v>#REF!</v>
      </c>
      <c r="M67" s="19" t="e">
        <f>VLOOKUP(B67,#REF!,4,0)</f>
        <v>#REF!</v>
      </c>
      <c r="N67" s="17"/>
      <c r="O67" s="17"/>
      <c r="P67" s="17"/>
      <c r="Q67" s="17"/>
      <c r="R67" s="17"/>
      <c r="S67" s="17"/>
      <c r="T67" s="17"/>
      <c r="U67" s="17"/>
      <c r="V67" s="17"/>
      <c r="W67" s="17" t="e">
        <f t="shared" si="5"/>
        <v>#REF!</v>
      </c>
      <c r="X67" s="17" t="e">
        <f t="shared" si="6"/>
        <v>#REF!</v>
      </c>
    </row>
    <row r="68" spans="1:24" ht="12.75" customHeight="1" x14ac:dyDescent="0.2">
      <c r="A68" s="19">
        <v>65</v>
      </c>
      <c r="B68" s="19" t="s">
        <v>3184</v>
      </c>
      <c r="C68" s="19"/>
      <c r="D68" s="19"/>
      <c r="E68" s="19"/>
      <c r="F68" s="19" t="s">
        <v>69</v>
      </c>
      <c r="G68" s="19" t="s">
        <v>69</v>
      </c>
      <c r="H68" s="19" t="e">
        <f t="shared" si="3"/>
        <v>#REF!</v>
      </c>
      <c r="I68" s="19" t="s">
        <v>1489</v>
      </c>
      <c r="J68" s="19" t="s">
        <v>1489</v>
      </c>
      <c r="K68" s="19" t="e">
        <f t="shared" si="4"/>
        <v>#REF!</v>
      </c>
      <c r="L68" s="19"/>
      <c r="M68" s="19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spans="1:24" ht="12.75" customHeight="1" x14ac:dyDescent="0.2">
      <c r="A69" s="19">
        <v>66</v>
      </c>
      <c r="B69" s="19" t="s">
        <v>3185</v>
      </c>
      <c r="C69" s="19" t="e">
        <f t="shared" ref="C69:C408" si="7">VLOOKUP(E69,$S$2:$T$15,2,0)</f>
        <v>#REF!</v>
      </c>
      <c r="D69" s="19" t="e">
        <f t="shared" ref="D69:D408" si="8">VLOOKUP(E69,$S$2:$U$15,3,0)</f>
        <v>#REF!</v>
      </c>
      <c r="E69" s="19" t="e">
        <f t="shared" ref="E69:E408" si="9">VLOOKUP(B69,#REF!,2,0)</f>
        <v>#REF!</v>
      </c>
      <c r="F69" s="19" t="e">
        <f>VLOOKUP(B69,'Station List'!#REF!,2,0)</f>
        <v>#REF!</v>
      </c>
      <c r="G69" s="19" t="e">
        <f>VLOOKUP(B69,#REF!,2,0)</f>
        <v>#REF!</v>
      </c>
      <c r="H69" s="19" t="e">
        <f t="shared" si="3"/>
        <v>#REF!</v>
      </c>
      <c r="I69" s="19" t="e">
        <f>VLOOKUP(B69,'Station List'!#REF!,4,0)</f>
        <v>#REF!</v>
      </c>
      <c r="J69" s="19" t="e">
        <f>VLOOKUP(B69,#REF!,3,0)</f>
        <v>#REF!</v>
      </c>
      <c r="K69" s="19" t="e">
        <f t="shared" si="4"/>
        <v>#REF!</v>
      </c>
      <c r="L69" s="19" t="e">
        <f>VLOOKUP(B69,'Station List'!#REF!,9,0)</f>
        <v>#REF!</v>
      </c>
      <c r="M69" s="19" t="e">
        <f>VLOOKUP(B69,#REF!,4,0)</f>
        <v>#REF!</v>
      </c>
      <c r="N69" s="17"/>
      <c r="O69" s="17"/>
      <c r="P69" s="17"/>
      <c r="Q69" s="17"/>
      <c r="R69" s="17"/>
      <c r="S69" s="17"/>
      <c r="T69" s="17"/>
      <c r="U69" s="17"/>
      <c r="V69" s="17"/>
      <c r="W69" s="17" t="e">
        <f t="shared" ref="W69:W104" si="10">IF(I69=J69,0,1)</f>
        <v>#REF!</v>
      </c>
      <c r="X69" s="17" t="e">
        <f t="shared" ref="X69:X104" si="11">IF(L69=M69,0,1)</f>
        <v>#REF!</v>
      </c>
    </row>
    <row r="70" spans="1:24" ht="12.75" customHeight="1" x14ac:dyDescent="0.2">
      <c r="A70" s="19">
        <v>67</v>
      </c>
      <c r="B70" s="19" t="s">
        <v>3187</v>
      </c>
      <c r="C70" s="19" t="e">
        <f t="shared" si="7"/>
        <v>#REF!</v>
      </c>
      <c r="D70" s="19" t="e">
        <f t="shared" si="8"/>
        <v>#REF!</v>
      </c>
      <c r="E70" s="19" t="e">
        <f t="shared" si="9"/>
        <v>#REF!</v>
      </c>
      <c r="F70" s="19" t="e">
        <f>VLOOKUP(B70,'Station List'!#REF!,2,0)</f>
        <v>#REF!</v>
      </c>
      <c r="G70" s="19" t="e">
        <f>VLOOKUP(B70,#REF!,2,0)</f>
        <v>#REF!</v>
      </c>
      <c r="H70" s="19" t="e">
        <f t="shared" si="3"/>
        <v>#REF!</v>
      </c>
      <c r="I70" s="19" t="e">
        <f>VLOOKUP(B70,'Station List'!#REF!,4,0)</f>
        <v>#REF!</v>
      </c>
      <c r="J70" s="19" t="e">
        <f>VLOOKUP(B70,#REF!,3,0)</f>
        <v>#REF!</v>
      </c>
      <c r="K70" s="19" t="e">
        <f t="shared" si="4"/>
        <v>#REF!</v>
      </c>
      <c r="L70" s="19" t="e">
        <f>VLOOKUP(B70,'Station List'!#REF!,9,0)</f>
        <v>#REF!</v>
      </c>
      <c r="M70" s="19" t="e">
        <f>VLOOKUP(B70,#REF!,4,0)</f>
        <v>#REF!</v>
      </c>
      <c r="N70" s="17"/>
      <c r="O70" s="17"/>
      <c r="P70" s="17"/>
      <c r="Q70" s="17"/>
      <c r="R70" s="17"/>
      <c r="S70" s="17"/>
      <c r="T70" s="17"/>
      <c r="U70" s="17"/>
      <c r="V70" s="17"/>
      <c r="W70" s="17" t="e">
        <f t="shared" si="10"/>
        <v>#REF!</v>
      </c>
      <c r="X70" s="17" t="e">
        <f t="shared" si="11"/>
        <v>#REF!</v>
      </c>
    </row>
    <row r="71" spans="1:24" ht="12.75" customHeight="1" x14ac:dyDescent="0.2">
      <c r="A71" s="19">
        <v>68</v>
      </c>
      <c r="B71" s="19" t="s">
        <v>3189</v>
      </c>
      <c r="C71" s="19" t="e">
        <f t="shared" si="7"/>
        <v>#REF!</v>
      </c>
      <c r="D71" s="19" t="e">
        <f t="shared" si="8"/>
        <v>#REF!</v>
      </c>
      <c r="E71" s="19" t="e">
        <f t="shared" si="9"/>
        <v>#REF!</v>
      </c>
      <c r="F71" s="19" t="e">
        <f>VLOOKUP(B71,'Station List'!#REF!,2,0)</f>
        <v>#REF!</v>
      </c>
      <c r="G71" s="19" t="e">
        <f>VLOOKUP(B71,#REF!,2,0)</f>
        <v>#REF!</v>
      </c>
      <c r="H71" s="19" t="e">
        <f t="shared" si="3"/>
        <v>#REF!</v>
      </c>
      <c r="I71" s="19" t="e">
        <f>VLOOKUP(B71,'Station List'!#REF!,4,0)</f>
        <v>#REF!</v>
      </c>
      <c r="J71" s="19" t="e">
        <f>VLOOKUP(B71,#REF!,3,0)</f>
        <v>#REF!</v>
      </c>
      <c r="K71" s="19" t="e">
        <f t="shared" si="4"/>
        <v>#REF!</v>
      </c>
      <c r="L71" s="19" t="e">
        <f>VLOOKUP(B71,'Station List'!#REF!,9,0)</f>
        <v>#REF!</v>
      </c>
      <c r="M71" s="19" t="e">
        <f>VLOOKUP(B71,#REF!,4,0)</f>
        <v>#REF!</v>
      </c>
      <c r="N71" s="17"/>
      <c r="O71" s="17"/>
      <c r="P71" s="17"/>
      <c r="Q71" s="17"/>
      <c r="R71" s="17"/>
      <c r="S71" s="17"/>
      <c r="T71" s="17"/>
      <c r="U71" s="17"/>
      <c r="V71" s="17"/>
      <c r="W71" s="17" t="e">
        <f t="shared" si="10"/>
        <v>#REF!</v>
      </c>
      <c r="X71" s="17" t="e">
        <f t="shared" si="11"/>
        <v>#REF!</v>
      </c>
    </row>
    <row r="72" spans="1:24" ht="12.75" customHeight="1" x14ac:dyDescent="0.2">
      <c r="A72" s="19">
        <v>69</v>
      </c>
      <c r="B72" s="19" t="s">
        <v>3190</v>
      </c>
      <c r="C72" s="19" t="e">
        <f t="shared" si="7"/>
        <v>#REF!</v>
      </c>
      <c r="D72" s="19" t="e">
        <f t="shared" si="8"/>
        <v>#REF!</v>
      </c>
      <c r="E72" s="19" t="e">
        <f t="shared" si="9"/>
        <v>#REF!</v>
      </c>
      <c r="F72" s="19" t="e">
        <f>VLOOKUP(B72,'Station List'!#REF!,2,0)</f>
        <v>#REF!</v>
      </c>
      <c r="G72" s="19" t="e">
        <f>VLOOKUP(B72,#REF!,2,0)</f>
        <v>#REF!</v>
      </c>
      <c r="H72" s="19" t="e">
        <f t="shared" si="3"/>
        <v>#REF!</v>
      </c>
      <c r="I72" s="19" t="e">
        <f>VLOOKUP(B72,'Station List'!#REF!,4,0)</f>
        <v>#REF!</v>
      </c>
      <c r="J72" s="19" t="e">
        <f>VLOOKUP(B72,#REF!,3,0)</f>
        <v>#REF!</v>
      </c>
      <c r="K72" s="19" t="e">
        <f t="shared" si="4"/>
        <v>#REF!</v>
      </c>
      <c r="L72" s="19" t="e">
        <f>VLOOKUP(B72,'Station List'!#REF!,9,0)</f>
        <v>#REF!</v>
      </c>
      <c r="M72" s="19" t="e">
        <f>VLOOKUP(B72,#REF!,4,0)</f>
        <v>#REF!</v>
      </c>
      <c r="N72" s="17"/>
      <c r="O72" s="17"/>
      <c r="P72" s="17"/>
      <c r="Q72" s="17"/>
      <c r="R72" s="17"/>
      <c r="S72" s="17"/>
      <c r="T72" s="17"/>
      <c r="U72" s="17"/>
      <c r="V72" s="17"/>
      <c r="W72" s="17" t="e">
        <f t="shared" si="10"/>
        <v>#REF!</v>
      </c>
      <c r="X72" s="17" t="e">
        <f t="shared" si="11"/>
        <v>#REF!</v>
      </c>
    </row>
    <row r="73" spans="1:24" ht="12.75" customHeight="1" x14ac:dyDescent="0.2">
      <c r="A73" s="19">
        <v>70</v>
      </c>
      <c r="B73" s="19" t="s">
        <v>3191</v>
      </c>
      <c r="C73" s="19" t="e">
        <f t="shared" si="7"/>
        <v>#REF!</v>
      </c>
      <c r="D73" s="19" t="e">
        <f t="shared" si="8"/>
        <v>#REF!</v>
      </c>
      <c r="E73" s="19" t="e">
        <f t="shared" si="9"/>
        <v>#REF!</v>
      </c>
      <c r="F73" s="19" t="e">
        <f>VLOOKUP(B73,'Station List'!#REF!,2,0)</f>
        <v>#REF!</v>
      </c>
      <c r="G73" s="19" t="e">
        <f>VLOOKUP(B73,#REF!,2,0)</f>
        <v>#REF!</v>
      </c>
      <c r="H73" s="19" t="e">
        <f t="shared" si="3"/>
        <v>#REF!</v>
      </c>
      <c r="I73" s="19" t="e">
        <f>VLOOKUP(B73,'Station List'!#REF!,4,0)</f>
        <v>#REF!</v>
      </c>
      <c r="J73" s="19" t="e">
        <f>VLOOKUP(B73,#REF!,3,0)</f>
        <v>#REF!</v>
      </c>
      <c r="K73" s="19" t="e">
        <f t="shared" si="4"/>
        <v>#REF!</v>
      </c>
      <c r="L73" s="19" t="e">
        <f>VLOOKUP(B73,'Station List'!#REF!,9,0)</f>
        <v>#REF!</v>
      </c>
      <c r="M73" s="19" t="e">
        <f>VLOOKUP(B73,#REF!,4,0)</f>
        <v>#REF!</v>
      </c>
      <c r="N73" s="17"/>
      <c r="O73" s="17"/>
      <c r="P73" s="17"/>
      <c r="Q73" s="17"/>
      <c r="R73" s="17"/>
      <c r="S73" s="17"/>
      <c r="T73" s="17"/>
      <c r="U73" s="17"/>
      <c r="V73" s="17"/>
      <c r="W73" s="17" t="e">
        <f t="shared" si="10"/>
        <v>#REF!</v>
      </c>
      <c r="X73" s="17" t="e">
        <f t="shared" si="11"/>
        <v>#REF!</v>
      </c>
    </row>
    <row r="74" spans="1:24" ht="12.75" customHeight="1" x14ac:dyDescent="0.2">
      <c r="A74" s="19">
        <v>71</v>
      </c>
      <c r="B74" s="19" t="s">
        <v>3192</v>
      </c>
      <c r="C74" s="19" t="e">
        <f t="shared" si="7"/>
        <v>#REF!</v>
      </c>
      <c r="D74" s="19" t="e">
        <f t="shared" si="8"/>
        <v>#REF!</v>
      </c>
      <c r="E74" s="19" t="e">
        <f t="shared" si="9"/>
        <v>#REF!</v>
      </c>
      <c r="F74" s="19" t="e">
        <f>VLOOKUP(B74,'Station List'!#REF!,2,0)</f>
        <v>#REF!</v>
      </c>
      <c r="G74" s="19" t="e">
        <f>VLOOKUP(B74,#REF!,2,0)</f>
        <v>#REF!</v>
      </c>
      <c r="H74" s="19" t="e">
        <f t="shared" si="3"/>
        <v>#REF!</v>
      </c>
      <c r="I74" s="19" t="e">
        <f>VLOOKUP(B74,'Station List'!#REF!,4,0)</f>
        <v>#REF!</v>
      </c>
      <c r="J74" s="19" t="e">
        <f>VLOOKUP(B74,#REF!,3,0)</f>
        <v>#REF!</v>
      </c>
      <c r="K74" s="19" t="e">
        <f t="shared" si="4"/>
        <v>#REF!</v>
      </c>
      <c r="L74" s="19" t="e">
        <f>VLOOKUP(B74,'Station List'!#REF!,9,0)</f>
        <v>#REF!</v>
      </c>
      <c r="M74" s="19" t="e">
        <f>VLOOKUP(B74,#REF!,4,0)</f>
        <v>#REF!</v>
      </c>
      <c r="N74" s="17"/>
      <c r="O74" s="17"/>
      <c r="P74" s="17"/>
      <c r="Q74" s="17"/>
      <c r="R74" s="17"/>
      <c r="S74" s="17"/>
      <c r="T74" s="17"/>
      <c r="U74" s="17"/>
      <c r="V74" s="17"/>
      <c r="W74" s="17" t="e">
        <f t="shared" si="10"/>
        <v>#REF!</v>
      </c>
      <c r="X74" s="17" t="e">
        <f t="shared" si="11"/>
        <v>#REF!</v>
      </c>
    </row>
    <row r="75" spans="1:24" ht="12.75" customHeight="1" x14ac:dyDescent="0.2">
      <c r="A75" s="19">
        <v>72</v>
      </c>
      <c r="B75" s="19" t="s">
        <v>3193</v>
      </c>
      <c r="C75" s="19" t="e">
        <f t="shared" si="7"/>
        <v>#REF!</v>
      </c>
      <c r="D75" s="19" t="e">
        <f t="shared" si="8"/>
        <v>#REF!</v>
      </c>
      <c r="E75" s="19" t="e">
        <f t="shared" si="9"/>
        <v>#REF!</v>
      </c>
      <c r="F75" s="19" t="e">
        <f>VLOOKUP(B75,'Station List'!#REF!,2,0)</f>
        <v>#REF!</v>
      </c>
      <c r="G75" s="19" t="e">
        <f>VLOOKUP(B75,#REF!,2,0)</f>
        <v>#REF!</v>
      </c>
      <c r="H75" s="19" t="e">
        <f t="shared" si="3"/>
        <v>#REF!</v>
      </c>
      <c r="I75" s="19" t="e">
        <f>VLOOKUP(B75,'Station List'!#REF!,4,0)</f>
        <v>#REF!</v>
      </c>
      <c r="J75" s="19" t="e">
        <f>VLOOKUP(B75,#REF!,3,0)</f>
        <v>#REF!</v>
      </c>
      <c r="K75" s="19" t="e">
        <f t="shared" si="4"/>
        <v>#REF!</v>
      </c>
      <c r="L75" s="19" t="e">
        <f>VLOOKUP(B75,'Station List'!#REF!,9,0)</f>
        <v>#REF!</v>
      </c>
      <c r="M75" s="19" t="e">
        <f>VLOOKUP(B75,#REF!,4,0)</f>
        <v>#REF!</v>
      </c>
      <c r="N75" s="17"/>
      <c r="O75" s="17"/>
      <c r="P75" s="17"/>
      <c r="Q75" s="17"/>
      <c r="R75" s="17"/>
      <c r="S75" s="17"/>
      <c r="T75" s="17"/>
      <c r="U75" s="17"/>
      <c r="V75" s="17"/>
      <c r="W75" s="17" t="e">
        <f t="shared" si="10"/>
        <v>#REF!</v>
      </c>
      <c r="X75" s="17" t="e">
        <f t="shared" si="11"/>
        <v>#REF!</v>
      </c>
    </row>
    <row r="76" spans="1:24" ht="12.75" customHeight="1" x14ac:dyDescent="0.2">
      <c r="A76" s="19">
        <v>73</v>
      </c>
      <c r="B76" s="19" t="s">
        <v>3195</v>
      </c>
      <c r="C76" s="19" t="e">
        <f t="shared" si="7"/>
        <v>#REF!</v>
      </c>
      <c r="D76" s="19" t="e">
        <f t="shared" si="8"/>
        <v>#REF!</v>
      </c>
      <c r="E76" s="19" t="e">
        <f t="shared" si="9"/>
        <v>#REF!</v>
      </c>
      <c r="F76" s="19" t="e">
        <f>VLOOKUP(B76,'Station List'!#REF!,2,0)</f>
        <v>#REF!</v>
      </c>
      <c r="G76" s="19" t="e">
        <f>VLOOKUP(B76,#REF!,2,0)</f>
        <v>#REF!</v>
      </c>
      <c r="H76" s="19" t="e">
        <f t="shared" si="3"/>
        <v>#REF!</v>
      </c>
      <c r="I76" s="19" t="e">
        <f>VLOOKUP(B76,'Station List'!#REF!,4,0)</f>
        <v>#REF!</v>
      </c>
      <c r="J76" s="19" t="e">
        <f>VLOOKUP(B76,#REF!,3,0)</f>
        <v>#REF!</v>
      </c>
      <c r="K76" s="19" t="e">
        <f t="shared" si="4"/>
        <v>#REF!</v>
      </c>
      <c r="L76" s="19" t="e">
        <f>VLOOKUP(B76,'Station List'!#REF!,9,0)</f>
        <v>#REF!</v>
      </c>
      <c r="M76" s="19" t="e">
        <f>VLOOKUP(B76,#REF!,4,0)</f>
        <v>#REF!</v>
      </c>
      <c r="N76" s="17"/>
      <c r="O76" s="17"/>
      <c r="P76" s="17"/>
      <c r="Q76" s="17"/>
      <c r="R76" s="17"/>
      <c r="S76" s="17"/>
      <c r="T76" s="17"/>
      <c r="U76" s="17"/>
      <c r="V76" s="17"/>
      <c r="W76" s="17" t="e">
        <f t="shared" si="10"/>
        <v>#REF!</v>
      </c>
      <c r="X76" s="17" t="e">
        <f t="shared" si="11"/>
        <v>#REF!</v>
      </c>
    </row>
    <row r="77" spans="1:24" ht="12.75" customHeight="1" x14ac:dyDescent="0.2">
      <c r="A77" s="19">
        <v>74</v>
      </c>
      <c r="B77" s="19" t="s">
        <v>3196</v>
      </c>
      <c r="C77" s="19" t="e">
        <f t="shared" si="7"/>
        <v>#REF!</v>
      </c>
      <c r="D77" s="19" t="e">
        <f t="shared" si="8"/>
        <v>#REF!</v>
      </c>
      <c r="E77" s="19" t="e">
        <f t="shared" si="9"/>
        <v>#REF!</v>
      </c>
      <c r="F77" s="19" t="e">
        <f>VLOOKUP(B77,'Station List'!#REF!,2,0)</f>
        <v>#REF!</v>
      </c>
      <c r="G77" s="19" t="e">
        <f>VLOOKUP(B77,#REF!,2,0)</f>
        <v>#REF!</v>
      </c>
      <c r="H77" s="19" t="e">
        <f t="shared" si="3"/>
        <v>#REF!</v>
      </c>
      <c r="I77" s="19" t="e">
        <f>VLOOKUP(B77,'Station List'!#REF!,4,0)</f>
        <v>#REF!</v>
      </c>
      <c r="J77" s="19" t="e">
        <f>VLOOKUP(B77,#REF!,3,0)</f>
        <v>#REF!</v>
      </c>
      <c r="K77" s="19" t="e">
        <f t="shared" si="4"/>
        <v>#REF!</v>
      </c>
      <c r="L77" s="19" t="e">
        <f>VLOOKUP(B77,'Station List'!#REF!,9,0)</f>
        <v>#REF!</v>
      </c>
      <c r="M77" s="19" t="e">
        <f>VLOOKUP(B77,#REF!,4,0)</f>
        <v>#REF!</v>
      </c>
      <c r="N77" s="17"/>
      <c r="O77" s="17"/>
      <c r="P77" s="17"/>
      <c r="Q77" s="17"/>
      <c r="R77" s="17"/>
      <c r="S77" s="17"/>
      <c r="T77" s="17"/>
      <c r="U77" s="17"/>
      <c r="V77" s="17"/>
      <c r="W77" s="17" t="e">
        <f t="shared" si="10"/>
        <v>#REF!</v>
      </c>
      <c r="X77" s="17" t="e">
        <f t="shared" si="11"/>
        <v>#REF!</v>
      </c>
    </row>
    <row r="78" spans="1:24" ht="12.75" customHeight="1" x14ac:dyDescent="0.2">
      <c r="A78" s="19">
        <v>75</v>
      </c>
      <c r="B78" s="19" t="s">
        <v>3198</v>
      </c>
      <c r="C78" s="19" t="e">
        <f t="shared" si="7"/>
        <v>#REF!</v>
      </c>
      <c r="D78" s="19" t="e">
        <f t="shared" si="8"/>
        <v>#REF!</v>
      </c>
      <c r="E78" s="19" t="e">
        <f t="shared" si="9"/>
        <v>#REF!</v>
      </c>
      <c r="F78" s="19" t="e">
        <f>VLOOKUP(B78,'Station List'!#REF!,2,0)</f>
        <v>#REF!</v>
      </c>
      <c r="G78" s="19" t="e">
        <f>VLOOKUP(B78,#REF!,2,0)</f>
        <v>#REF!</v>
      </c>
      <c r="H78" s="19" t="e">
        <f t="shared" si="3"/>
        <v>#REF!</v>
      </c>
      <c r="I78" s="19" t="e">
        <f>VLOOKUP(B78,'Station List'!#REF!,4,0)</f>
        <v>#REF!</v>
      </c>
      <c r="J78" s="19" t="e">
        <f>VLOOKUP(B78,#REF!,3,0)</f>
        <v>#REF!</v>
      </c>
      <c r="K78" s="19" t="e">
        <f t="shared" si="4"/>
        <v>#REF!</v>
      </c>
      <c r="L78" s="19" t="e">
        <f>VLOOKUP(B78,'Station List'!#REF!,9,0)</f>
        <v>#REF!</v>
      </c>
      <c r="M78" s="19" t="e">
        <f>VLOOKUP(B78,#REF!,4,0)</f>
        <v>#REF!</v>
      </c>
      <c r="N78" s="17"/>
      <c r="O78" s="17"/>
      <c r="P78" s="17"/>
      <c r="Q78" s="17"/>
      <c r="R78" s="17"/>
      <c r="S78" s="17"/>
      <c r="T78" s="17"/>
      <c r="U78" s="17"/>
      <c r="V78" s="17"/>
      <c r="W78" s="17" t="e">
        <f t="shared" si="10"/>
        <v>#REF!</v>
      </c>
      <c r="X78" s="17" t="e">
        <f t="shared" si="11"/>
        <v>#REF!</v>
      </c>
    </row>
    <row r="79" spans="1:24" ht="12.75" customHeight="1" x14ac:dyDescent="0.2">
      <c r="A79" s="19">
        <v>76</v>
      </c>
      <c r="B79" s="19" t="s">
        <v>3199</v>
      </c>
      <c r="C79" s="19" t="e">
        <f t="shared" si="7"/>
        <v>#REF!</v>
      </c>
      <c r="D79" s="19" t="e">
        <f t="shared" si="8"/>
        <v>#REF!</v>
      </c>
      <c r="E79" s="19" t="e">
        <f t="shared" si="9"/>
        <v>#REF!</v>
      </c>
      <c r="F79" s="19" t="e">
        <f>VLOOKUP(B79,'Station List'!#REF!,2,0)</f>
        <v>#REF!</v>
      </c>
      <c r="G79" s="19" t="e">
        <f>VLOOKUP(B79,#REF!,2,0)</f>
        <v>#REF!</v>
      </c>
      <c r="H79" s="19" t="e">
        <f t="shared" si="3"/>
        <v>#REF!</v>
      </c>
      <c r="I79" s="19" t="e">
        <f>VLOOKUP(B79,'Station List'!#REF!,4,0)</f>
        <v>#REF!</v>
      </c>
      <c r="J79" s="19" t="e">
        <f>VLOOKUP(B79,#REF!,3,0)</f>
        <v>#REF!</v>
      </c>
      <c r="K79" s="19" t="e">
        <f t="shared" si="4"/>
        <v>#REF!</v>
      </c>
      <c r="L79" s="19" t="e">
        <f>VLOOKUP(B79,'Station List'!#REF!,9,0)</f>
        <v>#REF!</v>
      </c>
      <c r="M79" s="19" t="e">
        <f>VLOOKUP(B79,#REF!,4,0)</f>
        <v>#REF!</v>
      </c>
      <c r="N79" s="17"/>
      <c r="O79" s="17"/>
      <c r="P79" s="17"/>
      <c r="Q79" s="17"/>
      <c r="R79" s="17"/>
      <c r="S79" s="17"/>
      <c r="T79" s="17"/>
      <c r="U79" s="17"/>
      <c r="V79" s="17"/>
      <c r="W79" s="17" t="e">
        <f t="shared" si="10"/>
        <v>#REF!</v>
      </c>
      <c r="X79" s="17" t="e">
        <f t="shared" si="11"/>
        <v>#REF!</v>
      </c>
    </row>
    <row r="80" spans="1:24" ht="12.75" customHeight="1" x14ac:dyDescent="0.2">
      <c r="A80" s="19">
        <v>77</v>
      </c>
      <c r="B80" s="19" t="s">
        <v>3200</v>
      </c>
      <c r="C80" s="19" t="e">
        <f t="shared" si="7"/>
        <v>#REF!</v>
      </c>
      <c r="D80" s="19" t="e">
        <f t="shared" si="8"/>
        <v>#REF!</v>
      </c>
      <c r="E80" s="19" t="e">
        <f t="shared" si="9"/>
        <v>#REF!</v>
      </c>
      <c r="F80" s="19" t="e">
        <f>VLOOKUP(B80,'Station List'!#REF!,2,0)</f>
        <v>#REF!</v>
      </c>
      <c r="G80" s="19" t="e">
        <f>VLOOKUP(B80,#REF!,2,0)</f>
        <v>#REF!</v>
      </c>
      <c r="H80" s="19" t="e">
        <f t="shared" si="3"/>
        <v>#REF!</v>
      </c>
      <c r="I80" s="19" t="e">
        <f>VLOOKUP(B80,'Station List'!#REF!,4,0)</f>
        <v>#REF!</v>
      </c>
      <c r="J80" s="19" t="e">
        <f>VLOOKUP(B80,#REF!,3,0)</f>
        <v>#REF!</v>
      </c>
      <c r="K80" s="19" t="e">
        <f t="shared" si="4"/>
        <v>#REF!</v>
      </c>
      <c r="L80" s="19" t="e">
        <f>VLOOKUP(B80,'Station List'!#REF!,9,0)</f>
        <v>#REF!</v>
      </c>
      <c r="M80" s="19" t="e">
        <f>VLOOKUP(B80,#REF!,4,0)</f>
        <v>#REF!</v>
      </c>
      <c r="N80" s="17"/>
      <c r="O80" s="17"/>
      <c r="P80" s="17"/>
      <c r="Q80" s="17"/>
      <c r="R80" s="17"/>
      <c r="S80" s="17"/>
      <c r="T80" s="17"/>
      <c r="U80" s="17"/>
      <c r="V80" s="17"/>
      <c r="W80" s="17" t="e">
        <f t="shared" si="10"/>
        <v>#REF!</v>
      </c>
      <c r="X80" s="17" t="e">
        <f t="shared" si="11"/>
        <v>#REF!</v>
      </c>
    </row>
    <row r="81" spans="1:24" ht="12.75" customHeight="1" x14ac:dyDescent="0.2">
      <c r="A81" s="19">
        <v>78</v>
      </c>
      <c r="B81" s="19" t="s">
        <v>3202</v>
      </c>
      <c r="C81" s="19" t="e">
        <f t="shared" si="7"/>
        <v>#REF!</v>
      </c>
      <c r="D81" s="19" t="e">
        <f t="shared" si="8"/>
        <v>#REF!</v>
      </c>
      <c r="E81" s="19" t="e">
        <f t="shared" si="9"/>
        <v>#REF!</v>
      </c>
      <c r="F81" s="19" t="e">
        <f>VLOOKUP(B81,'Station List'!#REF!,2,0)</f>
        <v>#REF!</v>
      </c>
      <c r="G81" s="19" t="e">
        <f>VLOOKUP(B81,#REF!,2,0)</f>
        <v>#REF!</v>
      </c>
      <c r="H81" s="19" t="e">
        <f t="shared" si="3"/>
        <v>#REF!</v>
      </c>
      <c r="I81" s="19" t="e">
        <f>VLOOKUP(B81,'Station List'!#REF!,4,0)</f>
        <v>#REF!</v>
      </c>
      <c r="J81" s="19" t="e">
        <f>VLOOKUP(B81,#REF!,3,0)</f>
        <v>#REF!</v>
      </c>
      <c r="K81" s="19" t="e">
        <f t="shared" si="4"/>
        <v>#REF!</v>
      </c>
      <c r="L81" s="19" t="e">
        <f>VLOOKUP(B81,'Station List'!#REF!,9,0)</f>
        <v>#REF!</v>
      </c>
      <c r="M81" s="19" t="e">
        <f>VLOOKUP(B81,#REF!,4,0)</f>
        <v>#REF!</v>
      </c>
      <c r="N81" s="17"/>
      <c r="O81" s="17"/>
      <c r="P81" s="17"/>
      <c r="Q81" s="17"/>
      <c r="R81" s="17"/>
      <c r="S81" s="17"/>
      <c r="T81" s="17"/>
      <c r="U81" s="17"/>
      <c r="V81" s="17"/>
      <c r="W81" s="17" t="e">
        <f t="shared" si="10"/>
        <v>#REF!</v>
      </c>
      <c r="X81" s="17" t="e">
        <f t="shared" si="11"/>
        <v>#REF!</v>
      </c>
    </row>
    <row r="82" spans="1:24" ht="12.75" customHeight="1" x14ac:dyDescent="0.2">
      <c r="A82" s="19">
        <v>79</v>
      </c>
      <c r="B82" s="19" t="s">
        <v>3205</v>
      </c>
      <c r="C82" s="19" t="e">
        <f t="shared" si="7"/>
        <v>#REF!</v>
      </c>
      <c r="D82" s="19" t="e">
        <f t="shared" si="8"/>
        <v>#REF!</v>
      </c>
      <c r="E82" s="19" t="e">
        <f t="shared" si="9"/>
        <v>#REF!</v>
      </c>
      <c r="F82" s="19" t="e">
        <f>VLOOKUP(B82,'Station List'!#REF!,2,0)</f>
        <v>#REF!</v>
      </c>
      <c r="G82" s="19" t="e">
        <f>VLOOKUP(B82,#REF!,2,0)</f>
        <v>#REF!</v>
      </c>
      <c r="H82" s="19" t="e">
        <f t="shared" si="3"/>
        <v>#REF!</v>
      </c>
      <c r="I82" s="19" t="e">
        <f>VLOOKUP(B82,'Station List'!#REF!,4,0)</f>
        <v>#REF!</v>
      </c>
      <c r="J82" s="19" t="e">
        <f>VLOOKUP(B82,#REF!,3,0)</f>
        <v>#REF!</v>
      </c>
      <c r="K82" s="19" t="e">
        <f t="shared" si="4"/>
        <v>#REF!</v>
      </c>
      <c r="L82" s="19" t="e">
        <f>VLOOKUP(B82,'Station List'!#REF!,9,0)</f>
        <v>#REF!</v>
      </c>
      <c r="M82" s="19" t="e">
        <f>VLOOKUP(B82,#REF!,4,0)</f>
        <v>#REF!</v>
      </c>
      <c r="N82" s="17"/>
      <c r="O82" s="17"/>
      <c r="P82" s="17"/>
      <c r="Q82" s="17"/>
      <c r="R82" s="17"/>
      <c r="S82" s="17"/>
      <c r="T82" s="17"/>
      <c r="U82" s="17"/>
      <c r="V82" s="17"/>
      <c r="W82" s="17" t="e">
        <f t="shared" si="10"/>
        <v>#REF!</v>
      </c>
      <c r="X82" s="17" t="e">
        <f t="shared" si="11"/>
        <v>#REF!</v>
      </c>
    </row>
    <row r="83" spans="1:24" ht="12.75" customHeight="1" x14ac:dyDescent="0.2">
      <c r="A83" s="19">
        <v>80</v>
      </c>
      <c r="B83" s="19" t="s">
        <v>3206</v>
      </c>
      <c r="C83" s="19" t="e">
        <f t="shared" si="7"/>
        <v>#REF!</v>
      </c>
      <c r="D83" s="19" t="e">
        <f t="shared" si="8"/>
        <v>#REF!</v>
      </c>
      <c r="E83" s="19" t="e">
        <f t="shared" si="9"/>
        <v>#REF!</v>
      </c>
      <c r="F83" s="19" t="e">
        <f>VLOOKUP(B83,'Station List'!#REF!,2,0)</f>
        <v>#REF!</v>
      </c>
      <c r="G83" s="19" t="e">
        <f>VLOOKUP(B83,#REF!,2,0)</f>
        <v>#REF!</v>
      </c>
      <c r="H83" s="19" t="e">
        <f t="shared" si="3"/>
        <v>#REF!</v>
      </c>
      <c r="I83" s="19" t="e">
        <f>VLOOKUP(B83,'Station List'!#REF!,4,0)</f>
        <v>#REF!</v>
      </c>
      <c r="J83" s="19" t="e">
        <f>VLOOKUP(B83,#REF!,3,0)</f>
        <v>#REF!</v>
      </c>
      <c r="K83" s="19" t="e">
        <f t="shared" si="4"/>
        <v>#REF!</v>
      </c>
      <c r="L83" s="19" t="e">
        <f>VLOOKUP(B83,'Station List'!#REF!,9,0)</f>
        <v>#REF!</v>
      </c>
      <c r="M83" s="19" t="e">
        <f>VLOOKUP(B83,#REF!,4,0)</f>
        <v>#REF!</v>
      </c>
      <c r="N83" s="17"/>
      <c r="O83" s="17"/>
      <c r="P83" s="17"/>
      <c r="Q83" s="17"/>
      <c r="R83" s="17"/>
      <c r="S83" s="17"/>
      <c r="T83" s="17"/>
      <c r="U83" s="17"/>
      <c r="V83" s="17"/>
      <c r="W83" s="17" t="e">
        <f t="shared" si="10"/>
        <v>#REF!</v>
      </c>
      <c r="X83" s="17" t="e">
        <f t="shared" si="11"/>
        <v>#REF!</v>
      </c>
    </row>
    <row r="84" spans="1:24" ht="12.75" customHeight="1" x14ac:dyDescent="0.2">
      <c r="A84" s="19">
        <v>81</v>
      </c>
      <c r="B84" s="19" t="s">
        <v>3209</v>
      </c>
      <c r="C84" s="19" t="e">
        <f t="shared" si="7"/>
        <v>#REF!</v>
      </c>
      <c r="D84" s="19" t="e">
        <f t="shared" si="8"/>
        <v>#REF!</v>
      </c>
      <c r="E84" s="19" t="e">
        <f t="shared" si="9"/>
        <v>#REF!</v>
      </c>
      <c r="F84" s="19" t="e">
        <f>VLOOKUP(B84,'Station List'!#REF!,2,0)</f>
        <v>#REF!</v>
      </c>
      <c r="G84" s="19" t="e">
        <f>VLOOKUP(B84,#REF!,2,0)</f>
        <v>#REF!</v>
      </c>
      <c r="H84" s="19" t="e">
        <f t="shared" si="3"/>
        <v>#REF!</v>
      </c>
      <c r="I84" s="19" t="e">
        <f>VLOOKUP(B84,'Station List'!#REF!,4,0)</f>
        <v>#REF!</v>
      </c>
      <c r="J84" s="19" t="e">
        <f>VLOOKUP(B84,#REF!,3,0)</f>
        <v>#REF!</v>
      </c>
      <c r="K84" s="19" t="e">
        <f t="shared" si="4"/>
        <v>#REF!</v>
      </c>
      <c r="L84" s="19" t="e">
        <f>VLOOKUP(B84,'Station List'!#REF!,9,0)</f>
        <v>#REF!</v>
      </c>
      <c r="M84" s="19" t="e">
        <f>VLOOKUP(B84,#REF!,4,0)</f>
        <v>#REF!</v>
      </c>
      <c r="N84" s="17"/>
      <c r="O84" s="17"/>
      <c r="P84" s="17"/>
      <c r="Q84" s="17"/>
      <c r="R84" s="17"/>
      <c r="S84" s="17"/>
      <c r="T84" s="17"/>
      <c r="U84" s="17"/>
      <c r="V84" s="17"/>
      <c r="W84" s="17" t="e">
        <f t="shared" si="10"/>
        <v>#REF!</v>
      </c>
      <c r="X84" s="17" t="e">
        <f t="shared" si="11"/>
        <v>#REF!</v>
      </c>
    </row>
    <row r="85" spans="1:24" ht="12.75" customHeight="1" x14ac:dyDescent="0.2">
      <c r="A85" s="19">
        <v>82</v>
      </c>
      <c r="B85" s="19" t="s">
        <v>3211</v>
      </c>
      <c r="C85" s="19" t="e">
        <f t="shared" si="7"/>
        <v>#REF!</v>
      </c>
      <c r="D85" s="19" t="e">
        <f t="shared" si="8"/>
        <v>#REF!</v>
      </c>
      <c r="E85" s="19" t="e">
        <f t="shared" si="9"/>
        <v>#REF!</v>
      </c>
      <c r="F85" s="19" t="e">
        <f>VLOOKUP(B85,'Station List'!#REF!,2,0)</f>
        <v>#REF!</v>
      </c>
      <c r="G85" s="19" t="e">
        <f>VLOOKUP(B85,#REF!,2,0)</f>
        <v>#REF!</v>
      </c>
      <c r="H85" s="19" t="e">
        <f t="shared" si="3"/>
        <v>#REF!</v>
      </c>
      <c r="I85" s="19" t="e">
        <f>VLOOKUP(B85,'Station List'!#REF!,4,0)</f>
        <v>#REF!</v>
      </c>
      <c r="J85" s="19" t="e">
        <f>VLOOKUP(B85,#REF!,3,0)</f>
        <v>#REF!</v>
      </c>
      <c r="K85" s="19" t="e">
        <f t="shared" si="4"/>
        <v>#REF!</v>
      </c>
      <c r="L85" s="19" t="e">
        <f>VLOOKUP(B85,'Station List'!#REF!,9,0)</f>
        <v>#REF!</v>
      </c>
      <c r="M85" s="19" t="e">
        <f>VLOOKUP(B85,#REF!,4,0)</f>
        <v>#REF!</v>
      </c>
      <c r="N85" s="17"/>
      <c r="O85" s="17"/>
      <c r="P85" s="17"/>
      <c r="Q85" s="17"/>
      <c r="R85" s="17"/>
      <c r="S85" s="17"/>
      <c r="T85" s="17"/>
      <c r="U85" s="17"/>
      <c r="V85" s="17"/>
      <c r="W85" s="17" t="e">
        <f t="shared" si="10"/>
        <v>#REF!</v>
      </c>
      <c r="X85" s="17" t="e">
        <f t="shared" si="11"/>
        <v>#REF!</v>
      </c>
    </row>
    <row r="86" spans="1:24" ht="12.75" customHeight="1" x14ac:dyDescent="0.2">
      <c r="A86" s="19">
        <v>83</v>
      </c>
      <c r="B86" s="19" t="s">
        <v>3213</v>
      </c>
      <c r="C86" s="19" t="e">
        <f t="shared" si="7"/>
        <v>#REF!</v>
      </c>
      <c r="D86" s="19" t="e">
        <f t="shared" si="8"/>
        <v>#REF!</v>
      </c>
      <c r="E86" s="19" t="e">
        <f t="shared" si="9"/>
        <v>#REF!</v>
      </c>
      <c r="F86" s="19" t="e">
        <f>VLOOKUP(B86,'Station List'!#REF!,2,0)</f>
        <v>#REF!</v>
      </c>
      <c r="G86" s="19" t="e">
        <f>VLOOKUP(B86,#REF!,2,0)</f>
        <v>#REF!</v>
      </c>
      <c r="H86" s="19" t="e">
        <f t="shared" si="3"/>
        <v>#REF!</v>
      </c>
      <c r="I86" s="19" t="e">
        <f>VLOOKUP(B86,'Station List'!#REF!,4,0)</f>
        <v>#REF!</v>
      </c>
      <c r="J86" s="19" t="e">
        <f>VLOOKUP(B86,#REF!,3,0)</f>
        <v>#REF!</v>
      </c>
      <c r="K86" s="19" t="e">
        <f t="shared" si="4"/>
        <v>#REF!</v>
      </c>
      <c r="L86" s="19" t="e">
        <f>VLOOKUP(B86,'Station List'!#REF!,9,0)</f>
        <v>#REF!</v>
      </c>
      <c r="M86" s="19" t="e">
        <f>VLOOKUP(B86,#REF!,4,0)</f>
        <v>#REF!</v>
      </c>
      <c r="N86" s="17"/>
      <c r="O86" s="17"/>
      <c r="P86" s="17"/>
      <c r="Q86" s="17"/>
      <c r="R86" s="17"/>
      <c r="S86" s="17"/>
      <c r="T86" s="17"/>
      <c r="U86" s="17"/>
      <c r="V86" s="17"/>
      <c r="W86" s="17" t="e">
        <f t="shared" si="10"/>
        <v>#REF!</v>
      </c>
      <c r="X86" s="17" t="e">
        <f t="shared" si="11"/>
        <v>#REF!</v>
      </c>
    </row>
    <row r="87" spans="1:24" ht="12.75" customHeight="1" x14ac:dyDescent="0.2">
      <c r="A87" s="19">
        <v>84</v>
      </c>
      <c r="B87" s="19" t="s">
        <v>3215</v>
      </c>
      <c r="C87" s="19" t="e">
        <f t="shared" si="7"/>
        <v>#REF!</v>
      </c>
      <c r="D87" s="19" t="e">
        <f t="shared" si="8"/>
        <v>#REF!</v>
      </c>
      <c r="E87" s="19" t="e">
        <f t="shared" si="9"/>
        <v>#REF!</v>
      </c>
      <c r="F87" s="19" t="e">
        <f>VLOOKUP(B87,'Station List'!#REF!,2,0)</f>
        <v>#REF!</v>
      </c>
      <c r="G87" s="19" t="e">
        <f>VLOOKUP(B87,#REF!,2,0)</f>
        <v>#REF!</v>
      </c>
      <c r="H87" s="19" t="e">
        <f t="shared" si="3"/>
        <v>#REF!</v>
      </c>
      <c r="I87" s="19" t="e">
        <f>VLOOKUP(B87,'Station List'!#REF!,4,0)</f>
        <v>#REF!</v>
      </c>
      <c r="J87" s="19" t="e">
        <f>VLOOKUP(B87,#REF!,3,0)</f>
        <v>#REF!</v>
      </c>
      <c r="K87" s="19" t="e">
        <f t="shared" si="4"/>
        <v>#REF!</v>
      </c>
      <c r="L87" s="19" t="e">
        <f>VLOOKUP(B87,'Station List'!#REF!,9,0)</f>
        <v>#REF!</v>
      </c>
      <c r="M87" s="19" t="e">
        <f>VLOOKUP(B87,#REF!,4,0)</f>
        <v>#REF!</v>
      </c>
      <c r="N87" s="17"/>
      <c r="O87" s="17"/>
      <c r="P87" s="17"/>
      <c r="Q87" s="17"/>
      <c r="R87" s="17"/>
      <c r="S87" s="17"/>
      <c r="T87" s="17"/>
      <c r="U87" s="17"/>
      <c r="V87" s="17"/>
      <c r="W87" s="17" t="e">
        <f t="shared" si="10"/>
        <v>#REF!</v>
      </c>
      <c r="X87" s="17" t="e">
        <f t="shared" si="11"/>
        <v>#REF!</v>
      </c>
    </row>
    <row r="88" spans="1:24" ht="12.75" customHeight="1" x14ac:dyDescent="0.2">
      <c r="A88" s="19">
        <v>85</v>
      </c>
      <c r="B88" s="19" t="s">
        <v>3217</v>
      </c>
      <c r="C88" s="19" t="e">
        <f t="shared" si="7"/>
        <v>#REF!</v>
      </c>
      <c r="D88" s="19" t="e">
        <f t="shared" si="8"/>
        <v>#REF!</v>
      </c>
      <c r="E88" s="19" t="e">
        <f t="shared" si="9"/>
        <v>#REF!</v>
      </c>
      <c r="F88" s="19" t="e">
        <f>VLOOKUP(B88,'Station List'!#REF!,2,0)</f>
        <v>#REF!</v>
      </c>
      <c r="G88" s="19" t="e">
        <f>VLOOKUP(B88,#REF!,2,0)</f>
        <v>#REF!</v>
      </c>
      <c r="H88" s="19" t="e">
        <f t="shared" si="3"/>
        <v>#REF!</v>
      </c>
      <c r="I88" s="19" t="e">
        <f>VLOOKUP(B88,'Station List'!#REF!,4,0)</f>
        <v>#REF!</v>
      </c>
      <c r="J88" s="19" t="e">
        <f>VLOOKUP(B88,#REF!,3,0)</f>
        <v>#REF!</v>
      </c>
      <c r="K88" s="19" t="e">
        <f t="shared" si="4"/>
        <v>#REF!</v>
      </c>
      <c r="L88" s="19" t="e">
        <f>VLOOKUP(B88,'Station List'!#REF!,9,0)</f>
        <v>#REF!</v>
      </c>
      <c r="M88" s="19" t="e">
        <f>VLOOKUP(B88,#REF!,4,0)</f>
        <v>#REF!</v>
      </c>
      <c r="N88" s="17"/>
      <c r="O88" s="17"/>
      <c r="P88" s="17"/>
      <c r="Q88" s="17"/>
      <c r="R88" s="17"/>
      <c r="S88" s="17"/>
      <c r="T88" s="17"/>
      <c r="U88" s="17"/>
      <c r="V88" s="17"/>
      <c r="W88" s="17" t="e">
        <f t="shared" si="10"/>
        <v>#REF!</v>
      </c>
      <c r="X88" s="17" t="e">
        <f t="shared" si="11"/>
        <v>#REF!</v>
      </c>
    </row>
    <row r="89" spans="1:24" ht="12.75" customHeight="1" x14ac:dyDescent="0.2">
      <c r="A89" s="19">
        <v>86</v>
      </c>
      <c r="B89" s="19" t="s">
        <v>3219</v>
      </c>
      <c r="C89" s="19" t="e">
        <f t="shared" si="7"/>
        <v>#REF!</v>
      </c>
      <c r="D89" s="19" t="e">
        <f t="shared" si="8"/>
        <v>#REF!</v>
      </c>
      <c r="E89" s="19" t="e">
        <f t="shared" si="9"/>
        <v>#REF!</v>
      </c>
      <c r="F89" s="19" t="e">
        <f>VLOOKUP(B89,'Station List'!#REF!,2,0)</f>
        <v>#REF!</v>
      </c>
      <c r="G89" s="19" t="e">
        <f>VLOOKUP(B89,#REF!,2,0)</f>
        <v>#REF!</v>
      </c>
      <c r="H89" s="19" t="e">
        <f t="shared" si="3"/>
        <v>#REF!</v>
      </c>
      <c r="I89" s="19" t="e">
        <f>VLOOKUP(B89,'Station List'!#REF!,4,0)</f>
        <v>#REF!</v>
      </c>
      <c r="J89" s="19" t="e">
        <f>VLOOKUP(B89,#REF!,3,0)</f>
        <v>#REF!</v>
      </c>
      <c r="K89" s="19" t="e">
        <f t="shared" si="4"/>
        <v>#REF!</v>
      </c>
      <c r="L89" s="19" t="e">
        <f>VLOOKUP(B89,'Station List'!#REF!,9,0)</f>
        <v>#REF!</v>
      </c>
      <c r="M89" s="19" t="e">
        <f>VLOOKUP(B89,#REF!,4,0)</f>
        <v>#REF!</v>
      </c>
      <c r="N89" s="17"/>
      <c r="O89" s="17"/>
      <c r="P89" s="17"/>
      <c r="Q89" s="17"/>
      <c r="R89" s="17"/>
      <c r="S89" s="17"/>
      <c r="T89" s="17"/>
      <c r="U89" s="17"/>
      <c r="V89" s="17"/>
      <c r="W89" s="17" t="e">
        <f t="shared" si="10"/>
        <v>#REF!</v>
      </c>
      <c r="X89" s="17" t="e">
        <f t="shared" si="11"/>
        <v>#REF!</v>
      </c>
    </row>
    <row r="90" spans="1:24" ht="12.75" customHeight="1" x14ac:dyDescent="0.2">
      <c r="A90" s="19">
        <v>87</v>
      </c>
      <c r="B90" s="19" t="s">
        <v>3220</v>
      </c>
      <c r="C90" s="19" t="e">
        <f t="shared" si="7"/>
        <v>#REF!</v>
      </c>
      <c r="D90" s="19" t="e">
        <f t="shared" si="8"/>
        <v>#REF!</v>
      </c>
      <c r="E90" s="19" t="e">
        <f t="shared" si="9"/>
        <v>#REF!</v>
      </c>
      <c r="F90" s="19" t="e">
        <f>VLOOKUP(B90,'Station List'!#REF!,2,0)</f>
        <v>#REF!</v>
      </c>
      <c r="G90" s="19" t="e">
        <f>VLOOKUP(B90,#REF!,2,0)</f>
        <v>#REF!</v>
      </c>
      <c r="H90" s="19" t="e">
        <f t="shared" si="3"/>
        <v>#REF!</v>
      </c>
      <c r="I90" s="19" t="e">
        <f>VLOOKUP(B90,'Station List'!#REF!,4,0)</f>
        <v>#REF!</v>
      </c>
      <c r="J90" s="19" t="e">
        <f>VLOOKUP(B90,#REF!,3,0)</f>
        <v>#REF!</v>
      </c>
      <c r="K90" s="19" t="e">
        <f t="shared" si="4"/>
        <v>#REF!</v>
      </c>
      <c r="L90" s="19" t="e">
        <f>VLOOKUP(B90,'Station List'!#REF!,9,0)</f>
        <v>#REF!</v>
      </c>
      <c r="M90" s="19" t="e">
        <f>VLOOKUP(B90,#REF!,4,0)</f>
        <v>#REF!</v>
      </c>
      <c r="N90" s="17"/>
      <c r="O90" s="17"/>
      <c r="P90" s="17"/>
      <c r="Q90" s="17"/>
      <c r="R90" s="17"/>
      <c r="S90" s="17"/>
      <c r="T90" s="17"/>
      <c r="U90" s="17"/>
      <c r="V90" s="17"/>
      <c r="W90" s="17" t="e">
        <f t="shared" si="10"/>
        <v>#REF!</v>
      </c>
      <c r="X90" s="17" t="e">
        <f t="shared" si="11"/>
        <v>#REF!</v>
      </c>
    </row>
    <row r="91" spans="1:24" ht="12.75" customHeight="1" x14ac:dyDescent="0.2">
      <c r="A91" s="19">
        <v>88</v>
      </c>
      <c r="B91" s="19" t="s">
        <v>3221</v>
      </c>
      <c r="C91" s="19" t="e">
        <f t="shared" si="7"/>
        <v>#REF!</v>
      </c>
      <c r="D91" s="19" t="e">
        <f t="shared" si="8"/>
        <v>#REF!</v>
      </c>
      <c r="E91" s="19" t="e">
        <f t="shared" si="9"/>
        <v>#REF!</v>
      </c>
      <c r="F91" s="19" t="e">
        <f>VLOOKUP(B91,'Station List'!#REF!,2,0)</f>
        <v>#REF!</v>
      </c>
      <c r="G91" s="19" t="e">
        <f>VLOOKUP(B91,#REF!,2,0)</f>
        <v>#REF!</v>
      </c>
      <c r="H91" s="19" t="e">
        <f t="shared" si="3"/>
        <v>#REF!</v>
      </c>
      <c r="I91" s="19" t="e">
        <f>VLOOKUP(B91,'Station List'!#REF!,4,0)</f>
        <v>#REF!</v>
      </c>
      <c r="J91" s="19" t="e">
        <f>VLOOKUP(B91,#REF!,3,0)</f>
        <v>#REF!</v>
      </c>
      <c r="K91" s="19" t="e">
        <f t="shared" si="4"/>
        <v>#REF!</v>
      </c>
      <c r="L91" s="19" t="e">
        <f>VLOOKUP(B91,'Station List'!#REF!,9,0)</f>
        <v>#REF!</v>
      </c>
      <c r="M91" s="19" t="e">
        <f>VLOOKUP(B91,#REF!,4,0)</f>
        <v>#REF!</v>
      </c>
      <c r="N91" s="17"/>
      <c r="O91" s="17"/>
      <c r="P91" s="17"/>
      <c r="Q91" s="17"/>
      <c r="R91" s="17"/>
      <c r="S91" s="17"/>
      <c r="T91" s="17"/>
      <c r="U91" s="17"/>
      <c r="V91" s="17"/>
      <c r="W91" s="17" t="e">
        <f t="shared" si="10"/>
        <v>#REF!</v>
      </c>
      <c r="X91" s="17" t="e">
        <f t="shared" si="11"/>
        <v>#REF!</v>
      </c>
    </row>
    <row r="92" spans="1:24" ht="12.75" customHeight="1" x14ac:dyDescent="0.2">
      <c r="A92" s="19">
        <v>89</v>
      </c>
      <c r="B92" s="19" t="s">
        <v>3223</v>
      </c>
      <c r="C92" s="19" t="e">
        <f t="shared" si="7"/>
        <v>#REF!</v>
      </c>
      <c r="D92" s="19" t="e">
        <f t="shared" si="8"/>
        <v>#REF!</v>
      </c>
      <c r="E92" s="19" t="e">
        <f t="shared" si="9"/>
        <v>#REF!</v>
      </c>
      <c r="F92" s="19" t="e">
        <f>VLOOKUP(B92,'Station List'!#REF!,2,0)</f>
        <v>#REF!</v>
      </c>
      <c r="G92" s="19" t="e">
        <f>VLOOKUP(B92,#REF!,2,0)</f>
        <v>#REF!</v>
      </c>
      <c r="H92" s="19" t="e">
        <f t="shared" si="3"/>
        <v>#REF!</v>
      </c>
      <c r="I92" s="19" t="e">
        <f>VLOOKUP(B92,'Station List'!#REF!,4,0)</f>
        <v>#REF!</v>
      </c>
      <c r="J92" s="19" t="e">
        <f>VLOOKUP(B92,#REF!,3,0)</f>
        <v>#REF!</v>
      </c>
      <c r="K92" s="19" t="e">
        <f t="shared" si="4"/>
        <v>#REF!</v>
      </c>
      <c r="L92" s="19" t="e">
        <f>VLOOKUP(B92,'Station List'!#REF!,9,0)</f>
        <v>#REF!</v>
      </c>
      <c r="M92" s="19" t="e">
        <f>VLOOKUP(B92,#REF!,4,0)</f>
        <v>#REF!</v>
      </c>
      <c r="N92" s="17"/>
      <c r="O92" s="17"/>
      <c r="P92" s="17"/>
      <c r="Q92" s="17"/>
      <c r="R92" s="17"/>
      <c r="S92" s="17"/>
      <c r="T92" s="17"/>
      <c r="U92" s="17"/>
      <c r="V92" s="17"/>
      <c r="W92" s="17" t="e">
        <f t="shared" si="10"/>
        <v>#REF!</v>
      </c>
      <c r="X92" s="17" t="e">
        <f t="shared" si="11"/>
        <v>#REF!</v>
      </c>
    </row>
    <row r="93" spans="1:24" ht="12.75" customHeight="1" x14ac:dyDescent="0.2">
      <c r="A93" s="19">
        <v>90</v>
      </c>
      <c r="B93" s="19" t="s">
        <v>3225</v>
      </c>
      <c r="C93" s="19" t="e">
        <f t="shared" si="7"/>
        <v>#REF!</v>
      </c>
      <c r="D93" s="19" t="e">
        <f t="shared" si="8"/>
        <v>#REF!</v>
      </c>
      <c r="E93" s="19" t="e">
        <f t="shared" si="9"/>
        <v>#REF!</v>
      </c>
      <c r="F93" s="19" t="e">
        <f>VLOOKUP(B93,'Station List'!#REF!,2,0)</f>
        <v>#REF!</v>
      </c>
      <c r="G93" s="19" t="e">
        <f>VLOOKUP(B93,#REF!,2,0)</f>
        <v>#REF!</v>
      </c>
      <c r="H93" s="19" t="e">
        <f t="shared" si="3"/>
        <v>#REF!</v>
      </c>
      <c r="I93" s="19" t="e">
        <f>VLOOKUP(B93,'Station List'!#REF!,4,0)</f>
        <v>#REF!</v>
      </c>
      <c r="J93" s="19" t="e">
        <f>VLOOKUP(B93,#REF!,3,0)</f>
        <v>#REF!</v>
      </c>
      <c r="K93" s="19" t="e">
        <f t="shared" si="4"/>
        <v>#REF!</v>
      </c>
      <c r="L93" s="19" t="e">
        <f>VLOOKUP(B93,'Station List'!#REF!,9,0)</f>
        <v>#REF!</v>
      </c>
      <c r="M93" s="19" t="e">
        <f>VLOOKUP(B93,#REF!,4,0)</f>
        <v>#REF!</v>
      </c>
      <c r="N93" s="17"/>
      <c r="O93" s="17"/>
      <c r="P93" s="17"/>
      <c r="Q93" s="17"/>
      <c r="R93" s="17"/>
      <c r="S93" s="17"/>
      <c r="T93" s="17"/>
      <c r="U93" s="17"/>
      <c r="V93" s="17"/>
      <c r="W93" s="17" t="e">
        <f t="shared" si="10"/>
        <v>#REF!</v>
      </c>
      <c r="X93" s="17" t="e">
        <f t="shared" si="11"/>
        <v>#REF!</v>
      </c>
    </row>
    <row r="94" spans="1:24" ht="12.75" customHeight="1" x14ac:dyDescent="0.2">
      <c r="A94" s="19">
        <v>91</v>
      </c>
      <c r="B94" s="19" t="s">
        <v>3226</v>
      </c>
      <c r="C94" s="19" t="e">
        <f t="shared" si="7"/>
        <v>#REF!</v>
      </c>
      <c r="D94" s="19" t="e">
        <f t="shared" si="8"/>
        <v>#REF!</v>
      </c>
      <c r="E94" s="19" t="e">
        <f t="shared" si="9"/>
        <v>#REF!</v>
      </c>
      <c r="F94" s="19" t="e">
        <f>VLOOKUP(B94,'Station List'!#REF!,2,0)</f>
        <v>#REF!</v>
      </c>
      <c r="G94" s="19" t="e">
        <f>VLOOKUP(B94,#REF!,2,0)</f>
        <v>#REF!</v>
      </c>
      <c r="H94" s="19" t="e">
        <f t="shared" si="3"/>
        <v>#REF!</v>
      </c>
      <c r="I94" s="19" t="e">
        <f>VLOOKUP(B94,'Station List'!#REF!,4,0)</f>
        <v>#REF!</v>
      </c>
      <c r="J94" s="19" t="e">
        <f>VLOOKUP(B94,#REF!,3,0)</f>
        <v>#REF!</v>
      </c>
      <c r="K94" s="19" t="e">
        <f t="shared" si="4"/>
        <v>#REF!</v>
      </c>
      <c r="L94" s="19" t="e">
        <f>VLOOKUP(B94,'Station List'!#REF!,9,0)</f>
        <v>#REF!</v>
      </c>
      <c r="M94" s="19" t="e">
        <f>VLOOKUP(B94,#REF!,4,0)</f>
        <v>#REF!</v>
      </c>
      <c r="N94" s="17"/>
      <c r="O94" s="17"/>
      <c r="P94" s="17"/>
      <c r="Q94" s="17"/>
      <c r="R94" s="17"/>
      <c r="S94" s="17"/>
      <c r="T94" s="17"/>
      <c r="U94" s="17"/>
      <c r="V94" s="17"/>
      <c r="W94" s="17" t="e">
        <f t="shared" si="10"/>
        <v>#REF!</v>
      </c>
      <c r="X94" s="17" t="e">
        <f t="shared" si="11"/>
        <v>#REF!</v>
      </c>
    </row>
    <row r="95" spans="1:24" ht="12.75" customHeight="1" x14ac:dyDescent="0.2">
      <c r="A95" s="19">
        <v>92</v>
      </c>
      <c r="B95" s="19" t="s">
        <v>3227</v>
      </c>
      <c r="C95" s="19" t="e">
        <f t="shared" si="7"/>
        <v>#REF!</v>
      </c>
      <c r="D95" s="19" t="e">
        <f t="shared" si="8"/>
        <v>#REF!</v>
      </c>
      <c r="E95" s="19" t="e">
        <f t="shared" si="9"/>
        <v>#REF!</v>
      </c>
      <c r="F95" s="19" t="e">
        <f>VLOOKUP(B95,'Station List'!#REF!,2,0)</f>
        <v>#REF!</v>
      </c>
      <c r="G95" s="19" t="e">
        <f>VLOOKUP(B95,#REF!,2,0)</f>
        <v>#REF!</v>
      </c>
      <c r="H95" s="19" t="e">
        <f t="shared" si="3"/>
        <v>#REF!</v>
      </c>
      <c r="I95" s="19" t="e">
        <f>VLOOKUP(B95,'Station List'!#REF!,4,0)</f>
        <v>#REF!</v>
      </c>
      <c r="J95" s="19" t="e">
        <f>VLOOKUP(B95,#REF!,3,0)</f>
        <v>#REF!</v>
      </c>
      <c r="K95" s="19" t="e">
        <f t="shared" si="4"/>
        <v>#REF!</v>
      </c>
      <c r="L95" s="19" t="e">
        <f>VLOOKUP(B95,'Station List'!#REF!,9,0)</f>
        <v>#REF!</v>
      </c>
      <c r="M95" s="19" t="e">
        <f>VLOOKUP(B95,#REF!,4,0)</f>
        <v>#REF!</v>
      </c>
      <c r="N95" s="17"/>
      <c r="O95" s="17"/>
      <c r="P95" s="17"/>
      <c r="Q95" s="17"/>
      <c r="R95" s="17"/>
      <c r="S95" s="17"/>
      <c r="T95" s="17"/>
      <c r="U95" s="17"/>
      <c r="V95" s="17"/>
      <c r="W95" s="17" t="e">
        <f t="shared" si="10"/>
        <v>#REF!</v>
      </c>
      <c r="X95" s="17" t="e">
        <f t="shared" si="11"/>
        <v>#REF!</v>
      </c>
    </row>
    <row r="96" spans="1:24" ht="12.75" customHeight="1" x14ac:dyDescent="0.2">
      <c r="A96" s="19">
        <v>93</v>
      </c>
      <c r="B96" s="19" t="s">
        <v>3229</v>
      </c>
      <c r="C96" s="19" t="e">
        <f t="shared" si="7"/>
        <v>#REF!</v>
      </c>
      <c r="D96" s="19" t="e">
        <f t="shared" si="8"/>
        <v>#REF!</v>
      </c>
      <c r="E96" s="19" t="e">
        <f t="shared" si="9"/>
        <v>#REF!</v>
      </c>
      <c r="F96" s="19" t="e">
        <f>VLOOKUP(B96,'Station List'!#REF!,2,0)</f>
        <v>#REF!</v>
      </c>
      <c r="G96" s="19" t="e">
        <f>VLOOKUP(B96,#REF!,2,0)</f>
        <v>#REF!</v>
      </c>
      <c r="H96" s="19" t="e">
        <f t="shared" si="3"/>
        <v>#REF!</v>
      </c>
      <c r="I96" s="19" t="e">
        <f>VLOOKUP(B96,'Station List'!#REF!,4,0)</f>
        <v>#REF!</v>
      </c>
      <c r="J96" s="19" t="e">
        <f>VLOOKUP(B96,#REF!,3,0)</f>
        <v>#REF!</v>
      </c>
      <c r="K96" s="19" t="e">
        <f t="shared" si="4"/>
        <v>#REF!</v>
      </c>
      <c r="L96" s="102" t="e">
        <f>VLOOKUP(B96,'Station List'!#REF!,9,0)</f>
        <v>#REF!</v>
      </c>
      <c r="M96" s="19" t="e">
        <f>VLOOKUP(B96,#REF!,4,0)</f>
        <v>#REF!</v>
      </c>
      <c r="N96" s="17"/>
      <c r="O96" s="17"/>
      <c r="P96" s="17"/>
      <c r="Q96" s="17"/>
      <c r="R96" s="17"/>
      <c r="S96" s="17"/>
      <c r="T96" s="17"/>
      <c r="U96" s="17"/>
      <c r="V96" s="17"/>
      <c r="W96" s="17" t="e">
        <f t="shared" si="10"/>
        <v>#REF!</v>
      </c>
      <c r="X96" s="17" t="e">
        <f t="shared" si="11"/>
        <v>#REF!</v>
      </c>
    </row>
    <row r="97" spans="1:24" ht="12.75" customHeight="1" x14ac:dyDescent="0.2">
      <c r="A97" s="19">
        <v>94</v>
      </c>
      <c r="B97" s="19" t="s">
        <v>3231</v>
      </c>
      <c r="C97" s="19" t="e">
        <f t="shared" si="7"/>
        <v>#REF!</v>
      </c>
      <c r="D97" s="19" t="e">
        <f t="shared" si="8"/>
        <v>#REF!</v>
      </c>
      <c r="E97" s="19" t="e">
        <f t="shared" si="9"/>
        <v>#REF!</v>
      </c>
      <c r="F97" s="19" t="e">
        <f>VLOOKUP(B97,'Station List'!#REF!,2,0)</f>
        <v>#REF!</v>
      </c>
      <c r="G97" s="19" t="e">
        <f>VLOOKUP(B97,#REF!,2,0)</f>
        <v>#REF!</v>
      </c>
      <c r="H97" s="19" t="e">
        <f t="shared" si="3"/>
        <v>#REF!</v>
      </c>
      <c r="I97" s="19" t="e">
        <f>VLOOKUP(B97,'Station List'!#REF!,4,0)</f>
        <v>#REF!</v>
      </c>
      <c r="J97" s="19" t="e">
        <f>VLOOKUP(B97,#REF!,3,0)</f>
        <v>#REF!</v>
      </c>
      <c r="K97" s="19" t="e">
        <f t="shared" si="4"/>
        <v>#REF!</v>
      </c>
      <c r="L97" s="19" t="e">
        <f>VLOOKUP(B97,'Station List'!#REF!,9,0)</f>
        <v>#REF!</v>
      </c>
      <c r="M97" s="19" t="e">
        <f>VLOOKUP(B97,#REF!,4,0)</f>
        <v>#REF!</v>
      </c>
      <c r="N97" s="17"/>
      <c r="O97" s="17"/>
      <c r="P97" s="17"/>
      <c r="Q97" s="17"/>
      <c r="R97" s="17"/>
      <c r="S97" s="17"/>
      <c r="T97" s="17"/>
      <c r="U97" s="17"/>
      <c r="V97" s="17"/>
      <c r="W97" s="17" t="e">
        <f t="shared" si="10"/>
        <v>#REF!</v>
      </c>
      <c r="X97" s="17" t="e">
        <f t="shared" si="11"/>
        <v>#REF!</v>
      </c>
    </row>
    <row r="98" spans="1:24" ht="12.75" customHeight="1" x14ac:dyDescent="0.2">
      <c r="A98" s="19">
        <v>96</v>
      </c>
      <c r="B98" s="19" t="s">
        <v>3232</v>
      </c>
      <c r="C98" s="19" t="e">
        <f t="shared" si="7"/>
        <v>#REF!</v>
      </c>
      <c r="D98" s="19" t="e">
        <f t="shared" si="8"/>
        <v>#REF!</v>
      </c>
      <c r="E98" s="19" t="e">
        <f t="shared" si="9"/>
        <v>#REF!</v>
      </c>
      <c r="F98" s="19" t="e">
        <f>VLOOKUP(B98,'Station List'!#REF!,2,0)</f>
        <v>#REF!</v>
      </c>
      <c r="G98" s="19" t="e">
        <f>VLOOKUP(B98,#REF!,2,0)</f>
        <v>#REF!</v>
      </c>
      <c r="H98" s="19" t="e">
        <f t="shared" si="3"/>
        <v>#REF!</v>
      </c>
      <c r="I98" s="19" t="e">
        <f>VLOOKUP(B98,'Station List'!#REF!,4,0)</f>
        <v>#REF!</v>
      </c>
      <c r="J98" s="19" t="e">
        <f>VLOOKUP(B98,#REF!,3,0)</f>
        <v>#REF!</v>
      </c>
      <c r="K98" s="19" t="e">
        <f t="shared" si="4"/>
        <v>#REF!</v>
      </c>
      <c r="L98" s="19" t="e">
        <f>VLOOKUP(B98,'Station List'!#REF!,9,0)</f>
        <v>#REF!</v>
      </c>
      <c r="M98" s="19" t="e">
        <f>VLOOKUP(B98,#REF!,4,0)</f>
        <v>#REF!</v>
      </c>
      <c r="N98" s="17"/>
      <c r="O98" s="17"/>
      <c r="P98" s="17"/>
      <c r="Q98" s="17"/>
      <c r="R98" s="17"/>
      <c r="S98" s="17"/>
      <c r="T98" s="17"/>
      <c r="U98" s="17"/>
      <c r="V98" s="17"/>
      <c r="W98" s="17" t="e">
        <f t="shared" si="10"/>
        <v>#REF!</v>
      </c>
      <c r="X98" s="17" t="e">
        <f t="shared" si="11"/>
        <v>#REF!</v>
      </c>
    </row>
    <row r="99" spans="1:24" ht="12.75" customHeight="1" x14ac:dyDescent="0.2">
      <c r="A99" s="19">
        <v>97</v>
      </c>
      <c r="B99" s="19" t="s">
        <v>3233</v>
      </c>
      <c r="C99" s="19" t="e">
        <f t="shared" si="7"/>
        <v>#REF!</v>
      </c>
      <c r="D99" s="19" t="e">
        <f t="shared" si="8"/>
        <v>#REF!</v>
      </c>
      <c r="E99" s="19" t="e">
        <f t="shared" si="9"/>
        <v>#REF!</v>
      </c>
      <c r="F99" s="19" t="e">
        <f>VLOOKUP(B99,'Station List'!#REF!,2,0)</f>
        <v>#REF!</v>
      </c>
      <c r="G99" s="19" t="e">
        <f>VLOOKUP(B99,#REF!,2,0)</f>
        <v>#REF!</v>
      </c>
      <c r="H99" s="19" t="e">
        <f t="shared" si="3"/>
        <v>#REF!</v>
      </c>
      <c r="I99" s="19" t="e">
        <f>VLOOKUP(B99,'Station List'!#REF!,4,0)</f>
        <v>#REF!</v>
      </c>
      <c r="J99" s="19" t="e">
        <f>VLOOKUP(B99,#REF!,3,0)</f>
        <v>#REF!</v>
      </c>
      <c r="K99" s="19" t="e">
        <f t="shared" si="4"/>
        <v>#REF!</v>
      </c>
      <c r="L99" s="19" t="e">
        <f>VLOOKUP(B99,'Station List'!#REF!,9,0)</f>
        <v>#REF!</v>
      </c>
      <c r="M99" s="19" t="e">
        <f>VLOOKUP(B99,#REF!,4,0)</f>
        <v>#REF!</v>
      </c>
      <c r="N99" s="17"/>
      <c r="O99" s="17"/>
      <c r="P99" s="17"/>
      <c r="Q99" s="17"/>
      <c r="R99" s="17"/>
      <c r="S99" s="17"/>
      <c r="T99" s="17"/>
      <c r="U99" s="17"/>
      <c r="V99" s="17"/>
      <c r="W99" s="17" t="e">
        <f t="shared" si="10"/>
        <v>#REF!</v>
      </c>
      <c r="X99" s="17" t="e">
        <f t="shared" si="11"/>
        <v>#REF!</v>
      </c>
    </row>
    <row r="100" spans="1:24" ht="12.75" customHeight="1" x14ac:dyDescent="0.2">
      <c r="A100" s="19">
        <v>98</v>
      </c>
      <c r="B100" s="19" t="s">
        <v>3235</v>
      </c>
      <c r="C100" s="19" t="e">
        <f t="shared" si="7"/>
        <v>#REF!</v>
      </c>
      <c r="D100" s="19" t="e">
        <f t="shared" si="8"/>
        <v>#REF!</v>
      </c>
      <c r="E100" s="19" t="e">
        <f t="shared" si="9"/>
        <v>#REF!</v>
      </c>
      <c r="F100" s="19" t="e">
        <f>VLOOKUP(B100,'Station List'!#REF!,2,0)</f>
        <v>#REF!</v>
      </c>
      <c r="G100" s="19" t="e">
        <f>VLOOKUP(B100,#REF!,2,0)</f>
        <v>#REF!</v>
      </c>
      <c r="H100" s="19" t="e">
        <f t="shared" si="3"/>
        <v>#REF!</v>
      </c>
      <c r="I100" s="19" t="e">
        <f>VLOOKUP(B100,'Station List'!#REF!,4,0)</f>
        <v>#REF!</v>
      </c>
      <c r="J100" s="19" t="e">
        <f>VLOOKUP(B100,#REF!,3,0)</f>
        <v>#REF!</v>
      </c>
      <c r="K100" s="19" t="e">
        <f t="shared" si="4"/>
        <v>#REF!</v>
      </c>
      <c r="L100" s="19" t="e">
        <f>VLOOKUP(B100,'Station List'!#REF!,9,0)</f>
        <v>#REF!</v>
      </c>
      <c r="M100" s="19" t="e">
        <f>VLOOKUP(B100,#REF!,4,0)</f>
        <v>#REF!</v>
      </c>
      <c r="N100" s="17"/>
      <c r="O100" s="17"/>
      <c r="P100" s="17"/>
      <c r="Q100" s="17"/>
      <c r="R100" s="17"/>
      <c r="S100" s="17"/>
      <c r="T100" s="17"/>
      <c r="U100" s="17"/>
      <c r="V100" s="17"/>
      <c r="W100" s="17" t="e">
        <f t="shared" si="10"/>
        <v>#REF!</v>
      </c>
      <c r="X100" s="17" t="e">
        <f t="shared" si="11"/>
        <v>#REF!</v>
      </c>
    </row>
    <row r="101" spans="1:24" ht="12.75" customHeight="1" x14ac:dyDescent="0.2">
      <c r="A101" s="19">
        <v>99</v>
      </c>
      <c r="B101" s="19" t="s">
        <v>3236</v>
      </c>
      <c r="C101" s="19" t="e">
        <f t="shared" si="7"/>
        <v>#REF!</v>
      </c>
      <c r="D101" s="19" t="e">
        <f t="shared" si="8"/>
        <v>#REF!</v>
      </c>
      <c r="E101" s="19" t="e">
        <f t="shared" si="9"/>
        <v>#REF!</v>
      </c>
      <c r="F101" s="19" t="e">
        <f>VLOOKUP(B101,'Station List'!#REF!,2,0)</f>
        <v>#REF!</v>
      </c>
      <c r="G101" s="19" t="e">
        <f>VLOOKUP(B101,#REF!,2,0)</f>
        <v>#REF!</v>
      </c>
      <c r="H101" s="19" t="e">
        <f t="shared" si="3"/>
        <v>#REF!</v>
      </c>
      <c r="I101" s="19" t="e">
        <f>VLOOKUP(B101,'Station List'!#REF!,4,0)</f>
        <v>#REF!</v>
      </c>
      <c r="J101" s="19" t="e">
        <f>VLOOKUP(B101,#REF!,3,0)</f>
        <v>#REF!</v>
      </c>
      <c r="K101" s="19" t="e">
        <f t="shared" si="4"/>
        <v>#REF!</v>
      </c>
      <c r="L101" s="19" t="e">
        <f>VLOOKUP(B101,'Station List'!#REF!,9,0)</f>
        <v>#REF!</v>
      </c>
      <c r="M101" s="19" t="e">
        <f>VLOOKUP(B101,#REF!,4,0)</f>
        <v>#REF!</v>
      </c>
      <c r="N101" s="17"/>
      <c r="O101" s="17"/>
      <c r="P101" s="17"/>
      <c r="Q101" s="17"/>
      <c r="R101" s="17"/>
      <c r="S101" s="17"/>
      <c r="T101" s="17"/>
      <c r="U101" s="17"/>
      <c r="V101" s="17"/>
      <c r="W101" s="17" t="e">
        <f t="shared" si="10"/>
        <v>#REF!</v>
      </c>
      <c r="X101" s="17" t="e">
        <f t="shared" si="11"/>
        <v>#REF!</v>
      </c>
    </row>
    <row r="102" spans="1:24" ht="12.75" customHeight="1" x14ac:dyDescent="0.2">
      <c r="A102" s="19">
        <v>100</v>
      </c>
      <c r="B102" s="19" t="s">
        <v>3237</v>
      </c>
      <c r="C102" s="19" t="e">
        <f t="shared" si="7"/>
        <v>#REF!</v>
      </c>
      <c r="D102" s="19" t="e">
        <f t="shared" si="8"/>
        <v>#REF!</v>
      </c>
      <c r="E102" s="19" t="e">
        <f t="shared" si="9"/>
        <v>#REF!</v>
      </c>
      <c r="F102" s="19" t="e">
        <f>VLOOKUP(B102,'Station List'!#REF!,2,0)</f>
        <v>#REF!</v>
      </c>
      <c r="G102" s="19" t="e">
        <f>VLOOKUP(B102,#REF!,2,0)</f>
        <v>#REF!</v>
      </c>
      <c r="H102" s="19" t="e">
        <f t="shared" si="3"/>
        <v>#REF!</v>
      </c>
      <c r="I102" s="19" t="e">
        <f>VLOOKUP(B102,'Station List'!#REF!,4,0)</f>
        <v>#REF!</v>
      </c>
      <c r="J102" s="19" t="e">
        <f>VLOOKUP(B102,#REF!,3,0)</f>
        <v>#REF!</v>
      </c>
      <c r="K102" s="19" t="e">
        <f t="shared" si="4"/>
        <v>#REF!</v>
      </c>
      <c r="L102" s="19" t="e">
        <f>VLOOKUP(B102,'Station List'!#REF!,9,0)</f>
        <v>#REF!</v>
      </c>
      <c r="M102" s="19" t="e">
        <f>VLOOKUP(B102,#REF!,4,0)</f>
        <v>#REF!</v>
      </c>
      <c r="N102" s="17"/>
      <c r="O102" s="17"/>
      <c r="P102" s="17"/>
      <c r="Q102" s="17"/>
      <c r="R102" s="17"/>
      <c r="S102" s="17"/>
      <c r="T102" s="17"/>
      <c r="U102" s="17"/>
      <c r="V102" s="17"/>
      <c r="W102" s="17" t="e">
        <f t="shared" si="10"/>
        <v>#REF!</v>
      </c>
      <c r="X102" s="17" t="e">
        <f t="shared" si="11"/>
        <v>#REF!</v>
      </c>
    </row>
    <row r="103" spans="1:24" ht="12.75" customHeight="1" x14ac:dyDescent="0.2">
      <c r="A103" s="19">
        <v>101</v>
      </c>
      <c r="B103" s="19" t="s">
        <v>3238</v>
      </c>
      <c r="C103" s="19" t="e">
        <f t="shared" si="7"/>
        <v>#REF!</v>
      </c>
      <c r="D103" s="19" t="e">
        <f t="shared" si="8"/>
        <v>#REF!</v>
      </c>
      <c r="E103" s="19" t="e">
        <f t="shared" si="9"/>
        <v>#REF!</v>
      </c>
      <c r="F103" s="19" t="e">
        <f>VLOOKUP(B103,'Station List'!#REF!,2,0)</f>
        <v>#REF!</v>
      </c>
      <c r="G103" s="19" t="e">
        <f>VLOOKUP(B103,#REF!,2,0)</f>
        <v>#REF!</v>
      </c>
      <c r="H103" s="19" t="e">
        <f t="shared" si="3"/>
        <v>#REF!</v>
      </c>
      <c r="I103" s="19" t="e">
        <f>VLOOKUP(B103,'Station List'!#REF!,4,0)</f>
        <v>#REF!</v>
      </c>
      <c r="J103" s="19" t="e">
        <f>VLOOKUP(B103,#REF!,3,0)</f>
        <v>#REF!</v>
      </c>
      <c r="K103" s="19" t="e">
        <f t="shared" si="4"/>
        <v>#REF!</v>
      </c>
      <c r="L103" s="19" t="e">
        <f>VLOOKUP(B103,'Station List'!#REF!,9,0)</f>
        <v>#REF!</v>
      </c>
      <c r="M103" s="19" t="e">
        <f>VLOOKUP(B103,#REF!,4,0)</f>
        <v>#REF!</v>
      </c>
      <c r="N103" s="17"/>
      <c r="O103" s="17"/>
      <c r="P103" s="17"/>
      <c r="Q103" s="17"/>
      <c r="R103" s="17"/>
      <c r="S103" s="17"/>
      <c r="T103" s="17"/>
      <c r="U103" s="17"/>
      <c r="V103" s="17"/>
      <c r="W103" s="17" t="e">
        <f t="shared" si="10"/>
        <v>#REF!</v>
      </c>
      <c r="X103" s="17" t="e">
        <f t="shared" si="11"/>
        <v>#REF!</v>
      </c>
    </row>
    <row r="104" spans="1:24" ht="12.75" customHeight="1" x14ac:dyDescent="0.2">
      <c r="A104" s="19">
        <v>102</v>
      </c>
      <c r="B104" s="19" t="s">
        <v>3240</v>
      </c>
      <c r="C104" s="19" t="e">
        <f t="shared" si="7"/>
        <v>#REF!</v>
      </c>
      <c r="D104" s="19" t="e">
        <f t="shared" si="8"/>
        <v>#REF!</v>
      </c>
      <c r="E104" s="19" t="e">
        <f t="shared" si="9"/>
        <v>#REF!</v>
      </c>
      <c r="F104" s="19" t="e">
        <f>VLOOKUP(B104,'Station List'!#REF!,2,0)</f>
        <v>#REF!</v>
      </c>
      <c r="G104" s="19" t="e">
        <f>VLOOKUP(B104,#REF!,2,0)</f>
        <v>#REF!</v>
      </c>
      <c r="H104" s="19" t="e">
        <f t="shared" si="3"/>
        <v>#REF!</v>
      </c>
      <c r="I104" s="19" t="e">
        <f>VLOOKUP(B104,'Station List'!#REF!,4,0)</f>
        <v>#REF!</v>
      </c>
      <c r="J104" s="19" t="e">
        <f>VLOOKUP(B104,#REF!,3,0)</f>
        <v>#REF!</v>
      </c>
      <c r="K104" s="19" t="e">
        <f t="shared" si="4"/>
        <v>#REF!</v>
      </c>
      <c r="L104" s="19" t="e">
        <f>VLOOKUP(B104,'Station List'!#REF!,9,0)</f>
        <v>#REF!</v>
      </c>
      <c r="M104" s="19" t="e">
        <f>VLOOKUP(B104,#REF!,4,0)</f>
        <v>#REF!</v>
      </c>
      <c r="N104" s="17"/>
      <c r="O104" s="17"/>
      <c r="P104" s="17"/>
      <c r="Q104" s="17"/>
      <c r="R104" s="17"/>
      <c r="S104" s="17"/>
      <c r="T104" s="17"/>
      <c r="U104" s="17"/>
      <c r="V104" s="17"/>
      <c r="W104" s="17" t="e">
        <f t="shared" si="10"/>
        <v>#REF!</v>
      </c>
      <c r="X104" s="17" t="e">
        <f t="shared" si="11"/>
        <v>#REF!</v>
      </c>
    </row>
    <row r="105" spans="1:24" ht="12.75" customHeight="1" x14ac:dyDescent="0.2">
      <c r="A105" s="19">
        <v>103</v>
      </c>
      <c r="B105" s="19" t="s">
        <v>3241</v>
      </c>
      <c r="C105" s="19" t="e">
        <f t="shared" si="7"/>
        <v>#REF!</v>
      </c>
      <c r="D105" s="19" t="e">
        <f t="shared" si="8"/>
        <v>#REF!</v>
      </c>
      <c r="E105" s="19" t="e">
        <f t="shared" si="9"/>
        <v>#REF!</v>
      </c>
      <c r="F105" s="19"/>
      <c r="G105" s="19"/>
      <c r="H105" s="19" t="e">
        <f t="shared" si="3"/>
        <v>#REF!</v>
      </c>
      <c r="I105" s="19" t="s">
        <v>1489</v>
      </c>
      <c r="J105" s="19" t="s">
        <v>1489</v>
      </c>
      <c r="K105" s="19" t="e">
        <f t="shared" si="4"/>
        <v>#REF!</v>
      </c>
      <c r="L105" s="19"/>
      <c r="M105" s="19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spans="1:24" ht="12.75" customHeight="1" x14ac:dyDescent="0.2">
      <c r="A106" s="19">
        <v>104</v>
      </c>
      <c r="B106" s="19" t="s">
        <v>3242</v>
      </c>
      <c r="C106" s="19" t="e">
        <f t="shared" si="7"/>
        <v>#REF!</v>
      </c>
      <c r="D106" s="19" t="e">
        <f t="shared" si="8"/>
        <v>#REF!</v>
      </c>
      <c r="E106" s="19" t="e">
        <f t="shared" si="9"/>
        <v>#REF!</v>
      </c>
      <c r="F106" s="19" t="e">
        <f>VLOOKUP(B106,'Station List'!#REF!,2,0)</f>
        <v>#REF!</v>
      </c>
      <c r="G106" s="19" t="e">
        <f>VLOOKUP(B106,#REF!,2,0)</f>
        <v>#REF!</v>
      </c>
      <c r="H106" s="19" t="e">
        <f t="shared" si="3"/>
        <v>#REF!</v>
      </c>
      <c r="I106" s="19" t="e">
        <f>VLOOKUP(B106,'Station List'!#REF!,4,0)</f>
        <v>#REF!</v>
      </c>
      <c r="J106" s="19" t="e">
        <f>VLOOKUP(B106,#REF!,3,0)</f>
        <v>#REF!</v>
      </c>
      <c r="K106" s="19" t="e">
        <f t="shared" si="4"/>
        <v>#REF!</v>
      </c>
      <c r="L106" s="19" t="e">
        <f>VLOOKUP(B106,'Station List'!#REF!,9,0)</f>
        <v>#REF!</v>
      </c>
      <c r="M106" s="19" t="e">
        <f>VLOOKUP(B106,#REF!,4,0)</f>
        <v>#REF!</v>
      </c>
      <c r="N106" s="17"/>
      <c r="O106" s="17"/>
      <c r="P106" s="17"/>
      <c r="Q106" s="17"/>
      <c r="R106" s="17"/>
      <c r="S106" s="17"/>
      <c r="T106" s="17"/>
      <c r="U106" s="17"/>
      <c r="V106" s="17"/>
      <c r="W106" s="17" t="e">
        <f t="shared" ref="W106:W155" si="12">IF(I106=J106,0,1)</f>
        <v>#REF!</v>
      </c>
      <c r="X106" s="17" t="e">
        <f t="shared" ref="X106:X155" si="13">IF(L106=M106,0,1)</f>
        <v>#REF!</v>
      </c>
    </row>
    <row r="107" spans="1:24" ht="12.75" customHeight="1" x14ac:dyDescent="0.2">
      <c r="A107" s="19">
        <v>105</v>
      </c>
      <c r="B107" s="19" t="s">
        <v>3244</v>
      </c>
      <c r="C107" s="19" t="e">
        <f t="shared" si="7"/>
        <v>#REF!</v>
      </c>
      <c r="D107" s="19" t="e">
        <f t="shared" si="8"/>
        <v>#REF!</v>
      </c>
      <c r="E107" s="19" t="e">
        <f t="shared" si="9"/>
        <v>#REF!</v>
      </c>
      <c r="F107" s="19" t="e">
        <f>VLOOKUP(B107,'Station List'!#REF!,2,0)</f>
        <v>#REF!</v>
      </c>
      <c r="G107" s="19" t="e">
        <f>VLOOKUP(B107,#REF!,2,0)</f>
        <v>#REF!</v>
      </c>
      <c r="H107" s="19" t="e">
        <f t="shared" si="3"/>
        <v>#REF!</v>
      </c>
      <c r="I107" s="19" t="e">
        <f>VLOOKUP(B107,'Station List'!#REF!,4,0)</f>
        <v>#REF!</v>
      </c>
      <c r="J107" s="19" t="e">
        <f>VLOOKUP(B107,#REF!,3,0)</f>
        <v>#REF!</v>
      </c>
      <c r="K107" s="19" t="e">
        <f t="shared" si="4"/>
        <v>#REF!</v>
      </c>
      <c r="L107" s="19" t="e">
        <f>VLOOKUP(B107,'Station List'!#REF!,9,0)</f>
        <v>#REF!</v>
      </c>
      <c r="M107" s="19" t="e">
        <f>VLOOKUP(B107,#REF!,4,0)</f>
        <v>#REF!</v>
      </c>
      <c r="N107" s="17"/>
      <c r="O107" s="17"/>
      <c r="P107" s="17"/>
      <c r="Q107" s="17"/>
      <c r="R107" s="17"/>
      <c r="S107" s="17"/>
      <c r="T107" s="17"/>
      <c r="U107" s="17"/>
      <c r="V107" s="17"/>
      <c r="W107" s="17" t="e">
        <f t="shared" si="12"/>
        <v>#REF!</v>
      </c>
      <c r="X107" s="17" t="e">
        <f t="shared" si="13"/>
        <v>#REF!</v>
      </c>
    </row>
    <row r="108" spans="1:24" ht="12.75" customHeight="1" x14ac:dyDescent="0.2">
      <c r="A108" s="19">
        <v>106</v>
      </c>
      <c r="B108" s="19" t="s">
        <v>3246</v>
      </c>
      <c r="C108" s="19" t="e">
        <f t="shared" si="7"/>
        <v>#REF!</v>
      </c>
      <c r="D108" s="19" t="e">
        <f t="shared" si="8"/>
        <v>#REF!</v>
      </c>
      <c r="E108" s="19" t="e">
        <f t="shared" si="9"/>
        <v>#REF!</v>
      </c>
      <c r="F108" s="19" t="e">
        <f>VLOOKUP(B108,'Station List'!#REF!,2,0)</f>
        <v>#REF!</v>
      </c>
      <c r="G108" s="19" t="e">
        <f>VLOOKUP(B108,#REF!,2,0)</f>
        <v>#REF!</v>
      </c>
      <c r="H108" s="19" t="e">
        <f t="shared" si="3"/>
        <v>#REF!</v>
      </c>
      <c r="I108" s="19" t="e">
        <f>VLOOKUP(B108,'Station List'!#REF!,4,0)</f>
        <v>#REF!</v>
      </c>
      <c r="J108" s="19" t="e">
        <f>VLOOKUP(B108,#REF!,3,0)</f>
        <v>#REF!</v>
      </c>
      <c r="K108" s="19" t="e">
        <f t="shared" si="4"/>
        <v>#REF!</v>
      </c>
      <c r="L108" s="19" t="e">
        <f>VLOOKUP(B108,'Station List'!#REF!,9,0)</f>
        <v>#REF!</v>
      </c>
      <c r="M108" s="19" t="e">
        <f>VLOOKUP(B108,#REF!,4,0)</f>
        <v>#REF!</v>
      </c>
      <c r="N108" s="17"/>
      <c r="O108" s="17"/>
      <c r="P108" s="17"/>
      <c r="Q108" s="17"/>
      <c r="R108" s="17"/>
      <c r="S108" s="17"/>
      <c r="T108" s="17"/>
      <c r="U108" s="17"/>
      <c r="V108" s="17"/>
      <c r="W108" s="17" t="e">
        <f t="shared" si="12"/>
        <v>#REF!</v>
      </c>
      <c r="X108" s="17" t="e">
        <f t="shared" si="13"/>
        <v>#REF!</v>
      </c>
    </row>
    <row r="109" spans="1:24" ht="12.75" customHeight="1" x14ac:dyDescent="0.2">
      <c r="A109" s="19">
        <v>107</v>
      </c>
      <c r="B109" s="19" t="s">
        <v>3247</v>
      </c>
      <c r="C109" s="19" t="e">
        <f t="shared" si="7"/>
        <v>#REF!</v>
      </c>
      <c r="D109" s="19" t="e">
        <f t="shared" si="8"/>
        <v>#REF!</v>
      </c>
      <c r="E109" s="19" t="e">
        <f t="shared" si="9"/>
        <v>#REF!</v>
      </c>
      <c r="F109" s="19" t="e">
        <f>VLOOKUP(B109,'Station List'!#REF!,2,0)</f>
        <v>#REF!</v>
      </c>
      <c r="G109" s="19" t="e">
        <f>VLOOKUP(B109,#REF!,2,0)</f>
        <v>#REF!</v>
      </c>
      <c r="H109" s="19" t="e">
        <f t="shared" si="3"/>
        <v>#REF!</v>
      </c>
      <c r="I109" s="19" t="e">
        <f>VLOOKUP(B109,'Station List'!#REF!,4,0)</f>
        <v>#REF!</v>
      </c>
      <c r="J109" s="19" t="e">
        <f>VLOOKUP(B109,#REF!,3,0)</f>
        <v>#REF!</v>
      </c>
      <c r="K109" s="19" t="e">
        <f t="shared" si="4"/>
        <v>#REF!</v>
      </c>
      <c r="L109" s="19" t="e">
        <f>VLOOKUP(B109,'Station List'!#REF!,9,0)</f>
        <v>#REF!</v>
      </c>
      <c r="M109" s="19" t="e">
        <f>VLOOKUP(B109,#REF!,4,0)</f>
        <v>#REF!</v>
      </c>
      <c r="N109" s="17"/>
      <c r="O109" s="17"/>
      <c r="P109" s="17"/>
      <c r="Q109" s="17"/>
      <c r="R109" s="17"/>
      <c r="S109" s="17"/>
      <c r="T109" s="17"/>
      <c r="U109" s="17"/>
      <c r="V109" s="17"/>
      <c r="W109" s="17" t="e">
        <f t="shared" si="12"/>
        <v>#REF!</v>
      </c>
      <c r="X109" s="17" t="e">
        <f t="shared" si="13"/>
        <v>#REF!</v>
      </c>
    </row>
    <row r="110" spans="1:24" ht="12.75" customHeight="1" x14ac:dyDescent="0.2">
      <c r="A110" s="19">
        <v>108</v>
      </c>
      <c r="B110" s="19" t="s">
        <v>3248</v>
      </c>
      <c r="C110" s="19" t="e">
        <f t="shared" si="7"/>
        <v>#REF!</v>
      </c>
      <c r="D110" s="19" t="e">
        <f t="shared" si="8"/>
        <v>#REF!</v>
      </c>
      <c r="E110" s="19" t="e">
        <f t="shared" si="9"/>
        <v>#REF!</v>
      </c>
      <c r="F110" s="19" t="e">
        <f>VLOOKUP(B110,'Station List'!#REF!,2,0)</f>
        <v>#REF!</v>
      </c>
      <c r="G110" s="19" t="e">
        <f>VLOOKUP(B110,#REF!,2,0)</f>
        <v>#REF!</v>
      </c>
      <c r="H110" s="19" t="e">
        <f t="shared" si="3"/>
        <v>#REF!</v>
      </c>
      <c r="I110" s="19" t="e">
        <f>VLOOKUP(B110,'Station List'!#REF!,4,0)</f>
        <v>#REF!</v>
      </c>
      <c r="J110" s="19" t="e">
        <f>VLOOKUP(B110,#REF!,3,0)</f>
        <v>#REF!</v>
      </c>
      <c r="K110" s="19" t="e">
        <f t="shared" si="4"/>
        <v>#REF!</v>
      </c>
      <c r="L110" s="19" t="e">
        <f>VLOOKUP(B110,'Station List'!#REF!,9,0)</f>
        <v>#REF!</v>
      </c>
      <c r="M110" s="19" t="e">
        <f>VLOOKUP(B110,#REF!,4,0)</f>
        <v>#REF!</v>
      </c>
      <c r="N110" s="17"/>
      <c r="O110" s="17"/>
      <c r="P110" s="17"/>
      <c r="Q110" s="17"/>
      <c r="R110" s="17"/>
      <c r="S110" s="17"/>
      <c r="T110" s="17"/>
      <c r="U110" s="17"/>
      <c r="V110" s="17"/>
      <c r="W110" s="17" t="e">
        <f t="shared" si="12"/>
        <v>#REF!</v>
      </c>
      <c r="X110" s="17" t="e">
        <f t="shared" si="13"/>
        <v>#REF!</v>
      </c>
    </row>
    <row r="111" spans="1:24" ht="12.75" customHeight="1" x14ac:dyDescent="0.2">
      <c r="A111" s="19">
        <v>109</v>
      </c>
      <c r="B111" s="19" t="s">
        <v>3249</v>
      </c>
      <c r="C111" s="19" t="e">
        <f t="shared" si="7"/>
        <v>#REF!</v>
      </c>
      <c r="D111" s="19" t="e">
        <f t="shared" si="8"/>
        <v>#REF!</v>
      </c>
      <c r="E111" s="19" t="e">
        <f t="shared" si="9"/>
        <v>#REF!</v>
      </c>
      <c r="F111" s="19" t="e">
        <f>VLOOKUP(B111,'Station List'!#REF!,2,0)</f>
        <v>#REF!</v>
      </c>
      <c r="G111" s="19" t="e">
        <f>VLOOKUP(B111,#REF!,2,0)</f>
        <v>#REF!</v>
      </c>
      <c r="H111" s="19" t="e">
        <f t="shared" si="3"/>
        <v>#REF!</v>
      </c>
      <c r="I111" s="19" t="e">
        <f>VLOOKUP(B111,'Station List'!#REF!,4,0)</f>
        <v>#REF!</v>
      </c>
      <c r="J111" s="19" t="e">
        <f>VLOOKUP(B111,#REF!,3,0)</f>
        <v>#REF!</v>
      </c>
      <c r="K111" s="19" t="e">
        <f t="shared" si="4"/>
        <v>#REF!</v>
      </c>
      <c r="L111" s="102" t="e">
        <f>VLOOKUP(B111,'Station List'!#REF!,9,0)</f>
        <v>#REF!</v>
      </c>
      <c r="M111" s="19" t="e">
        <f>VLOOKUP(B111,#REF!,4,0)</f>
        <v>#REF!</v>
      </c>
      <c r="N111" s="17"/>
      <c r="O111" s="17"/>
      <c r="P111" s="17"/>
      <c r="Q111" s="17"/>
      <c r="R111" s="17"/>
      <c r="S111" s="17"/>
      <c r="T111" s="17"/>
      <c r="U111" s="17"/>
      <c r="V111" s="17"/>
      <c r="W111" s="17" t="e">
        <f t="shared" si="12"/>
        <v>#REF!</v>
      </c>
      <c r="X111" s="17" t="e">
        <f t="shared" si="13"/>
        <v>#REF!</v>
      </c>
    </row>
    <row r="112" spans="1:24" ht="12.75" customHeight="1" x14ac:dyDescent="0.2">
      <c r="A112" s="19">
        <v>110</v>
      </c>
      <c r="B112" s="19" t="s">
        <v>3250</v>
      </c>
      <c r="C112" s="19" t="e">
        <f t="shared" si="7"/>
        <v>#REF!</v>
      </c>
      <c r="D112" s="19" t="e">
        <f t="shared" si="8"/>
        <v>#REF!</v>
      </c>
      <c r="E112" s="19" t="e">
        <f t="shared" si="9"/>
        <v>#REF!</v>
      </c>
      <c r="F112" s="19" t="e">
        <f>VLOOKUP(B112,'Station List'!#REF!,2,0)</f>
        <v>#REF!</v>
      </c>
      <c r="G112" s="19" t="e">
        <f>VLOOKUP(B112,#REF!,2,0)</f>
        <v>#REF!</v>
      </c>
      <c r="H112" s="19" t="e">
        <f t="shared" si="3"/>
        <v>#REF!</v>
      </c>
      <c r="I112" s="19" t="e">
        <f>VLOOKUP(B112,'Station List'!#REF!,4,0)</f>
        <v>#REF!</v>
      </c>
      <c r="J112" s="19" t="e">
        <f>VLOOKUP(B112,#REF!,3,0)</f>
        <v>#REF!</v>
      </c>
      <c r="K112" s="19" t="e">
        <f t="shared" si="4"/>
        <v>#REF!</v>
      </c>
      <c r="L112" s="19" t="e">
        <f>VLOOKUP(B112,'Station List'!#REF!,9,0)</f>
        <v>#REF!</v>
      </c>
      <c r="M112" s="19" t="e">
        <f>VLOOKUP(B112,#REF!,4,0)</f>
        <v>#REF!</v>
      </c>
      <c r="N112" s="17"/>
      <c r="O112" s="17"/>
      <c r="P112" s="17"/>
      <c r="Q112" s="17"/>
      <c r="R112" s="17"/>
      <c r="S112" s="17"/>
      <c r="T112" s="17"/>
      <c r="U112" s="17"/>
      <c r="V112" s="17"/>
      <c r="W112" s="17" t="e">
        <f t="shared" si="12"/>
        <v>#REF!</v>
      </c>
      <c r="X112" s="17" t="e">
        <f t="shared" si="13"/>
        <v>#REF!</v>
      </c>
    </row>
    <row r="113" spans="1:24" ht="12.75" customHeight="1" x14ac:dyDescent="0.2">
      <c r="A113" s="19">
        <v>111</v>
      </c>
      <c r="B113" s="19" t="s">
        <v>3251</v>
      </c>
      <c r="C113" s="19" t="e">
        <f t="shared" si="7"/>
        <v>#REF!</v>
      </c>
      <c r="D113" s="19" t="e">
        <f t="shared" si="8"/>
        <v>#REF!</v>
      </c>
      <c r="E113" s="19" t="e">
        <f t="shared" si="9"/>
        <v>#REF!</v>
      </c>
      <c r="F113" s="19" t="e">
        <f>VLOOKUP(B113,'Station List'!#REF!,2,0)</f>
        <v>#REF!</v>
      </c>
      <c r="G113" s="19" t="e">
        <f>VLOOKUP(B113,#REF!,2,0)</f>
        <v>#REF!</v>
      </c>
      <c r="H113" s="19" t="e">
        <f t="shared" si="3"/>
        <v>#REF!</v>
      </c>
      <c r="I113" s="19" t="e">
        <f>VLOOKUP(B113,'Station List'!#REF!,4,0)</f>
        <v>#REF!</v>
      </c>
      <c r="J113" s="19" t="e">
        <f>VLOOKUP(B113,#REF!,3,0)</f>
        <v>#REF!</v>
      </c>
      <c r="K113" s="19" t="e">
        <f t="shared" si="4"/>
        <v>#REF!</v>
      </c>
      <c r="L113" s="19" t="e">
        <f>VLOOKUP(B113,'Station List'!#REF!,9,0)</f>
        <v>#REF!</v>
      </c>
      <c r="M113" s="19" t="e">
        <f>VLOOKUP(B113,#REF!,4,0)</f>
        <v>#REF!</v>
      </c>
      <c r="N113" s="17"/>
      <c r="O113" s="17"/>
      <c r="P113" s="17"/>
      <c r="Q113" s="17"/>
      <c r="R113" s="17"/>
      <c r="S113" s="17"/>
      <c r="T113" s="17"/>
      <c r="U113" s="17"/>
      <c r="V113" s="17"/>
      <c r="W113" s="17" t="e">
        <f t="shared" si="12"/>
        <v>#REF!</v>
      </c>
      <c r="X113" s="17" t="e">
        <f t="shared" si="13"/>
        <v>#REF!</v>
      </c>
    </row>
    <row r="114" spans="1:24" ht="12.75" customHeight="1" x14ac:dyDescent="0.2">
      <c r="A114" s="19">
        <v>112</v>
      </c>
      <c r="B114" s="19" t="s">
        <v>3252</v>
      </c>
      <c r="C114" s="19" t="e">
        <f t="shared" si="7"/>
        <v>#REF!</v>
      </c>
      <c r="D114" s="19" t="e">
        <f t="shared" si="8"/>
        <v>#REF!</v>
      </c>
      <c r="E114" s="19" t="e">
        <f t="shared" si="9"/>
        <v>#REF!</v>
      </c>
      <c r="F114" s="19" t="e">
        <f>VLOOKUP(B114,'Station List'!#REF!,2,0)</f>
        <v>#REF!</v>
      </c>
      <c r="G114" s="19" t="e">
        <f>VLOOKUP(B114,#REF!,2,0)</f>
        <v>#REF!</v>
      </c>
      <c r="H114" s="19" t="e">
        <f t="shared" si="3"/>
        <v>#REF!</v>
      </c>
      <c r="I114" s="19" t="e">
        <f>VLOOKUP(B114,'Station List'!#REF!,4,0)</f>
        <v>#REF!</v>
      </c>
      <c r="J114" s="19" t="e">
        <f>VLOOKUP(B114,#REF!,3,0)</f>
        <v>#REF!</v>
      </c>
      <c r="K114" s="19" t="e">
        <f t="shared" si="4"/>
        <v>#REF!</v>
      </c>
      <c r="L114" s="19" t="e">
        <f>VLOOKUP(B114,'Station List'!#REF!,9,0)</f>
        <v>#REF!</v>
      </c>
      <c r="M114" s="19" t="e">
        <f>VLOOKUP(B114,#REF!,4,0)</f>
        <v>#REF!</v>
      </c>
      <c r="N114" s="17"/>
      <c r="O114" s="17"/>
      <c r="P114" s="17"/>
      <c r="Q114" s="17"/>
      <c r="R114" s="17"/>
      <c r="S114" s="17"/>
      <c r="T114" s="17"/>
      <c r="U114" s="17"/>
      <c r="V114" s="17"/>
      <c r="W114" s="17" t="e">
        <f t="shared" si="12"/>
        <v>#REF!</v>
      </c>
      <c r="X114" s="17" t="e">
        <f t="shared" si="13"/>
        <v>#REF!</v>
      </c>
    </row>
    <row r="115" spans="1:24" ht="12.75" customHeight="1" x14ac:dyDescent="0.2">
      <c r="A115" s="19">
        <v>113</v>
      </c>
      <c r="B115" s="19" t="s">
        <v>3253</v>
      </c>
      <c r="C115" s="19" t="e">
        <f t="shared" si="7"/>
        <v>#REF!</v>
      </c>
      <c r="D115" s="19" t="e">
        <f t="shared" si="8"/>
        <v>#REF!</v>
      </c>
      <c r="E115" s="19" t="e">
        <f t="shared" si="9"/>
        <v>#REF!</v>
      </c>
      <c r="F115" s="19" t="e">
        <f>VLOOKUP(B115,'Station List'!#REF!,2,0)</f>
        <v>#REF!</v>
      </c>
      <c r="G115" s="19" t="e">
        <f>VLOOKUP(B115,#REF!,2,0)</f>
        <v>#REF!</v>
      </c>
      <c r="H115" s="19" t="e">
        <f t="shared" si="3"/>
        <v>#REF!</v>
      </c>
      <c r="I115" s="19" t="e">
        <f>VLOOKUP(B115,'Station List'!#REF!,4,0)</f>
        <v>#REF!</v>
      </c>
      <c r="J115" s="19" t="e">
        <f>VLOOKUP(B115,#REF!,3,0)</f>
        <v>#REF!</v>
      </c>
      <c r="K115" s="19" t="e">
        <f t="shared" si="4"/>
        <v>#REF!</v>
      </c>
      <c r="L115" s="19" t="e">
        <f>VLOOKUP(B115,'Station List'!#REF!,9,0)</f>
        <v>#REF!</v>
      </c>
      <c r="M115" s="19" t="e">
        <f>VLOOKUP(B115,#REF!,4,0)</f>
        <v>#REF!</v>
      </c>
      <c r="N115" s="17"/>
      <c r="O115" s="17"/>
      <c r="P115" s="17"/>
      <c r="Q115" s="17"/>
      <c r="R115" s="17"/>
      <c r="S115" s="17"/>
      <c r="T115" s="17"/>
      <c r="U115" s="17"/>
      <c r="V115" s="17"/>
      <c r="W115" s="17" t="e">
        <f t="shared" si="12"/>
        <v>#REF!</v>
      </c>
      <c r="X115" s="17" t="e">
        <f t="shared" si="13"/>
        <v>#REF!</v>
      </c>
    </row>
    <row r="116" spans="1:24" ht="12.75" customHeight="1" x14ac:dyDescent="0.2">
      <c r="A116" s="19">
        <v>114</v>
      </c>
      <c r="B116" s="19" t="s">
        <v>3254</v>
      </c>
      <c r="C116" s="19" t="e">
        <f t="shared" si="7"/>
        <v>#REF!</v>
      </c>
      <c r="D116" s="19" t="e">
        <f t="shared" si="8"/>
        <v>#REF!</v>
      </c>
      <c r="E116" s="19" t="e">
        <f t="shared" si="9"/>
        <v>#REF!</v>
      </c>
      <c r="F116" s="19" t="e">
        <f>VLOOKUP(B116,'Station List'!#REF!,2,0)</f>
        <v>#REF!</v>
      </c>
      <c r="G116" s="19" t="e">
        <f>VLOOKUP(B116,#REF!,2,0)</f>
        <v>#REF!</v>
      </c>
      <c r="H116" s="19" t="e">
        <f t="shared" si="3"/>
        <v>#REF!</v>
      </c>
      <c r="I116" s="19" t="e">
        <f>VLOOKUP(B116,'Station List'!#REF!,4,0)</f>
        <v>#REF!</v>
      </c>
      <c r="J116" s="19" t="e">
        <f>VLOOKUP(B116,#REF!,3,0)</f>
        <v>#REF!</v>
      </c>
      <c r="K116" s="19" t="e">
        <f t="shared" si="4"/>
        <v>#REF!</v>
      </c>
      <c r="L116" s="19" t="e">
        <f>VLOOKUP(B116,'Station List'!#REF!,9,0)</f>
        <v>#REF!</v>
      </c>
      <c r="M116" s="19" t="e">
        <f>VLOOKUP(B116,#REF!,4,0)</f>
        <v>#REF!</v>
      </c>
      <c r="N116" s="17"/>
      <c r="O116" s="17"/>
      <c r="P116" s="17"/>
      <c r="Q116" s="17"/>
      <c r="R116" s="17"/>
      <c r="S116" s="17"/>
      <c r="T116" s="17"/>
      <c r="U116" s="17"/>
      <c r="V116" s="17"/>
      <c r="W116" s="17" t="e">
        <f t="shared" si="12"/>
        <v>#REF!</v>
      </c>
      <c r="X116" s="17" t="e">
        <f t="shared" si="13"/>
        <v>#REF!</v>
      </c>
    </row>
    <row r="117" spans="1:24" ht="12.75" customHeight="1" x14ac:dyDescent="0.2">
      <c r="A117" s="19">
        <v>115</v>
      </c>
      <c r="B117" s="19" t="s">
        <v>3255</v>
      </c>
      <c r="C117" s="19" t="e">
        <f t="shared" si="7"/>
        <v>#REF!</v>
      </c>
      <c r="D117" s="19" t="e">
        <f t="shared" si="8"/>
        <v>#REF!</v>
      </c>
      <c r="E117" s="19" t="e">
        <f t="shared" si="9"/>
        <v>#REF!</v>
      </c>
      <c r="F117" s="19" t="e">
        <f>VLOOKUP(B117,'Station List'!#REF!,2,0)</f>
        <v>#REF!</v>
      </c>
      <c r="G117" s="19" t="e">
        <f>VLOOKUP(B117,#REF!,2,0)</f>
        <v>#REF!</v>
      </c>
      <c r="H117" s="19" t="e">
        <f t="shared" si="3"/>
        <v>#REF!</v>
      </c>
      <c r="I117" s="19" t="e">
        <f>VLOOKUP(B117,'Station List'!#REF!,4,0)</f>
        <v>#REF!</v>
      </c>
      <c r="J117" s="19" t="e">
        <f>VLOOKUP(B117,#REF!,3,0)</f>
        <v>#REF!</v>
      </c>
      <c r="K117" s="19" t="e">
        <f t="shared" si="4"/>
        <v>#REF!</v>
      </c>
      <c r="L117" s="19" t="e">
        <f>VLOOKUP(B117,'Station List'!#REF!,9,0)</f>
        <v>#REF!</v>
      </c>
      <c r="M117" s="19" t="e">
        <f>VLOOKUP(B117,#REF!,4,0)</f>
        <v>#REF!</v>
      </c>
      <c r="N117" s="17"/>
      <c r="O117" s="17"/>
      <c r="P117" s="17"/>
      <c r="Q117" s="17"/>
      <c r="R117" s="17"/>
      <c r="S117" s="17"/>
      <c r="T117" s="17"/>
      <c r="U117" s="17"/>
      <c r="V117" s="17"/>
      <c r="W117" s="17" t="e">
        <f t="shared" si="12"/>
        <v>#REF!</v>
      </c>
      <c r="X117" s="17" t="e">
        <f t="shared" si="13"/>
        <v>#REF!</v>
      </c>
    </row>
    <row r="118" spans="1:24" ht="12.75" customHeight="1" x14ac:dyDescent="0.2">
      <c r="A118" s="19">
        <v>116</v>
      </c>
      <c r="B118" s="19" t="s">
        <v>3256</v>
      </c>
      <c r="C118" s="19" t="e">
        <f t="shared" si="7"/>
        <v>#REF!</v>
      </c>
      <c r="D118" s="19" t="e">
        <f t="shared" si="8"/>
        <v>#REF!</v>
      </c>
      <c r="E118" s="19" t="e">
        <f t="shared" si="9"/>
        <v>#REF!</v>
      </c>
      <c r="F118" s="19" t="e">
        <f>VLOOKUP(B118,'Station List'!#REF!,2,0)</f>
        <v>#REF!</v>
      </c>
      <c r="G118" s="19" t="e">
        <f>VLOOKUP(B118,#REF!,2,0)</f>
        <v>#REF!</v>
      </c>
      <c r="H118" s="19" t="e">
        <f t="shared" si="3"/>
        <v>#REF!</v>
      </c>
      <c r="I118" s="19" t="e">
        <f>VLOOKUP(B118,'Station List'!#REF!,4,0)</f>
        <v>#REF!</v>
      </c>
      <c r="J118" s="19" t="e">
        <f>VLOOKUP(B118,#REF!,3,0)</f>
        <v>#REF!</v>
      </c>
      <c r="K118" s="19" t="e">
        <f t="shared" si="4"/>
        <v>#REF!</v>
      </c>
      <c r="L118" s="19" t="e">
        <f>VLOOKUP(B118,'Station List'!#REF!,9,0)</f>
        <v>#REF!</v>
      </c>
      <c r="M118" s="19" t="e">
        <f>VLOOKUP(B118,#REF!,4,0)</f>
        <v>#REF!</v>
      </c>
      <c r="N118" s="17"/>
      <c r="O118" s="17"/>
      <c r="P118" s="17"/>
      <c r="Q118" s="17"/>
      <c r="R118" s="17"/>
      <c r="S118" s="17"/>
      <c r="T118" s="17"/>
      <c r="U118" s="17"/>
      <c r="V118" s="17"/>
      <c r="W118" s="17" t="e">
        <f t="shared" si="12"/>
        <v>#REF!</v>
      </c>
      <c r="X118" s="17" t="e">
        <f t="shared" si="13"/>
        <v>#REF!</v>
      </c>
    </row>
    <row r="119" spans="1:24" ht="12.75" customHeight="1" x14ac:dyDescent="0.2">
      <c r="A119" s="19">
        <v>117</v>
      </c>
      <c r="B119" s="19" t="s">
        <v>3257</v>
      </c>
      <c r="C119" s="19" t="e">
        <f t="shared" si="7"/>
        <v>#REF!</v>
      </c>
      <c r="D119" s="19" t="e">
        <f t="shared" si="8"/>
        <v>#REF!</v>
      </c>
      <c r="E119" s="19" t="e">
        <f t="shared" si="9"/>
        <v>#REF!</v>
      </c>
      <c r="F119" s="19" t="e">
        <f>VLOOKUP(B119,'Station List'!#REF!,2,0)</f>
        <v>#REF!</v>
      </c>
      <c r="G119" s="19" t="e">
        <f>VLOOKUP(B119,#REF!,2,0)</f>
        <v>#REF!</v>
      </c>
      <c r="H119" s="19" t="e">
        <f t="shared" si="3"/>
        <v>#REF!</v>
      </c>
      <c r="I119" s="19" t="e">
        <f>VLOOKUP(B119,'Station List'!#REF!,4,0)</f>
        <v>#REF!</v>
      </c>
      <c r="J119" s="19" t="e">
        <f>VLOOKUP(B119,#REF!,3,0)</f>
        <v>#REF!</v>
      </c>
      <c r="K119" s="19" t="e">
        <f t="shared" si="4"/>
        <v>#REF!</v>
      </c>
      <c r="L119" s="19" t="e">
        <f>VLOOKUP(B119,'Station List'!#REF!,9,0)</f>
        <v>#REF!</v>
      </c>
      <c r="M119" s="19" t="e">
        <f>VLOOKUP(B119,#REF!,4,0)</f>
        <v>#REF!</v>
      </c>
      <c r="N119" s="17"/>
      <c r="O119" s="17"/>
      <c r="P119" s="17"/>
      <c r="Q119" s="17"/>
      <c r="R119" s="17"/>
      <c r="S119" s="17"/>
      <c r="T119" s="17"/>
      <c r="U119" s="17"/>
      <c r="V119" s="17"/>
      <c r="W119" s="17" t="e">
        <f t="shared" si="12"/>
        <v>#REF!</v>
      </c>
      <c r="X119" s="17" t="e">
        <f t="shared" si="13"/>
        <v>#REF!</v>
      </c>
    </row>
    <row r="120" spans="1:24" ht="12.75" customHeight="1" x14ac:dyDescent="0.2">
      <c r="A120" s="19">
        <v>118</v>
      </c>
      <c r="B120" s="19" t="s">
        <v>3258</v>
      </c>
      <c r="C120" s="19" t="e">
        <f t="shared" si="7"/>
        <v>#REF!</v>
      </c>
      <c r="D120" s="19" t="e">
        <f t="shared" si="8"/>
        <v>#REF!</v>
      </c>
      <c r="E120" s="19" t="e">
        <f t="shared" si="9"/>
        <v>#REF!</v>
      </c>
      <c r="F120" s="19" t="e">
        <f>VLOOKUP(B120,'Station List'!#REF!,2,0)</f>
        <v>#REF!</v>
      </c>
      <c r="G120" s="19" t="e">
        <f>VLOOKUP(B120,#REF!,2,0)</f>
        <v>#REF!</v>
      </c>
      <c r="H120" s="19" t="e">
        <f t="shared" si="3"/>
        <v>#REF!</v>
      </c>
      <c r="I120" s="19" t="e">
        <f>VLOOKUP(B120,'Station List'!#REF!,4,0)</f>
        <v>#REF!</v>
      </c>
      <c r="J120" s="19" t="e">
        <f>VLOOKUP(B120,#REF!,3,0)</f>
        <v>#REF!</v>
      </c>
      <c r="K120" s="19" t="e">
        <f t="shared" si="4"/>
        <v>#REF!</v>
      </c>
      <c r="L120" s="19" t="e">
        <f>VLOOKUP(B120,'Station List'!#REF!,9,0)</f>
        <v>#REF!</v>
      </c>
      <c r="M120" s="19" t="e">
        <f>VLOOKUP(B120,#REF!,4,0)</f>
        <v>#REF!</v>
      </c>
      <c r="N120" s="17"/>
      <c r="O120" s="17"/>
      <c r="P120" s="17"/>
      <c r="Q120" s="17"/>
      <c r="R120" s="17"/>
      <c r="S120" s="17"/>
      <c r="T120" s="17"/>
      <c r="U120" s="17"/>
      <c r="V120" s="17"/>
      <c r="W120" s="17" t="e">
        <f t="shared" si="12"/>
        <v>#REF!</v>
      </c>
      <c r="X120" s="17" t="e">
        <f t="shared" si="13"/>
        <v>#REF!</v>
      </c>
    </row>
    <row r="121" spans="1:24" ht="12.75" customHeight="1" x14ac:dyDescent="0.2">
      <c r="A121" s="19">
        <v>119</v>
      </c>
      <c r="B121" s="19" t="s">
        <v>3259</v>
      </c>
      <c r="C121" s="19" t="e">
        <f t="shared" si="7"/>
        <v>#REF!</v>
      </c>
      <c r="D121" s="19" t="e">
        <f t="shared" si="8"/>
        <v>#REF!</v>
      </c>
      <c r="E121" s="19" t="e">
        <f t="shared" si="9"/>
        <v>#REF!</v>
      </c>
      <c r="F121" s="19" t="e">
        <f>VLOOKUP(B121,'Station List'!#REF!,2,0)</f>
        <v>#REF!</v>
      </c>
      <c r="G121" s="19" t="e">
        <f>VLOOKUP(B121,#REF!,2,0)</f>
        <v>#REF!</v>
      </c>
      <c r="H121" s="19" t="e">
        <f t="shared" si="3"/>
        <v>#REF!</v>
      </c>
      <c r="I121" s="19" t="e">
        <f>VLOOKUP(B121,'Station List'!#REF!,4,0)</f>
        <v>#REF!</v>
      </c>
      <c r="J121" s="19" t="e">
        <f>VLOOKUP(B121,#REF!,3,0)</f>
        <v>#REF!</v>
      </c>
      <c r="K121" s="19" t="e">
        <f t="shared" si="4"/>
        <v>#REF!</v>
      </c>
      <c r="L121" s="19" t="e">
        <f>VLOOKUP(B121,'Station List'!#REF!,9,0)</f>
        <v>#REF!</v>
      </c>
      <c r="M121" s="19" t="e">
        <f>VLOOKUP(B121,#REF!,4,0)</f>
        <v>#REF!</v>
      </c>
      <c r="N121" s="17"/>
      <c r="O121" s="17"/>
      <c r="P121" s="17"/>
      <c r="Q121" s="17"/>
      <c r="R121" s="17"/>
      <c r="S121" s="17"/>
      <c r="T121" s="17"/>
      <c r="U121" s="17"/>
      <c r="V121" s="17"/>
      <c r="W121" s="17" t="e">
        <f t="shared" si="12"/>
        <v>#REF!</v>
      </c>
      <c r="X121" s="17" t="e">
        <f t="shared" si="13"/>
        <v>#REF!</v>
      </c>
    </row>
    <row r="122" spans="1:24" ht="12.75" customHeight="1" x14ac:dyDescent="0.2">
      <c r="A122" s="19">
        <v>120</v>
      </c>
      <c r="B122" s="19" t="s">
        <v>3260</v>
      </c>
      <c r="C122" s="19" t="e">
        <f t="shared" si="7"/>
        <v>#REF!</v>
      </c>
      <c r="D122" s="19" t="e">
        <f t="shared" si="8"/>
        <v>#REF!</v>
      </c>
      <c r="E122" s="19" t="e">
        <f t="shared" si="9"/>
        <v>#REF!</v>
      </c>
      <c r="F122" s="19" t="e">
        <f>VLOOKUP(B122,'Station List'!#REF!,2,0)</f>
        <v>#REF!</v>
      </c>
      <c r="G122" s="19" t="e">
        <f>VLOOKUP(B122,#REF!,2,0)</f>
        <v>#REF!</v>
      </c>
      <c r="H122" s="19" t="e">
        <f t="shared" si="3"/>
        <v>#REF!</v>
      </c>
      <c r="I122" s="19" t="e">
        <f>VLOOKUP(B122,'Station List'!#REF!,4,0)</f>
        <v>#REF!</v>
      </c>
      <c r="J122" s="19" t="e">
        <f>VLOOKUP(B122,#REF!,3,0)</f>
        <v>#REF!</v>
      </c>
      <c r="K122" s="19" t="e">
        <f t="shared" si="4"/>
        <v>#REF!</v>
      </c>
      <c r="L122" s="19" t="e">
        <f>VLOOKUP(B122,'Station List'!#REF!,9,0)</f>
        <v>#REF!</v>
      </c>
      <c r="M122" s="19" t="e">
        <f>VLOOKUP(B122,#REF!,4,0)</f>
        <v>#REF!</v>
      </c>
      <c r="N122" s="17"/>
      <c r="O122" s="17"/>
      <c r="P122" s="17"/>
      <c r="Q122" s="17"/>
      <c r="R122" s="17"/>
      <c r="S122" s="17"/>
      <c r="T122" s="17"/>
      <c r="U122" s="17"/>
      <c r="V122" s="17"/>
      <c r="W122" s="17" t="e">
        <f t="shared" si="12"/>
        <v>#REF!</v>
      </c>
      <c r="X122" s="17" t="e">
        <f t="shared" si="13"/>
        <v>#REF!</v>
      </c>
    </row>
    <row r="123" spans="1:24" ht="12.75" customHeight="1" x14ac:dyDescent="0.2">
      <c r="A123" s="19">
        <v>121</v>
      </c>
      <c r="B123" s="19" t="s">
        <v>3261</v>
      </c>
      <c r="C123" s="19" t="e">
        <f t="shared" si="7"/>
        <v>#REF!</v>
      </c>
      <c r="D123" s="19" t="e">
        <f t="shared" si="8"/>
        <v>#REF!</v>
      </c>
      <c r="E123" s="19" t="e">
        <f t="shared" si="9"/>
        <v>#REF!</v>
      </c>
      <c r="F123" s="19" t="e">
        <f>VLOOKUP(B123,'Station List'!#REF!,2,0)</f>
        <v>#REF!</v>
      </c>
      <c r="G123" s="19" t="e">
        <f>VLOOKUP(B123,#REF!,2,0)</f>
        <v>#REF!</v>
      </c>
      <c r="H123" s="19" t="e">
        <f t="shared" si="3"/>
        <v>#REF!</v>
      </c>
      <c r="I123" s="19" t="e">
        <f>VLOOKUP(B123,'Station List'!#REF!,4,0)</f>
        <v>#REF!</v>
      </c>
      <c r="J123" s="19" t="e">
        <f>VLOOKUP(B123,#REF!,3,0)</f>
        <v>#REF!</v>
      </c>
      <c r="K123" s="19" t="e">
        <f t="shared" si="4"/>
        <v>#REF!</v>
      </c>
      <c r="L123" s="19" t="e">
        <f>VLOOKUP(B123,'Station List'!#REF!,9,0)</f>
        <v>#REF!</v>
      </c>
      <c r="M123" s="19" t="e">
        <f>VLOOKUP(B123,#REF!,4,0)</f>
        <v>#REF!</v>
      </c>
      <c r="N123" s="17"/>
      <c r="O123" s="17"/>
      <c r="P123" s="17"/>
      <c r="Q123" s="17"/>
      <c r="R123" s="17"/>
      <c r="S123" s="17"/>
      <c r="T123" s="17"/>
      <c r="U123" s="17"/>
      <c r="V123" s="17"/>
      <c r="W123" s="17" t="e">
        <f t="shared" si="12"/>
        <v>#REF!</v>
      </c>
      <c r="X123" s="17" t="e">
        <f t="shared" si="13"/>
        <v>#REF!</v>
      </c>
    </row>
    <row r="124" spans="1:24" ht="12.75" customHeight="1" x14ac:dyDescent="0.2">
      <c r="A124" s="19">
        <v>122</v>
      </c>
      <c r="B124" s="19" t="s">
        <v>3262</v>
      </c>
      <c r="C124" s="19" t="e">
        <f t="shared" si="7"/>
        <v>#REF!</v>
      </c>
      <c r="D124" s="19" t="e">
        <f t="shared" si="8"/>
        <v>#REF!</v>
      </c>
      <c r="E124" s="19" t="e">
        <f t="shared" si="9"/>
        <v>#REF!</v>
      </c>
      <c r="F124" s="19" t="e">
        <f>VLOOKUP(B124,'Station List'!#REF!,2,0)</f>
        <v>#REF!</v>
      </c>
      <c r="G124" s="19" t="e">
        <f>VLOOKUP(B124,#REF!,2,0)</f>
        <v>#REF!</v>
      </c>
      <c r="H124" s="19" t="e">
        <f t="shared" si="3"/>
        <v>#REF!</v>
      </c>
      <c r="I124" s="19" t="e">
        <f>VLOOKUP(B124,'Station List'!#REF!,4,0)</f>
        <v>#REF!</v>
      </c>
      <c r="J124" s="19" t="e">
        <f>VLOOKUP(B124,#REF!,3,0)</f>
        <v>#REF!</v>
      </c>
      <c r="K124" s="19" t="e">
        <f t="shared" si="4"/>
        <v>#REF!</v>
      </c>
      <c r="L124" s="19" t="e">
        <f>VLOOKUP(B124,'Station List'!#REF!,9,0)</f>
        <v>#REF!</v>
      </c>
      <c r="M124" s="19" t="e">
        <f>VLOOKUP(B124,#REF!,4,0)</f>
        <v>#REF!</v>
      </c>
      <c r="N124" s="17"/>
      <c r="O124" s="17"/>
      <c r="P124" s="17"/>
      <c r="Q124" s="17"/>
      <c r="R124" s="17"/>
      <c r="S124" s="17"/>
      <c r="T124" s="17"/>
      <c r="U124" s="17"/>
      <c r="V124" s="17"/>
      <c r="W124" s="17" t="e">
        <f t="shared" si="12"/>
        <v>#REF!</v>
      </c>
      <c r="X124" s="17" t="e">
        <f t="shared" si="13"/>
        <v>#REF!</v>
      </c>
    </row>
    <row r="125" spans="1:24" ht="12.75" customHeight="1" x14ac:dyDescent="0.2">
      <c r="A125" s="19">
        <v>123</v>
      </c>
      <c r="B125" s="19" t="s">
        <v>3263</v>
      </c>
      <c r="C125" s="19" t="e">
        <f t="shared" si="7"/>
        <v>#REF!</v>
      </c>
      <c r="D125" s="19" t="e">
        <f t="shared" si="8"/>
        <v>#REF!</v>
      </c>
      <c r="E125" s="19" t="e">
        <f t="shared" si="9"/>
        <v>#REF!</v>
      </c>
      <c r="F125" s="19" t="e">
        <f>VLOOKUP(B125,'Station List'!#REF!,2,0)</f>
        <v>#REF!</v>
      </c>
      <c r="G125" s="19" t="e">
        <f>VLOOKUP(B125,#REF!,2,0)</f>
        <v>#REF!</v>
      </c>
      <c r="H125" s="19" t="e">
        <f t="shared" si="3"/>
        <v>#REF!</v>
      </c>
      <c r="I125" s="19" t="e">
        <f>VLOOKUP(B125,'Station List'!#REF!,4,0)</f>
        <v>#REF!</v>
      </c>
      <c r="J125" s="19" t="e">
        <f>VLOOKUP(B125,#REF!,3,0)</f>
        <v>#REF!</v>
      </c>
      <c r="K125" s="19" t="e">
        <f t="shared" si="4"/>
        <v>#REF!</v>
      </c>
      <c r="L125" s="102" t="e">
        <f>VLOOKUP(B125,'Station List'!#REF!,9,0)</f>
        <v>#REF!</v>
      </c>
      <c r="M125" s="19" t="e">
        <f>VLOOKUP(B125,#REF!,4,0)</f>
        <v>#REF!</v>
      </c>
      <c r="N125" s="17"/>
      <c r="O125" s="17"/>
      <c r="P125" s="17"/>
      <c r="Q125" s="17"/>
      <c r="R125" s="17"/>
      <c r="S125" s="17"/>
      <c r="T125" s="17"/>
      <c r="U125" s="17"/>
      <c r="V125" s="17"/>
      <c r="W125" s="17" t="e">
        <f t="shared" si="12"/>
        <v>#REF!</v>
      </c>
      <c r="X125" s="17" t="e">
        <f t="shared" si="13"/>
        <v>#REF!</v>
      </c>
    </row>
    <row r="126" spans="1:24" ht="12.75" customHeight="1" x14ac:dyDescent="0.2">
      <c r="A126" s="19">
        <v>124</v>
      </c>
      <c r="B126" s="19" t="s">
        <v>3264</v>
      </c>
      <c r="C126" s="19" t="e">
        <f t="shared" si="7"/>
        <v>#REF!</v>
      </c>
      <c r="D126" s="19" t="e">
        <f t="shared" si="8"/>
        <v>#REF!</v>
      </c>
      <c r="E126" s="19" t="e">
        <f t="shared" si="9"/>
        <v>#REF!</v>
      </c>
      <c r="F126" s="19" t="e">
        <f>VLOOKUP(B126,'Station List'!#REF!,2,0)</f>
        <v>#REF!</v>
      </c>
      <c r="G126" s="19" t="e">
        <f>VLOOKUP(B126,#REF!,2,0)</f>
        <v>#REF!</v>
      </c>
      <c r="H126" s="19" t="e">
        <f t="shared" si="3"/>
        <v>#REF!</v>
      </c>
      <c r="I126" s="19" t="e">
        <f>VLOOKUP(B126,'Station List'!#REF!,4,0)</f>
        <v>#REF!</v>
      </c>
      <c r="J126" s="19" t="e">
        <f>VLOOKUP(B126,#REF!,3,0)</f>
        <v>#REF!</v>
      </c>
      <c r="K126" s="19" t="e">
        <f t="shared" si="4"/>
        <v>#REF!</v>
      </c>
      <c r="L126" s="19" t="e">
        <f>VLOOKUP(B126,'Station List'!#REF!,9,0)</f>
        <v>#REF!</v>
      </c>
      <c r="M126" s="19" t="e">
        <f>VLOOKUP(B126,#REF!,4,0)</f>
        <v>#REF!</v>
      </c>
      <c r="N126" s="17"/>
      <c r="O126" s="17"/>
      <c r="P126" s="17"/>
      <c r="Q126" s="17"/>
      <c r="R126" s="17"/>
      <c r="S126" s="17"/>
      <c r="T126" s="17"/>
      <c r="U126" s="17"/>
      <c r="V126" s="17"/>
      <c r="W126" s="17" t="e">
        <f t="shared" si="12"/>
        <v>#REF!</v>
      </c>
      <c r="X126" s="17" t="e">
        <f t="shared" si="13"/>
        <v>#REF!</v>
      </c>
    </row>
    <row r="127" spans="1:24" ht="12.75" customHeight="1" x14ac:dyDescent="0.2">
      <c r="A127" s="19">
        <v>125</v>
      </c>
      <c r="B127" s="19" t="s">
        <v>3265</v>
      </c>
      <c r="C127" s="19" t="e">
        <f t="shared" si="7"/>
        <v>#REF!</v>
      </c>
      <c r="D127" s="19" t="e">
        <f t="shared" si="8"/>
        <v>#REF!</v>
      </c>
      <c r="E127" s="19" t="e">
        <f t="shared" si="9"/>
        <v>#REF!</v>
      </c>
      <c r="F127" s="19" t="e">
        <f>VLOOKUP(B127,'Station List'!#REF!,2,0)</f>
        <v>#REF!</v>
      </c>
      <c r="G127" s="19" t="e">
        <f>VLOOKUP(B127,#REF!,2,0)</f>
        <v>#REF!</v>
      </c>
      <c r="H127" s="19" t="e">
        <f t="shared" si="3"/>
        <v>#REF!</v>
      </c>
      <c r="I127" s="19" t="e">
        <f>VLOOKUP(B127,'Station List'!#REF!,4,0)</f>
        <v>#REF!</v>
      </c>
      <c r="J127" s="19" t="e">
        <f>VLOOKUP(B127,#REF!,3,0)</f>
        <v>#REF!</v>
      </c>
      <c r="K127" s="19" t="e">
        <f t="shared" si="4"/>
        <v>#REF!</v>
      </c>
      <c r="L127" s="19" t="e">
        <f>VLOOKUP(B127,'Station List'!#REF!,9,0)</f>
        <v>#REF!</v>
      </c>
      <c r="M127" s="19" t="e">
        <f>VLOOKUP(B127,#REF!,4,0)</f>
        <v>#REF!</v>
      </c>
      <c r="N127" s="17"/>
      <c r="O127" s="17"/>
      <c r="P127" s="17"/>
      <c r="Q127" s="17"/>
      <c r="R127" s="17"/>
      <c r="S127" s="17"/>
      <c r="T127" s="17"/>
      <c r="U127" s="17"/>
      <c r="V127" s="17"/>
      <c r="W127" s="17" t="e">
        <f t="shared" si="12"/>
        <v>#REF!</v>
      </c>
      <c r="X127" s="17" t="e">
        <f t="shared" si="13"/>
        <v>#REF!</v>
      </c>
    </row>
    <row r="128" spans="1:24" ht="12.75" customHeight="1" x14ac:dyDescent="0.2">
      <c r="A128" s="19">
        <v>126</v>
      </c>
      <c r="B128" s="19" t="s">
        <v>3266</v>
      </c>
      <c r="C128" s="19" t="e">
        <f t="shared" si="7"/>
        <v>#REF!</v>
      </c>
      <c r="D128" s="19" t="e">
        <f t="shared" si="8"/>
        <v>#REF!</v>
      </c>
      <c r="E128" s="19" t="e">
        <f t="shared" si="9"/>
        <v>#REF!</v>
      </c>
      <c r="F128" s="19" t="e">
        <f>VLOOKUP(B128,'Station List'!#REF!,2,0)</f>
        <v>#REF!</v>
      </c>
      <c r="G128" s="19" t="e">
        <f>VLOOKUP(B128,#REF!,2,0)</f>
        <v>#REF!</v>
      </c>
      <c r="H128" s="19" t="e">
        <f t="shared" si="3"/>
        <v>#REF!</v>
      </c>
      <c r="I128" s="19" t="e">
        <f>VLOOKUP(B128,'Station List'!#REF!,4,0)</f>
        <v>#REF!</v>
      </c>
      <c r="J128" s="19" t="e">
        <f>VLOOKUP(B128,#REF!,3,0)</f>
        <v>#REF!</v>
      </c>
      <c r="K128" s="19" t="e">
        <f t="shared" si="4"/>
        <v>#REF!</v>
      </c>
      <c r="L128" s="19" t="e">
        <f>VLOOKUP(B128,'Station List'!#REF!,9,0)</f>
        <v>#REF!</v>
      </c>
      <c r="M128" s="19" t="e">
        <f>VLOOKUP(B128,#REF!,4,0)</f>
        <v>#REF!</v>
      </c>
      <c r="N128" s="17"/>
      <c r="O128" s="17"/>
      <c r="P128" s="17"/>
      <c r="Q128" s="17"/>
      <c r="R128" s="17"/>
      <c r="S128" s="17"/>
      <c r="T128" s="17"/>
      <c r="U128" s="17"/>
      <c r="V128" s="17"/>
      <c r="W128" s="17" t="e">
        <f t="shared" si="12"/>
        <v>#REF!</v>
      </c>
      <c r="X128" s="17" t="e">
        <f t="shared" si="13"/>
        <v>#REF!</v>
      </c>
    </row>
    <row r="129" spans="1:24" ht="12.75" customHeight="1" x14ac:dyDescent="0.2">
      <c r="A129" s="19">
        <v>127</v>
      </c>
      <c r="B129" s="19" t="s">
        <v>3267</v>
      </c>
      <c r="C129" s="19" t="e">
        <f t="shared" si="7"/>
        <v>#REF!</v>
      </c>
      <c r="D129" s="19" t="e">
        <f t="shared" si="8"/>
        <v>#REF!</v>
      </c>
      <c r="E129" s="19" t="e">
        <f t="shared" si="9"/>
        <v>#REF!</v>
      </c>
      <c r="F129" s="19" t="e">
        <f>VLOOKUP(B129,'Station List'!#REF!,2,0)</f>
        <v>#REF!</v>
      </c>
      <c r="G129" s="19" t="e">
        <f>VLOOKUP(B129,#REF!,2,0)</f>
        <v>#REF!</v>
      </c>
      <c r="H129" s="19" t="e">
        <f t="shared" si="3"/>
        <v>#REF!</v>
      </c>
      <c r="I129" s="19" t="e">
        <f>VLOOKUP(B129,'Station List'!#REF!,4,0)</f>
        <v>#REF!</v>
      </c>
      <c r="J129" s="19" t="e">
        <f>VLOOKUP(B129,#REF!,3,0)</f>
        <v>#REF!</v>
      </c>
      <c r="K129" s="19" t="e">
        <f t="shared" si="4"/>
        <v>#REF!</v>
      </c>
      <c r="L129" s="19" t="e">
        <f>VLOOKUP(B129,'Station List'!#REF!,9,0)</f>
        <v>#REF!</v>
      </c>
      <c r="M129" s="19" t="e">
        <f>VLOOKUP(B129,#REF!,4,0)</f>
        <v>#REF!</v>
      </c>
      <c r="N129" s="17"/>
      <c r="O129" s="17"/>
      <c r="P129" s="17"/>
      <c r="Q129" s="17"/>
      <c r="R129" s="17"/>
      <c r="S129" s="17"/>
      <c r="T129" s="17"/>
      <c r="U129" s="17"/>
      <c r="V129" s="17"/>
      <c r="W129" s="17" t="e">
        <f t="shared" si="12"/>
        <v>#REF!</v>
      </c>
      <c r="X129" s="17" t="e">
        <f t="shared" si="13"/>
        <v>#REF!</v>
      </c>
    </row>
    <row r="130" spans="1:24" ht="12.75" customHeight="1" x14ac:dyDescent="0.2">
      <c r="A130" s="19">
        <v>128</v>
      </c>
      <c r="B130" s="19" t="s">
        <v>3268</v>
      </c>
      <c r="C130" s="19" t="e">
        <f t="shared" si="7"/>
        <v>#REF!</v>
      </c>
      <c r="D130" s="19" t="e">
        <f t="shared" si="8"/>
        <v>#REF!</v>
      </c>
      <c r="E130" s="19" t="e">
        <f t="shared" si="9"/>
        <v>#REF!</v>
      </c>
      <c r="F130" s="19" t="e">
        <f>VLOOKUP(B130,'Station List'!#REF!,2,0)</f>
        <v>#REF!</v>
      </c>
      <c r="G130" s="19" t="e">
        <f>VLOOKUP(B130,#REF!,2,0)</f>
        <v>#REF!</v>
      </c>
      <c r="H130" s="19" t="e">
        <f t="shared" si="3"/>
        <v>#REF!</v>
      </c>
      <c r="I130" s="19" t="e">
        <f>VLOOKUP(B130,'Station List'!#REF!,4,0)</f>
        <v>#REF!</v>
      </c>
      <c r="J130" s="19" t="e">
        <f>VLOOKUP(B130,#REF!,3,0)</f>
        <v>#REF!</v>
      </c>
      <c r="K130" s="19" t="e">
        <f t="shared" si="4"/>
        <v>#REF!</v>
      </c>
      <c r="L130" s="19" t="e">
        <f>VLOOKUP(B130,'Station List'!#REF!,9,0)</f>
        <v>#REF!</v>
      </c>
      <c r="M130" s="19" t="e">
        <f>VLOOKUP(B130,#REF!,4,0)</f>
        <v>#REF!</v>
      </c>
      <c r="N130" s="17"/>
      <c r="O130" s="17"/>
      <c r="P130" s="17"/>
      <c r="Q130" s="17"/>
      <c r="R130" s="17"/>
      <c r="S130" s="17"/>
      <c r="T130" s="17"/>
      <c r="U130" s="17"/>
      <c r="V130" s="17"/>
      <c r="W130" s="17" t="e">
        <f t="shared" si="12"/>
        <v>#REF!</v>
      </c>
      <c r="X130" s="17" t="e">
        <f t="shared" si="13"/>
        <v>#REF!</v>
      </c>
    </row>
    <row r="131" spans="1:24" ht="12.75" customHeight="1" x14ac:dyDescent="0.2">
      <c r="A131" s="19">
        <v>129</v>
      </c>
      <c r="B131" s="19" t="s">
        <v>3269</v>
      </c>
      <c r="C131" s="19" t="e">
        <f t="shared" si="7"/>
        <v>#REF!</v>
      </c>
      <c r="D131" s="19" t="e">
        <f t="shared" si="8"/>
        <v>#REF!</v>
      </c>
      <c r="E131" s="19" t="e">
        <f t="shared" si="9"/>
        <v>#REF!</v>
      </c>
      <c r="F131" s="19" t="e">
        <f>VLOOKUP(B131,'Station List'!#REF!,2,0)</f>
        <v>#REF!</v>
      </c>
      <c r="G131" s="19" t="e">
        <f>VLOOKUP(B131,#REF!,2,0)</f>
        <v>#REF!</v>
      </c>
      <c r="H131" s="19" t="e">
        <f t="shared" si="3"/>
        <v>#REF!</v>
      </c>
      <c r="I131" s="19" t="e">
        <f>VLOOKUP(B131,'Station List'!#REF!,4,0)</f>
        <v>#REF!</v>
      </c>
      <c r="J131" s="19" t="e">
        <f>VLOOKUP(B131,#REF!,3,0)</f>
        <v>#REF!</v>
      </c>
      <c r="K131" s="19" t="e">
        <f t="shared" si="4"/>
        <v>#REF!</v>
      </c>
      <c r="L131" s="19" t="e">
        <f>VLOOKUP(B131,'Station List'!#REF!,9,0)</f>
        <v>#REF!</v>
      </c>
      <c r="M131" s="19" t="e">
        <f>VLOOKUP(B131,#REF!,4,0)</f>
        <v>#REF!</v>
      </c>
      <c r="N131" s="17"/>
      <c r="O131" s="17"/>
      <c r="P131" s="17"/>
      <c r="Q131" s="17"/>
      <c r="R131" s="17"/>
      <c r="S131" s="17"/>
      <c r="T131" s="17"/>
      <c r="U131" s="17"/>
      <c r="V131" s="17"/>
      <c r="W131" s="17" t="e">
        <f t="shared" si="12"/>
        <v>#REF!</v>
      </c>
      <c r="X131" s="17" t="e">
        <f t="shared" si="13"/>
        <v>#REF!</v>
      </c>
    </row>
    <row r="132" spans="1:24" ht="12.75" customHeight="1" x14ac:dyDescent="0.2">
      <c r="A132" s="19">
        <v>130</v>
      </c>
      <c r="B132" s="19" t="s">
        <v>3270</v>
      </c>
      <c r="C132" s="19" t="e">
        <f t="shared" si="7"/>
        <v>#REF!</v>
      </c>
      <c r="D132" s="19" t="e">
        <f t="shared" si="8"/>
        <v>#REF!</v>
      </c>
      <c r="E132" s="19" t="e">
        <f t="shared" si="9"/>
        <v>#REF!</v>
      </c>
      <c r="F132" s="19" t="e">
        <f>VLOOKUP(B132,'Station List'!#REF!,2,0)</f>
        <v>#REF!</v>
      </c>
      <c r="G132" s="19" t="e">
        <f>VLOOKUP(B132,#REF!,2,0)</f>
        <v>#REF!</v>
      </c>
      <c r="H132" s="19" t="e">
        <f t="shared" si="3"/>
        <v>#REF!</v>
      </c>
      <c r="I132" s="19" t="e">
        <f>VLOOKUP(B132,'Station List'!#REF!,4,0)</f>
        <v>#REF!</v>
      </c>
      <c r="J132" s="19" t="e">
        <f>VLOOKUP(B132,#REF!,3,0)</f>
        <v>#REF!</v>
      </c>
      <c r="K132" s="19" t="e">
        <f t="shared" si="4"/>
        <v>#REF!</v>
      </c>
      <c r="L132" s="19" t="e">
        <f>VLOOKUP(B132,'Station List'!#REF!,9,0)</f>
        <v>#REF!</v>
      </c>
      <c r="M132" s="19" t="e">
        <f>VLOOKUP(B132,#REF!,4,0)</f>
        <v>#REF!</v>
      </c>
      <c r="N132" s="17"/>
      <c r="O132" s="17"/>
      <c r="P132" s="17"/>
      <c r="Q132" s="17"/>
      <c r="R132" s="17"/>
      <c r="S132" s="17"/>
      <c r="T132" s="17"/>
      <c r="U132" s="17"/>
      <c r="V132" s="17"/>
      <c r="W132" s="17" t="e">
        <f t="shared" si="12"/>
        <v>#REF!</v>
      </c>
      <c r="X132" s="17" t="e">
        <f t="shared" si="13"/>
        <v>#REF!</v>
      </c>
    </row>
    <row r="133" spans="1:24" ht="12.75" customHeight="1" x14ac:dyDescent="0.2">
      <c r="A133" s="19">
        <v>131</v>
      </c>
      <c r="B133" s="19" t="s">
        <v>3271</v>
      </c>
      <c r="C133" s="19" t="e">
        <f t="shared" si="7"/>
        <v>#REF!</v>
      </c>
      <c r="D133" s="19" t="e">
        <f t="shared" si="8"/>
        <v>#REF!</v>
      </c>
      <c r="E133" s="19" t="e">
        <f t="shared" si="9"/>
        <v>#REF!</v>
      </c>
      <c r="F133" s="19" t="e">
        <f>VLOOKUP(B133,'Station List'!#REF!,2,0)</f>
        <v>#REF!</v>
      </c>
      <c r="G133" s="19" t="e">
        <f>VLOOKUP(B133,#REF!,2,0)</f>
        <v>#REF!</v>
      </c>
      <c r="H133" s="19" t="e">
        <f t="shared" si="3"/>
        <v>#REF!</v>
      </c>
      <c r="I133" s="19" t="e">
        <f>VLOOKUP(B133,'Station List'!#REF!,4,0)</f>
        <v>#REF!</v>
      </c>
      <c r="J133" s="19" t="e">
        <f>VLOOKUP(B133,#REF!,3,0)</f>
        <v>#REF!</v>
      </c>
      <c r="K133" s="19" t="e">
        <f t="shared" si="4"/>
        <v>#REF!</v>
      </c>
      <c r="L133" s="19" t="e">
        <f>VLOOKUP(B133,'Station List'!#REF!,9,0)</f>
        <v>#REF!</v>
      </c>
      <c r="M133" s="19" t="e">
        <f>VLOOKUP(B133,#REF!,4,0)</f>
        <v>#REF!</v>
      </c>
      <c r="N133" s="17"/>
      <c r="O133" s="17"/>
      <c r="P133" s="17"/>
      <c r="Q133" s="17"/>
      <c r="R133" s="17"/>
      <c r="S133" s="17"/>
      <c r="T133" s="17"/>
      <c r="U133" s="17"/>
      <c r="V133" s="17"/>
      <c r="W133" s="17" t="e">
        <f t="shared" si="12"/>
        <v>#REF!</v>
      </c>
      <c r="X133" s="17" t="e">
        <f t="shared" si="13"/>
        <v>#REF!</v>
      </c>
    </row>
    <row r="134" spans="1:24" ht="12.75" customHeight="1" x14ac:dyDescent="0.2">
      <c r="A134" s="19">
        <v>132</v>
      </c>
      <c r="B134" s="19" t="s">
        <v>3272</v>
      </c>
      <c r="C134" s="19" t="e">
        <f t="shared" si="7"/>
        <v>#REF!</v>
      </c>
      <c r="D134" s="19" t="e">
        <f t="shared" si="8"/>
        <v>#REF!</v>
      </c>
      <c r="E134" s="19" t="e">
        <f t="shared" si="9"/>
        <v>#REF!</v>
      </c>
      <c r="F134" s="19" t="e">
        <f>VLOOKUP(B134,'Station List'!#REF!,2,0)</f>
        <v>#REF!</v>
      </c>
      <c r="G134" s="19" t="e">
        <f>VLOOKUP(B134,#REF!,2,0)</f>
        <v>#REF!</v>
      </c>
      <c r="H134" s="19" t="e">
        <f t="shared" si="3"/>
        <v>#REF!</v>
      </c>
      <c r="I134" s="19" t="e">
        <f>VLOOKUP(B134,'Station List'!#REF!,4,0)</f>
        <v>#REF!</v>
      </c>
      <c r="J134" s="19" t="e">
        <f>VLOOKUP(B134,#REF!,3,0)</f>
        <v>#REF!</v>
      </c>
      <c r="K134" s="19" t="e">
        <f t="shared" si="4"/>
        <v>#REF!</v>
      </c>
      <c r="L134" s="19" t="e">
        <f>VLOOKUP(B134,'Station List'!#REF!,9,0)</f>
        <v>#REF!</v>
      </c>
      <c r="M134" s="19" t="e">
        <f>VLOOKUP(B134,#REF!,4,0)</f>
        <v>#REF!</v>
      </c>
      <c r="N134" s="17"/>
      <c r="O134" s="17"/>
      <c r="P134" s="17"/>
      <c r="Q134" s="17"/>
      <c r="R134" s="17"/>
      <c r="S134" s="17"/>
      <c r="T134" s="17"/>
      <c r="U134" s="17"/>
      <c r="V134" s="17"/>
      <c r="W134" s="17" t="e">
        <f t="shared" si="12"/>
        <v>#REF!</v>
      </c>
      <c r="X134" s="17" t="e">
        <f t="shared" si="13"/>
        <v>#REF!</v>
      </c>
    </row>
    <row r="135" spans="1:24" ht="12.75" customHeight="1" x14ac:dyDescent="0.2">
      <c r="A135" s="19">
        <v>133</v>
      </c>
      <c r="B135" s="19" t="s">
        <v>3273</v>
      </c>
      <c r="C135" s="19" t="e">
        <f t="shared" si="7"/>
        <v>#REF!</v>
      </c>
      <c r="D135" s="19" t="e">
        <f t="shared" si="8"/>
        <v>#REF!</v>
      </c>
      <c r="E135" s="19" t="e">
        <f t="shared" si="9"/>
        <v>#REF!</v>
      </c>
      <c r="F135" s="19" t="e">
        <f>VLOOKUP(B135,'Station List'!#REF!,2,0)</f>
        <v>#REF!</v>
      </c>
      <c r="G135" s="19" t="e">
        <f>VLOOKUP(B135,#REF!,2,0)</f>
        <v>#REF!</v>
      </c>
      <c r="H135" s="19" t="e">
        <f t="shared" si="3"/>
        <v>#REF!</v>
      </c>
      <c r="I135" s="19" t="e">
        <f>VLOOKUP(B135,'Station List'!#REF!,4,0)</f>
        <v>#REF!</v>
      </c>
      <c r="J135" s="19" t="e">
        <f>VLOOKUP(B135,#REF!,3,0)</f>
        <v>#REF!</v>
      </c>
      <c r="K135" s="19" t="e">
        <f t="shared" si="4"/>
        <v>#REF!</v>
      </c>
      <c r="L135" s="19" t="e">
        <f>VLOOKUP(B135,'Station List'!#REF!,9,0)</f>
        <v>#REF!</v>
      </c>
      <c r="M135" s="19" t="e">
        <f>VLOOKUP(B135,#REF!,4,0)</f>
        <v>#REF!</v>
      </c>
      <c r="N135" s="17"/>
      <c r="O135" s="17"/>
      <c r="P135" s="17"/>
      <c r="Q135" s="17"/>
      <c r="R135" s="17"/>
      <c r="S135" s="17"/>
      <c r="T135" s="17"/>
      <c r="U135" s="17"/>
      <c r="V135" s="17"/>
      <c r="W135" s="17" t="e">
        <f t="shared" si="12"/>
        <v>#REF!</v>
      </c>
      <c r="X135" s="17" t="e">
        <f t="shared" si="13"/>
        <v>#REF!</v>
      </c>
    </row>
    <row r="136" spans="1:24" ht="12.75" customHeight="1" x14ac:dyDescent="0.2">
      <c r="A136" s="19">
        <v>134</v>
      </c>
      <c r="B136" s="19" t="s">
        <v>3274</v>
      </c>
      <c r="C136" s="19" t="e">
        <f t="shared" si="7"/>
        <v>#REF!</v>
      </c>
      <c r="D136" s="19" t="e">
        <f t="shared" si="8"/>
        <v>#REF!</v>
      </c>
      <c r="E136" s="19" t="e">
        <f t="shared" si="9"/>
        <v>#REF!</v>
      </c>
      <c r="F136" s="19" t="e">
        <f>VLOOKUP(B136,'Station List'!#REF!,2,0)</f>
        <v>#REF!</v>
      </c>
      <c r="G136" s="19" t="e">
        <f>VLOOKUP(B136,#REF!,2,0)</f>
        <v>#REF!</v>
      </c>
      <c r="H136" s="19" t="e">
        <f t="shared" si="3"/>
        <v>#REF!</v>
      </c>
      <c r="I136" s="19" t="e">
        <f>VLOOKUP(B136,'Station List'!#REF!,4,0)</f>
        <v>#REF!</v>
      </c>
      <c r="J136" s="19" t="e">
        <f>VLOOKUP(B136,#REF!,3,0)</f>
        <v>#REF!</v>
      </c>
      <c r="K136" s="19" t="e">
        <f t="shared" si="4"/>
        <v>#REF!</v>
      </c>
      <c r="L136" s="19" t="e">
        <f>VLOOKUP(B136,'Station List'!#REF!,9,0)</f>
        <v>#REF!</v>
      </c>
      <c r="M136" s="19" t="e">
        <f>VLOOKUP(B136,#REF!,4,0)</f>
        <v>#REF!</v>
      </c>
      <c r="N136" s="17"/>
      <c r="O136" s="17"/>
      <c r="P136" s="17"/>
      <c r="Q136" s="17"/>
      <c r="R136" s="17"/>
      <c r="S136" s="17"/>
      <c r="T136" s="17"/>
      <c r="U136" s="17"/>
      <c r="V136" s="17"/>
      <c r="W136" s="17" t="e">
        <f t="shared" si="12"/>
        <v>#REF!</v>
      </c>
      <c r="X136" s="17" t="e">
        <f t="shared" si="13"/>
        <v>#REF!</v>
      </c>
    </row>
    <row r="137" spans="1:24" ht="12.75" customHeight="1" x14ac:dyDescent="0.2">
      <c r="A137" s="19">
        <v>135</v>
      </c>
      <c r="B137" s="19" t="s">
        <v>3275</v>
      </c>
      <c r="C137" s="19" t="e">
        <f t="shared" si="7"/>
        <v>#REF!</v>
      </c>
      <c r="D137" s="19" t="e">
        <f t="shared" si="8"/>
        <v>#REF!</v>
      </c>
      <c r="E137" s="19" t="e">
        <f t="shared" si="9"/>
        <v>#REF!</v>
      </c>
      <c r="F137" s="19" t="e">
        <f>VLOOKUP(B137,'Station List'!#REF!,2,0)</f>
        <v>#REF!</v>
      </c>
      <c r="G137" s="19" t="e">
        <f>VLOOKUP(B137,#REF!,2,0)</f>
        <v>#REF!</v>
      </c>
      <c r="H137" s="19" t="e">
        <f t="shared" si="3"/>
        <v>#REF!</v>
      </c>
      <c r="I137" s="19" t="e">
        <f>VLOOKUP(B137,'Station List'!#REF!,4,0)</f>
        <v>#REF!</v>
      </c>
      <c r="J137" s="19" t="e">
        <f>VLOOKUP(B137,#REF!,3,0)</f>
        <v>#REF!</v>
      </c>
      <c r="K137" s="19" t="e">
        <f t="shared" si="4"/>
        <v>#REF!</v>
      </c>
      <c r="L137" s="102" t="e">
        <f>VLOOKUP(B137,'Station List'!#REF!,9,0)</f>
        <v>#REF!</v>
      </c>
      <c r="M137" s="19" t="e">
        <f>VLOOKUP(B137,#REF!,4,0)</f>
        <v>#REF!</v>
      </c>
      <c r="N137" s="17"/>
      <c r="O137" s="17"/>
      <c r="P137" s="17"/>
      <c r="Q137" s="17"/>
      <c r="R137" s="17"/>
      <c r="S137" s="17"/>
      <c r="T137" s="17"/>
      <c r="U137" s="17"/>
      <c r="V137" s="17"/>
      <c r="W137" s="17" t="e">
        <f t="shared" si="12"/>
        <v>#REF!</v>
      </c>
      <c r="X137" s="17" t="e">
        <f t="shared" si="13"/>
        <v>#REF!</v>
      </c>
    </row>
    <row r="138" spans="1:24" ht="12.75" customHeight="1" x14ac:dyDescent="0.2">
      <c r="A138" s="19">
        <v>136</v>
      </c>
      <c r="B138" s="19" t="s">
        <v>3276</v>
      </c>
      <c r="C138" s="19" t="e">
        <f t="shared" si="7"/>
        <v>#REF!</v>
      </c>
      <c r="D138" s="19" t="e">
        <f t="shared" si="8"/>
        <v>#REF!</v>
      </c>
      <c r="E138" s="19" t="e">
        <f t="shared" si="9"/>
        <v>#REF!</v>
      </c>
      <c r="F138" s="19" t="e">
        <f>VLOOKUP(B138,'Station List'!#REF!,2,0)</f>
        <v>#REF!</v>
      </c>
      <c r="G138" s="19" t="e">
        <f>VLOOKUP(B138,#REF!,2,0)</f>
        <v>#REF!</v>
      </c>
      <c r="H138" s="19" t="e">
        <f t="shared" si="3"/>
        <v>#REF!</v>
      </c>
      <c r="I138" s="19" t="e">
        <f>VLOOKUP(B138,'Station List'!#REF!,4,0)</f>
        <v>#REF!</v>
      </c>
      <c r="J138" s="19" t="e">
        <f>VLOOKUP(B138,#REF!,3,0)</f>
        <v>#REF!</v>
      </c>
      <c r="K138" s="19" t="e">
        <f t="shared" si="4"/>
        <v>#REF!</v>
      </c>
      <c r="L138" s="19" t="e">
        <f>VLOOKUP(B138,'Station List'!#REF!,9,0)</f>
        <v>#REF!</v>
      </c>
      <c r="M138" s="19" t="e">
        <f>VLOOKUP(B138,#REF!,4,0)</f>
        <v>#REF!</v>
      </c>
      <c r="N138" s="17"/>
      <c r="O138" s="17"/>
      <c r="P138" s="17"/>
      <c r="Q138" s="17"/>
      <c r="R138" s="17"/>
      <c r="S138" s="17"/>
      <c r="T138" s="17"/>
      <c r="U138" s="17"/>
      <c r="V138" s="17"/>
      <c r="W138" s="17" t="e">
        <f t="shared" si="12"/>
        <v>#REF!</v>
      </c>
      <c r="X138" s="17" t="e">
        <f t="shared" si="13"/>
        <v>#REF!</v>
      </c>
    </row>
    <row r="139" spans="1:24" ht="12.75" customHeight="1" x14ac:dyDescent="0.2">
      <c r="A139" s="19">
        <v>137</v>
      </c>
      <c r="B139" s="19" t="s">
        <v>3277</v>
      </c>
      <c r="C139" s="19" t="e">
        <f t="shared" si="7"/>
        <v>#REF!</v>
      </c>
      <c r="D139" s="19" t="e">
        <f t="shared" si="8"/>
        <v>#REF!</v>
      </c>
      <c r="E139" s="19" t="e">
        <f t="shared" si="9"/>
        <v>#REF!</v>
      </c>
      <c r="F139" s="19" t="e">
        <f>VLOOKUP(B139,'Station List'!#REF!,2,0)</f>
        <v>#REF!</v>
      </c>
      <c r="G139" s="19" t="e">
        <f>VLOOKUP(B139,#REF!,2,0)</f>
        <v>#REF!</v>
      </c>
      <c r="H139" s="19" t="e">
        <f t="shared" si="3"/>
        <v>#REF!</v>
      </c>
      <c r="I139" s="19" t="e">
        <f>VLOOKUP(B139,'Station List'!#REF!,4,0)</f>
        <v>#REF!</v>
      </c>
      <c r="J139" s="19" t="e">
        <f>VLOOKUP(B139,#REF!,3,0)</f>
        <v>#REF!</v>
      </c>
      <c r="K139" s="19" t="e">
        <f t="shared" si="4"/>
        <v>#REF!</v>
      </c>
      <c r="L139" s="19" t="e">
        <f>VLOOKUP(B139,'Station List'!#REF!,9,0)</f>
        <v>#REF!</v>
      </c>
      <c r="M139" s="19" t="e">
        <f>VLOOKUP(B139,#REF!,4,0)</f>
        <v>#REF!</v>
      </c>
      <c r="N139" s="17"/>
      <c r="O139" s="17"/>
      <c r="P139" s="17"/>
      <c r="Q139" s="17"/>
      <c r="R139" s="17"/>
      <c r="S139" s="17"/>
      <c r="T139" s="17"/>
      <c r="U139" s="17"/>
      <c r="V139" s="17"/>
      <c r="W139" s="17" t="e">
        <f t="shared" si="12"/>
        <v>#REF!</v>
      </c>
      <c r="X139" s="17" t="e">
        <f t="shared" si="13"/>
        <v>#REF!</v>
      </c>
    </row>
    <row r="140" spans="1:24" ht="12.75" customHeight="1" x14ac:dyDescent="0.2">
      <c r="A140" s="19">
        <v>138</v>
      </c>
      <c r="B140" s="19" t="s">
        <v>3278</v>
      </c>
      <c r="C140" s="19" t="e">
        <f t="shared" si="7"/>
        <v>#REF!</v>
      </c>
      <c r="D140" s="19" t="e">
        <f t="shared" si="8"/>
        <v>#REF!</v>
      </c>
      <c r="E140" s="19" t="e">
        <f t="shared" si="9"/>
        <v>#REF!</v>
      </c>
      <c r="F140" s="19" t="e">
        <f>VLOOKUP(B140,'Station List'!#REF!,2,0)</f>
        <v>#REF!</v>
      </c>
      <c r="G140" s="19" t="e">
        <f>VLOOKUP(B140,#REF!,2,0)</f>
        <v>#REF!</v>
      </c>
      <c r="H140" s="19" t="e">
        <f t="shared" si="3"/>
        <v>#REF!</v>
      </c>
      <c r="I140" s="19" t="e">
        <f>VLOOKUP(B140,'Station List'!#REF!,4,0)</f>
        <v>#REF!</v>
      </c>
      <c r="J140" s="19" t="e">
        <f>VLOOKUP(B140,#REF!,3,0)</f>
        <v>#REF!</v>
      </c>
      <c r="K140" s="19" t="e">
        <f t="shared" si="4"/>
        <v>#REF!</v>
      </c>
      <c r="L140" s="19" t="e">
        <f>VLOOKUP(B140,'Station List'!#REF!,9,0)</f>
        <v>#REF!</v>
      </c>
      <c r="M140" s="19" t="e">
        <f>VLOOKUP(B140,#REF!,4,0)</f>
        <v>#REF!</v>
      </c>
      <c r="N140" s="17"/>
      <c r="O140" s="17"/>
      <c r="P140" s="17"/>
      <c r="Q140" s="17"/>
      <c r="R140" s="17"/>
      <c r="S140" s="17"/>
      <c r="T140" s="17"/>
      <c r="U140" s="17"/>
      <c r="V140" s="17"/>
      <c r="W140" s="17" t="e">
        <f t="shared" si="12"/>
        <v>#REF!</v>
      </c>
      <c r="X140" s="17" t="e">
        <f t="shared" si="13"/>
        <v>#REF!</v>
      </c>
    </row>
    <row r="141" spans="1:24" ht="12.75" customHeight="1" x14ac:dyDescent="0.2">
      <c r="A141" s="19">
        <v>139</v>
      </c>
      <c r="B141" s="19" t="s">
        <v>3279</v>
      </c>
      <c r="C141" s="19" t="e">
        <f t="shared" si="7"/>
        <v>#REF!</v>
      </c>
      <c r="D141" s="19" t="e">
        <f t="shared" si="8"/>
        <v>#REF!</v>
      </c>
      <c r="E141" s="19" t="e">
        <f t="shared" si="9"/>
        <v>#REF!</v>
      </c>
      <c r="F141" s="19" t="e">
        <f>VLOOKUP(B141,'Station List'!#REF!,2,0)</f>
        <v>#REF!</v>
      </c>
      <c r="G141" s="19" t="e">
        <f>VLOOKUP(B141,#REF!,2,0)</f>
        <v>#REF!</v>
      </c>
      <c r="H141" s="19" t="e">
        <f t="shared" si="3"/>
        <v>#REF!</v>
      </c>
      <c r="I141" s="19" t="e">
        <f>VLOOKUP(B141,'Station List'!#REF!,4,0)</f>
        <v>#REF!</v>
      </c>
      <c r="J141" s="19" t="e">
        <f>VLOOKUP(B141,#REF!,3,0)</f>
        <v>#REF!</v>
      </c>
      <c r="K141" s="19" t="e">
        <f t="shared" si="4"/>
        <v>#REF!</v>
      </c>
      <c r="L141" s="102" t="e">
        <f>VLOOKUP(B141,'Station List'!#REF!,9,0)</f>
        <v>#REF!</v>
      </c>
      <c r="M141" s="19" t="e">
        <f>VLOOKUP(B141,#REF!,4,0)</f>
        <v>#REF!</v>
      </c>
      <c r="N141" s="17"/>
      <c r="O141" s="17"/>
      <c r="P141" s="17"/>
      <c r="Q141" s="17"/>
      <c r="R141" s="17"/>
      <c r="S141" s="17"/>
      <c r="T141" s="17"/>
      <c r="U141" s="17"/>
      <c r="V141" s="17"/>
      <c r="W141" s="17" t="e">
        <f t="shared" si="12"/>
        <v>#REF!</v>
      </c>
      <c r="X141" s="17" t="e">
        <f t="shared" si="13"/>
        <v>#REF!</v>
      </c>
    </row>
    <row r="142" spans="1:24" ht="12.75" customHeight="1" x14ac:dyDescent="0.2">
      <c r="A142" s="19">
        <v>140</v>
      </c>
      <c r="B142" s="19" t="s">
        <v>3280</v>
      </c>
      <c r="C142" s="19" t="e">
        <f t="shared" si="7"/>
        <v>#REF!</v>
      </c>
      <c r="D142" s="19" t="e">
        <f t="shared" si="8"/>
        <v>#REF!</v>
      </c>
      <c r="E142" s="19" t="e">
        <f t="shared" si="9"/>
        <v>#REF!</v>
      </c>
      <c r="F142" s="19" t="e">
        <f>VLOOKUP(B142,'Station List'!#REF!,2,0)</f>
        <v>#REF!</v>
      </c>
      <c r="G142" s="19" t="e">
        <f>VLOOKUP(B142,#REF!,2,0)</f>
        <v>#REF!</v>
      </c>
      <c r="H142" s="19" t="e">
        <f t="shared" si="3"/>
        <v>#REF!</v>
      </c>
      <c r="I142" s="19" t="e">
        <f>VLOOKUP(B142,'Station List'!#REF!,4,0)</f>
        <v>#REF!</v>
      </c>
      <c r="J142" s="19" t="e">
        <f>VLOOKUP(B142,#REF!,3,0)</f>
        <v>#REF!</v>
      </c>
      <c r="K142" s="19" t="e">
        <f t="shared" si="4"/>
        <v>#REF!</v>
      </c>
      <c r="L142" s="19" t="e">
        <f>VLOOKUP(B142,'Station List'!#REF!,9,0)</f>
        <v>#REF!</v>
      </c>
      <c r="M142" s="19" t="e">
        <f>VLOOKUP(B142,#REF!,4,0)</f>
        <v>#REF!</v>
      </c>
      <c r="N142" s="17"/>
      <c r="O142" s="17"/>
      <c r="P142" s="17"/>
      <c r="Q142" s="17"/>
      <c r="R142" s="17"/>
      <c r="S142" s="17"/>
      <c r="T142" s="17"/>
      <c r="U142" s="17"/>
      <c r="V142" s="17"/>
      <c r="W142" s="17" t="e">
        <f t="shared" si="12"/>
        <v>#REF!</v>
      </c>
      <c r="X142" s="17" t="e">
        <f t="shared" si="13"/>
        <v>#REF!</v>
      </c>
    </row>
    <row r="143" spans="1:24" ht="12.75" customHeight="1" x14ac:dyDescent="0.2">
      <c r="A143" s="19">
        <v>141</v>
      </c>
      <c r="B143" s="19" t="s">
        <v>3281</v>
      </c>
      <c r="C143" s="19" t="e">
        <f t="shared" si="7"/>
        <v>#REF!</v>
      </c>
      <c r="D143" s="19" t="e">
        <f t="shared" si="8"/>
        <v>#REF!</v>
      </c>
      <c r="E143" s="19" t="e">
        <f t="shared" si="9"/>
        <v>#REF!</v>
      </c>
      <c r="F143" s="19" t="e">
        <f>VLOOKUP(B143,'Station List'!#REF!,2,0)</f>
        <v>#REF!</v>
      </c>
      <c r="G143" s="19" t="e">
        <f>VLOOKUP(B143,#REF!,2,0)</f>
        <v>#REF!</v>
      </c>
      <c r="H143" s="19" t="e">
        <f t="shared" si="3"/>
        <v>#REF!</v>
      </c>
      <c r="I143" s="19" t="e">
        <f>VLOOKUP(B143,'Station List'!#REF!,4,0)</f>
        <v>#REF!</v>
      </c>
      <c r="J143" s="19" t="e">
        <f>VLOOKUP(B143,#REF!,3,0)</f>
        <v>#REF!</v>
      </c>
      <c r="K143" s="19" t="e">
        <f t="shared" si="4"/>
        <v>#REF!</v>
      </c>
      <c r="L143" s="19" t="e">
        <f>VLOOKUP(B143,'Station List'!#REF!,9,0)</f>
        <v>#REF!</v>
      </c>
      <c r="M143" s="19" t="e">
        <f>VLOOKUP(B143,#REF!,4,0)</f>
        <v>#REF!</v>
      </c>
      <c r="N143" s="17"/>
      <c r="O143" s="17"/>
      <c r="P143" s="17"/>
      <c r="Q143" s="17"/>
      <c r="R143" s="17"/>
      <c r="S143" s="17"/>
      <c r="T143" s="17"/>
      <c r="U143" s="17"/>
      <c r="V143" s="17"/>
      <c r="W143" s="17" t="e">
        <f t="shared" si="12"/>
        <v>#REF!</v>
      </c>
      <c r="X143" s="17" t="e">
        <f t="shared" si="13"/>
        <v>#REF!</v>
      </c>
    </row>
    <row r="144" spans="1:24" ht="12.75" customHeight="1" x14ac:dyDescent="0.2">
      <c r="A144" s="19">
        <v>142</v>
      </c>
      <c r="B144" s="19" t="s">
        <v>3282</v>
      </c>
      <c r="C144" s="19" t="e">
        <f t="shared" si="7"/>
        <v>#REF!</v>
      </c>
      <c r="D144" s="19" t="e">
        <f t="shared" si="8"/>
        <v>#REF!</v>
      </c>
      <c r="E144" s="19" t="e">
        <f t="shared" si="9"/>
        <v>#REF!</v>
      </c>
      <c r="F144" s="19" t="e">
        <f>VLOOKUP(B144,'Station List'!#REF!,2,0)</f>
        <v>#REF!</v>
      </c>
      <c r="G144" s="19" t="e">
        <f>VLOOKUP(B144,#REF!,2,0)</f>
        <v>#REF!</v>
      </c>
      <c r="H144" s="19" t="e">
        <f t="shared" si="3"/>
        <v>#REF!</v>
      </c>
      <c r="I144" s="19" t="e">
        <f>VLOOKUP(B144,'Station List'!#REF!,4,0)</f>
        <v>#REF!</v>
      </c>
      <c r="J144" s="19" t="e">
        <f>VLOOKUP(B144,#REF!,3,0)</f>
        <v>#REF!</v>
      </c>
      <c r="K144" s="19" t="e">
        <f t="shared" si="4"/>
        <v>#REF!</v>
      </c>
      <c r="L144" s="19" t="e">
        <f>VLOOKUP(B144,'Station List'!#REF!,9,0)</f>
        <v>#REF!</v>
      </c>
      <c r="M144" s="19" t="e">
        <f>VLOOKUP(B144,#REF!,4,0)</f>
        <v>#REF!</v>
      </c>
      <c r="N144" s="17"/>
      <c r="O144" s="17"/>
      <c r="P144" s="17"/>
      <c r="Q144" s="17"/>
      <c r="R144" s="17"/>
      <c r="S144" s="17"/>
      <c r="T144" s="17"/>
      <c r="U144" s="17"/>
      <c r="V144" s="17"/>
      <c r="W144" s="17" t="e">
        <f t="shared" si="12"/>
        <v>#REF!</v>
      </c>
      <c r="X144" s="17" t="e">
        <f t="shared" si="13"/>
        <v>#REF!</v>
      </c>
    </row>
    <row r="145" spans="1:24" ht="12.75" customHeight="1" x14ac:dyDescent="0.2">
      <c r="A145" s="19">
        <v>143</v>
      </c>
      <c r="B145" s="19" t="s">
        <v>3283</v>
      </c>
      <c r="C145" s="19" t="e">
        <f t="shared" si="7"/>
        <v>#REF!</v>
      </c>
      <c r="D145" s="19" t="e">
        <f t="shared" si="8"/>
        <v>#REF!</v>
      </c>
      <c r="E145" s="19" t="e">
        <f t="shared" si="9"/>
        <v>#REF!</v>
      </c>
      <c r="F145" s="19" t="e">
        <f>VLOOKUP(B145,'Station List'!#REF!,2,0)</f>
        <v>#REF!</v>
      </c>
      <c r="G145" s="19" t="e">
        <f>VLOOKUP(B145,#REF!,2,0)</f>
        <v>#REF!</v>
      </c>
      <c r="H145" s="19" t="e">
        <f t="shared" si="3"/>
        <v>#REF!</v>
      </c>
      <c r="I145" s="19" t="e">
        <f>VLOOKUP(B145,'Station List'!#REF!,4,0)</f>
        <v>#REF!</v>
      </c>
      <c r="J145" s="19" t="e">
        <f>VLOOKUP(B145,#REF!,3,0)</f>
        <v>#REF!</v>
      </c>
      <c r="K145" s="19" t="e">
        <f t="shared" si="4"/>
        <v>#REF!</v>
      </c>
      <c r="L145" s="19" t="e">
        <f>VLOOKUP(B145,'Station List'!#REF!,9,0)</f>
        <v>#REF!</v>
      </c>
      <c r="M145" s="19" t="e">
        <f>VLOOKUP(B145,#REF!,4,0)</f>
        <v>#REF!</v>
      </c>
      <c r="N145" s="17"/>
      <c r="O145" s="17"/>
      <c r="P145" s="17"/>
      <c r="Q145" s="17"/>
      <c r="R145" s="17"/>
      <c r="S145" s="17"/>
      <c r="T145" s="17"/>
      <c r="U145" s="17"/>
      <c r="V145" s="17"/>
      <c r="W145" s="17" t="e">
        <f t="shared" si="12"/>
        <v>#REF!</v>
      </c>
      <c r="X145" s="17" t="e">
        <f t="shared" si="13"/>
        <v>#REF!</v>
      </c>
    </row>
    <row r="146" spans="1:24" ht="12.75" customHeight="1" x14ac:dyDescent="0.2">
      <c r="A146" s="19">
        <v>144</v>
      </c>
      <c r="B146" s="19" t="s">
        <v>3284</v>
      </c>
      <c r="C146" s="19" t="e">
        <f t="shared" si="7"/>
        <v>#REF!</v>
      </c>
      <c r="D146" s="19" t="e">
        <f t="shared" si="8"/>
        <v>#REF!</v>
      </c>
      <c r="E146" s="19" t="e">
        <f t="shared" si="9"/>
        <v>#REF!</v>
      </c>
      <c r="F146" s="19" t="e">
        <f>VLOOKUP(B146,'Station List'!#REF!,2,0)</f>
        <v>#REF!</v>
      </c>
      <c r="G146" s="19" t="e">
        <f>VLOOKUP(B146,#REF!,2,0)</f>
        <v>#REF!</v>
      </c>
      <c r="H146" s="19" t="e">
        <f t="shared" si="3"/>
        <v>#REF!</v>
      </c>
      <c r="I146" s="19" t="e">
        <f>VLOOKUP(B146,'Station List'!#REF!,4,0)</f>
        <v>#REF!</v>
      </c>
      <c r="J146" s="19" t="e">
        <f>VLOOKUP(B146,#REF!,3,0)</f>
        <v>#REF!</v>
      </c>
      <c r="K146" s="19" t="e">
        <f t="shared" si="4"/>
        <v>#REF!</v>
      </c>
      <c r="L146" s="19" t="e">
        <f>VLOOKUP(B146,'Station List'!#REF!,9,0)</f>
        <v>#REF!</v>
      </c>
      <c r="M146" s="19" t="e">
        <f>VLOOKUP(B146,#REF!,4,0)</f>
        <v>#REF!</v>
      </c>
      <c r="N146" s="17"/>
      <c r="O146" s="17"/>
      <c r="P146" s="17"/>
      <c r="Q146" s="17"/>
      <c r="R146" s="17"/>
      <c r="S146" s="17"/>
      <c r="T146" s="17"/>
      <c r="U146" s="17"/>
      <c r="V146" s="17"/>
      <c r="W146" s="17" t="e">
        <f t="shared" si="12"/>
        <v>#REF!</v>
      </c>
      <c r="X146" s="17" t="e">
        <f t="shared" si="13"/>
        <v>#REF!</v>
      </c>
    </row>
    <row r="147" spans="1:24" ht="12.75" customHeight="1" x14ac:dyDescent="0.2">
      <c r="A147" s="19">
        <v>145</v>
      </c>
      <c r="B147" s="19" t="s">
        <v>3285</v>
      </c>
      <c r="C147" s="19" t="e">
        <f t="shared" si="7"/>
        <v>#REF!</v>
      </c>
      <c r="D147" s="19" t="e">
        <f t="shared" si="8"/>
        <v>#REF!</v>
      </c>
      <c r="E147" s="19" t="e">
        <f t="shared" si="9"/>
        <v>#REF!</v>
      </c>
      <c r="F147" s="19" t="e">
        <f>VLOOKUP(B147,'Station List'!#REF!,2,0)</f>
        <v>#REF!</v>
      </c>
      <c r="G147" s="19" t="e">
        <f>VLOOKUP(B147,#REF!,2,0)</f>
        <v>#REF!</v>
      </c>
      <c r="H147" s="19" t="e">
        <f t="shared" si="3"/>
        <v>#REF!</v>
      </c>
      <c r="I147" s="19" t="e">
        <f>VLOOKUP(B147,'Station List'!#REF!,4,0)</f>
        <v>#REF!</v>
      </c>
      <c r="J147" s="19" t="e">
        <f>VLOOKUP(B147,#REF!,3,0)</f>
        <v>#REF!</v>
      </c>
      <c r="K147" s="19" t="e">
        <f t="shared" si="4"/>
        <v>#REF!</v>
      </c>
      <c r="L147" s="19" t="e">
        <f>VLOOKUP(B147,'Station List'!#REF!,9,0)</f>
        <v>#REF!</v>
      </c>
      <c r="M147" s="19" t="e">
        <f>VLOOKUP(B147,#REF!,4,0)</f>
        <v>#REF!</v>
      </c>
      <c r="N147" s="17"/>
      <c r="O147" s="17"/>
      <c r="P147" s="17"/>
      <c r="Q147" s="17"/>
      <c r="R147" s="17"/>
      <c r="S147" s="17"/>
      <c r="T147" s="17"/>
      <c r="U147" s="17"/>
      <c r="V147" s="17"/>
      <c r="W147" s="17" t="e">
        <f t="shared" si="12"/>
        <v>#REF!</v>
      </c>
      <c r="X147" s="17" t="e">
        <f t="shared" si="13"/>
        <v>#REF!</v>
      </c>
    </row>
    <row r="148" spans="1:24" ht="12.75" customHeight="1" x14ac:dyDescent="0.2">
      <c r="A148" s="19">
        <v>146</v>
      </c>
      <c r="B148" s="19" t="s">
        <v>3286</v>
      </c>
      <c r="C148" s="19" t="e">
        <f t="shared" si="7"/>
        <v>#REF!</v>
      </c>
      <c r="D148" s="19" t="e">
        <f t="shared" si="8"/>
        <v>#REF!</v>
      </c>
      <c r="E148" s="19" t="e">
        <f t="shared" si="9"/>
        <v>#REF!</v>
      </c>
      <c r="F148" s="19" t="e">
        <f>VLOOKUP(B148,'Station List'!#REF!,2,0)</f>
        <v>#REF!</v>
      </c>
      <c r="G148" s="19" t="e">
        <f>VLOOKUP(B148,#REF!,2,0)</f>
        <v>#REF!</v>
      </c>
      <c r="H148" s="19" t="e">
        <f t="shared" si="3"/>
        <v>#REF!</v>
      </c>
      <c r="I148" s="19" t="e">
        <f>VLOOKUP(B148,'Station List'!#REF!,4,0)</f>
        <v>#REF!</v>
      </c>
      <c r="J148" s="19" t="e">
        <f>VLOOKUP(B148,#REF!,3,0)</f>
        <v>#REF!</v>
      </c>
      <c r="K148" s="19" t="e">
        <f t="shared" si="4"/>
        <v>#REF!</v>
      </c>
      <c r="L148" s="19" t="e">
        <f>VLOOKUP(B148,'Station List'!#REF!,9,0)</f>
        <v>#REF!</v>
      </c>
      <c r="M148" s="19" t="e">
        <f>VLOOKUP(B148,#REF!,4,0)</f>
        <v>#REF!</v>
      </c>
      <c r="N148" s="17"/>
      <c r="O148" s="17"/>
      <c r="P148" s="17"/>
      <c r="Q148" s="17"/>
      <c r="R148" s="17"/>
      <c r="S148" s="17"/>
      <c r="T148" s="17"/>
      <c r="U148" s="17"/>
      <c r="V148" s="17"/>
      <c r="W148" s="17" t="e">
        <f t="shared" si="12"/>
        <v>#REF!</v>
      </c>
      <c r="X148" s="17" t="e">
        <f t="shared" si="13"/>
        <v>#REF!</v>
      </c>
    </row>
    <row r="149" spans="1:24" ht="12.75" customHeight="1" x14ac:dyDescent="0.2">
      <c r="A149" s="19">
        <v>147</v>
      </c>
      <c r="B149" s="19" t="s">
        <v>3287</v>
      </c>
      <c r="C149" s="19" t="e">
        <f t="shared" si="7"/>
        <v>#REF!</v>
      </c>
      <c r="D149" s="19" t="e">
        <f t="shared" si="8"/>
        <v>#REF!</v>
      </c>
      <c r="E149" s="19" t="e">
        <f t="shared" si="9"/>
        <v>#REF!</v>
      </c>
      <c r="F149" s="19" t="e">
        <f>VLOOKUP(B149,'Station List'!#REF!,2,0)</f>
        <v>#REF!</v>
      </c>
      <c r="G149" s="19" t="e">
        <f>VLOOKUP(B149,#REF!,2,0)</f>
        <v>#REF!</v>
      </c>
      <c r="H149" s="19" t="e">
        <f t="shared" si="3"/>
        <v>#REF!</v>
      </c>
      <c r="I149" s="19" t="e">
        <f>VLOOKUP(B149,'Station List'!#REF!,4,0)</f>
        <v>#REF!</v>
      </c>
      <c r="J149" s="19" t="e">
        <f>VLOOKUP(B149,#REF!,3,0)</f>
        <v>#REF!</v>
      </c>
      <c r="K149" s="19" t="e">
        <f t="shared" si="4"/>
        <v>#REF!</v>
      </c>
      <c r="L149" s="19" t="e">
        <f>VLOOKUP(B149,'Station List'!#REF!,9,0)</f>
        <v>#REF!</v>
      </c>
      <c r="M149" s="19" t="e">
        <f>VLOOKUP(B149,#REF!,4,0)</f>
        <v>#REF!</v>
      </c>
      <c r="N149" s="17"/>
      <c r="O149" s="17"/>
      <c r="P149" s="17"/>
      <c r="Q149" s="17"/>
      <c r="R149" s="17"/>
      <c r="S149" s="17"/>
      <c r="T149" s="17"/>
      <c r="U149" s="17"/>
      <c r="V149" s="17"/>
      <c r="W149" s="17" t="e">
        <f t="shared" si="12"/>
        <v>#REF!</v>
      </c>
      <c r="X149" s="17" t="e">
        <f t="shared" si="13"/>
        <v>#REF!</v>
      </c>
    </row>
    <row r="150" spans="1:24" ht="12.75" customHeight="1" x14ac:dyDescent="0.2">
      <c r="A150" s="19">
        <v>148</v>
      </c>
      <c r="B150" s="19" t="s">
        <v>3288</v>
      </c>
      <c r="C150" s="19" t="e">
        <f t="shared" si="7"/>
        <v>#REF!</v>
      </c>
      <c r="D150" s="19" t="e">
        <f t="shared" si="8"/>
        <v>#REF!</v>
      </c>
      <c r="E150" s="19" t="e">
        <f t="shared" si="9"/>
        <v>#REF!</v>
      </c>
      <c r="F150" s="19" t="e">
        <f>VLOOKUP(B150,'Station List'!#REF!,2,0)</f>
        <v>#REF!</v>
      </c>
      <c r="G150" s="19" t="e">
        <f>VLOOKUP(B150,#REF!,2,0)</f>
        <v>#REF!</v>
      </c>
      <c r="H150" s="19" t="e">
        <f t="shared" si="3"/>
        <v>#REF!</v>
      </c>
      <c r="I150" s="19" t="e">
        <f>VLOOKUP(B150,'Station List'!#REF!,4,0)</f>
        <v>#REF!</v>
      </c>
      <c r="J150" s="19" t="e">
        <f>VLOOKUP(B150,#REF!,3,0)</f>
        <v>#REF!</v>
      </c>
      <c r="K150" s="19" t="e">
        <f t="shared" si="4"/>
        <v>#REF!</v>
      </c>
      <c r="L150" s="19" t="e">
        <f>VLOOKUP(B150,'Station List'!#REF!,9,0)</f>
        <v>#REF!</v>
      </c>
      <c r="M150" s="19" t="e">
        <f>VLOOKUP(B150,#REF!,4,0)</f>
        <v>#REF!</v>
      </c>
      <c r="N150" s="17"/>
      <c r="O150" s="17"/>
      <c r="P150" s="17"/>
      <c r="Q150" s="17"/>
      <c r="R150" s="17"/>
      <c r="S150" s="17"/>
      <c r="T150" s="17"/>
      <c r="U150" s="17"/>
      <c r="V150" s="17"/>
      <c r="W150" s="17" t="e">
        <f t="shared" si="12"/>
        <v>#REF!</v>
      </c>
      <c r="X150" s="17" t="e">
        <f t="shared" si="13"/>
        <v>#REF!</v>
      </c>
    </row>
    <row r="151" spans="1:24" ht="12.75" customHeight="1" x14ac:dyDescent="0.2">
      <c r="A151" s="19">
        <v>149</v>
      </c>
      <c r="B151" s="19" t="s">
        <v>3289</v>
      </c>
      <c r="C151" s="19" t="e">
        <f t="shared" si="7"/>
        <v>#REF!</v>
      </c>
      <c r="D151" s="19" t="e">
        <f t="shared" si="8"/>
        <v>#REF!</v>
      </c>
      <c r="E151" s="19" t="e">
        <f t="shared" si="9"/>
        <v>#REF!</v>
      </c>
      <c r="F151" s="19" t="e">
        <f>VLOOKUP(B151,'Station List'!#REF!,2,0)</f>
        <v>#REF!</v>
      </c>
      <c r="G151" s="19" t="e">
        <f>VLOOKUP(B151,#REF!,2,0)</f>
        <v>#REF!</v>
      </c>
      <c r="H151" s="19" t="e">
        <f t="shared" si="3"/>
        <v>#REF!</v>
      </c>
      <c r="I151" s="19" t="e">
        <f>VLOOKUP(B151,'Station List'!#REF!,4,0)</f>
        <v>#REF!</v>
      </c>
      <c r="J151" s="19" t="e">
        <f>VLOOKUP(B151,#REF!,3,0)</f>
        <v>#REF!</v>
      </c>
      <c r="K151" s="19" t="e">
        <f t="shared" si="4"/>
        <v>#REF!</v>
      </c>
      <c r="L151" s="19" t="e">
        <f>VLOOKUP(B151,'Station List'!#REF!,9,0)</f>
        <v>#REF!</v>
      </c>
      <c r="M151" s="19" t="e">
        <f>VLOOKUP(B151,#REF!,4,0)</f>
        <v>#REF!</v>
      </c>
      <c r="N151" s="17"/>
      <c r="O151" s="17"/>
      <c r="P151" s="17"/>
      <c r="Q151" s="17"/>
      <c r="R151" s="17"/>
      <c r="S151" s="17"/>
      <c r="T151" s="17"/>
      <c r="U151" s="17"/>
      <c r="V151" s="17"/>
      <c r="W151" s="17" t="e">
        <f t="shared" si="12"/>
        <v>#REF!</v>
      </c>
      <c r="X151" s="17" t="e">
        <f t="shared" si="13"/>
        <v>#REF!</v>
      </c>
    </row>
    <row r="152" spans="1:24" ht="12.75" customHeight="1" x14ac:dyDescent="0.2">
      <c r="A152" s="19">
        <v>150</v>
      </c>
      <c r="B152" s="19" t="s">
        <v>3290</v>
      </c>
      <c r="C152" s="19" t="e">
        <f t="shared" si="7"/>
        <v>#REF!</v>
      </c>
      <c r="D152" s="19" t="e">
        <f t="shared" si="8"/>
        <v>#REF!</v>
      </c>
      <c r="E152" s="19" t="e">
        <f t="shared" si="9"/>
        <v>#REF!</v>
      </c>
      <c r="F152" s="19" t="e">
        <f>VLOOKUP(B152,'Station List'!#REF!,2,0)</f>
        <v>#REF!</v>
      </c>
      <c r="G152" s="19" t="e">
        <f>VLOOKUP(B152,#REF!,2,0)</f>
        <v>#REF!</v>
      </c>
      <c r="H152" s="19" t="e">
        <f t="shared" si="3"/>
        <v>#REF!</v>
      </c>
      <c r="I152" s="19" t="e">
        <f>VLOOKUP(B152,'Station List'!#REF!,4,0)</f>
        <v>#REF!</v>
      </c>
      <c r="J152" s="19" t="e">
        <f>VLOOKUP(B152,#REF!,3,0)</f>
        <v>#REF!</v>
      </c>
      <c r="K152" s="19" t="e">
        <f t="shared" si="4"/>
        <v>#REF!</v>
      </c>
      <c r="L152" s="19" t="e">
        <f>VLOOKUP(B152,'Station List'!#REF!,9,0)</f>
        <v>#REF!</v>
      </c>
      <c r="M152" s="19" t="e">
        <f>VLOOKUP(B152,#REF!,4,0)</f>
        <v>#REF!</v>
      </c>
      <c r="N152" s="17"/>
      <c r="O152" s="17"/>
      <c r="P152" s="17"/>
      <c r="Q152" s="17"/>
      <c r="R152" s="17"/>
      <c r="S152" s="17"/>
      <c r="T152" s="17"/>
      <c r="U152" s="17"/>
      <c r="V152" s="17"/>
      <c r="W152" s="17" t="e">
        <f t="shared" si="12"/>
        <v>#REF!</v>
      </c>
      <c r="X152" s="17" t="e">
        <f t="shared" si="13"/>
        <v>#REF!</v>
      </c>
    </row>
    <row r="153" spans="1:24" ht="12.75" customHeight="1" x14ac:dyDescent="0.2">
      <c r="A153" s="19">
        <v>151</v>
      </c>
      <c r="B153" s="19" t="s">
        <v>3301</v>
      </c>
      <c r="C153" s="19" t="e">
        <f t="shared" si="7"/>
        <v>#REF!</v>
      </c>
      <c r="D153" s="19" t="e">
        <f t="shared" si="8"/>
        <v>#REF!</v>
      </c>
      <c r="E153" s="19" t="e">
        <f t="shared" si="9"/>
        <v>#REF!</v>
      </c>
      <c r="F153" s="19" t="e">
        <f>VLOOKUP(B153,'Station List'!#REF!,2,0)</f>
        <v>#REF!</v>
      </c>
      <c r="G153" s="19" t="e">
        <f>VLOOKUP(B153,#REF!,2,0)</f>
        <v>#REF!</v>
      </c>
      <c r="H153" s="19" t="e">
        <f t="shared" si="3"/>
        <v>#REF!</v>
      </c>
      <c r="I153" s="19" t="e">
        <f>VLOOKUP(B153,'Station List'!#REF!,4,0)</f>
        <v>#REF!</v>
      </c>
      <c r="J153" s="19" t="e">
        <f>VLOOKUP(B153,#REF!,3,0)</f>
        <v>#REF!</v>
      </c>
      <c r="K153" s="19" t="e">
        <f t="shared" si="4"/>
        <v>#REF!</v>
      </c>
      <c r="L153" s="19" t="e">
        <f>VLOOKUP(B153,'Station List'!#REF!,9,0)</f>
        <v>#REF!</v>
      </c>
      <c r="M153" s="19" t="e">
        <f>VLOOKUP(B153,#REF!,4,0)</f>
        <v>#REF!</v>
      </c>
      <c r="N153" s="17"/>
      <c r="O153" s="17"/>
      <c r="P153" s="17"/>
      <c r="Q153" s="17"/>
      <c r="R153" s="17"/>
      <c r="S153" s="17"/>
      <c r="T153" s="17"/>
      <c r="U153" s="17"/>
      <c r="V153" s="17"/>
      <c r="W153" s="17" t="e">
        <f t="shared" si="12"/>
        <v>#REF!</v>
      </c>
      <c r="X153" s="17" t="e">
        <f t="shared" si="13"/>
        <v>#REF!</v>
      </c>
    </row>
    <row r="154" spans="1:24" ht="12.75" customHeight="1" x14ac:dyDescent="0.2">
      <c r="A154" s="19">
        <v>152</v>
      </c>
      <c r="B154" s="19" t="s">
        <v>3302</v>
      </c>
      <c r="C154" s="19" t="e">
        <f t="shared" si="7"/>
        <v>#REF!</v>
      </c>
      <c r="D154" s="19" t="e">
        <f t="shared" si="8"/>
        <v>#REF!</v>
      </c>
      <c r="E154" s="19" t="e">
        <f t="shared" si="9"/>
        <v>#REF!</v>
      </c>
      <c r="F154" s="19" t="e">
        <f>VLOOKUP(B154,'Station List'!#REF!,2,0)</f>
        <v>#REF!</v>
      </c>
      <c r="G154" s="19" t="e">
        <f>VLOOKUP(B154,#REF!,2,0)</f>
        <v>#REF!</v>
      </c>
      <c r="H154" s="19" t="e">
        <f t="shared" si="3"/>
        <v>#REF!</v>
      </c>
      <c r="I154" s="19" t="e">
        <f>VLOOKUP(B154,'Station List'!#REF!,4,0)</f>
        <v>#REF!</v>
      </c>
      <c r="J154" s="19" t="e">
        <f>VLOOKUP(B154,#REF!,3,0)</f>
        <v>#REF!</v>
      </c>
      <c r="K154" s="19" t="e">
        <f t="shared" si="4"/>
        <v>#REF!</v>
      </c>
      <c r="L154" s="19" t="e">
        <f>VLOOKUP(B154,'Station List'!#REF!,9,0)</f>
        <v>#REF!</v>
      </c>
      <c r="M154" s="19" t="e">
        <f>VLOOKUP(B154,#REF!,4,0)</f>
        <v>#REF!</v>
      </c>
      <c r="N154" s="17"/>
      <c r="O154" s="17"/>
      <c r="P154" s="17"/>
      <c r="Q154" s="17"/>
      <c r="R154" s="17"/>
      <c r="S154" s="17"/>
      <c r="T154" s="17"/>
      <c r="U154" s="17"/>
      <c r="V154" s="17"/>
      <c r="W154" s="17" t="e">
        <f t="shared" si="12"/>
        <v>#REF!</v>
      </c>
      <c r="X154" s="17" t="e">
        <f t="shared" si="13"/>
        <v>#REF!</v>
      </c>
    </row>
    <row r="155" spans="1:24" ht="12.75" customHeight="1" x14ac:dyDescent="0.2">
      <c r="A155" s="19">
        <v>153</v>
      </c>
      <c r="B155" s="19" t="s">
        <v>3303</v>
      </c>
      <c r="C155" s="19" t="e">
        <f t="shared" si="7"/>
        <v>#REF!</v>
      </c>
      <c r="D155" s="19" t="e">
        <f t="shared" si="8"/>
        <v>#REF!</v>
      </c>
      <c r="E155" s="19" t="e">
        <f t="shared" si="9"/>
        <v>#REF!</v>
      </c>
      <c r="F155" s="19" t="e">
        <f>VLOOKUP(B155,'Station List'!#REF!,2,0)</f>
        <v>#REF!</v>
      </c>
      <c r="G155" s="19" t="e">
        <f>VLOOKUP(B155,#REF!,2,0)</f>
        <v>#REF!</v>
      </c>
      <c r="H155" s="19" t="e">
        <f t="shared" si="3"/>
        <v>#REF!</v>
      </c>
      <c r="I155" s="19" t="e">
        <f>VLOOKUP(B155,'Station List'!#REF!,4,0)</f>
        <v>#REF!</v>
      </c>
      <c r="J155" s="19" t="e">
        <f>VLOOKUP(B155,#REF!,3,0)</f>
        <v>#REF!</v>
      </c>
      <c r="K155" s="19" t="e">
        <f t="shared" si="4"/>
        <v>#REF!</v>
      </c>
      <c r="L155" s="19" t="e">
        <f>VLOOKUP(B155,'Station List'!#REF!,9,0)</f>
        <v>#REF!</v>
      </c>
      <c r="M155" s="19" t="e">
        <f>VLOOKUP(B155,#REF!,4,0)</f>
        <v>#REF!</v>
      </c>
      <c r="N155" s="17"/>
      <c r="O155" s="17"/>
      <c r="P155" s="17"/>
      <c r="Q155" s="17"/>
      <c r="R155" s="17"/>
      <c r="S155" s="17"/>
      <c r="T155" s="17"/>
      <c r="U155" s="17"/>
      <c r="V155" s="17"/>
      <c r="W155" s="17" t="e">
        <f t="shared" si="12"/>
        <v>#REF!</v>
      </c>
      <c r="X155" s="17" t="e">
        <f t="shared" si="13"/>
        <v>#REF!</v>
      </c>
    </row>
    <row r="156" spans="1:24" ht="12.75" customHeight="1" x14ac:dyDescent="0.2">
      <c r="A156" s="19">
        <v>154</v>
      </c>
      <c r="B156" s="19" t="s">
        <v>3304</v>
      </c>
      <c r="C156" s="19" t="e">
        <f t="shared" si="7"/>
        <v>#REF!</v>
      </c>
      <c r="D156" s="19" t="e">
        <f t="shared" si="8"/>
        <v>#REF!</v>
      </c>
      <c r="E156" s="19" t="e">
        <f t="shared" si="9"/>
        <v>#REF!</v>
      </c>
      <c r="F156" s="19" t="s">
        <v>134</v>
      </c>
      <c r="G156" s="19" t="s">
        <v>134</v>
      </c>
      <c r="H156" s="19" t="e">
        <f t="shared" si="3"/>
        <v>#REF!</v>
      </c>
      <c r="I156" s="19" t="s">
        <v>1637</v>
      </c>
      <c r="J156" s="19" t="s">
        <v>1637</v>
      </c>
      <c r="K156" s="19" t="e">
        <f t="shared" si="4"/>
        <v>#REF!</v>
      </c>
      <c r="L156" s="19" t="e">
        <f>VLOOKUP(B156,'Station List'!#REF!,9,0)</f>
        <v>#REF!</v>
      </c>
      <c r="M156" s="19" t="e">
        <f>VLOOKUP(C156,'Station List'!#REF!,9,0)</f>
        <v>#REF!</v>
      </c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spans="1:24" ht="12.75" customHeight="1" x14ac:dyDescent="0.2">
      <c r="A157" s="19">
        <v>155</v>
      </c>
      <c r="B157" s="19" t="s">
        <v>3305</v>
      </c>
      <c r="C157" s="19" t="e">
        <f t="shared" si="7"/>
        <v>#REF!</v>
      </c>
      <c r="D157" s="19" t="e">
        <f t="shared" si="8"/>
        <v>#REF!</v>
      </c>
      <c r="E157" s="19" t="e">
        <f t="shared" si="9"/>
        <v>#REF!</v>
      </c>
      <c r="F157" s="19" t="e">
        <f>VLOOKUP(B157,'Station List'!#REF!,2,0)</f>
        <v>#REF!</v>
      </c>
      <c r="G157" s="19" t="e">
        <f>VLOOKUP(B157,#REF!,2,0)</f>
        <v>#REF!</v>
      </c>
      <c r="H157" s="19" t="e">
        <f t="shared" si="3"/>
        <v>#REF!</v>
      </c>
      <c r="I157" s="19" t="e">
        <f>VLOOKUP(B157,'Station List'!#REF!,4,0)</f>
        <v>#REF!</v>
      </c>
      <c r="J157" s="19" t="e">
        <f>VLOOKUP(B157,#REF!,3,0)</f>
        <v>#REF!</v>
      </c>
      <c r="K157" s="19" t="e">
        <f t="shared" si="4"/>
        <v>#REF!</v>
      </c>
      <c r="L157" s="19" t="e">
        <f>VLOOKUP(B157,'Station List'!#REF!,9,0)</f>
        <v>#REF!</v>
      </c>
      <c r="M157" s="19" t="e">
        <f>VLOOKUP(B157,#REF!,4,0)</f>
        <v>#REF!</v>
      </c>
      <c r="N157" s="17"/>
      <c r="O157" s="17"/>
      <c r="P157" s="17"/>
      <c r="Q157" s="17"/>
      <c r="R157" s="17"/>
      <c r="S157" s="17"/>
      <c r="T157" s="17"/>
      <c r="U157" s="17"/>
      <c r="V157" s="17"/>
      <c r="W157" s="17" t="e">
        <f t="shared" ref="W157:W166" si="14">IF(I157=J157,0,1)</f>
        <v>#REF!</v>
      </c>
      <c r="X157" s="17" t="e">
        <f t="shared" ref="X157:X174" si="15">IF(L157=M157,0,1)</f>
        <v>#REF!</v>
      </c>
    </row>
    <row r="158" spans="1:24" ht="12.75" customHeight="1" x14ac:dyDescent="0.2">
      <c r="A158" s="19">
        <v>156</v>
      </c>
      <c r="B158" s="19" t="s">
        <v>3306</v>
      </c>
      <c r="C158" s="19" t="e">
        <f t="shared" si="7"/>
        <v>#REF!</v>
      </c>
      <c r="D158" s="19" t="e">
        <f t="shared" si="8"/>
        <v>#REF!</v>
      </c>
      <c r="E158" s="19" t="e">
        <f t="shared" si="9"/>
        <v>#REF!</v>
      </c>
      <c r="F158" s="19" t="e">
        <f>VLOOKUP(B158,'Station List'!#REF!,2,0)</f>
        <v>#REF!</v>
      </c>
      <c r="G158" s="19" t="e">
        <f>VLOOKUP(B158,#REF!,2,0)</f>
        <v>#REF!</v>
      </c>
      <c r="H158" s="19" t="e">
        <f t="shared" si="3"/>
        <v>#REF!</v>
      </c>
      <c r="I158" s="19" t="e">
        <f>VLOOKUP(B158,'Station List'!#REF!,4,0)</f>
        <v>#REF!</v>
      </c>
      <c r="J158" s="19" t="e">
        <f>VLOOKUP(B158,#REF!,3,0)</f>
        <v>#REF!</v>
      </c>
      <c r="K158" s="19" t="e">
        <f t="shared" si="4"/>
        <v>#REF!</v>
      </c>
      <c r="L158" s="19" t="e">
        <f>VLOOKUP(B158,'Station List'!#REF!,9,0)</f>
        <v>#REF!</v>
      </c>
      <c r="M158" s="19" t="e">
        <f>VLOOKUP(B158,#REF!,4,0)</f>
        <v>#REF!</v>
      </c>
      <c r="N158" s="17"/>
      <c r="O158" s="17"/>
      <c r="P158" s="17"/>
      <c r="Q158" s="17"/>
      <c r="R158" s="17"/>
      <c r="S158" s="17"/>
      <c r="T158" s="17"/>
      <c r="U158" s="17"/>
      <c r="V158" s="17"/>
      <c r="W158" s="17" t="e">
        <f t="shared" si="14"/>
        <v>#REF!</v>
      </c>
      <c r="X158" s="17" t="e">
        <f t="shared" si="15"/>
        <v>#REF!</v>
      </c>
    </row>
    <row r="159" spans="1:24" ht="12.75" customHeight="1" x14ac:dyDescent="0.2">
      <c r="A159" s="19">
        <v>157</v>
      </c>
      <c r="B159" s="19" t="s">
        <v>3307</v>
      </c>
      <c r="C159" s="19" t="e">
        <f t="shared" si="7"/>
        <v>#REF!</v>
      </c>
      <c r="D159" s="19" t="e">
        <f t="shared" si="8"/>
        <v>#REF!</v>
      </c>
      <c r="E159" s="19" t="e">
        <f t="shared" si="9"/>
        <v>#REF!</v>
      </c>
      <c r="F159" s="19" t="e">
        <f>VLOOKUP(B159,'Station List'!#REF!,2,0)</f>
        <v>#REF!</v>
      </c>
      <c r="G159" s="19" t="e">
        <f>VLOOKUP(B159,#REF!,2,0)</f>
        <v>#REF!</v>
      </c>
      <c r="H159" s="19" t="e">
        <f t="shared" si="3"/>
        <v>#REF!</v>
      </c>
      <c r="I159" s="19" t="e">
        <f>VLOOKUP(B159,'Station List'!#REF!,4,0)</f>
        <v>#REF!</v>
      </c>
      <c r="J159" s="19" t="e">
        <f>VLOOKUP(B159,#REF!,3,0)</f>
        <v>#REF!</v>
      </c>
      <c r="K159" s="19" t="e">
        <f t="shared" si="4"/>
        <v>#REF!</v>
      </c>
      <c r="L159" s="19" t="e">
        <f>VLOOKUP(B159,'Station List'!#REF!,9,0)</f>
        <v>#REF!</v>
      </c>
      <c r="M159" s="19" t="e">
        <f>VLOOKUP(B159,#REF!,4,0)</f>
        <v>#REF!</v>
      </c>
      <c r="N159" s="17"/>
      <c r="O159" s="17"/>
      <c r="P159" s="17"/>
      <c r="Q159" s="17"/>
      <c r="R159" s="17"/>
      <c r="S159" s="17"/>
      <c r="T159" s="17"/>
      <c r="U159" s="17"/>
      <c r="V159" s="17"/>
      <c r="W159" s="17" t="e">
        <f t="shared" si="14"/>
        <v>#REF!</v>
      </c>
      <c r="X159" s="17" t="e">
        <f t="shared" si="15"/>
        <v>#REF!</v>
      </c>
    </row>
    <row r="160" spans="1:24" ht="12.75" customHeight="1" x14ac:dyDescent="0.2">
      <c r="A160" s="19">
        <v>158</v>
      </c>
      <c r="B160" s="19" t="s">
        <v>3308</v>
      </c>
      <c r="C160" s="19" t="e">
        <f t="shared" si="7"/>
        <v>#REF!</v>
      </c>
      <c r="D160" s="19" t="e">
        <f t="shared" si="8"/>
        <v>#REF!</v>
      </c>
      <c r="E160" s="19" t="e">
        <f t="shared" si="9"/>
        <v>#REF!</v>
      </c>
      <c r="F160" s="19" t="e">
        <f>VLOOKUP(B160,'Station List'!#REF!,2,0)</f>
        <v>#REF!</v>
      </c>
      <c r="G160" s="19" t="e">
        <f>VLOOKUP(B160,#REF!,2,0)</f>
        <v>#REF!</v>
      </c>
      <c r="H160" s="19" t="e">
        <f t="shared" si="3"/>
        <v>#REF!</v>
      </c>
      <c r="I160" s="19" t="e">
        <f>VLOOKUP(B160,'Station List'!#REF!,4,0)</f>
        <v>#REF!</v>
      </c>
      <c r="J160" s="19" t="e">
        <f>VLOOKUP(B160,#REF!,3,0)</f>
        <v>#REF!</v>
      </c>
      <c r="K160" s="19" t="e">
        <f t="shared" si="4"/>
        <v>#REF!</v>
      </c>
      <c r="L160" s="19" t="e">
        <f>VLOOKUP(B160,'Station List'!#REF!,9,0)</f>
        <v>#REF!</v>
      </c>
      <c r="M160" s="19" t="e">
        <f>VLOOKUP(B160,#REF!,4,0)</f>
        <v>#REF!</v>
      </c>
      <c r="N160" s="17"/>
      <c r="O160" s="17"/>
      <c r="P160" s="17"/>
      <c r="Q160" s="17"/>
      <c r="R160" s="17"/>
      <c r="S160" s="17"/>
      <c r="T160" s="17"/>
      <c r="U160" s="17"/>
      <c r="V160" s="17"/>
      <c r="W160" s="17" t="e">
        <f t="shared" si="14"/>
        <v>#REF!</v>
      </c>
      <c r="X160" s="17" t="e">
        <f t="shared" si="15"/>
        <v>#REF!</v>
      </c>
    </row>
    <row r="161" spans="1:24" ht="12.75" customHeight="1" x14ac:dyDescent="0.2">
      <c r="A161" s="19">
        <v>159</v>
      </c>
      <c r="B161" s="19" t="s">
        <v>3309</v>
      </c>
      <c r="C161" s="19" t="e">
        <f t="shared" si="7"/>
        <v>#REF!</v>
      </c>
      <c r="D161" s="19" t="e">
        <f t="shared" si="8"/>
        <v>#REF!</v>
      </c>
      <c r="E161" s="19" t="e">
        <f t="shared" si="9"/>
        <v>#REF!</v>
      </c>
      <c r="F161" s="19" t="e">
        <f>VLOOKUP(B161,'Station List'!#REF!,2,0)</f>
        <v>#REF!</v>
      </c>
      <c r="G161" s="19" t="e">
        <f>VLOOKUP(B161,#REF!,2,0)</f>
        <v>#REF!</v>
      </c>
      <c r="H161" s="19" t="e">
        <f t="shared" si="3"/>
        <v>#REF!</v>
      </c>
      <c r="I161" s="19" t="e">
        <f>VLOOKUP(B161,'Station List'!#REF!,4,0)</f>
        <v>#REF!</v>
      </c>
      <c r="J161" s="19" t="e">
        <f>VLOOKUP(B161,#REF!,3,0)</f>
        <v>#REF!</v>
      </c>
      <c r="K161" s="19" t="e">
        <f t="shared" si="4"/>
        <v>#REF!</v>
      </c>
      <c r="L161" s="19" t="e">
        <f>VLOOKUP(B161,'Station List'!#REF!,9,0)</f>
        <v>#REF!</v>
      </c>
      <c r="M161" s="19" t="e">
        <f>VLOOKUP(B161,#REF!,4,0)</f>
        <v>#REF!</v>
      </c>
      <c r="N161" s="17"/>
      <c r="O161" s="17"/>
      <c r="P161" s="17"/>
      <c r="Q161" s="17"/>
      <c r="R161" s="17"/>
      <c r="S161" s="17"/>
      <c r="T161" s="17"/>
      <c r="U161" s="17"/>
      <c r="V161" s="17"/>
      <c r="W161" s="17" t="e">
        <f t="shared" si="14"/>
        <v>#REF!</v>
      </c>
      <c r="X161" s="17" t="e">
        <f t="shared" si="15"/>
        <v>#REF!</v>
      </c>
    </row>
    <row r="162" spans="1:24" ht="12.75" customHeight="1" x14ac:dyDescent="0.2">
      <c r="A162" s="19">
        <v>160</v>
      </c>
      <c r="B162" s="19" t="s">
        <v>3310</v>
      </c>
      <c r="C162" s="19" t="e">
        <f t="shared" si="7"/>
        <v>#REF!</v>
      </c>
      <c r="D162" s="19" t="e">
        <f t="shared" si="8"/>
        <v>#REF!</v>
      </c>
      <c r="E162" s="19" t="e">
        <f t="shared" si="9"/>
        <v>#REF!</v>
      </c>
      <c r="F162" s="19" t="e">
        <f>VLOOKUP(B162,'Station List'!#REF!,2,0)</f>
        <v>#REF!</v>
      </c>
      <c r="G162" s="19" t="e">
        <f>VLOOKUP(B162,#REF!,2,0)</f>
        <v>#REF!</v>
      </c>
      <c r="H162" s="19" t="e">
        <f t="shared" si="3"/>
        <v>#REF!</v>
      </c>
      <c r="I162" s="19" t="e">
        <f>VLOOKUP(B162,'Station List'!#REF!,4,0)</f>
        <v>#REF!</v>
      </c>
      <c r="J162" s="19" t="e">
        <f>VLOOKUP(B162,#REF!,3,0)</f>
        <v>#REF!</v>
      </c>
      <c r="K162" s="19" t="e">
        <f t="shared" si="4"/>
        <v>#REF!</v>
      </c>
      <c r="L162" s="19" t="e">
        <f>VLOOKUP(B162,'Station List'!#REF!,9,0)</f>
        <v>#REF!</v>
      </c>
      <c r="M162" s="19" t="e">
        <f>VLOOKUP(B162,#REF!,4,0)</f>
        <v>#REF!</v>
      </c>
      <c r="N162" s="17"/>
      <c r="O162" s="17"/>
      <c r="P162" s="17"/>
      <c r="Q162" s="17"/>
      <c r="R162" s="17"/>
      <c r="S162" s="17"/>
      <c r="T162" s="17"/>
      <c r="U162" s="17"/>
      <c r="V162" s="17"/>
      <c r="W162" s="17" t="e">
        <f t="shared" si="14"/>
        <v>#REF!</v>
      </c>
      <c r="X162" s="17" t="e">
        <f t="shared" si="15"/>
        <v>#REF!</v>
      </c>
    </row>
    <row r="163" spans="1:24" ht="12.75" customHeight="1" x14ac:dyDescent="0.2">
      <c r="A163" s="19">
        <v>161</v>
      </c>
      <c r="B163" s="19" t="s">
        <v>3311</v>
      </c>
      <c r="C163" s="19" t="e">
        <f t="shared" si="7"/>
        <v>#REF!</v>
      </c>
      <c r="D163" s="19" t="e">
        <f t="shared" si="8"/>
        <v>#REF!</v>
      </c>
      <c r="E163" s="19" t="e">
        <f t="shared" si="9"/>
        <v>#REF!</v>
      </c>
      <c r="F163" s="19" t="e">
        <f>VLOOKUP(B163,'Station List'!#REF!,2,0)</f>
        <v>#REF!</v>
      </c>
      <c r="G163" s="19" t="e">
        <f>VLOOKUP(B163,#REF!,2,0)</f>
        <v>#REF!</v>
      </c>
      <c r="H163" s="19" t="e">
        <f t="shared" si="3"/>
        <v>#REF!</v>
      </c>
      <c r="I163" s="19" t="e">
        <f>VLOOKUP(B163,'Station List'!#REF!,4,0)</f>
        <v>#REF!</v>
      </c>
      <c r="J163" s="19" t="e">
        <f>VLOOKUP(B163,#REF!,3,0)</f>
        <v>#REF!</v>
      </c>
      <c r="K163" s="19" t="e">
        <f t="shared" si="4"/>
        <v>#REF!</v>
      </c>
      <c r="L163" s="19" t="e">
        <f>VLOOKUP(B163,'Station List'!#REF!,9,0)</f>
        <v>#REF!</v>
      </c>
      <c r="M163" s="19" t="e">
        <f>VLOOKUP(B163,#REF!,4,0)</f>
        <v>#REF!</v>
      </c>
      <c r="N163" s="17"/>
      <c r="O163" s="17"/>
      <c r="P163" s="17"/>
      <c r="Q163" s="17"/>
      <c r="R163" s="17"/>
      <c r="S163" s="17"/>
      <c r="T163" s="17"/>
      <c r="U163" s="17"/>
      <c r="V163" s="17"/>
      <c r="W163" s="17" t="e">
        <f t="shared" si="14"/>
        <v>#REF!</v>
      </c>
      <c r="X163" s="17" t="e">
        <f t="shared" si="15"/>
        <v>#REF!</v>
      </c>
    </row>
    <row r="164" spans="1:24" ht="12.75" customHeight="1" x14ac:dyDescent="0.2">
      <c r="A164" s="19">
        <v>162</v>
      </c>
      <c r="B164" s="19" t="s">
        <v>3312</v>
      </c>
      <c r="C164" s="19" t="e">
        <f t="shared" si="7"/>
        <v>#REF!</v>
      </c>
      <c r="D164" s="19" t="e">
        <f t="shared" si="8"/>
        <v>#REF!</v>
      </c>
      <c r="E164" s="19" t="e">
        <f t="shared" si="9"/>
        <v>#REF!</v>
      </c>
      <c r="F164" s="19" t="e">
        <f>VLOOKUP(B164,'Station List'!#REF!,2,0)</f>
        <v>#REF!</v>
      </c>
      <c r="G164" s="19" t="e">
        <f>VLOOKUP(B164,#REF!,2,0)</f>
        <v>#REF!</v>
      </c>
      <c r="H164" s="19" t="e">
        <f t="shared" si="3"/>
        <v>#REF!</v>
      </c>
      <c r="I164" s="19" t="e">
        <f>VLOOKUP(B164,'Station List'!#REF!,4,0)</f>
        <v>#REF!</v>
      </c>
      <c r="J164" s="19" t="e">
        <f>VLOOKUP(B164,#REF!,3,0)</f>
        <v>#REF!</v>
      </c>
      <c r="K164" s="19" t="e">
        <f t="shared" si="4"/>
        <v>#REF!</v>
      </c>
      <c r="L164" s="19" t="e">
        <f>VLOOKUP(B164,'Station List'!#REF!,9,0)</f>
        <v>#REF!</v>
      </c>
      <c r="M164" s="19" t="e">
        <f>VLOOKUP(B164,#REF!,4,0)</f>
        <v>#REF!</v>
      </c>
      <c r="N164" s="17"/>
      <c r="O164" s="17"/>
      <c r="P164" s="17"/>
      <c r="Q164" s="17"/>
      <c r="R164" s="17"/>
      <c r="S164" s="17"/>
      <c r="T164" s="17"/>
      <c r="U164" s="17"/>
      <c r="V164" s="17"/>
      <c r="W164" s="17" t="e">
        <f t="shared" si="14"/>
        <v>#REF!</v>
      </c>
      <c r="X164" s="17" t="e">
        <f t="shared" si="15"/>
        <v>#REF!</v>
      </c>
    </row>
    <row r="165" spans="1:24" ht="12.75" customHeight="1" x14ac:dyDescent="0.2">
      <c r="A165" s="19">
        <v>163</v>
      </c>
      <c r="B165" s="19" t="s">
        <v>3313</v>
      </c>
      <c r="C165" s="19" t="e">
        <f t="shared" si="7"/>
        <v>#REF!</v>
      </c>
      <c r="D165" s="19" t="e">
        <f t="shared" si="8"/>
        <v>#REF!</v>
      </c>
      <c r="E165" s="19" t="e">
        <f t="shared" si="9"/>
        <v>#REF!</v>
      </c>
      <c r="F165" s="19" t="e">
        <f>VLOOKUP(B165,'Station List'!#REF!,2,0)</f>
        <v>#REF!</v>
      </c>
      <c r="G165" s="19" t="e">
        <f>VLOOKUP(B165,#REF!,2,0)</f>
        <v>#REF!</v>
      </c>
      <c r="H165" s="19" t="e">
        <f t="shared" si="3"/>
        <v>#REF!</v>
      </c>
      <c r="I165" s="19" t="e">
        <f>VLOOKUP(B165,'Station List'!#REF!,4,0)</f>
        <v>#REF!</v>
      </c>
      <c r="J165" s="19" t="e">
        <f>VLOOKUP(B165,#REF!,3,0)</f>
        <v>#REF!</v>
      </c>
      <c r="K165" s="19" t="e">
        <f t="shared" si="4"/>
        <v>#REF!</v>
      </c>
      <c r="L165" s="19" t="e">
        <f>VLOOKUP(B165,'Station List'!#REF!,9,0)</f>
        <v>#REF!</v>
      </c>
      <c r="M165" s="19" t="e">
        <f>VLOOKUP(B165,#REF!,4,0)</f>
        <v>#REF!</v>
      </c>
      <c r="N165" s="17"/>
      <c r="O165" s="17"/>
      <c r="P165" s="17"/>
      <c r="Q165" s="17"/>
      <c r="R165" s="17"/>
      <c r="S165" s="17"/>
      <c r="T165" s="17"/>
      <c r="U165" s="17"/>
      <c r="V165" s="17"/>
      <c r="W165" s="17" t="e">
        <f t="shared" si="14"/>
        <v>#REF!</v>
      </c>
      <c r="X165" s="17" t="e">
        <f t="shared" si="15"/>
        <v>#REF!</v>
      </c>
    </row>
    <row r="166" spans="1:24" ht="12.75" customHeight="1" x14ac:dyDescent="0.2">
      <c r="A166" s="19">
        <v>164</v>
      </c>
      <c r="B166" s="19" t="s">
        <v>3314</v>
      </c>
      <c r="C166" s="19" t="e">
        <f t="shared" si="7"/>
        <v>#REF!</v>
      </c>
      <c r="D166" s="19" t="e">
        <f t="shared" si="8"/>
        <v>#REF!</v>
      </c>
      <c r="E166" s="19" t="e">
        <f t="shared" si="9"/>
        <v>#REF!</v>
      </c>
      <c r="F166" s="19" t="e">
        <f>VLOOKUP(B166,'Station List'!#REF!,2,0)</f>
        <v>#REF!</v>
      </c>
      <c r="G166" s="19" t="e">
        <f>VLOOKUP(B166,#REF!,2,0)</f>
        <v>#REF!</v>
      </c>
      <c r="H166" s="19" t="e">
        <f t="shared" si="3"/>
        <v>#REF!</v>
      </c>
      <c r="I166" s="19" t="e">
        <f>VLOOKUP(B166,'Station List'!#REF!,4,0)</f>
        <v>#REF!</v>
      </c>
      <c r="J166" s="19" t="e">
        <f>VLOOKUP(B166,#REF!,3,0)</f>
        <v>#REF!</v>
      </c>
      <c r="K166" s="19" t="e">
        <f t="shared" si="4"/>
        <v>#REF!</v>
      </c>
      <c r="L166" s="19" t="e">
        <f>VLOOKUP(B166,'Station List'!#REF!,9,0)</f>
        <v>#REF!</v>
      </c>
      <c r="M166" s="19" t="e">
        <f>VLOOKUP(B166,#REF!,4,0)</f>
        <v>#REF!</v>
      </c>
      <c r="N166" s="17"/>
      <c r="O166" s="17"/>
      <c r="P166" s="17"/>
      <c r="Q166" s="17"/>
      <c r="R166" s="17"/>
      <c r="S166" s="17"/>
      <c r="T166" s="17"/>
      <c r="U166" s="17"/>
      <c r="V166" s="17"/>
      <c r="W166" s="17" t="e">
        <f t="shared" si="14"/>
        <v>#REF!</v>
      </c>
      <c r="X166" s="17" t="e">
        <f t="shared" si="15"/>
        <v>#REF!</v>
      </c>
    </row>
    <row r="167" spans="1:24" ht="12.75" customHeight="1" x14ac:dyDescent="0.2">
      <c r="A167" s="19">
        <v>165</v>
      </c>
      <c r="B167" s="19" t="s">
        <v>3315</v>
      </c>
      <c r="C167" s="19" t="e">
        <f t="shared" si="7"/>
        <v>#REF!</v>
      </c>
      <c r="D167" s="19" t="e">
        <f t="shared" si="8"/>
        <v>#REF!</v>
      </c>
      <c r="E167" s="19" t="e">
        <f t="shared" si="9"/>
        <v>#REF!</v>
      </c>
      <c r="F167" s="19" t="e">
        <f>VLOOKUP(B167,'Station List'!#REF!,2,0)</f>
        <v>#REF!</v>
      </c>
      <c r="G167" s="19" t="e">
        <f>VLOOKUP(B167,#REF!,2,0)</f>
        <v>#REF!</v>
      </c>
      <c r="H167" s="19" t="e">
        <f t="shared" si="3"/>
        <v>#REF!</v>
      </c>
      <c r="I167" s="19" t="e">
        <f>VLOOKUP(B167,'Station List'!#REF!,4,0)</f>
        <v>#REF!</v>
      </c>
      <c r="J167" s="19" t="e">
        <f>VLOOKUP(B167,#REF!,3,0)</f>
        <v>#REF!</v>
      </c>
      <c r="K167" s="19" t="e">
        <f>VLOOKUP(#REF!,#REF!,4,0)</f>
        <v>#REF!</v>
      </c>
      <c r="L167" s="19" t="e">
        <f>VLOOKUP(#REF!,'Station List'!#REF!,9,0)</f>
        <v>#REF!</v>
      </c>
      <c r="M167" s="19" t="e">
        <f>VLOOKUP(#REF!,#REF!,4,0)</f>
        <v>#REF!</v>
      </c>
      <c r="N167" s="17"/>
      <c r="O167" s="17"/>
      <c r="P167" s="17"/>
      <c r="Q167" s="17"/>
      <c r="R167" s="17"/>
      <c r="S167" s="17"/>
      <c r="T167" s="17"/>
      <c r="U167" s="17"/>
      <c r="V167" s="17"/>
      <c r="W167" s="17" t="e">
        <f>IF(#REF!=#REF!,0,1)</f>
        <v>#REF!</v>
      </c>
      <c r="X167" s="17" t="e">
        <f t="shared" si="15"/>
        <v>#REF!</v>
      </c>
    </row>
    <row r="168" spans="1:24" ht="12.75" customHeight="1" x14ac:dyDescent="0.2">
      <c r="A168" s="19">
        <v>166</v>
      </c>
      <c r="B168" s="19" t="s">
        <v>3316</v>
      </c>
      <c r="C168" s="19" t="e">
        <f t="shared" si="7"/>
        <v>#REF!</v>
      </c>
      <c r="D168" s="19" t="e">
        <f t="shared" si="8"/>
        <v>#REF!</v>
      </c>
      <c r="E168" s="19" t="e">
        <f t="shared" si="9"/>
        <v>#REF!</v>
      </c>
      <c r="F168" s="19" t="e">
        <f>VLOOKUP(B168,'Station List'!#REF!,2,0)</f>
        <v>#REF!</v>
      </c>
      <c r="G168" s="19" t="e">
        <f>VLOOKUP(B168,#REF!,2,0)</f>
        <v>#REF!</v>
      </c>
      <c r="H168" s="19" t="e">
        <f t="shared" si="3"/>
        <v>#REF!</v>
      </c>
      <c r="I168" s="19" t="e">
        <f>VLOOKUP(B168,'Station List'!#REF!,4,0)</f>
        <v>#REF!</v>
      </c>
      <c r="J168" s="19" t="e">
        <f>VLOOKUP(B168,#REF!,3,0)</f>
        <v>#REF!</v>
      </c>
      <c r="K168" s="19" t="e">
        <f t="shared" ref="K168:K186" si="16">VLOOKUP(B167,#REF!,4,0)</f>
        <v>#REF!</v>
      </c>
      <c r="L168" s="19" t="e">
        <f>VLOOKUP(B167,'Station List'!#REF!,9,0)</f>
        <v>#REF!</v>
      </c>
      <c r="M168" s="19" t="e">
        <f>VLOOKUP(B167,#REF!,4,0)</f>
        <v>#REF!</v>
      </c>
      <c r="N168" s="17"/>
      <c r="O168" s="17"/>
      <c r="P168" s="17"/>
      <c r="Q168" s="17"/>
      <c r="R168" s="17"/>
      <c r="S168" s="17"/>
      <c r="T168" s="17"/>
      <c r="U168" s="17"/>
      <c r="V168" s="17"/>
      <c r="W168" s="17" t="e">
        <f t="shared" ref="W168:W174" si="17">IF(I167=J167,0,1)</f>
        <v>#REF!</v>
      </c>
      <c r="X168" s="17" t="e">
        <f t="shared" si="15"/>
        <v>#REF!</v>
      </c>
    </row>
    <row r="169" spans="1:24" ht="12.75" customHeight="1" x14ac:dyDescent="0.2">
      <c r="A169" s="19">
        <v>167</v>
      </c>
      <c r="B169" s="19" t="s">
        <v>3317</v>
      </c>
      <c r="C169" s="19" t="e">
        <f t="shared" si="7"/>
        <v>#REF!</v>
      </c>
      <c r="D169" s="19" t="e">
        <f t="shared" si="8"/>
        <v>#REF!</v>
      </c>
      <c r="E169" s="19" t="e">
        <f t="shared" si="9"/>
        <v>#REF!</v>
      </c>
      <c r="F169" s="19" t="e">
        <f>VLOOKUP(B169,'Station List'!#REF!,2,0)</f>
        <v>#REF!</v>
      </c>
      <c r="G169" s="19" t="e">
        <f>VLOOKUP(B169,#REF!,2,0)</f>
        <v>#REF!</v>
      </c>
      <c r="H169" s="19" t="e">
        <f t="shared" si="3"/>
        <v>#REF!</v>
      </c>
      <c r="I169" s="19" t="e">
        <f>VLOOKUP(B169,'Station List'!#REF!,4,0)</f>
        <v>#REF!</v>
      </c>
      <c r="J169" s="19" t="e">
        <f>VLOOKUP(B169,#REF!,3,0)</f>
        <v>#REF!</v>
      </c>
      <c r="K169" s="19" t="e">
        <f t="shared" si="16"/>
        <v>#REF!</v>
      </c>
      <c r="L169" s="19" t="e">
        <f>VLOOKUP(B168,'Station List'!#REF!,9,0)</f>
        <v>#REF!</v>
      </c>
      <c r="M169" s="19" t="e">
        <f>VLOOKUP(B168,#REF!,4,0)</f>
        <v>#REF!</v>
      </c>
      <c r="N169" s="17"/>
      <c r="O169" s="17"/>
      <c r="P169" s="17"/>
      <c r="Q169" s="17"/>
      <c r="R169" s="17"/>
      <c r="S169" s="17"/>
      <c r="T169" s="17"/>
      <c r="U169" s="17"/>
      <c r="V169" s="17"/>
      <c r="W169" s="17" t="e">
        <f t="shared" si="17"/>
        <v>#REF!</v>
      </c>
      <c r="X169" s="17" t="e">
        <f t="shared" si="15"/>
        <v>#REF!</v>
      </c>
    </row>
    <row r="170" spans="1:24" ht="12.75" customHeight="1" x14ac:dyDescent="0.2">
      <c r="A170" s="19">
        <v>168</v>
      </c>
      <c r="B170" s="19" t="s">
        <v>3318</v>
      </c>
      <c r="C170" s="19" t="e">
        <f t="shared" si="7"/>
        <v>#REF!</v>
      </c>
      <c r="D170" s="19" t="e">
        <f t="shared" si="8"/>
        <v>#REF!</v>
      </c>
      <c r="E170" s="19" t="e">
        <f t="shared" si="9"/>
        <v>#REF!</v>
      </c>
      <c r="F170" s="19" t="e">
        <f>VLOOKUP(B170,'Station List'!#REF!,2,0)</f>
        <v>#REF!</v>
      </c>
      <c r="G170" s="19" t="e">
        <f>VLOOKUP(B170,#REF!,2,0)</f>
        <v>#REF!</v>
      </c>
      <c r="H170" s="19" t="e">
        <f t="shared" si="3"/>
        <v>#REF!</v>
      </c>
      <c r="I170" s="19" t="e">
        <f>VLOOKUP(B170,'Station List'!#REF!,4,0)</f>
        <v>#REF!</v>
      </c>
      <c r="J170" s="19" t="e">
        <f>VLOOKUP(B170,#REF!,3,0)</f>
        <v>#REF!</v>
      </c>
      <c r="K170" s="19" t="e">
        <f t="shared" si="16"/>
        <v>#REF!</v>
      </c>
      <c r="L170" s="19" t="e">
        <f>VLOOKUP(B169,'Station List'!#REF!,9,0)</f>
        <v>#REF!</v>
      </c>
      <c r="M170" s="19" t="e">
        <f>VLOOKUP(B169,#REF!,4,0)</f>
        <v>#REF!</v>
      </c>
      <c r="N170" s="17"/>
      <c r="O170" s="17"/>
      <c r="P170" s="17"/>
      <c r="Q170" s="17"/>
      <c r="R170" s="17"/>
      <c r="S170" s="17"/>
      <c r="T170" s="17"/>
      <c r="U170" s="17"/>
      <c r="V170" s="17"/>
      <c r="W170" s="17" t="e">
        <f t="shared" si="17"/>
        <v>#REF!</v>
      </c>
      <c r="X170" s="17" t="e">
        <f t="shared" si="15"/>
        <v>#REF!</v>
      </c>
    </row>
    <row r="171" spans="1:24" ht="12.75" customHeight="1" x14ac:dyDescent="0.2">
      <c r="A171" s="19">
        <v>169</v>
      </c>
      <c r="B171" s="19" t="s">
        <v>3319</v>
      </c>
      <c r="C171" s="19" t="e">
        <f t="shared" si="7"/>
        <v>#REF!</v>
      </c>
      <c r="D171" s="19" t="e">
        <f t="shared" si="8"/>
        <v>#REF!</v>
      </c>
      <c r="E171" s="19" t="e">
        <f t="shared" si="9"/>
        <v>#REF!</v>
      </c>
      <c r="F171" s="19" t="e">
        <f>VLOOKUP(B171,'Station List'!#REF!,2,0)</f>
        <v>#REF!</v>
      </c>
      <c r="G171" s="19" t="e">
        <f>VLOOKUP(B171,#REF!,2,0)</f>
        <v>#REF!</v>
      </c>
      <c r="H171" s="19" t="e">
        <f t="shared" si="3"/>
        <v>#REF!</v>
      </c>
      <c r="I171" s="19" t="e">
        <f>VLOOKUP(B171,'Station List'!#REF!,4,0)</f>
        <v>#REF!</v>
      </c>
      <c r="J171" s="19" t="e">
        <f>VLOOKUP(B171,#REF!,3,0)</f>
        <v>#REF!</v>
      </c>
      <c r="K171" s="19" t="e">
        <f t="shared" si="16"/>
        <v>#REF!</v>
      </c>
      <c r="L171" s="19" t="e">
        <f>VLOOKUP(B170,'Station List'!#REF!,9,0)</f>
        <v>#REF!</v>
      </c>
      <c r="M171" s="19" t="e">
        <f>VLOOKUP(B170,#REF!,4,0)</f>
        <v>#REF!</v>
      </c>
      <c r="N171" s="17"/>
      <c r="O171" s="17"/>
      <c r="P171" s="17"/>
      <c r="Q171" s="17"/>
      <c r="R171" s="17"/>
      <c r="S171" s="17"/>
      <c r="T171" s="17"/>
      <c r="U171" s="17"/>
      <c r="V171" s="17"/>
      <c r="W171" s="17" t="e">
        <f t="shared" si="17"/>
        <v>#REF!</v>
      </c>
      <c r="X171" s="17" t="e">
        <f t="shared" si="15"/>
        <v>#REF!</v>
      </c>
    </row>
    <row r="172" spans="1:24" ht="12.75" customHeight="1" x14ac:dyDescent="0.2">
      <c r="A172" s="19">
        <v>170</v>
      </c>
      <c r="B172" s="19" t="s">
        <v>3320</v>
      </c>
      <c r="C172" s="19" t="e">
        <f t="shared" si="7"/>
        <v>#REF!</v>
      </c>
      <c r="D172" s="19" t="e">
        <f t="shared" si="8"/>
        <v>#REF!</v>
      </c>
      <c r="E172" s="19" t="e">
        <f t="shared" si="9"/>
        <v>#REF!</v>
      </c>
      <c r="F172" s="19" t="e">
        <f>VLOOKUP(B172,'Station List'!#REF!,2,0)</f>
        <v>#REF!</v>
      </c>
      <c r="G172" s="19" t="e">
        <f>VLOOKUP(B172,#REF!,2,0)</f>
        <v>#REF!</v>
      </c>
      <c r="H172" s="19" t="e">
        <f t="shared" si="3"/>
        <v>#REF!</v>
      </c>
      <c r="I172" s="19" t="e">
        <f>VLOOKUP(B172,'Station List'!#REF!,4,0)</f>
        <v>#REF!</v>
      </c>
      <c r="J172" s="19" t="e">
        <f>VLOOKUP(B172,#REF!,3,0)</f>
        <v>#REF!</v>
      </c>
      <c r="K172" s="19" t="e">
        <f t="shared" si="16"/>
        <v>#REF!</v>
      </c>
      <c r="L172" s="19" t="e">
        <f>VLOOKUP(B171,'Station List'!#REF!,9,0)</f>
        <v>#REF!</v>
      </c>
      <c r="M172" s="19" t="e">
        <f>VLOOKUP(B171,#REF!,4,0)</f>
        <v>#REF!</v>
      </c>
      <c r="N172" s="17"/>
      <c r="O172" s="17"/>
      <c r="P172" s="17"/>
      <c r="Q172" s="17"/>
      <c r="R172" s="17"/>
      <c r="S172" s="17"/>
      <c r="T172" s="17"/>
      <c r="U172" s="17"/>
      <c r="V172" s="17"/>
      <c r="W172" s="17" t="e">
        <f t="shared" si="17"/>
        <v>#REF!</v>
      </c>
      <c r="X172" s="17" t="e">
        <f t="shared" si="15"/>
        <v>#REF!</v>
      </c>
    </row>
    <row r="173" spans="1:24" ht="12.75" customHeight="1" x14ac:dyDescent="0.2">
      <c r="A173" s="19">
        <v>171</v>
      </c>
      <c r="B173" s="19" t="s">
        <v>3321</v>
      </c>
      <c r="C173" s="19" t="e">
        <f t="shared" si="7"/>
        <v>#REF!</v>
      </c>
      <c r="D173" s="19" t="e">
        <f t="shared" si="8"/>
        <v>#REF!</v>
      </c>
      <c r="E173" s="19" t="e">
        <f t="shared" si="9"/>
        <v>#REF!</v>
      </c>
      <c r="F173" s="19" t="e">
        <f>VLOOKUP(B173,'Station List'!#REF!,2,0)</f>
        <v>#REF!</v>
      </c>
      <c r="G173" s="19" t="e">
        <f>VLOOKUP(B173,#REF!,2,0)</f>
        <v>#REF!</v>
      </c>
      <c r="H173" s="19" t="e">
        <f t="shared" si="3"/>
        <v>#REF!</v>
      </c>
      <c r="I173" s="19" t="e">
        <f>VLOOKUP(B173,'Station List'!#REF!,4,0)</f>
        <v>#REF!</v>
      </c>
      <c r="J173" s="19" t="e">
        <f>VLOOKUP(B173,#REF!,3,0)</f>
        <v>#REF!</v>
      </c>
      <c r="K173" s="19" t="e">
        <f t="shared" si="16"/>
        <v>#REF!</v>
      </c>
      <c r="L173" s="19" t="e">
        <f>VLOOKUP(B172,'Station List'!#REF!,9,0)</f>
        <v>#REF!</v>
      </c>
      <c r="M173" s="19" t="e">
        <f>VLOOKUP(B172,#REF!,4,0)</f>
        <v>#REF!</v>
      </c>
      <c r="N173" s="17"/>
      <c r="O173" s="17"/>
      <c r="P173" s="17"/>
      <c r="Q173" s="17"/>
      <c r="R173" s="17"/>
      <c r="S173" s="17"/>
      <c r="T173" s="17"/>
      <c r="U173" s="17"/>
      <c r="V173" s="17"/>
      <c r="W173" s="17" t="e">
        <f t="shared" si="17"/>
        <v>#REF!</v>
      </c>
      <c r="X173" s="17" t="e">
        <f t="shared" si="15"/>
        <v>#REF!</v>
      </c>
    </row>
    <row r="174" spans="1:24" ht="12.75" customHeight="1" x14ac:dyDescent="0.2">
      <c r="A174" s="19">
        <v>172</v>
      </c>
      <c r="B174" s="19" t="s">
        <v>3322</v>
      </c>
      <c r="C174" s="19" t="e">
        <f t="shared" si="7"/>
        <v>#REF!</v>
      </c>
      <c r="D174" s="19" t="e">
        <f t="shared" si="8"/>
        <v>#REF!</v>
      </c>
      <c r="E174" s="19" t="e">
        <f t="shared" si="9"/>
        <v>#REF!</v>
      </c>
      <c r="F174" s="19" t="e">
        <f>VLOOKUP(B174,'Station List'!#REF!,2,0)</f>
        <v>#REF!</v>
      </c>
      <c r="G174" s="19" t="e">
        <f>VLOOKUP(B174,#REF!,2,0)</f>
        <v>#REF!</v>
      </c>
      <c r="H174" s="19" t="e">
        <f t="shared" si="3"/>
        <v>#REF!</v>
      </c>
      <c r="I174" s="19" t="e">
        <f>VLOOKUP(B174,'Station List'!#REF!,4,0)</f>
        <v>#REF!</v>
      </c>
      <c r="J174" s="19" t="e">
        <f>VLOOKUP(B174,#REF!,3,0)</f>
        <v>#REF!</v>
      </c>
      <c r="K174" s="19" t="e">
        <f t="shared" si="16"/>
        <v>#REF!</v>
      </c>
      <c r="L174" s="19" t="e">
        <f>VLOOKUP(B173,'Station List'!#REF!,9,0)</f>
        <v>#REF!</v>
      </c>
      <c r="M174" s="19" t="e">
        <f>VLOOKUP(B173,#REF!,4,0)</f>
        <v>#REF!</v>
      </c>
      <c r="N174" s="17"/>
      <c r="O174" s="17"/>
      <c r="P174" s="17"/>
      <c r="Q174" s="17"/>
      <c r="R174" s="17"/>
      <c r="S174" s="17"/>
      <c r="T174" s="17"/>
      <c r="U174" s="17"/>
      <c r="V174" s="17"/>
      <c r="W174" s="17" t="e">
        <f t="shared" si="17"/>
        <v>#REF!</v>
      </c>
      <c r="X174" s="17" t="e">
        <f t="shared" si="15"/>
        <v>#REF!</v>
      </c>
    </row>
    <row r="175" spans="1:24" ht="12.75" customHeight="1" x14ac:dyDescent="0.2">
      <c r="A175" s="19">
        <v>173</v>
      </c>
      <c r="B175" s="19" t="s">
        <v>3323</v>
      </c>
      <c r="C175" s="19" t="e">
        <f t="shared" si="7"/>
        <v>#REF!</v>
      </c>
      <c r="D175" s="19" t="e">
        <f t="shared" si="8"/>
        <v>#REF!</v>
      </c>
      <c r="E175" s="19" t="e">
        <f t="shared" si="9"/>
        <v>#REF!</v>
      </c>
      <c r="F175" s="19" t="e">
        <f>VLOOKUP(B175,'Station List'!#REF!,2,0)</f>
        <v>#REF!</v>
      </c>
      <c r="G175" s="19" t="e">
        <f>VLOOKUP(B175,#REF!,2,0)</f>
        <v>#REF!</v>
      </c>
      <c r="H175" s="19" t="e">
        <f t="shared" si="3"/>
        <v>#REF!</v>
      </c>
      <c r="I175" s="19" t="e">
        <f>VLOOKUP(B175,'Station List'!#REF!,4,0)</f>
        <v>#REF!</v>
      </c>
      <c r="J175" s="19" t="e">
        <f>VLOOKUP(B175,#REF!,3,0)</f>
        <v>#REF!</v>
      </c>
      <c r="K175" s="19" t="e">
        <f t="shared" si="16"/>
        <v>#REF!</v>
      </c>
      <c r="L175" s="19" t="e">
        <f>VLOOKUP(B174,'Station List'!#REF!,9,0)</f>
        <v>#REF!</v>
      </c>
      <c r="M175" s="19" t="e">
        <f>VLOOKUP(B174,#REF!,4,0)</f>
        <v>#REF!</v>
      </c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spans="1:24" ht="12.75" customHeight="1" x14ac:dyDescent="0.2">
      <c r="A176" s="19">
        <v>174</v>
      </c>
      <c r="B176" s="19" t="s">
        <v>3324</v>
      </c>
      <c r="C176" s="19" t="e">
        <f t="shared" si="7"/>
        <v>#REF!</v>
      </c>
      <c r="D176" s="19" t="e">
        <f t="shared" si="8"/>
        <v>#REF!</v>
      </c>
      <c r="E176" s="19" t="e">
        <f t="shared" si="9"/>
        <v>#REF!</v>
      </c>
      <c r="F176" s="19" t="e">
        <f>VLOOKUP(B176,'Station List'!#REF!,2,0)</f>
        <v>#REF!</v>
      </c>
      <c r="G176" s="19" t="e">
        <f>VLOOKUP(B176,#REF!,2,0)</f>
        <v>#REF!</v>
      </c>
      <c r="H176" s="19" t="e">
        <f t="shared" si="3"/>
        <v>#REF!</v>
      </c>
      <c r="I176" s="19" t="e">
        <f>VLOOKUP(B176,'Station List'!#REF!,4,0)</f>
        <v>#REF!</v>
      </c>
      <c r="J176" s="19" t="e">
        <f>VLOOKUP(B176,#REF!,3,0)</f>
        <v>#REF!</v>
      </c>
      <c r="K176" s="19" t="e">
        <f t="shared" si="16"/>
        <v>#REF!</v>
      </c>
      <c r="L176" s="19" t="e">
        <f>VLOOKUP(B175,'Station List'!#REF!,9,0)</f>
        <v>#REF!</v>
      </c>
      <c r="M176" s="19" t="e">
        <f>VLOOKUP(B175,#REF!,4,0)</f>
        <v>#REF!</v>
      </c>
      <c r="N176" s="17"/>
      <c r="O176" s="17"/>
      <c r="P176" s="17"/>
      <c r="Q176" s="17"/>
      <c r="R176" s="17"/>
      <c r="S176" s="17"/>
      <c r="T176" s="17"/>
      <c r="U176" s="17"/>
      <c r="V176" s="17"/>
      <c r="W176" s="17" t="e">
        <f t="shared" ref="W176:W186" si="18">IF(I175=J175,0,1)</f>
        <v>#REF!</v>
      </c>
      <c r="X176" s="17" t="e">
        <f t="shared" ref="X176:X246" si="19">IF(L176=M176,0,1)</f>
        <v>#REF!</v>
      </c>
    </row>
    <row r="177" spans="1:24" ht="12.75" customHeight="1" x14ac:dyDescent="0.2">
      <c r="A177" s="19">
        <v>175</v>
      </c>
      <c r="B177" s="19" t="s">
        <v>3325</v>
      </c>
      <c r="C177" s="19" t="e">
        <f t="shared" si="7"/>
        <v>#REF!</v>
      </c>
      <c r="D177" s="19" t="e">
        <f t="shared" si="8"/>
        <v>#REF!</v>
      </c>
      <c r="E177" s="19" t="e">
        <f t="shared" si="9"/>
        <v>#REF!</v>
      </c>
      <c r="F177" s="19" t="e">
        <f>VLOOKUP(B177,'Station List'!#REF!,2,0)</f>
        <v>#REF!</v>
      </c>
      <c r="G177" s="19" t="e">
        <f>VLOOKUP(B177,#REF!,2,0)</f>
        <v>#REF!</v>
      </c>
      <c r="H177" s="19" t="e">
        <f t="shared" si="3"/>
        <v>#REF!</v>
      </c>
      <c r="I177" s="19" t="e">
        <f>VLOOKUP(B177,'Station List'!#REF!,4,0)</f>
        <v>#REF!</v>
      </c>
      <c r="J177" s="19" t="e">
        <f>VLOOKUP(B177,#REF!,3,0)</f>
        <v>#REF!</v>
      </c>
      <c r="K177" s="19" t="e">
        <f t="shared" si="16"/>
        <v>#REF!</v>
      </c>
      <c r="L177" s="19" t="e">
        <f>VLOOKUP(B176,'Station List'!#REF!,9,0)</f>
        <v>#REF!</v>
      </c>
      <c r="M177" s="19" t="e">
        <f>VLOOKUP(B176,#REF!,4,0)</f>
        <v>#REF!</v>
      </c>
      <c r="N177" s="17"/>
      <c r="O177" s="17"/>
      <c r="P177" s="17"/>
      <c r="Q177" s="17"/>
      <c r="R177" s="17"/>
      <c r="S177" s="17"/>
      <c r="T177" s="17"/>
      <c r="U177" s="17"/>
      <c r="V177" s="17"/>
      <c r="W177" s="17" t="e">
        <f t="shared" si="18"/>
        <v>#REF!</v>
      </c>
      <c r="X177" s="17" t="e">
        <f t="shared" si="19"/>
        <v>#REF!</v>
      </c>
    </row>
    <row r="178" spans="1:24" ht="12.75" customHeight="1" x14ac:dyDescent="0.2">
      <c r="A178" s="19">
        <v>176</v>
      </c>
      <c r="B178" s="19" t="s">
        <v>3326</v>
      </c>
      <c r="C178" s="19" t="e">
        <f t="shared" si="7"/>
        <v>#REF!</v>
      </c>
      <c r="D178" s="19" t="e">
        <f t="shared" si="8"/>
        <v>#REF!</v>
      </c>
      <c r="E178" s="19" t="e">
        <f t="shared" si="9"/>
        <v>#REF!</v>
      </c>
      <c r="F178" s="19" t="e">
        <f>VLOOKUP(B178,'Station List'!#REF!,2,0)</f>
        <v>#REF!</v>
      </c>
      <c r="G178" s="19" t="e">
        <f>VLOOKUP(B178,#REF!,2,0)</f>
        <v>#REF!</v>
      </c>
      <c r="H178" s="19" t="e">
        <f t="shared" si="3"/>
        <v>#REF!</v>
      </c>
      <c r="I178" s="19" t="e">
        <f>VLOOKUP(B178,'Station List'!#REF!,4,0)</f>
        <v>#REF!</v>
      </c>
      <c r="J178" s="19" t="e">
        <f>VLOOKUP(B178,#REF!,3,0)</f>
        <v>#REF!</v>
      </c>
      <c r="K178" s="19" t="e">
        <f t="shared" si="16"/>
        <v>#REF!</v>
      </c>
      <c r="L178" s="19" t="e">
        <f>VLOOKUP(B177,'Station List'!#REF!,9,0)</f>
        <v>#REF!</v>
      </c>
      <c r="M178" s="19" t="e">
        <f>VLOOKUP(B177,#REF!,4,0)</f>
        <v>#REF!</v>
      </c>
      <c r="N178" s="17"/>
      <c r="O178" s="17"/>
      <c r="P178" s="17"/>
      <c r="Q178" s="17"/>
      <c r="R178" s="17"/>
      <c r="S178" s="17"/>
      <c r="T178" s="17"/>
      <c r="U178" s="17"/>
      <c r="V178" s="17"/>
      <c r="W178" s="17" t="e">
        <f t="shared" si="18"/>
        <v>#REF!</v>
      </c>
      <c r="X178" s="17" t="e">
        <f t="shared" si="19"/>
        <v>#REF!</v>
      </c>
    </row>
    <row r="179" spans="1:24" ht="12.75" customHeight="1" x14ac:dyDescent="0.2">
      <c r="A179" s="19">
        <v>177</v>
      </c>
      <c r="B179" s="19" t="s">
        <v>3327</v>
      </c>
      <c r="C179" s="19" t="e">
        <f t="shared" si="7"/>
        <v>#REF!</v>
      </c>
      <c r="D179" s="19" t="e">
        <f t="shared" si="8"/>
        <v>#REF!</v>
      </c>
      <c r="E179" s="19" t="e">
        <f t="shared" si="9"/>
        <v>#REF!</v>
      </c>
      <c r="F179" s="19" t="e">
        <f>VLOOKUP(B179,'Station List'!#REF!,2,0)</f>
        <v>#REF!</v>
      </c>
      <c r="G179" s="19" t="e">
        <f>VLOOKUP(B179,#REF!,2,0)</f>
        <v>#REF!</v>
      </c>
      <c r="H179" s="19" t="e">
        <f t="shared" si="3"/>
        <v>#REF!</v>
      </c>
      <c r="I179" s="19" t="e">
        <f>VLOOKUP(B179,'Station List'!#REF!,4,0)</f>
        <v>#REF!</v>
      </c>
      <c r="J179" s="19" t="e">
        <f>VLOOKUP(B179,#REF!,3,0)</f>
        <v>#REF!</v>
      </c>
      <c r="K179" s="19" t="e">
        <f t="shared" si="16"/>
        <v>#REF!</v>
      </c>
      <c r="L179" s="19" t="e">
        <f>VLOOKUP(B178,'Station List'!#REF!,9,0)</f>
        <v>#REF!</v>
      </c>
      <c r="M179" s="19" t="e">
        <f>VLOOKUP(B178,#REF!,4,0)</f>
        <v>#REF!</v>
      </c>
      <c r="N179" s="17"/>
      <c r="O179" s="17"/>
      <c r="P179" s="17"/>
      <c r="Q179" s="17"/>
      <c r="R179" s="17"/>
      <c r="S179" s="17"/>
      <c r="T179" s="17"/>
      <c r="U179" s="17"/>
      <c r="V179" s="17"/>
      <c r="W179" s="17" t="e">
        <f t="shared" si="18"/>
        <v>#REF!</v>
      </c>
      <c r="X179" s="17" t="e">
        <f t="shared" si="19"/>
        <v>#REF!</v>
      </c>
    </row>
    <row r="180" spans="1:24" ht="12.75" customHeight="1" x14ac:dyDescent="0.2">
      <c r="A180" s="19">
        <v>178</v>
      </c>
      <c r="B180" s="19" t="s">
        <v>3328</v>
      </c>
      <c r="C180" s="19" t="e">
        <f t="shared" si="7"/>
        <v>#REF!</v>
      </c>
      <c r="D180" s="19" t="e">
        <f t="shared" si="8"/>
        <v>#REF!</v>
      </c>
      <c r="E180" s="19" t="e">
        <f t="shared" si="9"/>
        <v>#REF!</v>
      </c>
      <c r="F180" s="19" t="e">
        <f>VLOOKUP(B180,'Station List'!#REF!,2,0)</f>
        <v>#REF!</v>
      </c>
      <c r="G180" s="19" t="e">
        <f>VLOOKUP(B180,#REF!,2,0)</f>
        <v>#REF!</v>
      </c>
      <c r="H180" s="19" t="e">
        <f t="shared" si="3"/>
        <v>#REF!</v>
      </c>
      <c r="I180" s="19" t="e">
        <f>VLOOKUP(B180,'Station List'!#REF!,4,0)</f>
        <v>#REF!</v>
      </c>
      <c r="J180" s="19" t="e">
        <f>VLOOKUP(B180,#REF!,3,0)</f>
        <v>#REF!</v>
      </c>
      <c r="K180" s="19" t="e">
        <f t="shared" si="16"/>
        <v>#REF!</v>
      </c>
      <c r="L180" s="19" t="e">
        <f>VLOOKUP(B179,'Station List'!#REF!,9,0)</f>
        <v>#REF!</v>
      </c>
      <c r="M180" s="19" t="e">
        <f>VLOOKUP(B179,#REF!,4,0)</f>
        <v>#REF!</v>
      </c>
      <c r="N180" s="17"/>
      <c r="O180" s="17"/>
      <c r="P180" s="17"/>
      <c r="Q180" s="17"/>
      <c r="R180" s="17"/>
      <c r="S180" s="17"/>
      <c r="T180" s="17"/>
      <c r="U180" s="17"/>
      <c r="V180" s="17"/>
      <c r="W180" s="17" t="e">
        <f t="shared" si="18"/>
        <v>#REF!</v>
      </c>
      <c r="X180" s="17" t="e">
        <f t="shared" si="19"/>
        <v>#REF!</v>
      </c>
    </row>
    <row r="181" spans="1:24" ht="12.75" customHeight="1" x14ac:dyDescent="0.2">
      <c r="A181" s="19">
        <v>179</v>
      </c>
      <c r="B181" s="19" t="s">
        <v>3329</v>
      </c>
      <c r="C181" s="19" t="e">
        <f t="shared" si="7"/>
        <v>#REF!</v>
      </c>
      <c r="D181" s="19" t="e">
        <f t="shared" si="8"/>
        <v>#REF!</v>
      </c>
      <c r="E181" s="19" t="e">
        <f t="shared" si="9"/>
        <v>#REF!</v>
      </c>
      <c r="F181" s="19" t="e">
        <f>VLOOKUP(B181,'Station List'!#REF!,2,0)</f>
        <v>#REF!</v>
      </c>
      <c r="G181" s="19" t="e">
        <f>VLOOKUP(B181,#REF!,2,0)</f>
        <v>#REF!</v>
      </c>
      <c r="H181" s="19" t="e">
        <f t="shared" si="3"/>
        <v>#REF!</v>
      </c>
      <c r="I181" s="19" t="e">
        <f>VLOOKUP(B181,'Station List'!#REF!,4,0)</f>
        <v>#REF!</v>
      </c>
      <c r="J181" s="19" t="e">
        <f>VLOOKUP(B181,#REF!,3,0)</f>
        <v>#REF!</v>
      </c>
      <c r="K181" s="19" t="e">
        <f t="shared" si="16"/>
        <v>#REF!</v>
      </c>
      <c r="L181" s="19" t="e">
        <f>VLOOKUP(B180,'Station List'!#REF!,9,0)</f>
        <v>#REF!</v>
      </c>
      <c r="M181" s="19" t="e">
        <f>VLOOKUP(B180,#REF!,4,0)</f>
        <v>#REF!</v>
      </c>
      <c r="N181" s="17" t="s">
        <v>3073</v>
      </c>
      <c r="O181" s="17"/>
      <c r="P181" s="17"/>
      <c r="Q181" s="17"/>
      <c r="R181" s="17"/>
      <c r="S181" s="17"/>
      <c r="T181" s="17"/>
      <c r="U181" s="17"/>
      <c r="V181" s="17"/>
      <c r="W181" s="17" t="e">
        <f t="shared" si="18"/>
        <v>#REF!</v>
      </c>
      <c r="X181" s="17" t="e">
        <f t="shared" si="19"/>
        <v>#REF!</v>
      </c>
    </row>
    <row r="182" spans="1:24" ht="12.75" customHeight="1" x14ac:dyDescent="0.2">
      <c r="A182" s="19">
        <v>180</v>
      </c>
      <c r="B182" s="19" t="s">
        <v>3330</v>
      </c>
      <c r="C182" s="19" t="e">
        <f t="shared" si="7"/>
        <v>#REF!</v>
      </c>
      <c r="D182" s="19" t="e">
        <f t="shared" si="8"/>
        <v>#REF!</v>
      </c>
      <c r="E182" s="19" t="e">
        <f t="shared" si="9"/>
        <v>#REF!</v>
      </c>
      <c r="F182" s="19" t="e">
        <f>VLOOKUP(B182,'Station List'!#REF!,2,0)</f>
        <v>#REF!</v>
      </c>
      <c r="G182" s="19" t="e">
        <f>VLOOKUP(B182,#REF!,2,0)</f>
        <v>#REF!</v>
      </c>
      <c r="H182" s="19" t="e">
        <f t="shared" si="3"/>
        <v>#REF!</v>
      </c>
      <c r="I182" s="19" t="e">
        <f>VLOOKUP(B182,'Station List'!#REF!,4,0)</f>
        <v>#REF!</v>
      </c>
      <c r="J182" s="19" t="e">
        <f>VLOOKUP(B182,#REF!,3,0)</f>
        <v>#REF!</v>
      </c>
      <c r="K182" s="19" t="e">
        <f t="shared" si="16"/>
        <v>#REF!</v>
      </c>
      <c r="L182" s="19" t="e">
        <f>VLOOKUP(B181,'Station List'!#REF!,9,0)</f>
        <v>#REF!</v>
      </c>
      <c r="M182" s="19" t="e">
        <f>VLOOKUP(B181,#REF!,4,0)</f>
        <v>#REF!</v>
      </c>
      <c r="N182" s="17"/>
      <c r="O182" s="17"/>
      <c r="P182" s="17"/>
      <c r="Q182" s="17"/>
      <c r="R182" s="17"/>
      <c r="S182" s="17"/>
      <c r="T182" s="17"/>
      <c r="U182" s="17"/>
      <c r="V182" s="17"/>
      <c r="W182" s="17" t="e">
        <f t="shared" si="18"/>
        <v>#REF!</v>
      </c>
      <c r="X182" s="17" t="e">
        <f t="shared" si="19"/>
        <v>#REF!</v>
      </c>
    </row>
    <row r="183" spans="1:24" ht="12.75" customHeight="1" x14ac:dyDescent="0.2">
      <c r="A183" s="19">
        <v>181</v>
      </c>
      <c r="B183" s="19" t="s">
        <v>3331</v>
      </c>
      <c r="C183" s="19" t="e">
        <f t="shared" si="7"/>
        <v>#REF!</v>
      </c>
      <c r="D183" s="19" t="e">
        <f t="shared" si="8"/>
        <v>#REF!</v>
      </c>
      <c r="E183" s="19" t="e">
        <f t="shared" si="9"/>
        <v>#REF!</v>
      </c>
      <c r="F183" s="19" t="e">
        <f>VLOOKUP(B183,'Station List'!#REF!,2,0)</f>
        <v>#REF!</v>
      </c>
      <c r="G183" s="19" t="e">
        <f>VLOOKUP(B183,#REF!,2,0)</f>
        <v>#REF!</v>
      </c>
      <c r="H183" s="19" t="e">
        <f t="shared" si="3"/>
        <v>#REF!</v>
      </c>
      <c r="I183" s="19" t="e">
        <f>VLOOKUP(B183,'Station List'!#REF!,4,0)</f>
        <v>#REF!</v>
      </c>
      <c r="J183" s="19" t="e">
        <f>VLOOKUP(B183,#REF!,3,0)</f>
        <v>#REF!</v>
      </c>
      <c r="K183" s="19" t="e">
        <f t="shared" si="16"/>
        <v>#REF!</v>
      </c>
      <c r="L183" s="19" t="e">
        <f>VLOOKUP(B182,'Station List'!#REF!,9,0)</f>
        <v>#REF!</v>
      </c>
      <c r="M183" s="19" t="e">
        <f>VLOOKUP(B182,#REF!,4,0)</f>
        <v>#REF!</v>
      </c>
      <c r="N183" s="17"/>
      <c r="O183" s="17"/>
      <c r="P183" s="17"/>
      <c r="Q183" s="17"/>
      <c r="R183" s="17"/>
      <c r="S183" s="17"/>
      <c r="T183" s="17"/>
      <c r="U183" s="17"/>
      <c r="V183" s="17"/>
      <c r="W183" s="17" t="e">
        <f t="shared" si="18"/>
        <v>#REF!</v>
      </c>
      <c r="X183" s="17" t="e">
        <f t="shared" si="19"/>
        <v>#REF!</v>
      </c>
    </row>
    <row r="184" spans="1:24" ht="12.75" customHeight="1" x14ac:dyDescent="0.2">
      <c r="A184" s="19">
        <v>182</v>
      </c>
      <c r="B184" s="19" t="s">
        <v>3332</v>
      </c>
      <c r="C184" s="19" t="e">
        <f t="shared" si="7"/>
        <v>#REF!</v>
      </c>
      <c r="D184" s="19" t="e">
        <f t="shared" si="8"/>
        <v>#REF!</v>
      </c>
      <c r="E184" s="19" t="e">
        <f t="shared" si="9"/>
        <v>#REF!</v>
      </c>
      <c r="F184" s="19" t="e">
        <f>VLOOKUP(B184,'Station List'!#REF!,2,0)</f>
        <v>#REF!</v>
      </c>
      <c r="G184" s="19" t="e">
        <f>VLOOKUP(B184,#REF!,2,0)</f>
        <v>#REF!</v>
      </c>
      <c r="H184" s="19" t="e">
        <f t="shared" si="3"/>
        <v>#REF!</v>
      </c>
      <c r="I184" s="19" t="e">
        <f>VLOOKUP(B184,'Station List'!#REF!,4,0)</f>
        <v>#REF!</v>
      </c>
      <c r="J184" s="19" t="e">
        <f>VLOOKUP(B184,#REF!,3,0)</f>
        <v>#REF!</v>
      </c>
      <c r="K184" s="19" t="e">
        <f t="shared" si="16"/>
        <v>#REF!</v>
      </c>
      <c r="L184" s="19" t="e">
        <f>VLOOKUP(B183,'Station List'!#REF!,9,0)</f>
        <v>#REF!</v>
      </c>
      <c r="M184" s="19" t="e">
        <f>VLOOKUP(B183,#REF!,4,0)</f>
        <v>#REF!</v>
      </c>
      <c r="N184" s="17" t="s">
        <v>3333</v>
      </c>
      <c r="O184" s="17"/>
      <c r="P184" s="17"/>
      <c r="Q184" s="17"/>
      <c r="R184" s="17"/>
      <c r="S184" s="17"/>
      <c r="T184" s="17"/>
      <c r="U184" s="17"/>
      <c r="V184" s="17"/>
      <c r="W184" s="17" t="e">
        <f t="shared" si="18"/>
        <v>#REF!</v>
      </c>
      <c r="X184" s="17" t="e">
        <f t="shared" si="19"/>
        <v>#REF!</v>
      </c>
    </row>
    <row r="185" spans="1:24" ht="12.75" customHeight="1" x14ac:dyDescent="0.2">
      <c r="A185" s="19">
        <v>183</v>
      </c>
      <c r="B185" s="19" t="s">
        <v>3334</v>
      </c>
      <c r="C185" s="19" t="e">
        <f t="shared" si="7"/>
        <v>#REF!</v>
      </c>
      <c r="D185" s="19" t="e">
        <f t="shared" si="8"/>
        <v>#REF!</v>
      </c>
      <c r="E185" s="19" t="e">
        <f t="shared" si="9"/>
        <v>#REF!</v>
      </c>
      <c r="F185" s="19" t="e">
        <f>VLOOKUP(B185,'Station List'!#REF!,2,0)</f>
        <v>#REF!</v>
      </c>
      <c r="G185" s="19" t="e">
        <f>VLOOKUP(B185,#REF!,2,0)</f>
        <v>#REF!</v>
      </c>
      <c r="H185" s="19" t="e">
        <f t="shared" si="3"/>
        <v>#REF!</v>
      </c>
      <c r="I185" s="19" t="e">
        <f>VLOOKUP(B185,'Station List'!#REF!,4,0)</f>
        <v>#REF!</v>
      </c>
      <c r="J185" s="19" t="e">
        <f>VLOOKUP(B185,#REF!,3,0)</f>
        <v>#REF!</v>
      </c>
      <c r="K185" s="19" t="e">
        <f t="shared" si="16"/>
        <v>#REF!</v>
      </c>
      <c r="L185" s="19" t="e">
        <f>VLOOKUP(B184,'Station List'!#REF!,9,0)</f>
        <v>#REF!</v>
      </c>
      <c r="M185" s="19" t="e">
        <f>VLOOKUP(B184,#REF!,4,0)</f>
        <v>#REF!</v>
      </c>
      <c r="N185" s="17"/>
      <c r="O185" s="17"/>
      <c r="P185" s="17"/>
      <c r="Q185" s="17"/>
      <c r="R185" s="17"/>
      <c r="S185" s="17"/>
      <c r="T185" s="17"/>
      <c r="U185" s="17"/>
      <c r="V185" s="17"/>
      <c r="W185" s="17" t="e">
        <f t="shared" si="18"/>
        <v>#REF!</v>
      </c>
      <c r="X185" s="17" t="e">
        <f t="shared" si="19"/>
        <v>#REF!</v>
      </c>
    </row>
    <row r="186" spans="1:24" ht="12.75" customHeight="1" x14ac:dyDescent="0.2">
      <c r="A186" s="19">
        <v>184</v>
      </c>
      <c r="B186" s="19" t="s">
        <v>3335</v>
      </c>
      <c r="C186" s="19" t="e">
        <f t="shared" si="7"/>
        <v>#REF!</v>
      </c>
      <c r="D186" s="19" t="e">
        <f t="shared" si="8"/>
        <v>#REF!</v>
      </c>
      <c r="E186" s="19" t="e">
        <f t="shared" si="9"/>
        <v>#REF!</v>
      </c>
      <c r="F186" s="19" t="e">
        <f>VLOOKUP(B186,'Station List'!#REF!,2,0)</f>
        <v>#REF!</v>
      </c>
      <c r="G186" s="19" t="e">
        <f>VLOOKUP(B186,#REF!,2,0)</f>
        <v>#REF!</v>
      </c>
      <c r="H186" s="19" t="e">
        <f t="shared" si="3"/>
        <v>#REF!</v>
      </c>
      <c r="I186" s="19" t="e">
        <f>VLOOKUP(B186,'Station List'!#REF!,4,0)</f>
        <v>#REF!</v>
      </c>
      <c r="J186" s="19" t="e">
        <f>VLOOKUP(B186,#REF!,3,0)</f>
        <v>#REF!</v>
      </c>
      <c r="K186" s="19" t="e">
        <f t="shared" si="16"/>
        <v>#REF!</v>
      </c>
      <c r="L186" s="19" t="e">
        <f>VLOOKUP(B185,'Station List'!#REF!,9,0)</f>
        <v>#REF!</v>
      </c>
      <c r="M186" s="19" t="e">
        <f>VLOOKUP(B185,#REF!,4,0)</f>
        <v>#REF!</v>
      </c>
      <c r="N186" s="17"/>
      <c r="O186" s="17"/>
      <c r="P186" s="17"/>
      <c r="Q186" s="17"/>
      <c r="R186" s="17"/>
      <c r="S186" s="17"/>
      <c r="T186" s="17"/>
      <c r="U186" s="17"/>
      <c r="V186" s="17"/>
      <c r="W186" s="17" t="e">
        <f t="shared" si="18"/>
        <v>#REF!</v>
      </c>
      <c r="X186" s="17" t="e">
        <f t="shared" si="19"/>
        <v>#REF!</v>
      </c>
    </row>
    <row r="187" spans="1:24" ht="12.75" customHeight="1" x14ac:dyDescent="0.2">
      <c r="A187" s="19">
        <v>185</v>
      </c>
      <c r="B187" s="19" t="s">
        <v>3336</v>
      </c>
      <c r="C187" s="19" t="e">
        <f t="shared" si="7"/>
        <v>#REF!</v>
      </c>
      <c r="D187" s="19" t="e">
        <f t="shared" si="8"/>
        <v>#REF!</v>
      </c>
      <c r="E187" s="19" t="e">
        <f t="shared" si="9"/>
        <v>#REF!</v>
      </c>
      <c r="F187" s="19" t="e">
        <f>VLOOKUP(B187,'Station List'!#REF!,2,0)</f>
        <v>#REF!</v>
      </c>
      <c r="G187" s="19" t="e">
        <f>VLOOKUP(B187,#REF!,2,0)</f>
        <v>#REF!</v>
      </c>
      <c r="H187" s="19" t="e">
        <f t="shared" si="3"/>
        <v>#REF!</v>
      </c>
      <c r="I187" s="19" t="e">
        <f>VLOOKUP(B187,'Station List'!#REF!,4,0)</f>
        <v>#REF!</v>
      </c>
      <c r="J187" s="19" t="e">
        <f>VLOOKUP(B187,#REF!,3,0)</f>
        <v>#REF!</v>
      </c>
      <c r="K187" s="19" t="e">
        <f>VLOOKUP(#REF!,#REF!,4,0)</f>
        <v>#REF!</v>
      </c>
      <c r="L187" s="19" t="e">
        <f>VLOOKUP(#REF!,'Station List'!#REF!,9,0)</f>
        <v>#REF!</v>
      </c>
      <c r="M187" s="19" t="e">
        <f>VLOOKUP(#REF!,#REF!,4,0)</f>
        <v>#REF!</v>
      </c>
      <c r="N187" s="17"/>
      <c r="O187" s="17"/>
      <c r="P187" s="17"/>
      <c r="Q187" s="17"/>
      <c r="R187" s="17"/>
      <c r="S187" s="17"/>
      <c r="T187" s="17"/>
      <c r="U187" s="17"/>
      <c r="V187" s="17"/>
      <c r="W187" s="17" t="e">
        <f>IF(#REF!=#REF!,0,1)</f>
        <v>#REF!</v>
      </c>
      <c r="X187" s="17" t="e">
        <f t="shared" si="19"/>
        <v>#REF!</v>
      </c>
    </row>
    <row r="188" spans="1:24" ht="12.75" customHeight="1" x14ac:dyDescent="0.2">
      <c r="A188" s="19">
        <v>186</v>
      </c>
      <c r="B188" s="19" t="s">
        <v>3337</v>
      </c>
      <c r="C188" s="19" t="e">
        <f t="shared" si="7"/>
        <v>#REF!</v>
      </c>
      <c r="D188" s="19" t="e">
        <f t="shared" si="8"/>
        <v>#REF!</v>
      </c>
      <c r="E188" s="19" t="e">
        <f t="shared" si="9"/>
        <v>#REF!</v>
      </c>
      <c r="F188" s="19" t="e">
        <f>VLOOKUP(B188,'Station List'!#REF!,2,0)</f>
        <v>#REF!</v>
      </c>
      <c r="G188" s="19" t="e">
        <f>VLOOKUP(B188,#REF!,2,0)</f>
        <v>#REF!</v>
      </c>
      <c r="H188" s="19" t="e">
        <f t="shared" si="3"/>
        <v>#REF!</v>
      </c>
      <c r="I188" s="19" t="e">
        <f>VLOOKUP(B188,'Station List'!#REF!,4,0)</f>
        <v>#REF!</v>
      </c>
      <c r="J188" s="19" t="e">
        <f>VLOOKUP(B188,#REF!,3,0)</f>
        <v>#REF!</v>
      </c>
      <c r="K188" s="19" t="e">
        <f t="shared" ref="K188:K221" si="20">VLOOKUP(B187,#REF!,4,0)</f>
        <v>#REF!</v>
      </c>
      <c r="L188" s="19" t="e">
        <f>VLOOKUP(B187,'Station List'!#REF!,9,0)</f>
        <v>#REF!</v>
      </c>
      <c r="M188" s="19" t="e">
        <f>VLOOKUP(B187,#REF!,4,0)</f>
        <v>#REF!</v>
      </c>
      <c r="N188" s="17"/>
      <c r="O188" s="17"/>
      <c r="P188" s="17"/>
      <c r="Q188" s="17"/>
      <c r="R188" s="17"/>
      <c r="S188" s="17"/>
      <c r="T188" s="17"/>
      <c r="U188" s="17"/>
      <c r="V188" s="17"/>
      <c r="W188" s="17" t="e">
        <f t="shared" ref="W188:W221" si="21">IF(I187=J187,0,1)</f>
        <v>#REF!</v>
      </c>
      <c r="X188" s="17" t="e">
        <f t="shared" si="19"/>
        <v>#REF!</v>
      </c>
    </row>
    <row r="189" spans="1:24" ht="12.75" customHeight="1" x14ac:dyDescent="0.2">
      <c r="A189" s="19">
        <v>187</v>
      </c>
      <c r="B189" s="19" t="s">
        <v>3338</v>
      </c>
      <c r="C189" s="19" t="e">
        <f t="shared" si="7"/>
        <v>#REF!</v>
      </c>
      <c r="D189" s="19" t="e">
        <f t="shared" si="8"/>
        <v>#REF!</v>
      </c>
      <c r="E189" s="19" t="e">
        <f t="shared" si="9"/>
        <v>#REF!</v>
      </c>
      <c r="F189" s="19" t="e">
        <f>VLOOKUP(B189,'Station List'!#REF!,2,0)</f>
        <v>#REF!</v>
      </c>
      <c r="G189" s="19" t="e">
        <f>VLOOKUP(B189,#REF!,2,0)</f>
        <v>#REF!</v>
      </c>
      <c r="H189" s="19" t="e">
        <f t="shared" si="3"/>
        <v>#REF!</v>
      </c>
      <c r="I189" s="19" t="e">
        <f>VLOOKUP(B189,'Station List'!#REF!,4,0)</f>
        <v>#REF!</v>
      </c>
      <c r="J189" s="19" t="e">
        <f>VLOOKUP(B189,#REF!,3,0)</f>
        <v>#REF!</v>
      </c>
      <c r="K189" s="19" t="e">
        <f t="shared" si="20"/>
        <v>#REF!</v>
      </c>
      <c r="L189" s="19" t="e">
        <f>VLOOKUP(B188,'Station List'!#REF!,9,0)</f>
        <v>#REF!</v>
      </c>
      <c r="M189" s="19" t="e">
        <f>VLOOKUP(B188,#REF!,4,0)</f>
        <v>#REF!</v>
      </c>
      <c r="N189" s="17"/>
      <c r="O189" s="17"/>
      <c r="P189" s="17"/>
      <c r="Q189" s="17"/>
      <c r="R189" s="17"/>
      <c r="S189" s="17"/>
      <c r="T189" s="17"/>
      <c r="U189" s="17"/>
      <c r="V189" s="17"/>
      <c r="W189" s="17" t="e">
        <f t="shared" si="21"/>
        <v>#REF!</v>
      </c>
      <c r="X189" s="17" t="e">
        <f t="shared" si="19"/>
        <v>#REF!</v>
      </c>
    </row>
    <row r="190" spans="1:24" ht="12.75" customHeight="1" x14ac:dyDescent="0.2">
      <c r="A190" s="19">
        <v>188</v>
      </c>
      <c r="B190" s="19" t="s">
        <v>3339</v>
      </c>
      <c r="C190" s="19" t="e">
        <f t="shared" si="7"/>
        <v>#REF!</v>
      </c>
      <c r="D190" s="19" t="e">
        <f t="shared" si="8"/>
        <v>#REF!</v>
      </c>
      <c r="E190" s="19" t="e">
        <f t="shared" si="9"/>
        <v>#REF!</v>
      </c>
      <c r="F190" s="19" t="e">
        <f>VLOOKUP(B190,'Station List'!#REF!,2,0)</f>
        <v>#REF!</v>
      </c>
      <c r="G190" s="19" t="e">
        <f>VLOOKUP(B190,#REF!,2,0)</f>
        <v>#REF!</v>
      </c>
      <c r="H190" s="19" t="e">
        <f t="shared" si="3"/>
        <v>#REF!</v>
      </c>
      <c r="I190" s="19" t="e">
        <f>VLOOKUP(B190,'Station List'!#REF!,4,0)</f>
        <v>#REF!</v>
      </c>
      <c r="J190" s="19" t="e">
        <f>VLOOKUP(B190,#REF!,3,0)</f>
        <v>#REF!</v>
      </c>
      <c r="K190" s="19" t="e">
        <f t="shared" si="20"/>
        <v>#REF!</v>
      </c>
      <c r="L190" s="19" t="e">
        <f>VLOOKUP(B189,'Station List'!#REF!,9,0)</f>
        <v>#REF!</v>
      </c>
      <c r="M190" s="19" t="e">
        <f>VLOOKUP(B189,#REF!,4,0)</f>
        <v>#REF!</v>
      </c>
      <c r="N190" s="17"/>
      <c r="O190" s="17"/>
      <c r="P190" s="17"/>
      <c r="Q190" s="17"/>
      <c r="R190" s="17"/>
      <c r="S190" s="17"/>
      <c r="T190" s="17"/>
      <c r="U190" s="17"/>
      <c r="V190" s="17"/>
      <c r="W190" s="17" t="e">
        <f t="shared" si="21"/>
        <v>#REF!</v>
      </c>
      <c r="X190" s="17" t="e">
        <f t="shared" si="19"/>
        <v>#REF!</v>
      </c>
    </row>
    <row r="191" spans="1:24" ht="12.75" customHeight="1" x14ac:dyDescent="0.2">
      <c r="A191" s="19">
        <v>189</v>
      </c>
      <c r="B191" s="19" t="s">
        <v>3340</v>
      </c>
      <c r="C191" s="19" t="e">
        <f t="shared" si="7"/>
        <v>#REF!</v>
      </c>
      <c r="D191" s="19" t="e">
        <f t="shared" si="8"/>
        <v>#REF!</v>
      </c>
      <c r="E191" s="19" t="e">
        <f t="shared" si="9"/>
        <v>#REF!</v>
      </c>
      <c r="F191" s="19" t="e">
        <f>VLOOKUP(B191,'Station List'!#REF!,2,0)</f>
        <v>#REF!</v>
      </c>
      <c r="G191" s="19" t="e">
        <f>VLOOKUP(B191,#REF!,2,0)</f>
        <v>#REF!</v>
      </c>
      <c r="H191" s="19" t="e">
        <f t="shared" si="3"/>
        <v>#REF!</v>
      </c>
      <c r="I191" s="19" t="e">
        <f>VLOOKUP(B191,'Station List'!#REF!,4,0)</f>
        <v>#REF!</v>
      </c>
      <c r="J191" s="19" t="e">
        <f>VLOOKUP(B191,#REF!,3,0)</f>
        <v>#REF!</v>
      </c>
      <c r="K191" s="19" t="e">
        <f t="shared" si="20"/>
        <v>#REF!</v>
      </c>
      <c r="L191" s="19" t="e">
        <f>VLOOKUP(B190,'Station List'!#REF!,9,0)</f>
        <v>#REF!</v>
      </c>
      <c r="M191" s="19" t="e">
        <f>VLOOKUP(B190,#REF!,4,0)</f>
        <v>#REF!</v>
      </c>
      <c r="N191" s="17"/>
      <c r="O191" s="17"/>
      <c r="P191" s="17"/>
      <c r="Q191" s="17"/>
      <c r="R191" s="17"/>
      <c r="S191" s="17"/>
      <c r="T191" s="17"/>
      <c r="U191" s="17"/>
      <c r="V191" s="17"/>
      <c r="W191" s="17" t="e">
        <f t="shared" si="21"/>
        <v>#REF!</v>
      </c>
      <c r="X191" s="17" t="e">
        <f t="shared" si="19"/>
        <v>#REF!</v>
      </c>
    </row>
    <row r="192" spans="1:24" ht="12.75" customHeight="1" x14ac:dyDescent="0.2">
      <c r="A192" s="19">
        <v>190</v>
      </c>
      <c r="B192" s="19" t="s">
        <v>3341</v>
      </c>
      <c r="C192" s="19" t="e">
        <f t="shared" si="7"/>
        <v>#REF!</v>
      </c>
      <c r="D192" s="19" t="e">
        <f t="shared" si="8"/>
        <v>#REF!</v>
      </c>
      <c r="E192" s="19" t="e">
        <f t="shared" si="9"/>
        <v>#REF!</v>
      </c>
      <c r="F192" s="19" t="e">
        <f>VLOOKUP(B192,'Station List'!#REF!,2,0)</f>
        <v>#REF!</v>
      </c>
      <c r="G192" s="19" t="e">
        <f>VLOOKUP(B192,#REF!,2,0)</f>
        <v>#REF!</v>
      </c>
      <c r="H192" s="19" t="e">
        <f t="shared" si="3"/>
        <v>#REF!</v>
      </c>
      <c r="I192" s="19" t="e">
        <f>VLOOKUP(B192,'Station List'!#REF!,4,0)</f>
        <v>#REF!</v>
      </c>
      <c r="J192" s="19" t="e">
        <f>VLOOKUP(B192,#REF!,3,0)</f>
        <v>#REF!</v>
      </c>
      <c r="K192" s="19" t="e">
        <f t="shared" si="20"/>
        <v>#REF!</v>
      </c>
      <c r="L192" s="19" t="e">
        <f>VLOOKUP(B191,'Station List'!#REF!,9,0)</f>
        <v>#REF!</v>
      </c>
      <c r="M192" s="19" t="e">
        <f>VLOOKUP(B191,#REF!,4,0)</f>
        <v>#REF!</v>
      </c>
      <c r="N192" s="17"/>
      <c r="O192" s="17"/>
      <c r="P192" s="17"/>
      <c r="Q192" s="17"/>
      <c r="R192" s="17"/>
      <c r="S192" s="17"/>
      <c r="T192" s="17"/>
      <c r="U192" s="17"/>
      <c r="V192" s="17"/>
      <c r="W192" s="17" t="e">
        <f t="shared" si="21"/>
        <v>#REF!</v>
      </c>
      <c r="X192" s="17" t="e">
        <f t="shared" si="19"/>
        <v>#REF!</v>
      </c>
    </row>
    <row r="193" spans="1:24" ht="12.75" customHeight="1" x14ac:dyDescent="0.2">
      <c r="A193" s="19">
        <v>191</v>
      </c>
      <c r="B193" s="19" t="s">
        <v>3342</v>
      </c>
      <c r="C193" s="19" t="e">
        <f t="shared" si="7"/>
        <v>#REF!</v>
      </c>
      <c r="D193" s="19" t="e">
        <f t="shared" si="8"/>
        <v>#REF!</v>
      </c>
      <c r="E193" s="19" t="e">
        <f t="shared" si="9"/>
        <v>#REF!</v>
      </c>
      <c r="F193" s="19" t="e">
        <f>VLOOKUP(B193,'Station List'!#REF!,2,0)</f>
        <v>#REF!</v>
      </c>
      <c r="G193" s="19" t="e">
        <f>VLOOKUP(B193,#REF!,2,0)</f>
        <v>#REF!</v>
      </c>
      <c r="H193" s="19" t="e">
        <f t="shared" si="3"/>
        <v>#REF!</v>
      </c>
      <c r="I193" s="19" t="e">
        <f>VLOOKUP(B193,'Station List'!#REF!,4,0)</f>
        <v>#REF!</v>
      </c>
      <c r="J193" s="19" t="e">
        <f>VLOOKUP(B193,#REF!,3,0)</f>
        <v>#REF!</v>
      </c>
      <c r="K193" s="19" t="e">
        <f t="shared" si="20"/>
        <v>#REF!</v>
      </c>
      <c r="L193" s="19" t="e">
        <f>VLOOKUP(B192,'Station List'!#REF!,9,0)</f>
        <v>#REF!</v>
      </c>
      <c r="M193" s="19" t="e">
        <f>VLOOKUP(B192,#REF!,4,0)</f>
        <v>#REF!</v>
      </c>
      <c r="N193" s="17"/>
      <c r="O193" s="17"/>
      <c r="P193" s="17"/>
      <c r="Q193" s="17"/>
      <c r="R193" s="17"/>
      <c r="S193" s="17"/>
      <c r="T193" s="17"/>
      <c r="U193" s="17"/>
      <c r="V193" s="17"/>
      <c r="W193" s="17" t="e">
        <f t="shared" si="21"/>
        <v>#REF!</v>
      </c>
      <c r="X193" s="17" t="e">
        <f t="shared" si="19"/>
        <v>#REF!</v>
      </c>
    </row>
    <row r="194" spans="1:24" ht="12.75" customHeight="1" x14ac:dyDescent="0.2">
      <c r="A194" s="19">
        <v>192</v>
      </c>
      <c r="B194" s="19" t="s">
        <v>3343</v>
      </c>
      <c r="C194" s="19" t="e">
        <f t="shared" si="7"/>
        <v>#REF!</v>
      </c>
      <c r="D194" s="19" t="e">
        <f t="shared" si="8"/>
        <v>#REF!</v>
      </c>
      <c r="E194" s="19" t="e">
        <f t="shared" si="9"/>
        <v>#REF!</v>
      </c>
      <c r="F194" s="19" t="e">
        <f>VLOOKUP(B194,'Station List'!#REF!,2,0)</f>
        <v>#REF!</v>
      </c>
      <c r="G194" s="19" t="e">
        <f>VLOOKUP(B194,#REF!,2,0)</f>
        <v>#REF!</v>
      </c>
      <c r="H194" s="19" t="e">
        <f t="shared" si="3"/>
        <v>#REF!</v>
      </c>
      <c r="I194" s="19" t="e">
        <f>VLOOKUP(B194,'Station List'!#REF!,4,0)</f>
        <v>#REF!</v>
      </c>
      <c r="J194" s="19" t="e">
        <f>VLOOKUP(B194,#REF!,3,0)</f>
        <v>#REF!</v>
      </c>
      <c r="K194" s="19" t="e">
        <f t="shared" si="20"/>
        <v>#REF!</v>
      </c>
      <c r="L194" s="19" t="e">
        <f>VLOOKUP(B193,'Station List'!#REF!,9,0)</f>
        <v>#REF!</v>
      </c>
      <c r="M194" s="19" t="e">
        <f>VLOOKUP(B193,#REF!,4,0)</f>
        <v>#REF!</v>
      </c>
      <c r="N194" s="17"/>
      <c r="O194" s="17"/>
      <c r="P194" s="17"/>
      <c r="Q194" s="17"/>
      <c r="R194" s="17"/>
      <c r="S194" s="17"/>
      <c r="T194" s="17"/>
      <c r="U194" s="17"/>
      <c r="V194" s="17"/>
      <c r="W194" s="17" t="e">
        <f t="shared" si="21"/>
        <v>#REF!</v>
      </c>
      <c r="X194" s="17" t="e">
        <f t="shared" si="19"/>
        <v>#REF!</v>
      </c>
    </row>
    <row r="195" spans="1:24" ht="12.75" customHeight="1" x14ac:dyDescent="0.2">
      <c r="A195" s="19">
        <v>193</v>
      </c>
      <c r="B195" s="19" t="s">
        <v>3344</v>
      </c>
      <c r="C195" s="19" t="e">
        <f t="shared" si="7"/>
        <v>#REF!</v>
      </c>
      <c r="D195" s="19" t="e">
        <f t="shared" si="8"/>
        <v>#REF!</v>
      </c>
      <c r="E195" s="19" t="e">
        <f t="shared" si="9"/>
        <v>#REF!</v>
      </c>
      <c r="F195" s="19" t="e">
        <f>VLOOKUP(B195,'Station List'!#REF!,2,0)</f>
        <v>#REF!</v>
      </c>
      <c r="G195" s="19" t="e">
        <f>VLOOKUP(B195,#REF!,2,0)</f>
        <v>#REF!</v>
      </c>
      <c r="H195" s="19" t="e">
        <f t="shared" si="3"/>
        <v>#REF!</v>
      </c>
      <c r="I195" s="19" t="e">
        <f>VLOOKUP(B195,'Station List'!#REF!,4,0)</f>
        <v>#REF!</v>
      </c>
      <c r="J195" s="19" t="e">
        <f>VLOOKUP(B195,#REF!,3,0)</f>
        <v>#REF!</v>
      </c>
      <c r="K195" s="19" t="e">
        <f t="shared" si="20"/>
        <v>#REF!</v>
      </c>
      <c r="L195" s="19" t="e">
        <f>VLOOKUP(B194,'Station List'!#REF!,9,0)</f>
        <v>#REF!</v>
      </c>
      <c r="M195" s="19" t="e">
        <f>VLOOKUP(B194,#REF!,4,0)</f>
        <v>#REF!</v>
      </c>
      <c r="N195" s="17"/>
      <c r="O195" s="17"/>
      <c r="P195" s="17"/>
      <c r="Q195" s="17"/>
      <c r="R195" s="17"/>
      <c r="S195" s="17"/>
      <c r="T195" s="17"/>
      <c r="U195" s="17"/>
      <c r="V195" s="17"/>
      <c r="W195" s="17" t="e">
        <f t="shared" si="21"/>
        <v>#REF!</v>
      </c>
      <c r="X195" s="17" t="e">
        <f t="shared" si="19"/>
        <v>#REF!</v>
      </c>
    </row>
    <row r="196" spans="1:24" ht="12.75" customHeight="1" x14ac:dyDescent="0.2">
      <c r="A196" s="19">
        <v>194</v>
      </c>
      <c r="B196" s="19" t="s">
        <v>3345</v>
      </c>
      <c r="C196" s="19" t="e">
        <f t="shared" si="7"/>
        <v>#REF!</v>
      </c>
      <c r="D196" s="19" t="e">
        <f t="shared" si="8"/>
        <v>#REF!</v>
      </c>
      <c r="E196" s="19" t="e">
        <f t="shared" si="9"/>
        <v>#REF!</v>
      </c>
      <c r="F196" s="19" t="e">
        <f>VLOOKUP(B196,'Station List'!#REF!,2,0)</f>
        <v>#REF!</v>
      </c>
      <c r="G196" s="19" t="e">
        <f>VLOOKUP(B196,#REF!,2,0)</f>
        <v>#REF!</v>
      </c>
      <c r="H196" s="19" t="e">
        <f t="shared" si="3"/>
        <v>#REF!</v>
      </c>
      <c r="I196" s="19" t="e">
        <f>VLOOKUP(B196,'Station List'!#REF!,4,0)</f>
        <v>#REF!</v>
      </c>
      <c r="J196" s="19" t="e">
        <f>VLOOKUP(B196,#REF!,3,0)</f>
        <v>#REF!</v>
      </c>
      <c r="K196" s="19" t="e">
        <f t="shared" si="20"/>
        <v>#REF!</v>
      </c>
      <c r="L196" s="19" t="e">
        <f>VLOOKUP(B195,'Station List'!#REF!,9,0)</f>
        <v>#REF!</v>
      </c>
      <c r="M196" s="19" t="e">
        <f>VLOOKUP(B195,#REF!,4,0)</f>
        <v>#REF!</v>
      </c>
      <c r="N196" s="17"/>
      <c r="O196" s="17"/>
      <c r="P196" s="17"/>
      <c r="Q196" s="17"/>
      <c r="R196" s="17"/>
      <c r="S196" s="17"/>
      <c r="T196" s="17"/>
      <c r="U196" s="17"/>
      <c r="V196" s="17"/>
      <c r="W196" s="17" t="e">
        <f t="shared" si="21"/>
        <v>#REF!</v>
      </c>
      <c r="X196" s="17" t="e">
        <f t="shared" si="19"/>
        <v>#REF!</v>
      </c>
    </row>
    <row r="197" spans="1:24" ht="12.75" customHeight="1" x14ac:dyDescent="0.2">
      <c r="A197" s="19">
        <v>195</v>
      </c>
      <c r="B197" s="19" t="s">
        <v>3346</v>
      </c>
      <c r="C197" s="19" t="e">
        <f t="shared" si="7"/>
        <v>#REF!</v>
      </c>
      <c r="D197" s="19" t="e">
        <f t="shared" si="8"/>
        <v>#REF!</v>
      </c>
      <c r="E197" s="19" t="e">
        <f t="shared" si="9"/>
        <v>#REF!</v>
      </c>
      <c r="F197" s="19" t="e">
        <f>VLOOKUP(B197,'Station List'!#REF!,2,0)</f>
        <v>#REF!</v>
      </c>
      <c r="G197" s="19" t="e">
        <f>VLOOKUP(B197,#REF!,2,0)</f>
        <v>#REF!</v>
      </c>
      <c r="H197" s="19" t="e">
        <f t="shared" si="3"/>
        <v>#REF!</v>
      </c>
      <c r="I197" s="19" t="e">
        <f>VLOOKUP(B197,'Station List'!#REF!,4,0)</f>
        <v>#REF!</v>
      </c>
      <c r="J197" s="19" t="e">
        <f>VLOOKUP(B197,#REF!,3,0)</f>
        <v>#REF!</v>
      </c>
      <c r="K197" s="19" t="e">
        <f t="shared" si="20"/>
        <v>#REF!</v>
      </c>
      <c r="L197" s="19" t="e">
        <f>VLOOKUP(B196,'Station List'!#REF!,9,0)</f>
        <v>#REF!</v>
      </c>
      <c r="M197" s="19" t="e">
        <f>VLOOKUP(B196,#REF!,4,0)</f>
        <v>#REF!</v>
      </c>
      <c r="N197" s="17"/>
      <c r="O197" s="17"/>
      <c r="P197" s="17"/>
      <c r="Q197" s="17"/>
      <c r="R197" s="17"/>
      <c r="S197" s="17"/>
      <c r="T197" s="17"/>
      <c r="U197" s="17"/>
      <c r="V197" s="17"/>
      <c r="W197" s="17" t="e">
        <f t="shared" si="21"/>
        <v>#REF!</v>
      </c>
      <c r="X197" s="17" t="e">
        <f t="shared" si="19"/>
        <v>#REF!</v>
      </c>
    </row>
    <row r="198" spans="1:24" ht="12.75" customHeight="1" x14ac:dyDescent="0.2">
      <c r="A198" s="19">
        <v>196</v>
      </c>
      <c r="B198" s="19" t="s">
        <v>3347</v>
      </c>
      <c r="C198" s="19" t="e">
        <f t="shared" si="7"/>
        <v>#REF!</v>
      </c>
      <c r="D198" s="19" t="e">
        <f t="shared" si="8"/>
        <v>#REF!</v>
      </c>
      <c r="E198" s="19" t="e">
        <f t="shared" si="9"/>
        <v>#REF!</v>
      </c>
      <c r="F198" s="19" t="e">
        <f>VLOOKUP(B198,'Station List'!#REF!,2,0)</f>
        <v>#REF!</v>
      </c>
      <c r="G198" s="19" t="e">
        <f>VLOOKUP(B198,#REF!,2,0)</f>
        <v>#REF!</v>
      </c>
      <c r="H198" s="19" t="e">
        <f t="shared" si="3"/>
        <v>#REF!</v>
      </c>
      <c r="I198" s="19" t="e">
        <f>VLOOKUP(B198,'Station List'!#REF!,4,0)</f>
        <v>#REF!</v>
      </c>
      <c r="J198" s="19" t="e">
        <f>VLOOKUP(B198,#REF!,3,0)</f>
        <v>#REF!</v>
      </c>
      <c r="K198" s="19" t="e">
        <f t="shared" si="20"/>
        <v>#REF!</v>
      </c>
      <c r="L198" s="19" t="e">
        <f>VLOOKUP(B197,'Station List'!#REF!,9,0)</f>
        <v>#REF!</v>
      </c>
      <c r="M198" s="19" t="e">
        <f>VLOOKUP(B197,#REF!,4,0)</f>
        <v>#REF!</v>
      </c>
      <c r="N198" s="17"/>
      <c r="O198" s="17"/>
      <c r="P198" s="17"/>
      <c r="Q198" s="17"/>
      <c r="R198" s="17"/>
      <c r="S198" s="17"/>
      <c r="T198" s="17"/>
      <c r="U198" s="17"/>
      <c r="V198" s="17"/>
      <c r="W198" s="17" t="e">
        <f t="shared" si="21"/>
        <v>#REF!</v>
      </c>
      <c r="X198" s="17" t="e">
        <f t="shared" si="19"/>
        <v>#REF!</v>
      </c>
    </row>
    <row r="199" spans="1:24" ht="12.75" customHeight="1" x14ac:dyDescent="0.2">
      <c r="A199" s="19">
        <v>197</v>
      </c>
      <c r="B199" s="19" t="s">
        <v>3348</v>
      </c>
      <c r="C199" s="19" t="e">
        <f t="shared" si="7"/>
        <v>#REF!</v>
      </c>
      <c r="D199" s="19" t="e">
        <f t="shared" si="8"/>
        <v>#REF!</v>
      </c>
      <c r="E199" s="19" t="e">
        <f t="shared" si="9"/>
        <v>#REF!</v>
      </c>
      <c r="F199" s="19" t="e">
        <f>VLOOKUP(B199,'Station List'!#REF!,2,0)</f>
        <v>#REF!</v>
      </c>
      <c r="G199" s="19" t="e">
        <f>VLOOKUP(B199,#REF!,2,0)</f>
        <v>#REF!</v>
      </c>
      <c r="H199" s="19" t="e">
        <f t="shared" si="3"/>
        <v>#REF!</v>
      </c>
      <c r="I199" s="19" t="e">
        <f>VLOOKUP(B199,'Station List'!#REF!,4,0)</f>
        <v>#REF!</v>
      </c>
      <c r="J199" s="19" t="e">
        <f>VLOOKUP(B199,#REF!,3,0)</f>
        <v>#REF!</v>
      </c>
      <c r="K199" s="19" t="e">
        <f t="shared" si="20"/>
        <v>#REF!</v>
      </c>
      <c r="L199" s="92" t="e">
        <f>VLOOKUP(B198,'Station List'!#REF!,9,0)</f>
        <v>#REF!</v>
      </c>
      <c r="M199" s="19" t="e">
        <f>VLOOKUP(B198,#REF!,4,0)</f>
        <v>#REF!</v>
      </c>
      <c r="N199" s="17"/>
      <c r="O199" s="17"/>
      <c r="P199" s="17"/>
      <c r="Q199" s="17"/>
      <c r="R199" s="17"/>
      <c r="S199" s="17"/>
      <c r="T199" s="17"/>
      <c r="U199" s="17"/>
      <c r="V199" s="17"/>
      <c r="W199" s="17" t="e">
        <f t="shared" si="21"/>
        <v>#REF!</v>
      </c>
      <c r="X199" s="17" t="e">
        <f t="shared" si="19"/>
        <v>#REF!</v>
      </c>
    </row>
    <row r="200" spans="1:24" ht="12.75" customHeight="1" x14ac:dyDescent="0.2">
      <c r="A200" s="19">
        <v>198</v>
      </c>
      <c r="B200" s="19" t="s">
        <v>3349</v>
      </c>
      <c r="C200" s="19" t="e">
        <f t="shared" si="7"/>
        <v>#REF!</v>
      </c>
      <c r="D200" s="19" t="e">
        <f t="shared" si="8"/>
        <v>#REF!</v>
      </c>
      <c r="E200" s="19" t="e">
        <f t="shared" si="9"/>
        <v>#REF!</v>
      </c>
      <c r="F200" s="19" t="e">
        <f>VLOOKUP(B200,'Station List'!#REF!,2,0)</f>
        <v>#REF!</v>
      </c>
      <c r="G200" s="19" t="e">
        <f>VLOOKUP(B200,#REF!,2,0)</f>
        <v>#REF!</v>
      </c>
      <c r="H200" s="19" t="e">
        <f t="shared" si="3"/>
        <v>#REF!</v>
      </c>
      <c r="I200" s="19" t="e">
        <f>VLOOKUP(B200,'Station List'!#REF!,4,0)</f>
        <v>#REF!</v>
      </c>
      <c r="J200" s="19" t="e">
        <f>VLOOKUP(B200,#REF!,3,0)</f>
        <v>#REF!</v>
      </c>
      <c r="K200" s="19" t="e">
        <f t="shared" si="20"/>
        <v>#REF!</v>
      </c>
      <c r="L200" s="19" t="e">
        <f>VLOOKUP(B199,'Station List'!#REF!,9,0)</f>
        <v>#REF!</v>
      </c>
      <c r="M200" s="19" t="e">
        <f>VLOOKUP(B199,#REF!,4,0)</f>
        <v>#REF!</v>
      </c>
      <c r="N200" s="17"/>
      <c r="O200" s="17"/>
      <c r="P200" s="17"/>
      <c r="Q200" s="17"/>
      <c r="R200" s="17"/>
      <c r="S200" s="17"/>
      <c r="T200" s="17"/>
      <c r="U200" s="17"/>
      <c r="V200" s="17"/>
      <c r="W200" s="17" t="e">
        <f t="shared" si="21"/>
        <v>#REF!</v>
      </c>
      <c r="X200" s="17" t="e">
        <f t="shared" si="19"/>
        <v>#REF!</v>
      </c>
    </row>
    <row r="201" spans="1:24" ht="12.75" customHeight="1" x14ac:dyDescent="0.2">
      <c r="A201" s="19">
        <v>199</v>
      </c>
      <c r="B201" s="19" t="s">
        <v>3350</v>
      </c>
      <c r="C201" s="19" t="e">
        <f t="shared" si="7"/>
        <v>#REF!</v>
      </c>
      <c r="D201" s="19" t="e">
        <f t="shared" si="8"/>
        <v>#REF!</v>
      </c>
      <c r="E201" s="19" t="e">
        <f t="shared" si="9"/>
        <v>#REF!</v>
      </c>
      <c r="F201" s="19" t="e">
        <f>VLOOKUP(B201,'Station List'!#REF!,2,0)</f>
        <v>#REF!</v>
      </c>
      <c r="G201" s="19" t="e">
        <f>VLOOKUP(B201,#REF!,2,0)</f>
        <v>#REF!</v>
      </c>
      <c r="H201" s="19" t="e">
        <f t="shared" si="3"/>
        <v>#REF!</v>
      </c>
      <c r="I201" s="19" t="e">
        <f>VLOOKUP(B201,'Station List'!#REF!,4,0)</f>
        <v>#REF!</v>
      </c>
      <c r="J201" s="19" t="e">
        <f>VLOOKUP(B201,#REF!,3,0)</f>
        <v>#REF!</v>
      </c>
      <c r="K201" s="19" t="e">
        <f t="shared" si="20"/>
        <v>#REF!</v>
      </c>
      <c r="L201" s="19" t="e">
        <f>VLOOKUP(B200,'Station List'!#REF!,9,0)</f>
        <v>#REF!</v>
      </c>
      <c r="M201" s="19" t="e">
        <f>VLOOKUP(B200,#REF!,4,0)</f>
        <v>#REF!</v>
      </c>
      <c r="N201" s="17"/>
      <c r="O201" s="17"/>
      <c r="P201" s="17"/>
      <c r="Q201" s="17"/>
      <c r="R201" s="17"/>
      <c r="S201" s="17"/>
      <c r="T201" s="17"/>
      <c r="U201" s="17"/>
      <c r="V201" s="17"/>
      <c r="W201" s="17" t="e">
        <f t="shared" si="21"/>
        <v>#REF!</v>
      </c>
      <c r="X201" s="17" t="e">
        <f t="shared" si="19"/>
        <v>#REF!</v>
      </c>
    </row>
    <row r="202" spans="1:24" ht="12.75" customHeight="1" x14ac:dyDescent="0.2">
      <c r="A202" s="19">
        <v>200</v>
      </c>
      <c r="B202" s="19" t="s">
        <v>3351</v>
      </c>
      <c r="C202" s="19" t="e">
        <f t="shared" si="7"/>
        <v>#REF!</v>
      </c>
      <c r="D202" s="19" t="e">
        <f t="shared" si="8"/>
        <v>#REF!</v>
      </c>
      <c r="E202" s="19" t="e">
        <f t="shared" si="9"/>
        <v>#REF!</v>
      </c>
      <c r="F202" s="19" t="e">
        <f>VLOOKUP(B202,'Station List'!#REF!,2,0)</f>
        <v>#REF!</v>
      </c>
      <c r="G202" s="19" t="e">
        <f>VLOOKUP(B202,#REF!,2,0)</f>
        <v>#REF!</v>
      </c>
      <c r="H202" s="19" t="e">
        <f t="shared" si="3"/>
        <v>#REF!</v>
      </c>
      <c r="I202" s="19" t="e">
        <f>VLOOKUP(B202,'Station List'!#REF!,4,0)</f>
        <v>#REF!</v>
      </c>
      <c r="J202" s="19" t="e">
        <f>VLOOKUP(B202,#REF!,3,0)</f>
        <v>#REF!</v>
      </c>
      <c r="K202" s="19" t="e">
        <f t="shared" si="20"/>
        <v>#REF!</v>
      </c>
      <c r="L202" s="19" t="e">
        <f>VLOOKUP(B201,'Station List'!#REF!,9,0)</f>
        <v>#REF!</v>
      </c>
      <c r="M202" s="19" t="e">
        <f>VLOOKUP(B201,#REF!,4,0)</f>
        <v>#REF!</v>
      </c>
      <c r="N202" s="17"/>
      <c r="O202" s="17"/>
      <c r="P202" s="17"/>
      <c r="Q202" s="17"/>
      <c r="R202" s="17"/>
      <c r="S202" s="17"/>
      <c r="T202" s="17"/>
      <c r="U202" s="17"/>
      <c r="V202" s="17"/>
      <c r="W202" s="17" t="e">
        <f t="shared" si="21"/>
        <v>#REF!</v>
      </c>
      <c r="X202" s="17" t="e">
        <f t="shared" si="19"/>
        <v>#REF!</v>
      </c>
    </row>
    <row r="203" spans="1:24" ht="12.75" customHeight="1" x14ac:dyDescent="0.2">
      <c r="A203" s="19">
        <v>201</v>
      </c>
      <c r="B203" s="19" t="s">
        <v>3352</v>
      </c>
      <c r="C203" s="19" t="e">
        <f t="shared" si="7"/>
        <v>#REF!</v>
      </c>
      <c r="D203" s="19" t="e">
        <f t="shared" si="8"/>
        <v>#REF!</v>
      </c>
      <c r="E203" s="19" t="e">
        <f t="shared" si="9"/>
        <v>#REF!</v>
      </c>
      <c r="F203" s="19" t="e">
        <f>VLOOKUP(B203,'Station List'!#REF!,2,0)</f>
        <v>#REF!</v>
      </c>
      <c r="G203" s="19" t="e">
        <f>VLOOKUP(B203,#REF!,2,0)</f>
        <v>#REF!</v>
      </c>
      <c r="H203" s="19" t="e">
        <f t="shared" si="3"/>
        <v>#REF!</v>
      </c>
      <c r="I203" s="19" t="e">
        <f>VLOOKUP(B203,'Station List'!#REF!,4,0)</f>
        <v>#REF!</v>
      </c>
      <c r="J203" s="19" t="e">
        <f>VLOOKUP(B203,#REF!,3,0)</f>
        <v>#REF!</v>
      </c>
      <c r="K203" s="19" t="e">
        <f t="shared" si="20"/>
        <v>#REF!</v>
      </c>
      <c r="L203" s="19" t="e">
        <f>VLOOKUP(B202,'Station List'!#REF!,9,0)</f>
        <v>#REF!</v>
      </c>
      <c r="M203" s="19" t="e">
        <f>VLOOKUP(B202,#REF!,4,0)</f>
        <v>#REF!</v>
      </c>
      <c r="N203" s="17"/>
      <c r="O203" s="17"/>
      <c r="P203" s="17"/>
      <c r="Q203" s="17"/>
      <c r="R203" s="17"/>
      <c r="S203" s="17"/>
      <c r="T203" s="17"/>
      <c r="U203" s="17"/>
      <c r="V203" s="17"/>
      <c r="W203" s="17" t="e">
        <f t="shared" si="21"/>
        <v>#REF!</v>
      </c>
      <c r="X203" s="17" t="e">
        <f t="shared" si="19"/>
        <v>#REF!</v>
      </c>
    </row>
    <row r="204" spans="1:24" ht="12.75" customHeight="1" x14ac:dyDescent="0.2">
      <c r="A204" s="19">
        <v>202</v>
      </c>
      <c r="B204" s="19" t="s">
        <v>3353</v>
      </c>
      <c r="C204" s="19" t="e">
        <f t="shared" si="7"/>
        <v>#REF!</v>
      </c>
      <c r="D204" s="19" t="e">
        <f t="shared" si="8"/>
        <v>#REF!</v>
      </c>
      <c r="E204" s="19" t="e">
        <f t="shared" si="9"/>
        <v>#REF!</v>
      </c>
      <c r="F204" s="19" t="e">
        <f>VLOOKUP(B204,'Station List'!#REF!,2,0)</f>
        <v>#REF!</v>
      </c>
      <c r="G204" s="19" t="e">
        <f>VLOOKUP(B204,#REF!,2,0)</f>
        <v>#REF!</v>
      </c>
      <c r="H204" s="19" t="e">
        <f t="shared" si="3"/>
        <v>#REF!</v>
      </c>
      <c r="I204" s="19" t="e">
        <f>VLOOKUP(B204,'Station List'!#REF!,4,0)</f>
        <v>#REF!</v>
      </c>
      <c r="J204" s="19" t="e">
        <f>VLOOKUP(B204,#REF!,3,0)</f>
        <v>#REF!</v>
      </c>
      <c r="K204" s="19" t="e">
        <f t="shared" si="20"/>
        <v>#REF!</v>
      </c>
      <c r="L204" s="19" t="e">
        <f>VLOOKUP(B203,'Station List'!#REF!,9,0)</f>
        <v>#REF!</v>
      </c>
      <c r="M204" s="19" t="e">
        <f>VLOOKUP(B203,#REF!,4,0)</f>
        <v>#REF!</v>
      </c>
      <c r="N204" s="17"/>
      <c r="O204" s="17"/>
      <c r="P204" s="17"/>
      <c r="Q204" s="17"/>
      <c r="R204" s="17"/>
      <c r="S204" s="17"/>
      <c r="T204" s="17"/>
      <c r="U204" s="17"/>
      <c r="V204" s="17"/>
      <c r="W204" s="17" t="e">
        <f t="shared" si="21"/>
        <v>#REF!</v>
      </c>
      <c r="X204" s="17" t="e">
        <f t="shared" si="19"/>
        <v>#REF!</v>
      </c>
    </row>
    <row r="205" spans="1:24" ht="12.75" customHeight="1" x14ac:dyDescent="0.2">
      <c r="A205" s="19">
        <v>203</v>
      </c>
      <c r="B205" s="19" t="s">
        <v>3354</v>
      </c>
      <c r="C205" s="19" t="e">
        <f t="shared" si="7"/>
        <v>#REF!</v>
      </c>
      <c r="D205" s="19" t="e">
        <f t="shared" si="8"/>
        <v>#REF!</v>
      </c>
      <c r="E205" s="19" t="e">
        <f t="shared" si="9"/>
        <v>#REF!</v>
      </c>
      <c r="F205" s="19" t="e">
        <f>VLOOKUP(B205,'Station List'!#REF!,2,0)</f>
        <v>#REF!</v>
      </c>
      <c r="G205" s="19" t="e">
        <f>VLOOKUP(B205,#REF!,2,0)</f>
        <v>#REF!</v>
      </c>
      <c r="H205" s="19" t="e">
        <f t="shared" si="3"/>
        <v>#REF!</v>
      </c>
      <c r="I205" s="19" t="e">
        <f>VLOOKUP(B205,'Station List'!#REF!,4,0)</f>
        <v>#REF!</v>
      </c>
      <c r="J205" s="19" t="e">
        <f>VLOOKUP(B205,#REF!,3,0)</f>
        <v>#REF!</v>
      </c>
      <c r="K205" s="19" t="e">
        <f t="shared" si="20"/>
        <v>#REF!</v>
      </c>
      <c r="L205" s="19" t="e">
        <f>VLOOKUP(B204,'Station List'!#REF!,9,0)</f>
        <v>#REF!</v>
      </c>
      <c r="M205" s="19" t="e">
        <f>VLOOKUP(B204,#REF!,4,0)</f>
        <v>#REF!</v>
      </c>
      <c r="N205" s="17"/>
      <c r="O205" s="17"/>
      <c r="P205" s="17"/>
      <c r="Q205" s="17"/>
      <c r="R205" s="17"/>
      <c r="S205" s="17"/>
      <c r="T205" s="17"/>
      <c r="U205" s="17"/>
      <c r="V205" s="17"/>
      <c r="W205" s="17" t="e">
        <f t="shared" si="21"/>
        <v>#REF!</v>
      </c>
      <c r="X205" s="17" t="e">
        <f t="shared" si="19"/>
        <v>#REF!</v>
      </c>
    </row>
    <row r="206" spans="1:24" ht="12.75" customHeight="1" x14ac:dyDescent="0.2">
      <c r="A206" s="19">
        <v>204</v>
      </c>
      <c r="B206" s="19" t="s">
        <v>3355</v>
      </c>
      <c r="C206" s="19" t="e">
        <f t="shared" si="7"/>
        <v>#REF!</v>
      </c>
      <c r="D206" s="19" t="e">
        <f t="shared" si="8"/>
        <v>#REF!</v>
      </c>
      <c r="E206" s="19" t="e">
        <f t="shared" si="9"/>
        <v>#REF!</v>
      </c>
      <c r="F206" s="19" t="e">
        <f>VLOOKUP(B206,'Station List'!#REF!,2,0)</f>
        <v>#REF!</v>
      </c>
      <c r="G206" s="19" t="e">
        <f>VLOOKUP(B206,#REF!,2,0)</f>
        <v>#REF!</v>
      </c>
      <c r="H206" s="19" t="e">
        <f t="shared" si="3"/>
        <v>#REF!</v>
      </c>
      <c r="I206" s="19" t="e">
        <f>VLOOKUP(B206,'Station List'!#REF!,4,0)</f>
        <v>#REF!</v>
      </c>
      <c r="J206" s="19" t="e">
        <f>VLOOKUP(B206,#REF!,3,0)</f>
        <v>#REF!</v>
      </c>
      <c r="K206" s="19" t="e">
        <f t="shared" si="20"/>
        <v>#REF!</v>
      </c>
      <c r="L206" s="19" t="e">
        <f>VLOOKUP(B205,'Station List'!#REF!,9,0)</f>
        <v>#REF!</v>
      </c>
      <c r="M206" s="19" t="e">
        <f>VLOOKUP(B205,#REF!,4,0)</f>
        <v>#REF!</v>
      </c>
      <c r="N206" s="17"/>
      <c r="O206" s="17"/>
      <c r="P206" s="17"/>
      <c r="Q206" s="17"/>
      <c r="R206" s="17"/>
      <c r="S206" s="17"/>
      <c r="T206" s="17"/>
      <c r="U206" s="17"/>
      <c r="V206" s="17"/>
      <c r="W206" s="17" t="e">
        <f t="shared" si="21"/>
        <v>#REF!</v>
      </c>
      <c r="X206" s="17" t="e">
        <f t="shared" si="19"/>
        <v>#REF!</v>
      </c>
    </row>
    <row r="207" spans="1:24" ht="12.75" customHeight="1" x14ac:dyDescent="0.2">
      <c r="A207" s="19">
        <v>205</v>
      </c>
      <c r="B207" s="19" t="s">
        <v>3356</v>
      </c>
      <c r="C207" s="19" t="e">
        <f t="shared" si="7"/>
        <v>#REF!</v>
      </c>
      <c r="D207" s="19" t="e">
        <f t="shared" si="8"/>
        <v>#REF!</v>
      </c>
      <c r="E207" s="19" t="e">
        <f t="shared" si="9"/>
        <v>#REF!</v>
      </c>
      <c r="F207" s="19" t="e">
        <f>VLOOKUP(B207,'Station List'!#REF!,2,0)</f>
        <v>#REF!</v>
      </c>
      <c r="G207" s="19" t="e">
        <f>VLOOKUP(B207,#REF!,2,0)</f>
        <v>#REF!</v>
      </c>
      <c r="H207" s="19" t="e">
        <f t="shared" si="3"/>
        <v>#REF!</v>
      </c>
      <c r="I207" s="19" t="e">
        <f>VLOOKUP(B207,'Station List'!#REF!,4,0)</f>
        <v>#REF!</v>
      </c>
      <c r="J207" s="19" t="e">
        <f>VLOOKUP(B207,#REF!,3,0)</f>
        <v>#REF!</v>
      </c>
      <c r="K207" s="19" t="e">
        <f t="shared" si="20"/>
        <v>#REF!</v>
      </c>
      <c r="L207" s="19" t="e">
        <f>VLOOKUP(B206,'Station List'!#REF!,9,0)</f>
        <v>#REF!</v>
      </c>
      <c r="M207" s="19" t="e">
        <f>VLOOKUP(B206,#REF!,4,0)</f>
        <v>#REF!</v>
      </c>
      <c r="N207" s="17"/>
      <c r="O207" s="17"/>
      <c r="P207" s="17"/>
      <c r="Q207" s="17"/>
      <c r="R207" s="17"/>
      <c r="S207" s="17"/>
      <c r="T207" s="17"/>
      <c r="U207" s="17"/>
      <c r="V207" s="17"/>
      <c r="W207" s="17" t="e">
        <f t="shared" si="21"/>
        <v>#REF!</v>
      </c>
      <c r="X207" s="17" t="e">
        <f t="shared" si="19"/>
        <v>#REF!</v>
      </c>
    </row>
    <row r="208" spans="1:24" ht="12.75" customHeight="1" x14ac:dyDescent="0.2">
      <c r="A208" s="19">
        <v>206</v>
      </c>
      <c r="B208" s="19" t="s">
        <v>3357</v>
      </c>
      <c r="C208" s="19" t="e">
        <f t="shared" si="7"/>
        <v>#REF!</v>
      </c>
      <c r="D208" s="19" t="e">
        <f t="shared" si="8"/>
        <v>#REF!</v>
      </c>
      <c r="E208" s="19" t="e">
        <f t="shared" si="9"/>
        <v>#REF!</v>
      </c>
      <c r="F208" s="19" t="e">
        <f>VLOOKUP(B208,'Station List'!#REF!,2,0)</f>
        <v>#REF!</v>
      </c>
      <c r="G208" s="19" t="e">
        <f>VLOOKUP(B208,#REF!,2,0)</f>
        <v>#REF!</v>
      </c>
      <c r="H208" s="19" t="e">
        <f t="shared" si="3"/>
        <v>#REF!</v>
      </c>
      <c r="I208" s="19" t="e">
        <f>VLOOKUP(B208,'Station List'!#REF!,4,0)</f>
        <v>#REF!</v>
      </c>
      <c r="J208" s="19" t="e">
        <f>VLOOKUP(B208,#REF!,3,0)</f>
        <v>#REF!</v>
      </c>
      <c r="K208" s="19" t="e">
        <f t="shared" si="20"/>
        <v>#REF!</v>
      </c>
      <c r="L208" s="19" t="e">
        <f>VLOOKUP(B207,'Station List'!#REF!,9,0)</f>
        <v>#REF!</v>
      </c>
      <c r="M208" s="19" t="e">
        <f>VLOOKUP(B207,#REF!,4,0)</f>
        <v>#REF!</v>
      </c>
      <c r="N208" s="17"/>
      <c r="O208" s="17"/>
      <c r="P208" s="17"/>
      <c r="Q208" s="17"/>
      <c r="R208" s="17"/>
      <c r="S208" s="17"/>
      <c r="T208" s="17"/>
      <c r="U208" s="17"/>
      <c r="V208" s="17"/>
      <c r="W208" s="17" t="e">
        <f t="shared" si="21"/>
        <v>#REF!</v>
      </c>
      <c r="X208" s="17" t="e">
        <f t="shared" si="19"/>
        <v>#REF!</v>
      </c>
    </row>
    <row r="209" spans="1:24" ht="12.75" customHeight="1" x14ac:dyDescent="0.2">
      <c r="A209" s="19">
        <v>207</v>
      </c>
      <c r="B209" s="19" t="s">
        <v>3358</v>
      </c>
      <c r="C209" s="19" t="e">
        <f t="shared" si="7"/>
        <v>#REF!</v>
      </c>
      <c r="D209" s="19" t="e">
        <f t="shared" si="8"/>
        <v>#REF!</v>
      </c>
      <c r="E209" s="19" t="e">
        <f t="shared" si="9"/>
        <v>#REF!</v>
      </c>
      <c r="F209" s="19" t="e">
        <f>VLOOKUP(B209,'Station List'!#REF!,2,0)</f>
        <v>#REF!</v>
      </c>
      <c r="G209" s="19" t="e">
        <f>VLOOKUP(B209,#REF!,2,0)</f>
        <v>#REF!</v>
      </c>
      <c r="H209" s="19" t="e">
        <f t="shared" si="3"/>
        <v>#REF!</v>
      </c>
      <c r="I209" s="19" t="e">
        <f>VLOOKUP(B209,'Station List'!#REF!,4,0)</f>
        <v>#REF!</v>
      </c>
      <c r="J209" s="19" t="e">
        <f>VLOOKUP(B209,#REF!,3,0)</f>
        <v>#REF!</v>
      </c>
      <c r="K209" s="19" t="e">
        <f t="shared" si="20"/>
        <v>#REF!</v>
      </c>
      <c r="L209" s="19" t="e">
        <f>VLOOKUP(B208,'Station List'!#REF!,9,0)</f>
        <v>#REF!</v>
      </c>
      <c r="M209" s="19" t="e">
        <f>VLOOKUP(B208,#REF!,4,0)</f>
        <v>#REF!</v>
      </c>
      <c r="N209" s="17"/>
      <c r="O209" s="17"/>
      <c r="P209" s="17"/>
      <c r="Q209" s="17"/>
      <c r="R209" s="17"/>
      <c r="S209" s="17"/>
      <c r="T209" s="17"/>
      <c r="U209" s="17"/>
      <c r="V209" s="17"/>
      <c r="W209" s="17" t="e">
        <f t="shared" si="21"/>
        <v>#REF!</v>
      </c>
      <c r="X209" s="17" t="e">
        <f t="shared" si="19"/>
        <v>#REF!</v>
      </c>
    </row>
    <row r="210" spans="1:24" ht="12.75" customHeight="1" x14ac:dyDescent="0.2">
      <c r="A210" s="19">
        <v>208</v>
      </c>
      <c r="B210" s="19" t="s">
        <v>3359</v>
      </c>
      <c r="C210" s="19" t="e">
        <f t="shared" si="7"/>
        <v>#REF!</v>
      </c>
      <c r="D210" s="19" t="e">
        <f t="shared" si="8"/>
        <v>#REF!</v>
      </c>
      <c r="E210" s="19" t="e">
        <f t="shared" si="9"/>
        <v>#REF!</v>
      </c>
      <c r="F210" s="19" t="e">
        <f>VLOOKUP(B210,'Station List'!#REF!,2,0)</f>
        <v>#REF!</v>
      </c>
      <c r="G210" s="19" t="e">
        <f>VLOOKUP(B210,#REF!,2,0)</f>
        <v>#REF!</v>
      </c>
      <c r="H210" s="19" t="e">
        <f t="shared" si="3"/>
        <v>#REF!</v>
      </c>
      <c r="I210" s="19" t="e">
        <f>VLOOKUP(B210,'Station List'!#REF!,4,0)</f>
        <v>#REF!</v>
      </c>
      <c r="J210" s="19" t="e">
        <f>VLOOKUP(B210,#REF!,3,0)</f>
        <v>#REF!</v>
      </c>
      <c r="K210" s="19" t="e">
        <f t="shared" si="20"/>
        <v>#REF!</v>
      </c>
      <c r="L210" s="19" t="e">
        <f>VLOOKUP(B209,'Station List'!#REF!,9,0)</f>
        <v>#REF!</v>
      </c>
      <c r="M210" s="19" t="e">
        <f>VLOOKUP(B209,#REF!,4,0)</f>
        <v>#REF!</v>
      </c>
      <c r="N210" s="17"/>
      <c r="O210" s="17"/>
      <c r="P210" s="17"/>
      <c r="Q210" s="17"/>
      <c r="R210" s="17"/>
      <c r="S210" s="17"/>
      <c r="T210" s="17"/>
      <c r="U210" s="17"/>
      <c r="V210" s="17"/>
      <c r="W210" s="17" t="e">
        <f t="shared" si="21"/>
        <v>#REF!</v>
      </c>
      <c r="X210" s="17" t="e">
        <f t="shared" si="19"/>
        <v>#REF!</v>
      </c>
    </row>
    <row r="211" spans="1:24" ht="12.75" customHeight="1" x14ac:dyDescent="0.2">
      <c r="A211" s="19">
        <v>209</v>
      </c>
      <c r="B211" s="19" t="s">
        <v>3360</v>
      </c>
      <c r="C211" s="19" t="e">
        <f t="shared" si="7"/>
        <v>#REF!</v>
      </c>
      <c r="D211" s="19" t="e">
        <f t="shared" si="8"/>
        <v>#REF!</v>
      </c>
      <c r="E211" s="19" t="e">
        <f t="shared" si="9"/>
        <v>#REF!</v>
      </c>
      <c r="F211" s="19" t="e">
        <f>VLOOKUP(B211,'Station List'!#REF!,2,0)</f>
        <v>#REF!</v>
      </c>
      <c r="G211" s="19" t="e">
        <f>VLOOKUP(B211,#REF!,2,0)</f>
        <v>#REF!</v>
      </c>
      <c r="H211" s="19" t="e">
        <f t="shared" si="3"/>
        <v>#REF!</v>
      </c>
      <c r="I211" s="19" t="e">
        <f>VLOOKUP(B211,'Station List'!#REF!,4,0)</f>
        <v>#REF!</v>
      </c>
      <c r="J211" s="19" t="e">
        <f>VLOOKUP(B211,#REF!,3,0)</f>
        <v>#REF!</v>
      </c>
      <c r="K211" s="19" t="e">
        <f t="shared" si="20"/>
        <v>#REF!</v>
      </c>
      <c r="L211" s="19" t="e">
        <f>VLOOKUP(B210,'Station List'!#REF!,9,0)</f>
        <v>#REF!</v>
      </c>
      <c r="M211" s="19" t="e">
        <f>VLOOKUP(B210,#REF!,4,0)</f>
        <v>#REF!</v>
      </c>
      <c r="N211" s="17"/>
      <c r="O211" s="17"/>
      <c r="P211" s="17"/>
      <c r="Q211" s="17"/>
      <c r="R211" s="17"/>
      <c r="S211" s="17"/>
      <c r="T211" s="17"/>
      <c r="U211" s="17"/>
      <c r="V211" s="17"/>
      <c r="W211" s="17" t="e">
        <f t="shared" si="21"/>
        <v>#REF!</v>
      </c>
      <c r="X211" s="17" t="e">
        <f t="shared" si="19"/>
        <v>#REF!</v>
      </c>
    </row>
    <row r="212" spans="1:24" ht="12.75" customHeight="1" x14ac:dyDescent="0.2">
      <c r="A212" s="19">
        <v>210</v>
      </c>
      <c r="B212" s="19" t="s">
        <v>3361</v>
      </c>
      <c r="C212" s="19" t="e">
        <f t="shared" si="7"/>
        <v>#REF!</v>
      </c>
      <c r="D212" s="19" t="e">
        <f t="shared" si="8"/>
        <v>#REF!</v>
      </c>
      <c r="E212" s="19" t="e">
        <f t="shared" si="9"/>
        <v>#REF!</v>
      </c>
      <c r="F212" s="19" t="e">
        <f>VLOOKUP(B212,'Station List'!#REF!,2,0)</f>
        <v>#REF!</v>
      </c>
      <c r="G212" s="19" t="e">
        <f>VLOOKUP(B212,#REF!,2,0)</f>
        <v>#REF!</v>
      </c>
      <c r="H212" s="19" t="e">
        <f t="shared" si="3"/>
        <v>#REF!</v>
      </c>
      <c r="I212" s="19" t="e">
        <f>VLOOKUP(B212,'Station List'!#REF!,4,0)</f>
        <v>#REF!</v>
      </c>
      <c r="J212" s="19" t="e">
        <f>VLOOKUP(B212,#REF!,3,0)</f>
        <v>#REF!</v>
      </c>
      <c r="K212" s="19" t="e">
        <f t="shared" si="20"/>
        <v>#REF!</v>
      </c>
      <c r="L212" s="19" t="e">
        <f>VLOOKUP(B211,'Station List'!#REF!,9,0)</f>
        <v>#REF!</v>
      </c>
      <c r="M212" s="19" t="e">
        <f>VLOOKUP(B211,#REF!,4,0)</f>
        <v>#REF!</v>
      </c>
      <c r="N212" s="17"/>
      <c r="O212" s="17"/>
      <c r="P212" s="17"/>
      <c r="Q212" s="17"/>
      <c r="R212" s="17"/>
      <c r="S212" s="17"/>
      <c r="T212" s="17"/>
      <c r="U212" s="17"/>
      <c r="V212" s="17"/>
      <c r="W212" s="17" t="e">
        <f t="shared" si="21"/>
        <v>#REF!</v>
      </c>
      <c r="X212" s="17" t="e">
        <f t="shared" si="19"/>
        <v>#REF!</v>
      </c>
    </row>
    <row r="213" spans="1:24" ht="12.75" customHeight="1" x14ac:dyDescent="0.2">
      <c r="A213" s="19">
        <v>211</v>
      </c>
      <c r="B213" s="19" t="s">
        <v>3362</v>
      </c>
      <c r="C213" s="19" t="e">
        <f t="shared" si="7"/>
        <v>#REF!</v>
      </c>
      <c r="D213" s="19" t="e">
        <f t="shared" si="8"/>
        <v>#REF!</v>
      </c>
      <c r="E213" s="19" t="e">
        <f t="shared" si="9"/>
        <v>#REF!</v>
      </c>
      <c r="F213" s="19" t="e">
        <f>VLOOKUP(B213,'Station List'!#REF!,2,0)</f>
        <v>#REF!</v>
      </c>
      <c r="G213" s="19" t="e">
        <f>VLOOKUP(B213,#REF!,2,0)</f>
        <v>#REF!</v>
      </c>
      <c r="H213" s="19" t="e">
        <f t="shared" si="3"/>
        <v>#REF!</v>
      </c>
      <c r="I213" s="19" t="e">
        <f>VLOOKUP(B213,'Station List'!#REF!,4,0)</f>
        <v>#REF!</v>
      </c>
      <c r="J213" s="19" t="e">
        <f>VLOOKUP(B213,#REF!,3,0)</f>
        <v>#REF!</v>
      </c>
      <c r="K213" s="19" t="e">
        <f t="shared" si="20"/>
        <v>#REF!</v>
      </c>
      <c r="L213" s="19" t="e">
        <f>VLOOKUP(B212,'Station List'!#REF!,9,0)</f>
        <v>#REF!</v>
      </c>
      <c r="M213" s="19" t="e">
        <f>VLOOKUP(B212,#REF!,4,0)</f>
        <v>#REF!</v>
      </c>
      <c r="N213" s="17"/>
      <c r="O213" s="17"/>
      <c r="P213" s="17"/>
      <c r="Q213" s="17"/>
      <c r="R213" s="17"/>
      <c r="S213" s="17"/>
      <c r="T213" s="17"/>
      <c r="U213" s="17"/>
      <c r="V213" s="17"/>
      <c r="W213" s="17" t="e">
        <f t="shared" si="21"/>
        <v>#REF!</v>
      </c>
      <c r="X213" s="17" t="e">
        <f t="shared" si="19"/>
        <v>#REF!</v>
      </c>
    </row>
    <row r="214" spans="1:24" ht="12.75" customHeight="1" x14ac:dyDescent="0.2">
      <c r="A214" s="19">
        <v>212</v>
      </c>
      <c r="B214" s="19" t="s">
        <v>3363</v>
      </c>
      <c r="C214" s="19" t="e">
        <f t="shared" si="7"/>
        <v>#REF!</v>
      </c>
      <c r="D214" s="19" t="e">
        <f t="shared" si="8"/>
        <v>#REF!</v>
      </c>
      <c r="E214" s="19" t="e">
        <f t="shared" si="9"/>
        <v>#REF!</v>
      </c>
      <c r="F214" s="19" t="e">
        <f>VLOOKUP(B214,'Station List'!#REF!,2,0)</f>
        <v>#REF!</v>
      </c>
      <c r="G214" s="19" t="e">
        <f>VLOOKUP(B214,#REF!,2,0)</f>
        <v>#REF!</v>
      </c>
      <c r="H214" s="19" t="e">
        <f t="shared" si="3"/>
        <v>#REF!</v>
      </c>
      <c r="I214" s="19" t="e">
        <f>VLOOKUP(B214,'Station List'!#REF!,4,0)</f>
        <v>#REF!</v>
      </c>
      <c r="J214" s="19" t="e">
        <f>VLOOKUP(B214,#REF!,3,0)</f>
        <v>#REF!</v>
      </c>
      <c r="K214" s="19" t="e">
        <f t="shared" si="20"/>
        <v>#REF!</v>
      </c>
      <c r="L214" s="19" t="e">
        <f>VLOOKUP(B213,'Station List'!#REF!,9,0)</f>
        <v>#REF!</v>
      </c>
      <c r="M214" s="19" t="e">
        <f>VLOOKUP(B213,#REF!,4,0)</f>
        <v>#REF!</v>
      </c>
      <c r="N214" s="17"/>
      <c r="O214" s="17"/>
      <c r="P214" s="17"/>
      <c r="Q214" s="17"/>
      <c r="R214" s="17"/>
      <c r="S214" s="17"/>
      <c r="T214" s="17"/>
      <c r="U214" s="17"/>
      <c r="V214" s="17"/>
      <c r="W214" s="17" t="e">
        <f t="shared" si="21"/>
        <v>#REF!</v>
      </c>
      <c r="X214" s="17" t="e">
        <f t="shared" si="19"/>
        <v>#REF!</v>
      </c>
    </row>
    <row r="215" spans="1:24" ht="12.75" customHeight="1" x14ac:dyDescent="0.2">
      <c r="A215" s="19">
        <v>213</v>
      </c>
      <c r="B215" s="19" t="s">
        <v>3364</v>
      </c>
      <c r="C215" s="19" t="e">
        <f t="shared" si="7"/>
        <v>#REF!</v>
      </c>
      <c r="D215" s="19" t="e">
        <f t="shared" si="8"/>
        <v>#REF!</v>
      </c>
      <c r="E215" s="19" t="e">
        <f t="shared" si="9"/>
        <v>#REF!</v>
      </c>
      <c r="F215" s="19" t="e">
        <f>VLOOKUP(B215,'Station List'!#REF!,2,0)</f>
        <v>#REF!</v>
      </c>
      <c r="G215" s="19" t="e">
        <f>VLOOKUP(B215,#REF!,2,0)</f>
        <v>#REF!</v>
      </c>
      <c r="H215" s="19" t="e">
        <f t="shared" si="3"/>
        <v>#REF!</v>
      </c>
      <c r="I215" s="19" t="e">
        <f>VLOOKUP(B215,'Station List'!#REF!,4,0)</f>
        <v>#REF!</v>
      </c>
      <c r="J215" s="19" t="e">
        <f>VLOOKUP(B215,#REF!,3,0)</f>
        <v>#REF!</v>
      </c>
      <c r="K215" s="19" t="e">
        <f t="shared" si="20"/>
        <v>#REF!</v>
      </c>
      <c r="L215" s="19" t="e">
        <f>VLOOKUP(B214,'Station List'!#REF!,9,0)</f>
        <v>#REF!</v>
      </c>
      <c r="M215" s="19" t="e">
        <f>VLOOKUP(B214,#REF!,4,0)</f>
        <v>#REF!</v>
      </c>
      <c r="N215" s="17"/>
      <c r="O215" s="17"/>
      <c r="P215" s="17"/>
      <c r="Q215" s="17"/>
      <c r="R215" s="17"/>
      <c r="S215" s="17"/>
      <c r="T215" s="17"/>
      <c r="U215" s="17"/>
      <c r="V215" s="17"/>
      <c r="W215" s="17" t="e">
        <f t="shared" si="21"/>
        <v>#REF!</v>
      </c>
      <c r="X215" s="17" t="e">
        <f t="shared" si="19"/>
        <v>#REF!</v>
      </c>
    </row>
    <row r="216" spans="1:24" ht="12.75" customHeight="1" x14ac:dyDescent="0.2">
      <c r="A216" s="19">
        <v>214</v>
      </c>
      <c r="B216" s="19" t="s">
        <v>3365</v>
      </c>
      <c r="C216" s="19" t="e">
        <f t="shared" si="7"/>
        <v>#REF!</v>
      </c>
      <c r="D216" s="19" t="e">
        <f t="shared" si="8"/>
        <v>#REF!</v>
      </c>
      <c r="E216" s="19" t="e">
        <f t="shared" si="9"/>
        <v>#REF!</v>
      </c>
      <c r="F216" s="19" t="e">
        <f>VLOOKUP(B216,'Station List'!#REF!,2,0)</f>
        <v>#REF!</v>
      </c>
      <c r="G216" s="19" t="e">
        <f>VLOOKUP(B216,#REF!,2,0)</f>
        <v>#REF!</v>
      </c>
      <c r="H216" s="19" t="e">
        <f t="shared" si="3"/>
        <v>#REF!</v>
      </c>
      <c r="I216" s="19" t="e">
        <f>VLOOKUP(B216,'Station List'!#REF!,4,0)</f>
        <v>#REF!</v>
      </c>
      <c r="J216" s="19" t="e">
        <f>VLOOKUP(B216,#REF!,3,0)</f>
        <v>#REF!</v>
      </c>
      <c r="K216" s="19" t="e">
        <f t="shared" si="20"/>
        <v>#REF!</v>
      </c>
      <c r="L216" s="19" t="e">
        <f>VLOOKUP(B215,'Station List'!#REF!,9,0)</f>
        <v>#REF!</v>
      </c>
      <c r="M216" s="19" t="e">
        <f>VLOOKUP(B215,#REF!,4,0)</f>
        <v>#REF!</v>
      </c>
      <c r="N216" s="17"/>
      <c r="O216" s="17"/>
      <c r="P216" s="17"/>
      <c r="Q216" s="17"/>
      <c r="R216" s="17"/>
      <c r="S216" s="17"/>
      <c r="T216" s="17"/>
      <c r="U216" s="17"/>
      <c r="V216" s="17"/>
      <c r="W216" s="17" t="e">
        <f t="shared" si="21"/>
        <v>#REF!</v>
      </c>
      <c r="X216" s="17" t="e">
        <f t="shared" si="19"/>
        <v>#REF!</v>
      </c>
    </row>
    <row r="217" spans="1:24" ht="12.75" customHeight="1" x14ac:dyDescent="0.2">
      <c r="A217" s="19">
        <v>215</v>
      </c>
      <c r="B217" s="19" t="s">
        <v>3366</v>
      </c>
      <c r="C217" s="19" t="e">
        <f t="shared" si="7"/>
        <v>#REF!</v>
      </c>
      <c r="D217" s="19" t="e">
        <f t="shared" si="8"/>
        <v>#REF!</v>
      </c>
      <c r="E217" s="19" t="e">
        <f t="shared" si="9"/>
        <v>#REF!</v>
      </c>
      <c r="F217" s="19" t="e">
        <f>VLOOKUP(B217,'Station List'!#REF!,2,0)</f>
        <v>#REF!</v>
      </c>
      <c r="G217" s="19" t="e">
        <f>VLOOKUP(B217,#REF!,2,0)</f>
        <v>#REF!</v>
      </c>
      <c r="H217" s="19" t="e">
        <f t="shared" si="3"/>
        <v>#REF!</v>
      </c>
      <c r="I217" s="19" t="e">
        <f>VLOOKUP(B217,'Station List'!#REF!,4,0)</f>
        <v>#REF!</v>
      </c>
      <c r="J217" s="19" t="e">
        <f>VLOOKUP(B217,#REF!,3,0)</f>
        <v>#REF!</v>
      </c>
      <c r="K217" s="19" t="e">
        <f t="shared" si="20"/>
        <v>#REF!</v>
      </c>
      <c r="L217" s="19" t="e">
        <f>VLOOKUP(B216,'Station List'!#REF!,9,0)</f>
        <v>#REF!</v>
      </c>
      <c r="M217" s="19" t="e">
        <f>VLOOKUP(B216,#REF!,4,0)</f>
        <v>#REF!</v>
      </c>
      <c r="N217" s="17"/>
      <c r="O217" s="17"/>
      <c r="P217" s="17"/>
      <c r="Q217" s="17"/>
      <c r="R217" s="17"/>
      <c r="S217" s="17"/>
      <c r="T217" s="17"/>
      <c r="U217" s="17"/>
      <c r="V217" s="17"/>
      <c r="W217" s="17" t="e">
        <f t="shared" si="21"/>
        <v>#REF!</v>
      </c>
      <c r="X217" s="17" t="e">
        <f t="shared" si="19"/>
        <v>#REF!</v>
      </c>
    </row>
    <row r="218" spans="1:24" ht="12.75" customHeight="1" x14ac:dyDescent="0.2">
      <c r="A218" s="19">
        <v>216</v>
      </c>
      <c r="B218" s="19" t="s">
        <v>3367</v>
      </c>
      <c r="C218" s="19" t="e">
        <f t="shared" si="7"/>
        <v>#REF!</v>
      </c>
      <c r="D218" s="19" t="e">
        <f t="shared" si="8"/>
        <v>#REF!</v>
      </c>
      <c r="E218" s="19" t="e">
        <f t="shared" si="9"/>
        <v>#REF!</v>
      </c>
      <c r="F218" s="19" t="e">
        <f>VLOOKUP(B218,'Station List'!#REF!,2,0)</f>
        <v>#REF!</v>
      </c>
      <c r="G218" s="19" t="e">
        <f>VLOOKUP(B218,#REF!,2,0)</f>
        <v>#REF!</v>
      </c>
      <c r="H218" s="19" t="e">
        <f t="shared" si="3"/>
        <v>#REF!</v>
      </c>
      <c r="I218" s="19" t="e">
        <f>VLOOKUP(B218,'Station List'!#REF!,4,0)</f>
        <v>#REF!</v>
      </c>
      <c r="J218" s="19" t="e">
        <f>VLOOKUP(B218,#REF!,3,0)</f>
        <v>#REF!</v>
      </c>
      <c r="K218" s="19" t="e">
        <f t="shared" si="20"/>
        <v>#REF!</v>
      </c>
      <c r="L218" s="19" t="e">
        <f>VLOOKUP(B217,'Station List'!#REF!,9,0)</f>
        <v>#REF!</v>
      </c>
      <c r="M218" s="19" t="e">
        <f>VLOOKUP(B217,#REF!,4,0)</f>
        <v>#REF!</v>
      </c>
      <c r="N218" s="17"/>
      <c r="O218" s="17"/>
      <c r="P218" s="17"/>
      <c r="Q218" s="17"/>
      <c r="R218" s="17"/>
      <c r="S218" s="17"/>
      <c r="T218" s="17"/>
      <c r="U218" s="17"/>
      <c r="V218" s="17"/>
      <c r="W218" s="17" t="e">
        <f t="shared" si="21"/>
        <v>#REF!</v>
      </c>
      <c r="X218" s="17" t="e">
        <f t="shared" si="19"/>
        <v>#REF!</v>
      </c>
    </row>
    <row r="219" spans="1:24" ht="12.75" customHeight="1" x14ac:dyDescent="0.2">
      <c r="A219" s="19">
        <v>217</v>
      </c>
      <c r="B219" s="19" t="s">
        <v>3368</v>
      </c>
      <c r="C219" s="19" t="e">
        <f t="shared" si="7"/>
        <v>#REF!</v>
      </c>
      <c r="D219" s="19" t="e">
        <f t="shared" si="8"/>
        <v>#REF!</v>
      </c>
      <c r="E219" s="19" t="e">
        <f t="shared" si="9"/>
        <v>#REF!</v>
      </c>
      <c r="F219" s="19" t="e">
        <f>VLOOKUP(B219,'Station List'!#REF!,2,0)</f>
        <v>#REF!</v>
      </c>
      <c r="G219" s="19" t="e">
        <f>VLOOKUP(B219,#REF!,2,0)</f>
        <v>#REF!</v>
      </c>
      <c r="H219" s="19" t="e">
        <f t="shared" si="3"/>
        <v>#REF!</v>
      </c>
      <c r="I219" s="19" t="e">
        <f>VLOOKUP(B219,'Station List'!#REF!,4,0)</f>
        <v>#REF!</v>
      </c>
      <c r="J219" s="19" t="e">
        <f>VLOOKUP(B219,#REF!,3,0)</f>
        <v>#REF!</v>
      </c>
      <c r="K219" s="19" t="e">
        <f t="shared" si="20"/>
        <v>#REF!</v>
      </c>
      <c r="L219" s="19" t="e">
        <f>VLOOKUP(B218,'Station List'!#REF!,9,0)</f>
        <v>#REF!</v>
      </c>
      <c r="M219" s="19" t="e">
        <f>VLOOKUP(B218,#REF!,4,0)</f>
        <v>#REF!</v>
      </c>
      <c r="N219" s="17"/>
      <c r="O219" s="17"/>
      <c r="P219" s="17"/>
      <c r="Q219" s="17"/>
      <c r="R219" s="17"/>
      <c r="S219" s="17"/>
      <c r="T219" s="17"/>
      <c r="U219" s="17"/>
      <c r="V219" s="17"/>
      <c r="W219" s="17" t="e">
        <f t="shared" si="21"/>
        <v>#REF!</v>
      </c>
      <c r="X219" s="17" t="e">
        <f t="shared" si="19"/>
        <v>#REF!</v>
      </c>
    </row>
    <row r="220" spans="1:24" ht="12.75" customHeight="1" x14ac:dyDescent="0.2">
      <c r="A220" s="19">
        <v>218</v>
      </c>
      <c r="B220" s="19" t="s">
        <v>3369</v>
      </c>
      <c r="C220" s="19" t="e">
        <f t="shared" si="7"/>
        <v>#REF!</v>
      </c>
      <c r="D220" s="19" t="e">
        <f t="shared" si="8"/>
        <v>#REF!</v>
      </c>
      <c r="E220" s="19" t="e">
        <f t="shared" si="9"/>
        <v>#REF!</v>
      </c>
      <c r="F220" s="19" t="e">
        <f>VLOOKUP(B220,'Station List'!#REF!,2,0)</f>
        <v>#REF!</v>
      </c>
      <c r="G220" s="19" t="e">
        <f>VLOOKUP(B220,#REF!,2,0)</f>
        <v>#REF!</v>
      </c>
      <c r="H220" s="19" t="e">
        <f t="shared" si="3"/>
        <v>#REF!</v>
      </c>
      <c r="I220" s="19" t="e">
        <f>VLOOKUP(B220,'Station List'!#REF!,4,0)</f>
        <v>#REF!</v>
      </c>
      <c r="J220" s="19" t="e">
        <f>VLOOKUP(B220,#REF!,3,0)</f>
        <v>#REF!</v>
      </c>
      <c r="K220" s="19" t="e">
        <f t="shared" si="20"/>
        <v>#REF!</v>
      </c>
      <c r="L220" s="19" t="e">
        <f>VLOOKUP(B219,'Station List'!#REF!,9,0)</f>
        <v>#REF!</v>
      </c>
      <c r="M220" s="19" t="e">
        <f>VLOOKUP(B219,#REF!,4,0)</f>
        <v>#REF!</v>
      </c>
      <c r="N220" s="17"/>
      <c r="O220" s="17"/>
      <c r="P220" s="17"/>
      <c r="Q220" s="17"/>
      <c r="R220" s="17"/>
      <c r="S220" s="17"/>
      <c r="T220" s="17"/>
      <c r="U220" s="17"/>
      <c r="V220" s="17"/>
      <c r="W220" s="17" t="e">
        <f t="shared" si="21"/>
        <v>#REF!</v>
      </c>
      <c r="X220" s="17" t="e">
        <f t="shared" si="19"/>
        <v>#REF!</v>
      </c>
    </row>
    <row r="221" spans="1:24" ht="12.75" customHeight="1" x14ac:dyDescent="0.2">
      <c r="A221" s="19">
        <v>219</v>
      </c>
      <c r="B221" s="19" t="s">
        <v>3370</v>
      </c>
      <c r="C221" s="19" t="e">
        <f t="shared" si="7"/>
        <v>#REF!</v>
      </c>
      <c r="D221" s="19" t="e">
        <f t="shared" si="8"/>
        <v>#REF!</v>
      </c>
      <c r="E221" s="19" t="e">
        <f t="shared" si="9"/>
        <v>#REF!</v>
      </c>
      <c r="F221" s="19" t="e">
        <f>VLOOKUP(B221,'Station List'!#REF!,2,0)</f>
        <v>#REF!</v>
      </c>
      <c r="G221" s="19" t="e">
        <f>VLOOKUP(B221,#REF!,2,0)</f>
        <v>#REF!</v>
      </c>
      <c r="H221" s="19" t="e">
        <f t="shared" si="3"/>
        <v>#REF!</v>
      </c>
      <c r="I221" s="19" t="e">
        <f>VLOOKUP(B221,'Station List'!#REF!,4,0)</f>
        <v>#REF!</v>
      </c>
      <c r="J221" s="19" t="e">
        <f>VLOOKUP(B221,#REF!,3,0)</f>
        <v>#REF!</v>
      </c>
      <c r="K221" s="19" t="e">
        <f t="shared" si="20"/>
        <v>#REF!</v>
      </c>
      <c r="L221" s="19" t="e">
        <f>VLOOKUP(B220,'Station List'!#REF!,9,0)</f>
        <v>#REF!</v>
      </c>
      <c r="M221" s="19" t="e">
        <f>VLOOKUP(B220,#REF!,4,0)</f>
        <v>#REF!</v>
      </c>
      <c r="N221" s="17"/>
      <c r="O221" s="17"/>
      <c r="P221" s="17"/>
      <c r="Q221" s="17"/>
      <c r="R221" s="17"/>
      <c r="S221" s="17"/>
      <c r="T221" s="17"/>
      <c r="U221" s="17"/>
      <c r="V221" s="17"/>
      <c r="W221" s="17" t="e">
        <f t="shared" si="21"/>
        <v>#REF!</v>
      </c>
      <c r="X221" s="17" t="e">
        <f t="shared" si="19"/>
        <v>#REF!</v>
      </c>
    </row>
    <row r="222" spans="1:24" ht="12.75" customHeight="1" x14ac:dyDescent="0.2">
      <c r="A222" s="19">
        <v>220</v>
      </c>
      <c r="B222" s="19" t="s">
        <v>3371</v>
      </c>
      <c r="C222" s="19" t="e">
        <f t="shared" si="7"/>
        <v>#REF!</v>
      </c>
      <c r="D222" s="19" t="e">
        <f t="shared" si="8"/>
        <v>#REF!</v>
      </c>
      <c r="E222" s="19" t="e">
        <f t="shared" si="9"/>
        <v>#REF!</v>
      </c>
      <c r="F222" s="19" t="e">
        <f>VLOOKUP(B222,'Station List'!#REF!,2,0)</f>
        <v>#REF!</v>
      </c>
      <c r="G222" s="19" t="e">
        <f>VLOOKUP(B222,#REF!,2,0)</f>
        <v>#REF!</v>
      </c>
      <c r="H222" s="19" t="e">
        <f t="shared" si="3"/>
        <v>#REF!</v>
      </c>
      <c r="I222" s="19" t="e">
        <f>VLOOKUP(B222,'Station List'!#REF!,4,0)</f>
        <v>#REF!</v>
      </c>
      <c r="J222" s="19" t="e">
        <f>VLOOKUP(B222,#REF!,3,0)</f>
        <v>#REF!</v>
      </c>
      <c r="K222" s="19" t="e">
        <f>VLOOKUP(#REF!,#REF!,4,0)</f>
        <v>#REF!</v>
      </c>
      <c r="L222" s="19" t="e">
        <f>VLOOKUP(#REF!,'Station List'!#REF!,9,0)</f>
        <v>#REF!</v>
      </c>
      <c r="M222" s="19" t="e">
        <f>VLOOKUP(#REF!,#REF!,4,0)</f>
        <v>#REF!</v>
      </c>
      <c r="N222" s="17"/>
      <c r="O222" s="17"/>
      <c r="P222" s="17"/>
      <c r="Q222" s="17"/>
      <c r="R222" s="17"/>
      <c r="S222" s="17"/>
      <c r="T222" s="17"/>
      <c r="U222" s="17"/>
      <c r="V222" s="17"/>
      <c r="W222" s="17" t="e">
        <f>IF(#REF!=#REF!,0,1)</f>
        <v>#REF!</v>
      </c>
      <c r="X222" s="17" t="e">
        <f t="shared" si="19"/>
        <v>#REF!</v>
      </c>
    </row>
    <row r="223" spans="1:24" ht="12.75" customHeight="1" x14ac:dyDescent="0.2">
      <c r="A223" s="19">
        <v>221</v>
      </c>
      <c r="B223" s="19" t="s">
        <v>3372</v>
      </c>
      <c r="C223" s="19" t="e">
        <f t="shared" si="7"/>
        <v>#REF!</v>
      </c>
      <c r="D223" s="19" t="e">
        <f t="shared" si="8"/>
        <v>#REF!</v>
      </c>
      <c r="E223" s="19" t="e">
        <f t="shared" si="9"/>
        <v>#REF!</v>
      </c>
      <c r="F223" s="19" t="e">
        <f>VLOOKUP(B223,'Station List'!#REF!,2,0)</f>
        <v>#REF!</v>
      </c>
      <c r="G223" s="19" t="e">
        <f>VLOOKUP(B223,#REF!,2,0)</f>
        <v>#REF!</v>
      </c>
      <c r="H223" s="19" t="e">
        <f t="shared" si="3"/>
        <v>#REF!</v>
      </c>
      <c r="I223" s="19" t="e">
        <f>VLOOKUP(B223,'Station List'!#REF!,4,0)</f>
        <v>#REF!</v>
      </c>
      <c r="J223" s="19" t="e">
        <f>VLOOKUP(B223,#REF!,3,0)</f>
        <v>#REF!</v>
      </c>
      <c r="K223" s="19" t="e">
        <f t="shared" ref="K223:K250" si="22">VLOOKUP(B222,#REF!,4,0)</f>
        <v>#REF!</v>
      </c>
      <c r="L223" s="19" t="e">
        <f>VLOOKUP(B222,'Station List'!#REF!,9,0)</f>
        <v>#REF!</v>
      </c>
      <c r="M223" s="19" t="e">
        <f>VLOOKUP(B222,#REF!,4,0)</f>
        <v>#REF!</v>
      </c>
      <c r="N223" s="17"/>
      <c r="O223" s="17"/>
      <c r="P223" s="17"/>
      <c r="Q223" s="17"/>
      <c r="R223" s="17"/>
      <c r="S223" s="17"/>
      <c r="T223" s="17"/>
      <c r="U223" s="17"/>
      <c r="V223" s="17"/>
      <c r="W223" s="17" t="e">
        <f t="shared" ref="W223:W246" si="23">IF(I222=J222,0,1)</f>
        <v>#REF!</v>
      </c>
      <c r="X223" s="17" t="e">
        <f t="shared" si="19"/>
        <v>#REF!</v>
      </c>
    </row>
    <row r="224" spans="1:24" ht="12.75" customHeight="1" x14ac:dyDescent="0.2">
      <c r="A224" s="19">
        <v>222</v>
      </c>
      <c r="B224" s="19" t="s">
        <v>3373</v>
      </c>
      <c r="C224" s="19" t="e">
        <f t="shared" si="7"/>
        <v>#REF!</v>
      </c>
      <c r="D224" s="19" t="e">
        <f t="shared" si="8"/>
        <v>#REF!</v>
      </c>
      <c r="E224" s="19" t="e">
        <f t="shared" si="9"/>
        <v>#REF!</v>
      </c>
      <c r="F224" s="19" t="e">
        <f>VLOOKUP(B224,'Station List'!#REF!,2,0)</f>
        <v>#REF!</v>
      </c>
      <c r="G224" s="19" t="e">
        <f>VLOOKUP(B224,#REF!,2,0)</f>
        <v>#REF!</v>
      </c>
      <c r="H224" s="19" t="e">
        <f t="shared" si="3"/>
        <v>#REF!</v>
      </c>
      <c r="I224" s="19" t="e">
        <f>VLOOKUP(B224,'Station List'!#REF!,4,0)</f>
        <v>#REF!</v>
      </c>
      <c r="J224" s="19" t="e">
        <f>VLOOKUP(B224,#REF!,3,0)</f>
        <v>#REF!</v>
      </c>
      <c r="K224" s="19" t="e">
        <f t="shared" si="22"/>
        <v>#REF!</v>
      </c>
      <c r="L224" s="19" t="e">
        <f>VLOOKUP(B223,'Station List'!#REF!,9,0)</f>
        <v>#REF!</v>
      </c>
      <c r="M224" s="19" t="e">
        <f>VLOOKUP(B223,#REF!,4,0)</f>
        <v>#REF!</v>
      </c>
      <c r="N224" s="17"/>
      <c r="O224" s="17"/>
      <c r="P224" s="17"/>
      <c r="Q224" s="17"/>
      <c r="R224" s="17"/>
      <c r="S224" s="17"/>
      <c r="T224" s="17"/>
      <c r="U224" s="17"/>
      <c r="V224" s="17"/>
      <c r="W224" s="17" t="e">
        <f t="shared" si="23"/>
        <v>#REF!</v>
      </c>
      <c r="X224" s="17" t="e">
        <f t="shared" si="19"/>
        <v>#REF!</v>
      </c>
    </row>
    <row r="225" spans="1:24" ht="12.75" customHeight="1" x14ac:dyDescent="0.2">
      <c r="A225" s="19">
        <v>223</v>
      </c>
      <c r="B225" s="19" t="s">
        <v>3374</v>
      </c>
      <c r="C225" s="19" t="e">
        <f t="shared" si="7"/>
        <v>#REF!</v>
      </c>
      <c r="D225" s="19" t="e">
        <f t="shared" si="8"/>
        <v>#REF!</v>
      </c>
      <c r="E225" s="19" t="e">
        <f t="shared" si="9"/>
        <v>#REF!</v>
      </c>
      <c r="F225" s="19" t="e">
        <f>VLOOKUP(B225,'Station List'!#REF!,2,0)</f>
        <v>#REF!</v>
      </c>
      <c r="G225" s="19" t="e">
        <f>VLOOKUP(B225,#REF!,2,0)</f>
        <v>#REF!</v>
      </c>
      <c r="H225" s="19" t="e">
        <f t="shared" si="3"/>
        <v>#REF!</v>
      </c>
      <c r="I225" s="19" t="e">
        <f>VLOOKUP(B225,'Station List'!#REF!,4,0)</f>
        <v>#REF!</v>
      </c>
      <c r="J225" s="19" t="e">
        <f>VLOOKUP(B225,#REF!,3,0)</f>
        <v>#REF!</v>
      </c>
      <c r="K225" s="19" t="e">
        <f t="shared" si="22"/>
        <v>#REF!</v>
      </c>
      <c r="L225" s="19" t="e">
        <f>VLOOKUP(B224,'Station List'!#REF!,9,0)</f>
        <v>#REF!</v>
      </c>
      <c r="M225" s="19" t="e">
        <f>VLOOKUP(B224,#REF!,4,0)</f>
        <v>#REF!</v>
      </c>
      <c r="N225" s="17"/>
      <c r="O225" s="17"/>
      <c r="P225" s="17"/>
      <c r="Q225" s="17"/>
      <c r="R225" s="17"/>
      <c r="S225" s="17"/>
      <c r="T225" s="17"/>
      <c r="U225" s="17"/>
      <c r="V225" s="17"/>
      <c r="W225" s="17" t="e">
        <f t="shared" si="23"/>
        <v>#REF!</v>
      </c>
      <c r="X225" s="17" t="e">
        <f t="shared" si="19"/>
        <v>#REF!</v>
      </c>
    </row>
    <row r="226" spans="1:24" ht="12.75" customHeight="1" x14ac:dyDescent="0.2">
      <c r="A226" s="19">
        <v>224</v>
      </c>
      <c r="B226" s="19" t="s">
        <v>3375</v>
      </c>
      <c r="C226" s="19" t="e">
        <f t="shared" si="7"/>
        <v>#REF!</v>
      </c>
      <c r="D226" s="19" t="e">
        <f t="shared" si="8"/>
        <v>#REF!</v>
      </c>
      <c r="E226" s="19" t="e">
        <f t="shared" si="9"/>
        <v>#REF!</v>
      </c>
      <c r="F226" s="19" t="e">
        <f>VLOOKUP(B226,'Station List'!#REF!,2,0)</f>
        <v>#REF!</v>
      </c>
      <c r="G226" s="19" t="e">
        <f>VLOOKUP(B226,#REF!,2,0)</f>
        <v>#REF!</v>
      </c>
      <c r="H226" s="19" t="e">
        <f t="shared" si="3"/>
        <v>#REF!</v>
      </c>
      <c r="I226" s="19" t="e">
        <f>VLOOKUP(B226,'Station List'!#REF!,4,0)</f>
        <v>#REF!</v>
      </c>
      <c r="J226" s="19" t="e">
        <f>VLOOKUP(B226,#REF!,3,0)</f>
        <v>#REF!</v>
      </c>
      <c r="K226" s="19" t="e">
        <f t="shared" si="22"/>
        <v>#REF!</v>
      </c>
      <c r="L226" s="19" t="e">
        <f>VLOOKUP(B225,'Station List'!#REF!,9,0)</f>
        <v>#REF!</v>
      </c>
      <c r="M226" s="19" t="e">
        <f>VLOOKUP(B225,#REF!,4,0)</f>
        <v>#REF!</v>
      </c>
      <c r="N226" s="17"/>
      <c r="O226" s="17"/>
      <c r="P226" s="17"/>
      <c r="Q226" s="17"/>
      <c r="R226" s="17"/>
      <c r="S226" s="17"/>
      <c r="T226" s="17"/>
      <c r="U226" s="17"/>
      <c r="V226" s="17"/>
      <c r="W226" s="17" t="e">
        <f t="shared" si="23"/>
        <v>#REF!</v>
      </c>
      <c r="X226" s="17" t="e">
        <f t="shared" si="19"/>
        <v>#REF!</v>
      </c>
    </row>
    <row r="227" spans="1:24" ht="12.75" customHeight="1" x14ac:dyDescent="0.2">
      <c r="A227" s="19">
        <v>225</v>
      </c>
      <c r="B227" s="19" t="s">
        <v>3376</v>
      </c>
      <c r="C227" s="19" t="e">
        <f t="shared" si="7"/>
        <v>#REF!</v>
      </c>
      <c r="D227" s="19" t="e">
        <f t="shared" si="8"/>
        <v>#REF!</v>
      </c>
      <c r="E227" s="19" t="e">
        <f t="shared" si="9"/>
        <v>#REF!</v>
      </c>
      <c r="F227" s="19" t="e">
        <f>VLOOKUP(B227,'Station List'!#REF!,2,0)</f>
        <v>#REF!</v>
      </c>
      <c r="G227" s="19" t="e">
        <f>VLOOKUP(B227,#REF!,2,0)</f>
        <v>#REF!</v>
      </c>
      <c r="H227" s="19" t="e">
        <f t="shared" si="3"/>
        <v>#REF!</v>
      </c>
      <c r="I227" s="19" t="e">
        <f>VLOOKUP(B227,'Station List'!#REF!,4,0)</f>
        <v>#REF!</v>
      </c>
      <c r="J227" s="19" t="e">
        <f>VLOOKUP(B227,#REF!,3,0)</f>
        <v>#REF!</v>
      </c>
      <c r="K227" s="19" t="e">
        <f t="shared" si="22"/>
        <v>#REF!</v>
      </c>
      <c r="L227" s="19" t="e">
        <f>VLOOKUP(B226,'Station List'!#REF!,9,0)</f>
        <v>#REF!</v>
      </c>
      <c r="M227" s="19" t="e">
        <f>VLOOKUP(B226,#REF!,4,0)</f>
        <v>#REF!</v>
      </c>
      <c r="N227" s="17"/>
      <c r="O227" s="17"/>
      <c r="P227" s="17"/>
      <c r="Q227" s="17"/>
      <c r="R227" s="17"/>
      <c r="S227" s="17"/>
      <c r="T227" s="17"/>
      <c r="U227" s="17"/>
      <c r="V227" s="17"/>
      <c r="W227" s="17" t="e">
        <f t="shared" si="23"/>
        <v>#REF!</v>
      </c>
      <c r="X227" s="17" t="e">
        <f t="shared" si="19"/>
        <v>#REF!</v>
      </c>
    </row>
    <row r="228" spans="1:24" ht="12.75" customHeight="1" x14ac:dyDescent="0.2">
      <c r="A228" s="19">
        <v>226</v>
      </c>
      <c r="B228" s="19" t="s">
        <v>3377</v>
      </c>
      <c r="C228" s="19" t="e">
        <f t="shared" si="7"/>
        <v>#REF!</v>
      </c>
      <c r="D228" s="19" t="e">
        <f t="shared" si="8"/>
        <v>#REF!</v>
      </c>
      <c r="E228" s="19" t="e">
        <f t="shared" si="9"/>
        <v>#REF!</v>
      </c>
      <c r="F228" s="19" t="e">
        <f>VLOOKUP(B228,'Station List'!#REF!,2,0)</f>
        <v>#REF!</v>
      </c>
      <c r="G228" s="19" t="e">
        <f>VLOOKUP(B228,#REF!,2,0)</f>
        <v>#REF!</v>
      </c>
      <c r="H228" s="19" t="e">
        <f t="shared" si="3"/>
        <v>#REF!</v>
      </c>
      <c r="I228" s="19" t="e">
        <f>VLOOKUP(B228,'Station List'!#REF!,4,0)</f>
        <v>#REF!</v>
      </c>
      <c r="J228" s="19" t="e">
        <f>VLOOKUP(B228,#REF!,3,0)</f>
        <v>#REF!</v>
      </c>
      <c r="K228" s="19" t="e">
        <f t="shared" si="22"/>
        <v>#REF!</v>
      </c>
      <c r="L228" s="19" t="e">
        <f>VLOOKUP(B227,'Station List'!#REF!,9,0)</f>
        <v>#REF!</v>
      </c>
      <c r="M228" s="19" t="e">
        <f>VLOOKUP(B227,#REF!,4,0)</f>
        <v>#REF!</v>
      </c>
      <c r="N228" s="17"/>
      <c r="O228" s="17"/>
      <c r="P228" s="17"/>
      <c r="Q228" s="17"/>
      <c r="R228" s="17"/>
      <c r="S228" s="17"/>
      <c r="T228" s="17"/>
      <c r="U228" s="17"/>
      <c r="V228" s="17"/>
      <c r="W228" s="17" t="e">
        <f t="shared" si="23"/>
        <v>#REF!</v>
      </c>
      <c r="X228" s="17" t="e">
        <f t="shared" si="19"/>
        <v>#REF!</v>
      </c>
    </row>
    <row r="229" spans="1:24" ht="12.75" customHeight="1" x14ac:dyDescent="0.2">
      <c r="A229" s="19">
        <v>227</v>
      </c>
      <c r="B229" s="19" t="s">
        <v>3378</v>
      </c>
      <c r="C229" s="19" t="e">
        <f t="shared" si="7"/>
        <v>#REF!</v>
      </c>
      <c r="D229" s="19" t="e">
        <f t="shared" si="8"/>
        <v>#REF!</v>
      </c>
      <c r="E229" s="19" t="e">
        <f t="shared" si="9"/>
        <v>#REF!</v>
      </c>
      <c r="F229" s="19" t="e">
        <f>VLOOKUP(B229,'Station List'!#REF!,2,0)</f>
        <v>#REF!</v>
      </c>
      <c r="G229" s="19" t="e">
        <f>VLOOKUP(B229,#REF!,2,0)</f>
        <v>#REF!</v>
      </c>
      <c r="H229" s="19" t="e">
        <f t="shared" si="3"/>
        <v>#REF!</v>
      </c>
      <c r="I229" s="19" t="e">
        <f>VLOOKUP(B229,'Station List'!#REF!,4,0)</f>
        <v>#REF!</v>
      </c>
      <c r="J229" s="19" t="e">
        <f>VLOOKUP(B229,#REF!,3,0)</f>
        <v>#REF!</v>
      </c>
      <c r="K229" s="19" t="e">
        <f t="shared" si="22"/>
        <v>#REF!</v>
      </c>
      <c r="L229" s="19" t="e">
        <f>VLOOKUP(B228,'Station List'!#REF!,9,0)</f>
        <v>#REF!</v>
      </c>
      <c r="M229" s="19" t="e">
        <f>VLOOKUP(B228,#REF!,4,0)</f>
        <v>#REF!</v>
      </c>
      <c r="N229" s="17"/>
      <c r="O229" s="17"/>
      <c r="P229" s="17"/>
      <c r="Q229" s="17"/>
      <c r="R229" s="17"/>
      <c r="S229" s="17"/>
      <c r="T229" s="17"/>
      <c r="U229" s="17"/>
      <c r="V229" s="17"/>
      <c r="W229" s="17" t="e">
        <f t="shared" si="23"/>
        <v>#REF!</v>
      </c>
      <c r="X229" s="17" t="e">
        <f t="shared" si="19"/>
        <v>#REF!</v>
      </c>
    </row>
    <row r="230" spans="1:24" ht="12.75" customHeight="1" x14ac:dyDescent="0.2">
      <c r="A230" s="19">
        <v>228</v>
      </c>
      <c r="B230" s="19" t="s">
        <v>3379</v>
      </c>
      <c r="C230" s="19" t="e">
        <f t="shared" si="7"/>
        <v>#REF!</v>
      </c>
      <c r="D230" s="19" t="e">
        <f t="shared" si="8"/>
        <v>#REF!</v>
      </c>
      <c r="E230" s="19" t="e">
        <f t="shared" si="9"/>
        <v>#REF!</v>
      </c>
      <c r="F230" s="19" t="e">
        <f>VLOOKUP(B230,'Station List'!#REF!,2,0)</f>
        <v>#REF!</v>
      </c>
      <c r="G230" s="19" t="e">
        <f>VLOOKUP(B230,#REF!,2,0)</f>
        <v>#REF!</v>
      </c>
      <c r="H230" s="19" t="e">
        <f t="shared" si="3"/>
        <v>#REF!</v>
      </c>
      <c r="I230" s="19" t="e">
        <f>VLOOKUP(B230,'Station List'!#REF!,4,0)</f>
        <v>#REF!</v>
      </c>
      <c r="J230" s="19" t="e">
        <f>VLOOKUP(B230,#REF!,3,0)</f>
        <v>#REF!</v>
      </c>
      <c r="K230" s="19" t="e">
        <f t="shared" si="22"/>
        <v>#REF!</v>
      </c>
      <c r="L230" s="19" t="e">
        <f>VLOOKUP(B229,'Station List'!#REF!,9,0)</f>
        <v>#REF!</v>
      </c>
      <c r="M230" s="19" t="e">
        <f>VLOOKUP(B229,#REF!,4,0)</f>
        <v>#REF!</v>
      </c>
      <c r="N230" s="17"/>
      <c r="O230" s="17"/>
      <c r="P230" s="17"/>
      <c r="Q230" s="17"/>
      <c r="R230" s="17"/>
      <c r="S230" s="17"/>
      <c r="T230" s="17"/>
      <c r="U230" s="17"/>
      <c r="V230" s="17"/>
      <c r="W230" s="17" t="e">
        <f t="shared" si="23"/>
        <v>#REF!</v>
      </c>
      <c r="X230" s="17" t="e">
        <f t="shared" si="19"/>
        <v>#REF!</v>
      </c>
    </row>
    <row r="231" spans="1:24" ht="12.75" customHeight="1" x14ac:dyDescent="0.2">
      <c r="A231" s="19">
        <v>229</v>
      </c>
      <c r="B231" s="19" t="s">
        <v>3380</v>
      </c>
      <c r="C231" s="19" t="e">
        <f t="shared" si="7"/>
        <v>#REF!</v>
      </c>
      <c r="D231" s="19" t="e">
        <f t="shared" si="8"/>
        <v>#REF!</v>
      </c>
      <c r="E231" s="19" t="e">
        <f t="shared" si="9"/>
        <v>#REF!</v>
      </c>
      <c r="F231" s="19" t="e">
        <f>VLOOKUP(B231,'Station List'!#REF!,2,0)</f>
        <v>#REF!</v>
      </c>
      <c r="G231" s="19" t="e">
        <f>VLOOKUP(B231,#REF!,2,0)</f>
        <v>#REF!</v>
      </c>
      <c r="H231" s="19" t="e">
        <f t="shared" si="3"/>
        <v>#REF!</v>
      </c>
      <c r="I231" s="19" t="e">
        <f>VLOOKUP(B231,'Station List'!#REF!,4,0)</f>
        <v>#REF!</v>
      </c>
      <c r="J231" s="19" t="e">
        <f>VLOOKUP(B231,#REF!,3,0)</f>
        <v>#REF!</v>
      </c>
      <c r="K231" s="19" t="e">
        <f t="shared" si="22"/>
        <v>#REF!</v>
      </c>
      <c r="L231" s="102" t="e">
        <f>VLOOKUP(B230,'Station List'!#REF!,9,0)</f>
        <v>#REF!</v>
      </c>
      <c r="M231" s="19" t="e">
        <f>VLOOKUP(B230,#REF!,4,0)</f>
        <v>#REF!</v>
      </c>
      <c r="N231" s="17"/>
      <c r="O231" s="17"/>
      <c r="P231" s="17"/>
      <c r="Q231" s="17"/>
      <c r="R231" s="17"/>
      <c r="S231" s="17"/>
      <c r="T231" s="17"/>
      <c r="U231" s="17"/>
      <c r="V231" s="17"/>
      <c r="W231" s="17" t="e">
        <f t="shared" si="23"/>
        <v>#REF!</v>
      </c>
      <c r="X231" s="17" t="e">
        <f t="shared" si="19"/>
        <v>#REF!</v>
      </c>
    </row>
    <row r="232" spans="1:24" ht="12.75" customHeight="1" x14ac:dyDescent="0.2">
      <c r="A232" s="19">
        <v>230</v>
      </c>
      <c r="B232" s="19" t="s">
        <v>3381</v>
      </c>
      <c r="C232" s="19" t="e">
        <f t="shared" si="7"/>
        <v>#REF!</v>
      </c>
      <c r="D232" s="19" t="e">
        <f t="shared" si="8"/>
        <v>#REF!</v>
      </c>
      <c r="E232" s="19" t="e">
        <f t="shared" si="9"/>
        <v>#REF!</v>
      </c>
      <c r="F232" s="19" t="e">
        <f>VLOOKUP(B232,'Station List'!#REF!,2,0)</f>
        <v>#REF!</v>
      </c>
      <c r="G232" s="19" t="e">
        <f>VLOOKUP(B232,#REF!,2,0)</f>
        <v>#REF!</v>
      </c>
      <c r="H232" s="19" t="e">
        <f t="shared" si="3"/>
        <v>#REF!</v>
      </c>
      <c r="I232" s="19" t="e">
        <f>VLOOKUP(B232,'Station List'!#REF!,4,0)</f>
        <v>#REF!</v>
      </c>
      <c r="J232" s="19" t="e">
        <f>VLOOKUP(B232,#REF!,3,0)</f>
        <v>#REF!</v>
      </c>
      <c r="K232" s="19" t="e">
        <f t="shared" si="22"/>
        <v>#REF!</v>
      </c>
      <c r="L232" s="19" t="e">
        <f>VLOOKUP(B231,'Station List'!#REF!,9,0)</f>
        <v>#REF!</v>
      </c>
      <c r="M232" s="19" t="e">
        <f>VLOOKUP(B231,#REF!,4,0)</f>
        <v>#REF!</v>
      </c>
      <c r="N232" s="17"/>
      <c r="O232" s="17"/>
      <c r="P232" s="17"/>
      <c r="Q232" s="17"/>
      <c r="R232" s="17"/>
      <c r="S232" s="17"/>
      <c r="T232" s="17"/>
      <c r="U232" s="17"/>
      <c r="V232" s="17"/>
      <c r="W232" s="17" t="e">
        <f t="shared" si="23"/>
        <v>#REF!</v>
      </c>
      <c r="X232" s="17" t="e">
        <f t="shared" si="19"/>
        <v>#REF!</v>
      </c>
    </row>
    <row r="233" spans="1:24" ht="12.75" customHeight="1" x14ac:dyDescent="0.2">
      <c r="A233" s="19">
        <v>231</v>
      </c>
      <c r="B233" s="19" t="s">
        <v>3382</v>
      </c>
      <c r="C233" s="19" t="e">
        <f t="shared" si="7"/>
        <v>#REF!</v>
      </c>
      <c r="D233" s="19" t="e">
        <f t="shared" si="8"/>
        <v>#REF!</v>
      </c>
      <c r="E233" s="19" t="e">
        <f t="shared" si="9"/>
        <v>#REF!</v>
      </c>
      <c r="F233" s="19" t="e">
        <f>VLOOKUP(B233,'Station List'!#REF!,2,0)</f>
        <v>#REF!</v>
      </c>
      <c r="G233" s="19" t="e">
        <f>VLOOKUP(B233,#REF!,2,0)</f>
        <v>#REF!</v>
      </c>
      <c r="H233" s="19" t="e">
        <f t="shared" si="3"/>
        <v>#REF!</v>
      </c>
      <c r="I233" s="19" t="e">
        <f>VLOOKUP(B233,'Station List'!#REF!,4,0)</f>
        <v>#REF!</v>
      </c>
      <c r="J233" s="19" t="e">
        <f>VLOOKUP(B233,#REF!,3,0)</f>
        <v>#REF!</v>
      </c>
      <c r="K233" s="19" t="e">
        <f t="shared" si="22"/>
        <v>#REF!</v>
      </c>
      <c r="L233" s="19" t="e">
        <f>VLOOKUP(B232,'Station List'!#REF!,9,0)</f>
        <v>#REF!</v>
      </c>
      <c r="M233" s="19" t="e">
        <f>VLOOKUP(B232,#REF!,4,0)</f>
        <v>#REF!</v>
      </c>
      <c r="N233" s="17"/>
      <c r="O233" s="17"/>
      <c r="P233" s="17"/>
      <c r="Q233" s="17"/>
      <c r="R233" s="17"/>
      <c r="S233" s="17"/>
      <c r="T233" s="17"/>
      <c r="U233" s="17"/>
      <c r="V233" s="17"/>
      <c r="W233" s="17" t="e">
        <f t="shared" si="23"/>
        <v>#REF!</v>
      </c>
      <c r="X233" s="17" t="e">
        <f t="shared" si="19"/>
        <v>#REF!</v>
      </c>
    </row>
    <row r="234" spans="1:24" ht="12.75" customHeight="1" x14ac:dyDescent="0.2">
      <c r="A234" s="19">
        <v>232</v>
      </c>
      <c r="B234" s="19" t="s">
        <v>3383</v>
      </c>
      <c r="C234" s="19" t="e">
        <f t="shared" si="7"/>
        <v>#REF!</v>
      </c>
      <c r="D234" s="19" t="e">
        <f t="shared" si="8"/>
        <v>#REF!</v>
      </c>
      <c r="E234" s="19" t="e">
        <f t="shared" si="9"/>
        <v>#REF!</v>
      </c>
      <c r="F234" s="19" t="e">
        <f>VLOOKUP(B234,'Station List'!#REF!,2,0)</f>
        <v>#REF!</v>
      </c>
      <c r="G234" s="19" t="e">
        <f>VLOOKUP(B234,#REF!,2,0)</f>
        <v>#REF!</v>
      </c>
      <c r="H234" s="19" t="e">
        <f t="shared" si="3"/>
        <v>#REF!</v>
      </c>
      <c r="I234" s="19" t="e">
        <f>VLOOKUP(B234,'Station List'!#REF!,4,0)</f>
        <v>#REF!</v>
      </c>
      <c r="J234" s="19" t="e">
        <f>VLOOKUP(B234,#REF!,3,0)</f>
        <v>#REF!</v>
      </c>
      <c r="K234" s="19" t="e">
        <f t="shared" si="22"/>
        <v>#REF!</v>
      </c>
      <c r="L234" s="19" t="e">
        <f>VLOOKUP(B233,'Station List'!#REF!,9,0)</f>
        <v>#REF!</v>
      </c>
      <c r="M234" s="19" t="e">
        <f>VLOOKUP(B233,#REF!,4,0)</f>
        <v>#REF!</v>
      </c>
      <c r="N234" s="17"/>
      <c r="O234" s="17"/>
      <c r="P234" s="17"/>
      <c r="Q234" s="17"/>
      <c r="R234" s="17"/>
      <c r="S234" s="17"/>
      <c r="T234" s="17"/>
      <c r="U234" s="17"/>
      <c r="V234" s="17"/>
      <c r="W234" s="17" t="e">
        <f t="shared" si="23"/>
        <v>#REF!</v>
      </c>
      <c r="X234" s="17" t="e">
        <f t="shared" si="19"/>
        <v>#REF!</v>
      </c>
    </row>
    <row r="235" spans="1:24" ht="12.75" customHeight="1" x14ac:dyDescent="0.2">
      <c r="A235" s="19">
        <v>233</v>
      </c>
      <c r="B235" s="19" t="s">
        <v>3384</v>
      </c>
      <c r="C235" s="19" t="e">
        <f t="shared" si="7"/>
        <v>#REF!</v>
      </c>
      <c r="D235" s="19" t="e">
        <f t="shared" si="8"/>
        <v>#REF!</v>
      </c>
      <c r="E235" s="19" t="e">
        <f t="shared" si="9"/>
        <v>#REF!</v>
      </c>
      <c r="F235" s="19" t="e">
        <f>VLOOKUP(B235,'Station List'!#REF!,2,0)</f>
        <v>#REF!</v>
      </c>
      <c r="G235" s="19" t="e">
        <f>VLOOKUP(B235,#REF!,2,0)</f>
        <v>#REF!</v>
      </c>
      <c r="H235" s="19" t="e">
        <f t="shared" si="3"/>
        <v>#REF!</v>
      </c>
      <c r="I235" s="19" t="e">
        <f>VLOOKUP(B235,'Station List'!#REF!,4,0)</f>
        <v>#REF!</v>
      </c>
      <c r="J235" s="19" t="e">
        <f>VLOOKUP(B235,#REF!,3,0)</f>
        <v>#REF!</v>
      </c>
      <c r="K235" s="19" t="e">
        <f t="shared" si="22"/>
        <v>#REF!</v>
      </c>
      <c r="L235" s="19" t="e">
        <f>VLOOKUP(B234,'Station List'!#REF!,9,0)</f>
        <v>#REF!</v>
      </c>
      <c r="M235" s="19" t="e">
        <f>VLOOKUP(B234,#REF!,4,0)</f>
        <v>#REF!</v>
      </c>
      <c r="N235" s="17"/>
      <c r="O235" s="17"/>
      <c r="P235" s="17"/>
      <c r="Q235" s="17"/>
      <c r="R235" s="17"/>
      <c r="S235" s="17"/>
      <c r="T235" s="17"/>
      <c r="U235" s="17"/>
      <c r="V235" s="17"/>
      <c r="W235" s="17" t="e">
        <f t="shared" si="23"/>
        <v>#REF!</v>
      </c>
      <c r="X235" s="17" t="e">
        <f t="shared" si="19"/>
        <v>#REF!</v>
      </c>
    </row>
    <row r="236" spans="1:24" ht="12.75" customHeight="1" x14ac:dyDescent="0.2">
      <c r="A236" s="19">
        <v>234</v>
      </c>
      <c r="B236" s="19" t="s">
        <v>3385</v>
      </c>
      <c r="C236" s="19" t="e">
        <f t="shared" si="7"/>
        <v>#REF!</v>
      </c>
      <c r="D236" s="19" t="e">
        <f t="shared" si="8"/>
        <v>#REF!</v>
      </c>
      <c r="E236" s="19" t="e">
        <f t="shared" si="9"/>
        <v>#REF!</v>
      </c>
      <c r="F236" s="19" t="e">
        <f>VLOOKUP(B236,'Station List'!#REF!,2,0)</f>
        <v>#REF!</v>
      </c>
      <c r="G236" s="19" t="e">
        <f>VLOOKUP(B236,#REF!,2,0)</f>
        <v>#REF!</v>
      </c>
      <c r="H236" s="19" t="e">
        <f t="shared" si="3"/>
        <v>#REF!</v>
      </c>
      <c r="I236" s="19" t="e">
        <f>VLOOKUP(B236,'Station List'!#REF!,4,0)</f>
        <v>#REF!</v>
      </c>
      <c r="J236" s="19" t="e">
        <f>VLOOKUP(B236,#REF!,3,0)</f>
        <v>#REF!</v>
      </c>
      <c r="K236" s="19" t="e">
        <f t="shared" si="22"/>
        <v>#REF!</v>
      </c>
      <c r="L236" s="19" t="e">
        <f>VLOOKUP(B235,'Station List'!#REF!,9,0)</f>
        <v>#REF!</v>
      </c>
      <c r="M236" s="19" t="e">
        <f>VLOOKUP(B235,#REF!,4,0)</f>
        <v>#REF!</v>
      </c>
      <c r="N236" s="17"/>
      <c r="O236" s="17"/>
      <c r="P236" s="17"/>
      <c r="Q236" s="17"/>
      <c r="R236" s="17"/>
      <c r="S236" s="17"/>
      <c r="T236" s="17"/>
      <c r="U236" s="17"/>
      <c r="V236" s="17"/>
      <c r="W236" s="17" t="e">
        <f t="shared" si="23"/>
        <v>#REF!</v>
      </c>
      <c r="X236" s="17" t="e">
        <f t="shared" si="19"/>
        <v>#REF!</v>
      </c>
    </row>
    <row r="237" spans="1:24" ht="12.75" customHeight="1" x14ac:dyDescent="0.2">
      <c r="A237" s="19">
        <v>235</v>
      </c>
      <c r="B237" s="19" t="s">
        <v>3386</v>
      </c>
      <c r="C237" s="19" t="e">
        <f t="shared" si="7"/>
        <v>#REF!</v>
      </c>
      <c r="D237" s="19" t="e">
        <f t="shared" si="8"/>
        <v>#REF!</v>
      </c>
      <c r="E237" s="19" t="e">
        <f t="shared" si="9"/>
        <v>#REF!</v>
      </c>
      <c r="F237" s="19" t="e">
        <f>VLOOKUP(B237,'Station List'!#REF!,2,0)</f>
        <v>#REF!</v>
      </c>
      <c r="G237" s="19" t="e">
        <f>VLOOKUP(B237,#REF!,2,0)</f>
        <v>#REF!</v>
      </c>
      <c r="H237" s="19" t="e">
        <f t="shared" si="3"/>
        <v>#REF!</v>
      </c>
      <c r="I237" s="19" t="e">
        <f>VLOOKUP(B237,'Station List'!#REF!,4,0)</f>
        <v>#REF!</v>
      </c>
      <c r="J237" s="19" t="e">
        <f>VLOOKUP(B237,#REF!,3,0)</f>
        <v>#REF!</v>
      </c>
      <c r="K237" s="19" t="e">
        <f t="shared" si="22"/>
        <v>#REF!</v>
      </c>
      <c r="L237" s="19" t="e">
        <f>VLOOKUP(B236,'Station List'!#REF!,9,0)</f>
        <v>#REF!</v>
      </c>
      <c r="M237" s="19" t="e">
        <f>VLOOKUP(B236,#REF!,4,0)</f>
        <v>#REF!</v>
      </c>
      <c r="N237" s="17"/>
      <c r="O237" s="17"/>
      <c r="P237" s="17"/>
      <c r="Q237" s="17"/>
      <c r="R237" s="17"/>
      <c r="S237" s="17"/>
      <c r="T237" s="17"/>
      <c r="U237" s="17"/>
      <c r="V237" s="17"/>
      <c r="W237" s="17" t="e">
        <f t="shared" si="23"/>
        <v>#REF!</v>
      </c>
      <c r="X237" s="17" t="e">
        <f t="shared" si="19"/>
        <v>#REF!</v>
      </c>
    </row>
    <row r="238" spans="1:24" ht="12.75" customHeight="1" x14ac:dyDescent="0.2">
      <c r="A238" s="19">
        <v>236</v>
      </c>
      <c r="B238" s="19" t="s">
        <v>3387</v>
      </c>
      <c r="C238" s="19" t="e">
        <f t="shared" si="7"/>
        <v>#REF!</v>
      </c>
      <c r="D238" s="19" t="e">
        <f t="shared" si="8"/>
        <v>#REF!</v>
      </c>
      <c r="E238" s="19" t="e">
        <f t="shared" si="9"/>
        <v>#REF!</v>
      </c>
      <c r="F238" s="19" t="e">
        <f>VLOOKUP(B238,'Station List'!#REF!,2,0)</f>
        <v>#REF!</v>
      </c>
      <c r="G238" s="19" t="e">
        <f>VLOOKUP(B238,#REF!,2,0)</f>
        <v>#REF!</v>
      </c>
      <c r="H238" s="19" t="e">
        <f t="shared" si="3"/>
        <v>#REF!</v>
      </c>
      <c r="I238" s="19" t="e">
        <f>VLOOKUP(B238,'Station List'!#REF!,4,0)</f>
        <v>#REF!</v>
      </c>
      <c r="J238" s="19" t="e">
        <f>VLOOKUP(B238,#REF!,3,0)</f>
        <v>#REF!</v>
      </c>
      <c r="K238" s="19" t="e">
        <f t="shared" si="22"/>
        <v>#REF!</v>
      </c>
      <c r="L238" s="19" t="e">
        <f>VLOOKUP(B237,'Station List'!#REF!,9,0)</f>
        <v>#REF!</v>
      </c>
      <c r="M238" s="19" t="e">
        <f>VLOOKUP(B237,#REF!,4,0)</f>
        <v>#REF!</v>
      </c>
      <c r="N238" s="17"/>
      <c r="O238" s="17"/>
      <c r="P238" s="17"/>
      <c r="Q238" s="17"/>
      <c r="R238" s="17"/>
      <c r="S238" s="17"/>
      <c r="T238" s="17"/>
      <c r="U238" s="17"/>
      <c r="V238" s="17"/>
      <c r="W238" s="17" t="e">
        <f t="shared" si="23"/>
        <v>#REF!</v>
      </c>
      <c r="X238" s="17" t="e">
        <f t="shared" si="19"/>
        <v>#REF!</v>
      </c>
    </row>
    <row r="239" spans="1:24" ht="12.75" customHeight="1" x14ac:dyDescent="0.2">
      <c r="A239" s="19">
        <v>237</v>
      </c>
      <c r="B239" s="19" t="s">
        <v>3388</v>
      </c>
      <c r="C239" s="19" t="e">
        <f t="shared" si="7"/>
        <v>#REF!</v>
      </c>
      <c r="D239" s="19" t="e">
        <f t="shared" si="8"/>
        <v>#REF!</v>
      </c>
      <c r="E239" s="19" t="e">
        <f t="shared" si="9"/>
        <v>#REF!</v>
      </c>
      <c r="F239" s="19" t="e">
        <f>VLOOKUP(B239,'Station List'!#REF!,2,0)</f>
        <v>#REF!</v>
      </c>
      <c r="G239" s="19" t="e">
        <f>VLOOKUP(B239,#REF!,2,0)</f>
        <v>#REF!</v>
      </c>
      <c r="H239" s="19" t="e">
        <f t="shared" si="3"/>
        <v>#REF!</v>
      </c>
      <c r="I239" s="19" t="e">
        <f>VLOOKUP(B239,'Station List'!#REF!,4,0)</f>
        <v>#REF!</v>
      </c>
      <c r="J239" s="19" t="e">
        <f>VLOOKUP(B239,#REF!,3,0)</f>
        <v>#REF!</v>
      </c>
      <c r="K239" s="19" t="e">
        <f t="shared" si="22"/>
        <v>#REF!</v>
      </c>
      <c r="L239" s="19" t="e">
        <f>VLOOKUP(B238,'Station List'!#REF!,9,0)</f>
        <v>#REF!</v>
      </c>
      <c r="M239" s="19" t="e">
        <f>VLOOKUP(B238,#REF!,4,0)</f>
        <v>#REF!</v>
      </c>
      <c r="N239" s="17"/>
      <c r="O239" s="17"/>
      <c r="P239" s="17"/>
      <c r="Q239" s="17"/>
      <c r="R239" s="17"/>
      <c r="S239" s="17"/>
      <c r="T239" s="17"/>
      <c r="U239" s="17"/>
      <c r="V239" s="17"/>
      <c r="W239" s="17" t="e">
        <f t="shared" si="23"/>
        <v>#REF!</v>
      </c>
      <c r="X239" s="17" t="e">
        <f t="shared" si="19"/>
        <v>#REF!</v>
      </c>
    </row>
    <row r="240" spans="1:24" ht="12.75" customHeight="1" x14ac:dyDescent="0.2">
      <c r="A240" s="19">
        <v>238</v>
      </c>
      <c r="B240" s="19" t="s">
        <v>3389</v>
      </c>
      <c r="C240" s="19" t="e">
        <f t="shared" si="7"/>
        <v>#REF!</v>
      </c>
      <c r="D240" s="19" t="e">
        <f t="shared" si="8"/>
        <v>#REF!</v>
      </c>
      <c r="E240" s="19" t="e">
        <f t="shared" si="9"/>
        <v>#REF!</v>
      </c>
      <c r="F240" s="19" t="e">
        <f>VLOOKUP(B240,'Station List'!#REF!,2,0)</f>
        <v>#REF!</v>
      </c>
      <c r="G240" s="19" t="e">
        <f>VLOOKUP(B240,#REF!,2,0)</f>
        <v>#REF!</v>
      </c>
      <c r="H240" s="19" t="e">
        <f t="shared" si="3"/>
        <v>#REF!</v>
      </c>
      <c r="I240" s="19" t="e">
        <f>VLOOKUP(B240,'Station List'!#REF!,4,0)</f>
        <v>#REF!</v>
      </c>
      <c r="J240" s="19" t="e">
        <f>VLOOKUP(B240,#REF!,3,0)</f>
        <v>#REF!</v>
      </c>
      <c r="K240" s="19" t="e">
        <f t="shared" si="22"/>
        <v>#REF!</v>
      </c>
      <c r="L240" s="19" t="e">
        <f>VLOOKUP(B239,'Station List'!#REF!,9,0)</f>
        <v>#REF!</v>
      </c>
      <c r="M240" s="19" t="e">
        <f>VLOOKUP(B239,#REF!,4,0)</f>
        <v>#REF!</v>
      </c>
      <c r="N240" s="17"/>
      <c r="O240" s="17"/>
      <c r="P240" s="17"/>
      <c r="Q240" s="17"/>
      <c r="R240" s="17"/>
      <c r="S240" s="17"/>
      <c r="T240" s="17"/>
      <c r="U240" s="17"/>
      <c r="V240" s="17"/>
      <c r="W240" s="17" t="e">
        <f t="shared" si="23"/>
        <v>#REF!</v>
      </c>
      <c r="X240" s="17" t="e">
        <f t="shared" si="19"/>
        <v>#REF!</v>
      </c>
    </row>
    <row r="241" spans="1:24" ht="12.75" customHeight="1" x14ac:dyDescent="0.2">
      <c r="A241" s="19">
        <v>239</v>
      </c>
      <c r="B241" s="19" t="s">
        <v>3390</v>
      </c>
      <c r="C241" s="19" t="e">
        <f t="shared" si="7"/>
        <v>#REF!</v>
      </c>
      <c r="D241" s="19" t="e">
        <f t="shared" si="8"/>
        <v>#REF!</v>
      </c>
      <c r="E241" s="19" t="e">
        <f t="shared" si="9"/>
        <v>#REF!</v>
      </c>
      <c r="F241" s="19" t="e">
        <f>VLOOKUP(B241,'Station List'!#REF!,2,0)</f>
        <v>#REF!</v>
      </c>
      <c r="G241" s="19" t="e">
        <f>VLOOKUP(B241,#REF!,2,0)</f>
        <v>#REF!</v>
      </c>
      <c r="H241" s="19" t="e">
        <f t="shared" si="3"/>
        <v>#REF!</v>
      </c>
      <c r="I241" s="19" t="e">
        <f>VLOOKUP(B241,'Station List'!#REF!,4,0)</f>
        <v>#REF!</v>
      </c>
      <c r="J241" s="19" t="e">
        <f>VLOOKUP(B241,#REF!,3,0)</f>
        <v>#REF!</v>
      </c>
      <c r="K241" s="19" t="e">
        <f t="shared" si="22"/>
        <v>#REF!</v>
      </c>
      <c r="L241" s="19" t="e">
        <f>VLOOKUP(B240,'Station List'!#REF!,9,0)</f>
        <v>#REF!</v>
      </c>
      <c r="M241" s="19" t="e">
        <f>VLOOKUP(B240,#REF!,4,0)</f>
        <v>#REF!</v>
      </c>
      <c r="N241" s="17"/>
      <c r="O241" s="17"/>
      <c r="P241" s="17"/>
      <c r="Q241" s="17"/>
      <c r="R241" s="17"/>
      <c r="S241" s="17"/>
      <c r="T241" s="17"/>
      <c r="U241" s="17"/>
      <c r="V241" s="17"/>
      <c r="W241" s="17" t="e">
        <f t="shared" si="23"/>
        <v>#REF!</v>
      </c>
      <c r="X241" s="17" t="e">
        <f t="shared" si="19"/>
        <v>#REF!</v>
      </c>
    </row>
    <row r="242" spans="1:24" ht="12.75" customHeight="1" x14ac:dyDescent="0.2">
      <c r="A242" s="19">
        <v>240</v>
      </c>
      <c r="B242" s="19" t="s">
        <v>3391</v>
      </c>
      <c r="C242" s="19" t="e">
        <f t="shared" si="7"/>
        <v>#REF!</v>
      </c>
      <c r="D242" s="19" t="e">
        <f t="shared" si="8"/>
        <v>#REF!</v>
      </c>
      <c r="E242" s="19" t="e">
        <f t="shared" si="9"/>
        <v>#REF!</v>
      </c>
      <c r="F242" s="19" t="e">
        <f>VLOOKUP(B242,'Station List'!#REF!,2,0)</f>
        <v>#REF!</v>
      </c>
      <c r="G242" s="19" t="e">
        <f>VLOOKUP(B242,#REF!,2,0)</f>
        <v>#REF!</v>
      </c>
      <c r="H242" s="19" t="e">
        <f t="shared" si="3"/>
        <v>#REF!</v>
      </c>
      <c r="I242" s="19" t="e">
        <f>VLOOKUP(B242,'Station List'!#REF!,4,0)</f>
        <v>#REF!</v>
      </c>
      <c r="J242" s="19" t="e">
        <f>VLOOKUP(B242,#REF!,3,0)</f>
        <v>#REF!</v>
      </c>
      <c r="K242" s="19" t="e">
        <f t="shared" si="22"/>
        <v>#REF!</v>
      </c>
      <c r="L242" s="19" t="e">
        <f>VLOOKUP(B241,'Station List'!#REF!,9,0)</f>
        <v>#REF!</v>
      </c>
      <c r="M242" s="19" t="e">
        <f>VLOOKUP(B241,#REF!,4,0)</f>
        <v>#REF!</v>
      </c>
      <c r="N242" s="17"/>
      <c r="O242" s="17"/>
      <c r="P242" s="17"/>
      <c r="Q242" s="17"/>
      <c r="R242" s="17"/>
      <c r="S242" s="17"/>
      <c r="T242" s="17"/>
      <c r="U242" s="17"/>
      <c r="V242" s="17"/>
      <c r="W242" s="17" t="e">
        <f t="shared" si="23"/>
        <v>#REF!</v>
      </c>
      <c r="X242" s="17" t="e">
        <f t="shared" si="19"/>
        <v>#REF!</v>
      </c>
    </row>
    <row r="243" spans="1:24" ht="12.75" customHeight="1" x14ac:dyDescent="0.2">
      <c r="A243" s="19">
        <v>241</v>
      </c>
      <c r="B243" s="19" t="s">
        <v>3392</v>
      </c>
      <c r="C243" s="19" t="e">
        <f t="shared" si="7"/>
        <v>#REF!</v>
      </c>
      <c r="D243" s="19" t="e">
        <f t="shared" si="8"/>
        <v>#REF!</v>
      </c>
      <c r="E243" s="19" t="e">
        <f t="shared" si="9"/>
        <v>#REF!</v>
      </c>
      <c r="F243" s="19" t="e">
        <f>VLOOKUP(B243,'Station List'!#REF!,2,0)</f>
        <v>#REF!</v>
      </c>
      <c r="G243" s="19" t="e">
        <f>VLOOKUP(B243,#REF!,2,0)</f>
        <v>#REF!</v>
      </c>
      <c r="H243" s="19" t="e">
        <f t="shared" si="3"/>
        <v>#REF!</v>
      </c>
      <c r="I243" s="19" t="e">
        <f>VLOOKUP(B243,'Station List'!#REF!,4,0)</f>
        <v>#REF!</v>
      </c>
      <c r="J243" s="19" t="e">
        <f>VLOOKUP(B243,#REF!,3,0)</f>
        <v>#REF!</v>
      </c>
      <c r="K243" s="19" t="e">
        <f t="shared" si="22"/>
        <v>#REF!</v>
      </c>
      <c r="L243" s="19" t="e">
        <f>VLOOKUP(B242,'Station List'!#REF!,9,0)</f>
        <v>#REF!</v>
      </c>
      <c r="M243" s="19" t="e">
        <f>VLOOKUP(B242,#REF!,4,0)</f>
        <v>#REF!</v>
      </c>
      <c r="N243" s="17"/>
      <c r="O243" s="17"/>
      <c r="P243" s="17"/>
      <c r="Q243" s="17"/>
      <c r="R243" s="17"/>
      <c r="S243" s="17"/>
      <c r="T243" s="17"/>
      <c r="U243" s="17"/>
      <c r="V243" s="17"/>
      <c r="W243" s="17" t="e">
        <f t="shared" si="23"/>
        <v>#REF!</v>
      </c>
      <c r="X243" s="17" t="e">
        <f t="shared" si="19"/>
        <v>#REF!</v>
      </c>
    </row>
    <row r="244" spans="1:24" ht="12.75" customHeight="1" x14ac:dyDescent="0.2">
      <c r="A244" s="19">
        <v>242</v>
      </c>
      <c r="B244" s="19" t="s">
        <v>3393</v>
      </c>
      <c r="C244" s="19" t="e">
        <f t="shared" si="7"/>
        <v>#REF!</v>
      </c>
      <c r="D244" s="19" t="e">
        <f t="shared" si="8"/>
        <v>#REF!</v>
      </c>
      <c r="E244" s="19" t="e">
        <f t="shared" si="9"/>
        <v>#REF!</v>
      </c>
      <c r="F244" s="19" t="e">
        <f>VLOOKUP(B244,'Station List'!#REF!,2,0)</f>
        <v>#REF!</v>
      </c>
      <c r="G244" s="19" t="e">
        <f>VLOOKUP(B244,#REF!,2,0)</f>
        <v>#REF!</v>
      </c>
      <c r="H244" s="19" t="e">
        <f t="shared" si="3"/>
        <v>#REF!</v>
      </c>
      <c r="I244" s="19" t="e">
        <f>VLOOKUP(B244,'Station List'!#REF!,4,0)</f>
        <v>#REF!</v>
      </c>
      <c r="J244" s="19" t="e">
        <f>VLOOKUP(B244,#REF!,3,0)</f>
        <v>#REF!</v>
      </c>
      <c r="K244" s="19" t="e">
        <f t="shared" si="22"/>
        <v>#REF!</v>
      </c>
      <c r="L244" s="19" t="e">
        <f>VLOOKUP(B243,'Station List'!#REF!,9,0)</f>
        <v>#REF!</v>
      </c>
      <c r="M244" s="19" t="e">
        <f>VLOOKUP(B243,#REF!,4,0)</f>
        <v>#REF!</v>
      </c>
      <c r="N244" s="17"/>
      <c r="O244" s="17"/>
      <c r="P244" s="17"/>
      <c r="Q244" s="17"/>
      <c r="R244" s="17"/>
      <c r="S244" s="17"/>
      <c r="T244" s="17"/>
      <c r="U244" s="17"/>
      <c r="V244" s="17"/>
      <c r="W244" s="17" t="e">
        <f t="shared" si="23"/>
        <v>#REF!</v>
      </c>
      <c r="X244" s="17" t="e">
        <f t="shared" si="19"/>
        <v>#REF!</v>
      </c>
    </row>
    <row r="245" spans="1:24" ht="12.75" customHeight="1" x14ac:dyDescent="0.2">
      <c r="A245" s="19">
        <v>243</v>
      </c>
      <c r="B245" s="19" t="s">
        <v>3394</v>
      </c>
      <c r="C245" s="19" t="e">
        <f t="shared" si="7"/>
        <v>#REF!</v>
      </c>
      <c r="D245" s="19" t="e">
        <f t="shared" si="8"/>
        <v>#REF!</v>
      </c>
      <c r="E245" s="19" t="e">
        <f t="shared" si="9"/>
        <v>#REF!</v>
      </c>
      <c r="F245" s="19" t="e">
        <f>VLOOKUP(B245,'Station List'!#REF!,2,0)</f>
        <v>#REF!</v>
      </c>
      <c r="G245" s="19" t="e">
        <f>VLOOKUP(B245,#REF!,2,0)</f>
        <v>#REF!</v>
      </c>
      <c r="H245" s="19" t="e">
        <f t="shared" si="3"/>
        <v>#REF!</v>
      </c>
      <c r="I245" s="19" t="e">
        <f>VLOOKUP(B245,'Station List'!#REF!,4,0)</f>
        <v>#REF!</v>
      </c>
      <c r="J245" s="19" t="e">
        <f>VLOOKUP(B245,#REF!,3,0)</f>
        <v>#REF!</v>
      </c>
      <c r="K245" s="19" t="e">
        <f t="shared" si="22"/>
        <v>#REF!</v>
      </c>
      <c r="L245" s="19" t="e">
        <f>VLOOKUP(B244,'Station List'!#REF!,9,0)</f>
        <v>#REF!</v>
      </c>
      <c r="M245" s="19" t="e">
        <f>VLOOKUP(B244,#REF!,4,0)</f>
        <v>#REF!</v>
      </c>
      <c r="N245" s="17"/>
      <c r="O245" s="17"/>
      <c r="P245" s="17"/>
      <c r="Q245" s="17"/>
      <c r="R245" s="17"/>
      <c r="S245" s="17"/>
      <c r="T245" s="17"/>
      <c r="U245" s="17"/>
      <c r="V245" s="17"/>
      <c r="W245" s="17" t="e">
        <f t="shared" si="23"/>
        <v>#REF!</v>
      </c>
      <c r="X245" s="17" t="e">
        <f t="shared" si="19"/>
        <v>#REF!</v>
      </c>
    </row>
    <row r="246" spans="1:24" ht="12.75" customHeight="1" x14ac:dyDescent="0.2">
      <c r="A246" s="19">
        <v>244</v>
      </c>
      <c r="B246" s="19" t="s">
        <v>3395</v>
      </c>
      <c r="C246" s="19" t="e">
        <f t="shared" si="7"/>
        <v>#REF!</v>
      </c>
      <c r="D246" s="19" t="e">
        <f t="shared" si="8"/>
        <v>#REF!</v>
      </c>
      <c r="E246" s="19" t="e">
        <f t="shared" si="9"/>
        <v>#REF!</v>
      </c>
      <c r="F246" s="19" t="e">
        <f>VLOOKUP(B246,'Station List'!#REF!,2,0)</f>
        <v>#REF!</v>
      </c>
      <c r="G246" s="19" t="e">
        <f>VLOOKUP(B246,#REF!,2,0)</f>
        <v>#REF!</v>
      </c>
      <c r="H246" s="19" t="e">
        <f t="shared" si="3"/>
        <v>#REF!</v>
      </c>
      <c r="I246" s="19" t="e">
        <f>VLOOKUP(B246,'Station List'!#REF!,4,0)</f>
        <v>#REF!</v>
      </c>
      <c r="J246" s="19" t="e">
        <f>VLOOKUP(B246,#REF!,3,0)</f>
        <v>#REF!</v>
      </c>
      <c r="K246" s="19" t="e">
        <f t="shared" si="22"/>
        <v>#REF!</v>
      </c>
      <c r="L246" s="102" t="e">
        <f>VLOOKUP(B245,'Station List'!#REF!,9,0)</f>
        <v>#REF!</v>
      </c>
      <c r="M246" s="19" t="e">
        <f>VLOOKUP(B245,#REF!,4,0)</f>
        <v>#REF!</v>
      </c>
      <c r="N246" s="17"/>
      <c r="O246" s="17"/>
      <c r="P246" s="17"/>
      <c r="Q246" s="17"/>
      <c r="R246" s="17"/>
      <c r="S246" s="17"/>
      <c r="T246" s="17"/>
      <c r="U246" s="17"/>
      <c r="V246" s="17"/>
      <c r="W246" s="17" t="e">
        <f t="shared" si="23"/>
        <v>#REF!</v>
      </c>
      <c r="X246" s="17" t="e">
        <f t="shared" si="19"/>
        <v>#REF!</v>
      </c>
    </row>
    <row r="247" spans="1:24" ht="12.75" customHeight="1" x14ac:dyDescent="0.2">
      <c r="A247" s="19">
        <v>245</v>
      </c>
      <c r="B247" s="19" t="s">
        <v>3396</v>
      </c>
      <c r="C247" s="19" t="e">
        <f t="shared" si="7"/>
        <v>#REF!</v>
      </c>
      <c r="D247" s="19" t="e">
        <f t="shared" si="8"/>
        <v>#REF!</v>
      </c>
      <c r="E247" s="19" t="e">
        <f t="shared" si="9"/>
        <v>#REF!</v>
      </c>
      <c r="F247" s="19" t="e">
        <f>VLOOKUP(B247,'Station List'!#REF!,2,0)</f>
        <v>#REF!</v>
      </c>
      <c r="G247" s="19" t="e">
        <f>VLOOKUP(B247,#REF!,2,0)</f>
        <v>#REF!</v>
      </c>
      <c r="H247" s="19" t="e">
        <f t="shared" si="3"/>
        <v>#REF!</v>
      </c>
      <c r="I247" s="19" t="e">
        <f>VLOOKUP(B247,'Station List'!#REF!,4,0)</f>
        <v>#REF!</v>
      </c>
      <c r="J247" s="19" t="e">
        <f>VLOOKUP(B247,#REF!,3,0)</f>
        <v>#REF!</v>
      </c>
      <c r="K247" s="19" t="e">
        <f t="shared" si="22"/>
        <v>#REF!</v>
      </c>
      <c r="L247" s="19" t="e">
        <f>VLOOKUP(B246,'Station List'!#REF!,9,0)</f>
        <v>#REF!</v>
      </c>
      <c r="M247" s="19" t="e">
        <f>VLOOKUP(B246,#REF!,4,0)</f>
        <v>#REF!</v>
      </c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 spans="1:24" ht="12.75" customHeight="1" x14ac:dyDescent="0.2">
      <c r="A248" s="19">
        <v>246</v>
      </c>
      <c r="B248" s="19" t="s">
        <v>3397</v>
      </c>
      <c r="C248" s="19" t="e">
        <f t="shared" si="7"/>
        <v>#REF!</v>
      </c>
      <c r="D248" s="19" t="e">
        <f t="shared" si="8"/>
        <v>#REF!</v>
      </c>
      <c r="E248" s="19" t="e">
        <f t="shared" si="9"/>
        <v>#REF!</v>
      </c>
      <c r="F248" s="19" t="e">
        <f>VLOOKUP(B248,'Station List'!#REF!,2,0)</f>
        <v>#REF!</v>
      </c>
      <c r="G248" s="19" t="e">
        <f>VLOOKUP(B248,#REF!,2,0)</f>
        <v>#REF!</v>
      </c>
      <c r="H248" s="19" t="e">
        <f t="shared" si="3"/>
        <v>#REF!</v>
      </c>
      <c r="I248" s="19" t="e">
        <f>VLOOKUP(B248,'Station List'!#REF!,4,0)</f>
        <v>#REF!</v>
      </c>
      <c r="J248" s="19" t="e">
        <f>VLOOKUP(B248,#REF!,3,0)</f>
        <v>#REF!</v>
      </c>
      <c r="K248" s="19" t="e">
        <f t="shared" si="22"/>
        <v>#REF!</v>
      </c>
      <c r="L248" s="19" t="e">
        <f>VLOOKUP(B247,'Station List'!#REF!,9,0)</f>
        <v>#REF!</v>
      </c>
      <c r="M248" s="19" t="e">
        <f>VLOOKUP(B247,#REF!,4,0)</f>
        <v>#REF!</v>
      </c>
      <c r="N248" s="17"/>
      <c r="O248" s="17"/>
      <c r="P248" s="17"/>
      <c r="Q248" s="17"/>
      <c r="R248" s="17"/>
      <c r="S248" s="17"/>
      <c r="T248" s="17"/>
      <c r="U248" s="17"/>
      <c r="V248" s="17"/>
      <c r="W248" s="17" t="e">
        <f t="shared" ref="W248:W250" si="24">IF(I247=J247,0,1)</f>
        <v>#REF!</v>
      </c>
      <c r="X248" s="17" t="e">
        <f t="shared" ref="X248:X283" si="25">IF(L248=M248,0,1)</f>
        <v>#REF!</v>
      </c>
    </row>
    <row r="249" spans="1:24" ht="12.75" customHeight="1" x14ac:dyDescent="0.2">
      <c r="A249" s="19">
        <v>247</v>
      </c>
      <c r="B249" s="19" t="s">
        <v>3398</v>
      </c>
      <c r="C249" s="19" t="e">
        <f t="shared" si="7"/>
        <v>#REF!</v>
      </c>
      <c r="D249" s="19" t="e">
        <f t="shared" si="8"/>
        <v>#REF!</v>
      </c>
      <c r="E249" s="19" t="e">
        <f t="shared" si="9"/>
        <v>#REF!</v>
      </c>
      <c r="F249" s="19" t="e">
        <f>VLOOKUP(B249,'Station List'!#REF!,2,0)</f>
        <v>#REF!</v>
      </c>
      <c r="G249" s="19" t="e">
        <f>VLOOKUP(B249,#REF!,2,0)</f>
        <v>#REF!</v>
      </c>
      <c r="H249" s="19" t="e">
        <f t="shared" si="3"/>
        <v>#REF!</v>
      </c>
      <c r="I249" s="19" t="e">
        <f>VLOOKUP(B249,'Station List'!#REF!,4,0)</f>
        <v>#REF!</v>
      </c>
      <c r="J249" s="19" t="e">
        <f>VLOOKUP(B249,#REF!,3,0)</f>
        <v>#REF!</v>
      </c>
      <c r="K249" s="19" t="e">
        <f t="shared" si="22"/>
        <v>#REF!</v>
      </c>
      <c r="L249" s="19" t="e">
        <f>VLOOKUP(B248,'Station List'!#REF!,9,0)</f>
        <v>#REF!</v>
      </c>
      <c r="M249" s="19" t="e">
        <f>VLOOKUP(B248,#REF!,4,0)</f>
        <v>#REF!</v>
      </c>
      <c r="N249" s="17"/>
      <c r="O249" s="17"/>
      <c r="P249" s="17"/>
      <c r="Q249" s="17"/>
      <c r="R249" s="17"/>
      <c r="S249" s="17"/>
      <c r="T249" s="17"/>
      <c r="U249" s="17"/>
      <c r="V249" s="17"/>
      <c r="W249" s="17" t="e">
        <f t="shared" si="24"/>
        <v>#REF!</v>
      </c>
      <c r="X249" s="17" t="e">
        <f t="shared" si="25"/>
        <v>#REF!</v>
      </c>
    </row>
    <row r="250" spans="1:24" ht="12.75" customHeight="1" x14ac:dyDescent="0.2">
      <c r="A250" s="19">
        <v>248</v>
      </c>
      <c r="B250" s="19" t="s">
        <v>3399</v>
      </c>
      <c r="C250" s="19" t="e">
        <f t="shared" si="7"/>
        <v>#REF!</v>
      </c>
      <c r="D250" s="19" t="e">
        <f t="shared" si="8"/>
        <v>#REF!</v>
      </c>
      <c r="E250" s="19" t="e">
        <f t="shared" si="9"/>
        <v>#REF!</v>
      </c>
      <c r="F250" s="19" t="e">
        <f>VLOOKUP(B250,'Station List'!#REF!,2,0)</f>
        <v>#REF!</v>
      </c>
      <c r="G250" s="19" t="e">
        <f>VLOOKUP(B250,#REF!,2,0)</f>
        <v>#REF!</v>
      </c>
      <c r="H250" s="19" t="e">
        <f t="shared" si="3"/>
        <v>#REF!</v>
      </c>
      <c r="I250" s="19" t="e">
        <f>VLOOKUP(B250,'Station List'!#REF!,4,0)</f>
        <v>#REF!</v>
      </c>
      <c r="J250" s="19" t="e">
        <f>VLOOKUP(B250,#REF!,3,0)</f>
        <v>#REF!</v>
      </c>
      <c r="K250" s="19" t="e">
        <f t="shared" si="22"/>
        <v>#REF!</v>
      </c>
      <c r="L250" s="19" t="e">
        <f>VLOOKUP(B249,'Station List'!#REF!,9,0)</f>
        <v>#REF!</v>
      </c>
      <c r="M250" s="19" t="e">
        <f>VLOOKUP(B249,#REF!,4,0)</f>
        <v>#REF!</v>
      </c>
      <c r="N250" s="17"/>
      <c r="O250" s="17"/>
      <c r="P250" s="17"/>
      <c r="Q250" s="17"/>
      <c r="R250" s="17"/>
      <c r="S250" s="17"/>
      <c r="T250" s="17"/>
      <c r="U250" s="17"/>
      <c r="V250" s="17"/>
      <c r="W250" s="17" t="e">
        <f t="shared" si="24"/>
        <v>#REF!</v>
      </c>
      <c r="X250" s="17" t="e">
        <f t="shared" si="25"/>
        <v>#REF!</v>
      </c>
    </row>
    <row r="251" spans="1:24" ht="12.75" customHeight="1" x14ac:dyDescent="0.2">
      <c r="A251" s="19">
        <v>249</v>
      </c>
      <c r="B251" s="19" t="s">
        <v>3400</v>
      </c>
      <c r="C251" s="19" t="e">
        <f t="shared" si="7"/>
        <v>#REF!</v>
      </c>
      <c r="D251" s="19" t="e">
        <f t="shared" si="8"/>
        <v>#REF!</v>
      </c>
      <c r="E251" s="19" t="e">
        <f t="shared" si="9"/>
        <v>#REF!</v>
      </c>
      <c r="F251" s="19" t="e">
        <f>VLOOKUP(B251,'Station List'!#REF!,2,0)</f>
        <v>#REF!</v>
      </c>
      <c r="G251" s="19" t="e">
        <f>VLOOKUP(B251,#REF!,2,0)</f>
        <v>#REF!</v>
      </c>
      <c r="H251" s="19" t="e">
        <f t="shared" si="3"/>
        <v>#REF!</v>
      </c>
      <c r="I251" s="19" t="e">
        <f>VLOOKUP(B251,'Station List'!#REF!,4,0)</f>
        <v>#REF!</v>
      </c>
      <c r="J251" s="19" t="e">
        <f>VLOOKUP(B251,#REF!,3,0)</f>
        <v>#REF!</v>
      </c>
      <c r="K251" s="19" t="e">
        <f>VLOOKUP(#REF!,#REF!,4,0)</f>
        <v>#REF!</v>
      </c>
      <c r="L251" s="19" t="e">
        <f>VLOOKUP(#REF!,'Station List'!#REF!,9,0)</f>
        <v>#REF!</v>
      </c>
      <c r="M251" s="19" t="e">
        <f>VLOOKUP(#REF!,#REF!,4,0)</f>
        <v>#REF!</v>
      </c>
      <c r="N251" s="17"/>
      <c r="O251" s="17"/>
      <c r="P251" s="17"/>
      <c r="Q251" s="17"/>
      <c r="R251" s="17"/>
      <c r="S251" s="17"/>
      <c r="T251" s="17"/>
      <c r="U251" s="17"/>
      <c r="V251" s="17"/>
      <c r="W251" s="17" t="e">
        <f>IF(#REF!=#REF!,0,1)</f>
        <v>#REF!</v>
      </c>
      <c r="X251" s="17" t="e">
        <f t="shared" si="25"/>
        <v>#REF!</v>
      </c>
    </row>
    <row r="252" spans="1:24" ht="12.75" customHeight="1" x14ac:dyDescent="0.2">
      <c r="A252" s="19">
        <v>250</v>
      </c>
      <c r="B252" s="19" t="s">
        <v>3401</v>
      </c>
      <c r="C252" s="19" t="e">
        <f t="shared" si="7"/>
        <v>#REF!</v>
      </c>
      <c r="D252" s="19" t="e">
        <f t="shared" si="8"/>
        <v>#REF!</v>
      </c>
      <c r="E252" s="19" t="e">
        <f t="shared" si="9"/>
        <v>#REF!</v>
      </c>
      <c r="F252" s="19" t="e">
        <f>VLOOKUP(B252,'Station List'!#REF!,2,0)</f>
        <v>#REF!</v>
      </c>
      <c r="G252" s="19" t="e">
        <f>VLOOKUP(B252,#REF!,2,0)</f>
        <v>#REF!</v>
      </c>
      <c r="H252" s="19" t="e">
        <f t="shared" si="3"/>
        <v>#REF!</v>
      </c>
      <c r="I252" s="19" t="e">
        <f>VLOOKUP(B252,'Station List'!#REF!,4,0)</f>
        <v>#REF!</v>
      </c>
      <c r="J252" s="19" t="e">
        <f>VLOOKUP(B252,#REF!,3,0)</f>
        <v>#REF!</v>
      </c>
      <c r="K252" s="19" t="e">
        <f t="shared" ref="K252:K312" si="26">VLOOKUP(B251,#REF!,4,0)</f>
        <v>#REF!</v>
      </c>
      <c r="L252" s="19" t="e">
        <f>VLOOKUP(B251,'Station List'!#REF!,9,0)</f>
        <v>#REF!</v>
      </c>
      <c r="M252" s="19" t="e">
        <f>VLOOKUP(B251,#REF!,4,0)</f>
        <v>#REF!</v>
      </c>
      <c r="N252" s="17"/>
      <c r="O252" s="17"/>
      <c r="P252" s="17"/>
      <c r="Q252" s="17"/>
      <c r="R252" s="17"/>
      <c r="S252" s="17"/>
      <c r="T252" s="17"/>
      <c r="U252" s="17"/>
      <c r="V252" s="17"/>
      <c r="W252" s="17" t="e">
        <f t="shared" ref="W252:W283" si="27">IF(I251=J251,0,1)</f>
        <v>#REF!</v>
      </c>
      <c r="X252" s="17" t="e">
        <f t="shared" si="25"/>
        <v>#REF!</v>
      </c>
    </row>
    <row r="253" spans="1:24" ht="12.75" customHeight="1" x14ac:dyDescent="0.2">
      <c r="A253" s="19">
        <v>251</v>
      </c>
      <c r="B253" s="19" t="s">
        <v>3402</v>
      </c>
      <c r="C253" s="19" t="e">
        <f t="shared" si="7"/>
        <v>#REF!</v>
      </c>
      <c r="D253" s="19" t="e">
        <f t="shared" si="8"/>
        <v>#REF!</v>
      </c>
      <c r="E253" s="19" t="e">
        <f t="shared" si="9"/>
        <v>#REF!</v>
      </c>
      <c r="F253" s="19" t="e">
        <f>VLOOKUP(B253,'Station List'!#REF!,2,0)</f>
        <v>#REF!</v>
      </c>
      <c r="G253" s="19" t="e">
        <f>VLOOKUP(B253,#REF!,2,0)</f>
        <v>#REF!</v>
      </c>
      <c r="H253" s="19" t="e">
        <f t="shared" si="3"/>
        <v>#REF!</v>
      </c>
      <c r="I253" s="19" t="e">
        <f>VLOOKUP(B253,'Station List'!#REF!,4,0)</f>
        <v>#REF!</v>
      </c>
      <c r="J253" s="19" t="e">
        <f>VLOOKUP(B253,#REF!,3,0)</f>
        <v>#REF!</v>
      </c>
      <c r="K253" s="19" t="e">
        <f t="shared" si="26"/>
        <v>#REF!</v>
      </c>
      <c r="L253" s="19" t="e">
        <f>VLOOKUP(B252,'Station List'!#REF!,9,0)</f>
        <v>#REF!</v>
      </c>
      <c r="M253" s="19" t="e">
        <f>VLOOKUP(B252,#REF!,4,0)</f>
        <v>#REF!</v>
      </c>
      <c r="N253" s="17"/>
      <c r="O253" s="17"/>
      <c r="P253" s="17"/>
      <c r="Q253" s="17"/>
      <c r="R253" s="17"/>
      <c r="S253" s="17"/>
      <c r="T253" s="17"/>
      <c r="U253" s="17"/>
      <c r="V253" s="17"/>
      <c r="W253" s="17" t="e">
        <f t="shared" si="27"/>
        <v>#REF!</v>
      </c>
      <c r="X253" s="17" t="e">
        <f t="shared" si="25"/>
        <v>#REF!</v>
      </c>
    </row>
    <row r="254" spans="1:24" ht="12.75" customHeight="1" x14ac:dyDescent="0.2">
      <c r="A254" s="19">
        <v>252</v>
      </c>
      <c r="B254" s="19" t="s">
        <v>3403</v>
      </c>
      <c r="C254" s="19" t="e">
        <f t="shared" si="7"/>
        <v>#REF!</v>
      </c>
      <c r="D254" s="19" t="e">
        <f t="shared" si="8"/>
        <v>#REF!</v>
      </c>
      <c r="E254" s="19" t="e">
        <f t="shared" si="9"/>
        <v>#REF!</v>
      </c>
      <c r="F254" s="19" t="e">
        <f>VLOOKUP(B254,'Station List'!#REF!,2,0)</f>
        <v>#REF!</v>
      </c>
      <c r="G254" s="19" t="e">
        <f>VLOOKUP(B254,#REF!,2,0)</f>
        <v>#REF!</v>
      </c>
      <c r="H254" s="19" t="e">
        <f t="shared" si="3"/>
        <v>#REF!</v>
      </c>
      <c r="I254" s="19" t="e">
        <f>VLOOKUP(B254,'Station List'!#REF!,4,0)</f>
        <v>#REF!</v>
      </c>
      <c r="J254" s="19" t="e">
        <f>VLOOKUP(B254,#REF!,3,0)</f>
        <v>#REF!</v>
      </c>
      <c r="K254" s="19" t="e">
        <f t="shared" si="26"/>
        <v>#REF!</v>
      </c>
      <c r="L254" s="19" t="e">
        <f>VLOOKUP(B253,'Station List'!#REF!,9,0)</f>
        <v>#REF!</v>
      </c>
      <c r="M254" s="19" t="e">
        <f>VLOOKUP(B253,#REF!,4,0)</f>
        <v>#REF!</v>
      </c>
      <c r="N254" s="17"/>
      <c r="O254" s="17"/>
      <c r="P254" s="17"/>
      <c r="Q254" s="17"/>
      <c r="R254" s="17"/>
      <c r="S254" s="17"/>
      <c r="T254" s="17"/>
      <c r="U254" s="17"/>
      <c r="V254" s="17"/>
      <c r="W254" s="17" t="e">
        <f t="shared" si="27"/>
        <v>#REF!</v>
      </c>
      <c r="X254" s="17" t="e">
        <f t="shared" si="25"/>
        <v>#REF!</v>
      </c>
    </row>
    <row r="255" spans="1:24" ht="12.75" customHeight="1" x14ac:dyDescent="0.2">
      <c r="A255" s="19">
        <v>253</v>
      </c>
      <c r="B255" s="19" t="s">
        <v>3404</v>
      </c>
      <c r="C255" s="19" t="e">
        <f t="shared" si="7"/>
        <v>#REF!</v>
      </c>
      <c r="D255" s="19" t="e">
        <f t="shared" si="8"/>
        <v>#REF!</v>
      </c>
      <c r="E255" s="19" t="e">
        <f t="shared" si="9"/>
        <v>#REF!</v>
      </c>
      <c r="F255" s="19" t="e">
        <f>VLOOKUP(B255,'Station List'!#REF!,2,0)</f>
        <v>#REF!</v>
      </c>
      <c r="G255" s="19" t="e">
        <f>VLOOKUP(B255,#REF!,2,0)</f>
        <v>#REF!</v>
      </c>
      <c r="H255" s="19" t="e">
        <f t="shared" si="3"/>
        <v>#REF!</v>
      </c>
      <c r="I255" s="19" t="e">
        <f>VLOOKUP(B255,'Station List'!#REF!,4,0)</f>
        <v>#REF!</v>
      </c>
      <c r="J255" s="19" t="e">
        <f>VLOOKUP(B255,#REF!,3,0)</f>
        <v>#REF!</v>
      </c>
      <c r="K255" s="19" t="e">
        <f t="shared" si="26"/>
        <v>#REF!</v>
      </c>
      <c r="L255" s="19" t="e">
        <f>VLOOKUP(B254,'Station List'!#REF!,9,0)</f>
        <v>#REF!</v>
      </c>
      <c r="M255" s="19" t="e">
        <f>VLOOKUP(B254,#REF!,4,0)</f>
        <v>#REF!</v>
      </c>
      <c r="N255" s="17"/>
      <c r="O255" s="17"/>
      <c r="P255" s="17"/>
      <c r="Q255" s="17"/>
      <c r="R255" s="17"/>
      <c r="S255" s="17"/>
      <c r="T255" s="17"/>
      <c r="U255" s="17"/>
      <c r="V255" s="17"/>
      <c r="W255" s="17" t="e">
        <f t="shared" si="27"/>
        <v>#REF!</v>
      </c>
      <c r="X255" s="17" t="e">
        <f t="shared" si="25"/>
        <v>#REF!</v>
      </c>
    </row>
    <row r="256" spans="1:24" ht="12.75" customHeight="1" x14ac:dyDescent="0.2">
      <c r="A256" s="19">
        <v>254</v>
      </c>
      <c r="B256" s="19" t="s">
        <v>3405</v>
      </c>
      <c r="C256" s="19" t="e">
        <f t="shared" si="7"/>
        <v>#REF!</v>
      </c>
      <c r="D256" s="19" t="e">
        <f t="shared" si="8"/>
        <v>#REF!</v>
      </c>
      <c r="E256" s="19" t="e">
        <f t="shared" si="9"/>
        <v>#REF!</v>
      </c>
      <c r="F256" s="19" t="e">
        <f>VLOOKUP(B256,'Station List'!#REF!,2,0)</f>
        <v>#REF!</v>
      </c>
      <c r="G256" s="19" t="e">
        <f>VLOOKUP(B256,#REF!,2,0)</f>
        <v>#REF!</v>
      </c>
      <c r="H256" s="19" t="e">
        <f t="shared" si="3"/>
        <v>#REF!</v>
      </c>
      <c r="I256" s="19" t="e">
        <f>VLOOKUP(B256,'Station List'!#REF!,4,0)</f>
        <v>#REF!</v>
      </c>
      <c r="J256" s="19" t="e">
        <f>VLOOKUP(B256,#REF!,3,0)</f>
        <v>#REF!</v>
      </c>
      <c r="K256" s="19" t="e">
        <f t="shared" si="26"/>
        <v>#REF!</v>
      </c>
      <c r="L256" s="92" t="e">
        <f>VLOOKUP(B255,'Station List'!#REF!,9,0)</f>
        <v>#REF!</v>
      </c>
      <c r="M256" s="19" t="e">
        <f>VLOOKUP(B255,#REF!,4,0)</f>
        <v>#REF!</v>
      </c>
      <c r="N256" s="17"/>
      <c r="O256" s="17"/>
      <c r="P256" s="17"/>
      <c r="Q256" s="17"/>
      <c r="R256" s="17"/>
      <c r="S256" s="17"/>
      <c r="T256" s="17"/>
      <c r="U256" s="17"/>
      <c r="V256" s="17"/>
      <c r="W256" s="17" t="e">
        <f t="shared" si="27"/>
        <v>#REF!</v>
      </c>
      <c r="X256" s="17" t="e">
        <f t="shared" si="25"/>
        <v>#REF!</v>
      </c>
    </row>
    <row r="257" spans="1:24" ht="12.75" customHeight="1" x14ac:dyDescent="0.2">
      <c r="A257" s="19">
        <v>255</v>
      </c>
      <c r="B257" s="19" t="s">
        <v>3406</v>
      </c>
      <c r="C257" s="19" t="e">
        <f t="shared" si="7"/>
        <v>#REF!</v>
      </c>
      <c r="D257" s="19" t="e">
        <f t="shared" si="8"/>
        <v>#REF!</v>
      </c>
      <c r="E257" s="19" t="e">
        <f t="shared" si="9"/>
        <v>#REF!</v>
      </c>
      <c r="F257" s="19" t="e">
        <f>VLOOKUP(B257,'Station List'!#REF!,2,0)</f>
        <v>#REF!</v>
      </c>
      <c r="G257" s="19" t="e">
        <f>VLOOKUP(B257,#REF!,2,0)</f>
        <v>#REF!</v>
      </c>
      <c r="H257" s="19" t="e">
        <f t="shared" si="3"/>
        <v>#REF!</v>
      </c>
      <c r="I257" s="19" t="e">
        <f>VLOOKUP(B257,'Station List'!#REF!,4,0)</f>
        <v>#REF!</v>
      </c>
      <c r="J257" s="19" t="e">
        <f>VLOOKUP(B257,#REF!,3,0)</f>
        <v>#REF!</v>
      </c>
      <c r="K257" s="19" t="e">
        <f t="shared" si="26"/>
        <v>#REF!</v>
      </c>
      <c r="L257" s="19" t="e">
        <f>VLOOKUP(B256,'Station List'!#REF!,9,0)</f>
        <v>#REF!</v>
      </c>
      <c r="M257" s="19" t="e">
        <f>VLOOKUP(B256,#REF!,4,0)</f>
        <v>#REF!</v>
      </c>
      <c r="N257" s="17"/>
      <c r="O257" s="17"/>
      <c r="P257" s="17"/>
      <c r="Q257" s="17"/>
      <c r="R257" s="17"/>
      <c r="S257" s="17"/>
      <c r="T257" s="17"/>
      <c r="U257" s="17"/>
      <c r="V257" s="17"/>
      <c r="W257" s="17" t="e">
        <f t="shared" si="27"/>
        <v>#REF!</v>
      </c>
      <c r="X257" s="17" t="e">
        <f t="shared" si="25"/>
        <v>#REF!</v>
      </c>
    </row>
    <row r="258" spans="1:24" ht="12.75" customHeight="1" x14ac:dyDescent="0.2">
      <c r="A258" s="19">
        <v>256</v>
      </c>
      <c r="B258" s="19" t="s">
        <v>3407</v>
      </c>
      <c r="C258" s="19" t="e">
        <f t="shared" si="7"/>
        <v>#REF!</v>
      </c>
      <c r="D258" s="19" t="e">
        <f t="shared" si="8"/>
        <v>#REF!</v>
      </c>
      <c r="E258" s="19" t="e">
        <f t="shared" si="9"/>
        <v>#REF!</v>
      </c>
      <c r="F258" s="19" t="e">
        <f>VLOOKUP(B258,'Station List'!#REF!,2,0)</f>
        <v>#REF!</v>
      </c>
      <c r="G258" s="19" t="e">
        <f>VLOOKUP(B258,#REF!,2,0)</f>
        <v>#REF!</v>
      </c>
      <c r="H258" s="19" t="e">
        <f t="shared" si="3"/>
        <v>#REF!</v>
      </c>
      <c r="I258" s="19" t="e">
        <f>VLOOKUP(B258,'Station List'!#REF!,4,0)</f>
        <v>#REF!</v>
      </c>
      <c r="J258" s="19" t="e">
        <f>VLOOKUP(B258,#REF!,3,0)</f>
        <v>#REF!</v>
      </c>
      <c r="K258" s="19" t="e">
        <f t="shared" si="26"/>
        <v>#REF!</v>
      </c>
      <c r="L258" s="19" t="e">
        <f>VLOOKUP(B257,'Station List'!#REF!,9,0)</f>
        <v>#REF!</v>
      </c>
      <c r="M258" s="19" t="e">
        <f>VLOOKUP(B257,#REF!,4,0)</f>
        <v>#REF!</v>
      </c>
      <c r="N258" s="17"/>
      <c r="O258" s="17"/>
      <c r="P258" s="17"/>
      <c r="Q258" s="17"/>
      <c r="R258" s="17"/>
      <c r="S258" s="17"/>
      <c r="T258" s="17"/>
      <c r="U258" s="17"/>
      <c r="V258" s="17"/>
      <c r="W258" s="17" t="e">
        <f t="shared" si="27"/>
        <v>#REF!</v>
      </c>
      <c r="X258" s="17" t="e">
        <f t="shared" si="25"/>
        <v>#REF!</v>
      </c>
    </row>
    <row r="259" spans="1:24" ht="12.75" customHeight="1" x14ac:dyDescent="0.2">
      <c r="A259" s="19">
        <v>257</v>
      </c>
      <c r="B259" s="19" t="s">
        <v>3408</v>
      </c>
      <c r="C259" s="19" t="e">
        <f t="shared" si="7"/>
        <v>#REF!</v>
      </c>
      <c r="D259" s="19" t="e">
        <f t="shared" si="8"/>
        <v>#REF!</v>
      </c>
      <c r="E259" s="19" t="e">
        <f t="shared" si="9"/>
        <v>#REF!</v>
      </c>
      <c r="F259" s="19" t="e">
        <f>VLOOKUP(B259,'Station List'!#REF!,2,0)</f>
        <v>#REF!</v>
      </c>
      <c r="G259" s="19" t="e">
        <f>VLOOKUP(B259,#REF!,2,0)</f>
        <v>#REF!</v>
      </c>
      <c r="H259" s="19" t="e">
        <f t="shared" si="3"/>
        <v>#REF!</v>
      </c>
      <c r="I259" s="19" t="e">
        <f>VLOOKUP(B259,'Station List'!#REF!,4,0)</f>
        <v>#REF!</v>
      </c>
      <c r="J259" s="19" t="e">
        <f>VLOOKUP(B259,#REF!,3,0)</f>
        <v>#REF!</v>
      </c>
      <c r="K259" s="19" t="e">
        <f t="shared" si="26"/>
        <v>#REF!</v>
      </c>
      <c r="L259" s="19" t="e">
        <f>VLOOKUP(B258,'Station List'!#REF!,9,0)</f>
        <v>#REF!</v>
      </c>
      <c r="M259" s="19" t="e">
        <f>VLOOKUP(B258,#REF!,4,0)</f>
        <v>#REF!</v>
      </c>
      <c r="N259" s="17"/>
      <c r="O259" s="17"/>
      <c r="P259" s="17"/>
      <c r="Q259" s="17"/>
      <c r="R259" s="17"/>
      <c r="S259" s="17"/>
      <c r="T259" s="17"/>
      <c r="U259" s="17"/>
      <c r="V259" s="17"/>
      <c r="W259" s="17" t="e">
        <f t="shared" si="27"/>
        <v>#REF!</v>
      </c>
      <c r="X259" s="17" t="e">
        <f t="shared" si="25"/>
        <v>#REF!</v>
      </c>
    </row>
    <row r="260" spans="1:24" ht="12.75" customHeight="1" x14ac:dyDescent="0.2">
      <c r="A260" s="19">
        <v>258</v>
      </c>
      <c r="B260" s="19" t="s">
        <v>3409</v>
      </c>
      <c r="C260" s="19" t="e">
        <f t="shared" si="7"/>
        <v>#REF!</v>
      </c>
      <c r="D260" s="19" t="e">
        <f t="shared" si="8"/>
        <v>#REF!</v>
      </c>
      <c r="E260" s="19" t="e">
        <f t="shared" si="9"/>
        <v>#REF!</v>
      </c>
      <c r="F260" s="19" t="e">
        <f>VLOOKUP(B260,'Station List'!#REF!,2,0)</f>
        <v>#REF!</v>
      </c>
      <c r="G260" s="19" t="e">
        <f>VLOOKUP(B260,#REF!,2,0)</f>
        <v>#REF!</v>
      </c>
      <c r="H260" s="19" t="e">
        <f t="shared" si="3"/>
        <v>#REF!</v>
      </c>
      <c r="I260" s="19" t="e">
        <f>VLOOKUP(B260,'Station List'!#REF!,4,0)</f>
        <v>#REF!</v>
      </c>
      <c r="J260" s="19" t="e">
        <f>VLOOKUP(B260,#REF!,3,0)</f>
        <v>#REF!</v>
      </c>
      <c r="K260" s="19" t="e">
        <f t="shared" si="26"/>
        <v>#REF!</v>
      </c>
      <c r="L260" s="19" t="e">
        <f>VLOOKUP(B259,'Station List'!#REF!,9,0)</f>
        <v>#REF!</v>
      </c>
      <c r="M260" s="19" t="e">
        <f>VLOOKUP(B259,#REF!,4,0)</f>
        <v>#REF!</v>
      </c>
      <c r="N260" s="17"/>
      <c r="O260" s="17"/>
      <c r="P260" s="17"/>
      <c r="Q260" s="17"/>
      <c r="R260" s="17"/>
      <c r="S260" s="17"/>
      <c r="T260" s="17"/>
      <c r="U260" s="17"/>
      <c r="V260" s="17"/>
      <c r="W260" s="17" t="e">
        <f t="shared" si="27"/>
        <v>#REF!</v>
      </c>
      <c r="X260" s="17" t="e">
        <f t="shared" si="25"/>
        <v>#REF!</v>
      </c>
    </row>
    <row r="261" spans="1:24" ht="12.75" customHeight="1" x14ac:dyDescent="0.2">
      <c r="A261" s="19">
        <v>259</v>
      </c>
      <c r="B261" s="19" t="s">
        <v>3410</v>
      </c>
      <c r="C261" s="19" t="e">
        <f t="shared" si="7"/>
        <v>#REF!</v>
      </c>
      <c r="D261" s="19" t="e">
        <f t="shared" si="8"/>
        <v>#REF!</v>
      </c>
      <c r="E261" s="19" t="e">
        <f t="shared" si="9"/>
        <v>#REF!</v>
      </c>
      <c r="F261" s="19" t="e">
        <f>VLOOKUP(B261,'Station List'!#REF!,2,0)</f>
        <v>#REF!</v>
      </c>
      <c r="G261" s="19" t="e">
        <f>VLOOKUP(B261,#REF!,2,0)</f>
        <v>#REF!</v>
      </c>
      <c r="H261" s="19" t="e">
        <f t="shared" si="3"/>
        <v>#REF!</v>
      </c>
      <c r="I261" s="19" t="e">
        <f>VLOOKUP(B261,'Station List'!#REF!,4,0)</f>
        <v>#REF!</v>
      </c>
      <c r="J261" s="19" t="e">
        <f>VLOOKUP(B261,#REF!,3,0)</f>
        <v>#REF!</v>
      </c>
      <c r="K261" s="19" t="e">
        <f t="shared" si="26"/>
        <v>#REF!</v>
      </c>
      <c r="L261" s="19" t="e">
        <f>VLOOKUP(B260,'Station List'!#REF!,9,0)</f>
        <v>#REF!</v>
      </c>
      <c r="M261" s="19" t="e">
        <f>VLOOKUP(B260,#REF!,4,0)</f>
        <v>#REF!</v>
      </c>
      <c r="N261" s="17"/>
      <c r="O261" s="17"/>
      <c r="P261" s="17"/>
      <c r="Q261" s="17"/>
      <c r="R261" s="17"/>
      <c r="S261" s="17"/>
      <c r="T261" s="17"/>
      <c r="U261" s="17"/>
      <c r="V261" s="17"/>
      <c r="W261" s="17" t="e">
        <f t="shared" si="27"/>
        <v>#REF!</v>
      </c>
      <c r="X261" s="17" t="e">
        <f t="shared" si="25"/>
        <v>#REF!</v>
      </c>
    </row>
    <row r="262" spans="1:24" ht="12.75" customHeight="1" x14ac:dyDescent="0.2">
      <c r="A262" s="19">
        <v>260</v>
      </c>
      <c r="B262" s="19" t="s">
        <v>3411</v>
      </c>
      <c r="C262" s="19" t="e">
        <f t="shared" si="7"/>
        <v>#REF!</v>
      </c>
      <c r="D262" s="19" t="e">
        <f t="shared" si="8"/>
        <v>#REF!</v>
      </c>
      <c r="E262" s="19" t="e">
        <f t="shared" si="9"/>
        <v>#REF!</v>
      </c>
      <c r="F262" s="19" t="e">
        <f>VLOOKUP(B262,'Station List'!#REF!,2,0)</f>
        <v>#REF!</v>
      </c>
      <c r="G262" s="19" t="e">
        <f>VLOOKUP(B262,#REF!,2,0)</f>
        <v>#REF!</v>
      </c>
      <c r="H262" s="19" t="e">
        <f t="shared" si="3"/>
        <v>#REF!</v>
      </c>
      <c r="I262" s="19" t="e">
        <f>VLOOKUP(B262,'Station List'!#REF!,4,0)</f>
        <v>#REF!</v>
      </c>
      <c r="J262" s="19" t="e">
        <f>VLOOKUP(B262,#REF!,3,0)</f>
        <v>#REF!</v>
      </c>
      <c r="K262" s="19" t="e">
        <f t="shared" si="26"/>
        <v>#REF!</v>
      </c>
      <c r="L262" s="19" t="e">
        <f>VLOOKUP(B261,'Station List'!#REF!,9,0)</f>
        <v>#REF!</v>
      </c>
      <c r="M262" s="19" t="e">
        <f>VLOOKUP(B261,#REF!,4,0)</f>
        <v>#REF!</v>
      </c>
      <c r="N262" s="17"/>
      <c r="O262" s="17"/>
      <c r="P262" s="17"/>
      <c r="Q262" s="17"/>
      <c r="R262" s="17"/>
      <c r="S262" s="17"/>
      <c r="T262" s="17"/>
      <c r="U262" s="17"/>
      <c r="V262" s="17"/>
      <c r="W262" s="17" t="e">
        <f t="shared" si="27"/>
        <v>#REF!</v>
      </c>
      <c r="X262" s="17" t="e">
        <f t="shared" si="25"/>
        <v>#REF!</v>
      </c>
    </row>
    <row r="263" spans="1:24" ht="12.75" customHeight="1" x14ac:dyDescent="0.2">
      <c r="A263" s="19">
        <v>261</v>
      </c>
      <c r="B263" s="19" t="s">
        <v>3412</v>
      </c>
      <c r="C263" s="19" t="e">
        <f t="shared" si="7"/>
        <v>#REF!</v>
      </c>
      <c r="D263" s="19" t="e">
        <f t="shared" si="8"/>
        <v>#REF!</v>
      </c>
      <c r="E263" s="19" t="e">
        <f t="shared" si="9"/>
        <v>#REF!</v>
      </c>
      <c r="F263" s="19" t="e">
        <f>VLOOKUP(B263,'Station List'!#REF!,2,0)</f>
        <v>#REF!</v>
      </c>
      <c r="G263" s="19" t="e">
        <f>VLOOKUP(B263,#REF!,2,0)</f>
        <v>#REF!</v>
      </c>
      <c r="H263" s="19" t="e">
        <f t="shared" si="3"/>
        <v>#REF!</v>
      </c>
      <c r="I263" s="19" t="e">
        <f>VLOOKUP(B263,'Station List'!#REF!,4,0)</f>
        <v>#REF!</v>
      </c>
      <c r="J263" s="19" t="e">
        <f>VLOOKUP(B263,#REF!,3,0)</f>
        <v>#REF!</v>
      </c>
      <c r="K263" s="19" t="e">
        <f t="shared" si="26"/>
        <v>#REF!</v>
      </c>
      <c r="L263" s="19" t="e">
        <f>VLOOKUP(B262,'Station List'!#REF!,9,0)</f>
        <v>#REF!</v>
      </c>
      <c r="M263" s="19" t="e">
        <f>VLOOKUP(B262,#REF!,4,0)</f>
        <v>#REF!</v>
      </c>
      <c r="N263" s="17"/>
      <c r="O263" s="17"/>
      <c r="P263" s="17"/>
      <c r="Q263" s="17"/>
      <c r="R263" s="17"/>
      <c r="S263" s="17"/>
      <c r="T263" s="17"/>
      <c r="U263" s="17"/>
      <c r="V263" s="17"/>
      <c r="W263" s="17" t="e">
        <f t="shared" si="27"/>
        <v>#REF!</v>
      </c>
      <c r="X263" s="17" t="e">
        <f t="shared" si="25"/>
        <v>#REF!</v>
      </c>
    </row>
    <row r="264" spans="1:24" ht="12.75" customHeight="1" x14ac:dyDescent="0.2">
      <c r="A264" s="19">
        <v>262</v>
      </c>
      <c r="B264" s="19" t="s">
        <v>3413</v>
      </c>
      <c r="C264" s="19" t="e">
        <f t="shared" si="7"/>
        <v>#REF!</v>
      </c>
      <c r="D264" s="19" t="e">
        <f t="shared" si="8"/>
        <v>#REF!</v>
      </c>
      <c r="E264" s="19" t="e">
        <f t="shared" si="9"/>
        <v>#REF!</v>
      </c>
      <c r="F264" s="19" t="e">
        <f>VLOOKUP(B264,'Station List'!#REF!,2,0)</f>
        <v>#REF!</v>
      </c>
      <c r="G264" s="19" t="e">
        <f>VLOOKUP(B264,#REF!,2,0)</f>
        <v>#REF!</v>
      </c>
      <c r="H264" s="19" t="e">
        <f t="shared" si="3"/>
        <v>#REF!</v>
      </c>
      <c r="I264" s="19" t="e">
        <f>VLOOKUP(B264,'Station List'!#REF!,4,0)</f>
        <v>#REF!</v>
      </c>
      <c r="J264" s="19" t="e">
        <f>VLOOKUP(B264,#REF!,3,0)</f>
        <v>#REF!</v>
      </c>
      <c r="K264" s="19" t="e">
        <f t="shared" si="26"/>
        <v>#REF!</v>
      </c>
      <c r="L264" s="19" t="e">
        <f>VLOOKUP(B263,'Station List'!#REF!,9,0)</f>
        <v>#REF!</v>
      </c>
      <c r="M264" s="19" t="e">
        <f>VLOOKUP(B263,#REF!,4,0)</f>
        <v>#REF!</v>
      </c>
      <c r="N264" s="17"/>
      <c r="O264" s="17"/>
      <c r="P264" s="17"/>
      <c r="Q264" s="17"/>
      <c r="R264" s="17"/>
      <c r="S264" s="17"/>
      <c r="T264" s="17"/>
      <c r="U264" s="17"/>
      <c r="V264" s="17"/>
      <c r="W264" s="17" t="e">
        <f t="shared" si="27"/>
        <v>#REF!</v>
      </c>
      <c r="X264" s="17" t="e">
        <f t="shared" si="25"/>
        <v>#REF!</v>
      </c>
    </row>
    <row r="265" spans="1:24" ht="12.75" customHeight="1" x14ac:dyDescent="0.2">
      <c r="A265" s="19">
        <v>263</v>
      </c>
      <c r="B265" s="19" t="s">
        <v>3414</v>
      </c>
      <c r="C265" s="19" t="e">
        <f t="shared" si="7"/>
        <v>#REF!</v>
      </c>
      <c r="D265" s="19" t="e">
        <f t="shared" si="8"/>
        <v>#REF!</v>
      </c>
      <c r="E265" s="19" t="e">
        <f t="shared" si="9"/>
        <v>#REF!</v>
      </c>
      <c r="F265" s="19" t="e">
        <f>VLOOKUP(B265,'Station List'!#REF!,2,0)</f>
        <v>#REF!</v>
      </c>
      <c r="G265" s="19" t="e">
        <f>VLOOKUP(B265,#REF!,2,0)</f>
        <v>#REF!</v>
      </c>
      <c r="H265" s="19" t="e">
        <f t="shared" si="3"/>
        <v>#REF!</v>
      </c>
      <c r="I265" s="19" t="e">
        <f>VLOOKUP(B265,'Station List'!#REF!,4,0)</f>
        <v>#REF!</v>
      </c>
      <c r="J265" s="19" t="e">
        <f>VLOOKUP(B265,#REF!,3,0)</f>
        <v>#REF!</v>
      </c>
      <c r="K265" s="19" t="e">
        <f t="shared" si="26"/>
        <v>#REF!</v>
      </c>
      <c r="L265" s="19" t="e">
        <f>VLOOKUP(B264,'Station List'!#REF!,9,0)</f>
        <v>#REF!</v>
      </c>
      <c r="M265" s="19" t="e">
        <f>VLOOKUP(B264,#REF!,4,0)</f>
        <v>#REF!</v>
      </c>
      <c r="N265" s="17"/>
      <c r="O265" s="17"/>
      <c r="P265" s="17"/>
      <c r="Q265" s="17"/>
      <c r="R265" s="17"/>
      <c r="S265" s="17"/>
      <c r="T265" s="17"/>
      <c r="U265" s="17"/>
      <c r="V265" s="17"/>
      <c r="W265" s="17" t="e">
        <f t="shared" si="27"/>
        <v>#REF!</v>
      </c>
      <c r="X265" s="17" t="e">
        <f t="shared" si="25"/>
        <v>#REF!</v>
      </c>
    </row>
    <row r="266" spans="1:24" ht="12.75" customHeight="1" x14ac:dyDescent="0.2">
      <c r="A266" s="19">
        <v>264</v>
      </c>
      <c r="B266" s="19" t="s">
        <v>3415</v>
      </c>
      <c r="C266" s="19" t="e">
        <f t="shared" si="7"/>
        <v>#REF!</v>
      </c>
      <c r="D266" s="19" t="e">
        <f t="shared" si="8"/>
        <v>#REF!</v>
      </c>
      <c r="E266" s="19" t="e">
        <f t="shared" si="9"/>
        <v>#REF!</v>
      </c>
      <c r="F266" s="112" t="e">
        <f>VLOOKUP(B266,'Station List'!#REF!,2,0)</f>
        <v>#REF!</v>
      </c>
      <c r="G266" s="19" t="e">
        <f>VLOOKUP(B266,#REF!,2,0)</f>
        <v>#REF!</v>
      </c>
      <c r="H266" s="19" t="e">
        <f t="shared" si="3"/>
        <v>#REF!</v>
      </c>
      <c r="I266" s="112" t="e">
        <f>VLOOKUP(B266,'Station List'!#REF!,4,0)</f>
        <v>#REF!</v>
      </c>
      <c r="J266" s="19" t="e">
        <f>VLOOKUP(B266,#REF!,3,0)</f>
        <v>#REF!</v>
      </c>
      <c r="K266" s="19" t="e">
        <f t="shared" si="26"/>
        <v>#REF!</v>
      </c>
      <c r="L266" s="19" t="e">
        <f>VLOOKUP(B265,'Station List'!#REF!,9,0)</f>
        <v>#REF!</v>
      </c>
      <c r="M266" s="19" t="e">
        <f>VLOOKUP(B265,#REF!,4,0)</f>
        <v>#REF!</v>
      </c>
      <c r="N266" s="17"/>
      <c r="O266" s="17"/>
      <c r="P266" s="17"/>
      <c r="Q266" s="17"/>
      <c r="R266" s="17"/>
      <c r="S266" s="17"/>
      <c r="T266" s="17"/>
      <c r="U266" s="17"/>
      <c r="V266" s="17"/>
      <c r="W266" s="17" t="e">
        <f t="shared" si="27"/>
        <v>#REF!</v>
      </c>
      <c r="X266" s="17" t="e">
        <f t="shared" si="25"/>
        <v>#REF!</v>
      </c>
    </row>
    <row r="267" spans="1:24" ht="12.75" customHeight="1" x14ac:dyDescent="0.2">
      <c r="A267" s="19">
        <v>265</v>
      </c>
      <c r="B267" s="19" t="s">
        <v>3416</v>
      </c>
      <c r="C267" s="19" t="e">
        <f t="shared" si="7"/>
        <v>#REF!</v>
      </c>
      <c r="D267" s="19" t="e">
        <f t="shared" si="8"/>
        <v>#REF!</v>
      </c>
      <c r="E267" s="19" t="e">
        <f t="shared" si="9"/>
        <v>#REF!</v>
      </c>
      <c r="F267" s="19" t="e">
        <f>VLOOKUP(B267,'Station List'!#REF!,2,0)</f>
        <v>#REF!</v>
      </c>
      <c r="G267" s="19" t="e">
        <f>VLOOKUP(B267,#REF!,2,0)</f>
        <v>#REF!</v>
      </c>
      <c r="H267" s="19" t="e">
        <f t="shared" si="3"/>
        <v>#REF!</v>
      </c>
      <c r="I267" s="19" t="e">
        <f>VLOOKUP(B267,'Station List'!#REF!,4,0)</f>
        <v>#REF!</v>
      </c>
      <c r="J267" s="19" t="e">
        <f>VLOOKUP(B267,#REF!,3,0)</f>
        <v>#REF!</v>
      </c>
      <c r="K267" s="19" t="e">
        <f t="shared" si="26"/>
        <v>#REF!</v>
      </c>
      <c r="L267" s="112" t="e">
        <f>VLOOKUP(B266,'Station List'!#REF!,9,0)</f>
        <v>#REF!</v>
      </c>
      <c r="M267" s="19" t="e">
        <f>VLOOKUP(B266,#REF!,4,0)</f>
        <v>#REF!</v>
      </c>
      <c r="N267" s="17"/>
      <c r="O267" s="17"/>
      <c r="P267" s="17"/>
      <c r="Q267" s="17"/>
      <c r="R267" s="17"/>
      <c r="S267" s="17"/>
      <c r="T267" s="17"/>
      <c r="U267" s="17"/>
      <c r="V267" s="17"/>
      <c r="W267" s="17" t="e">
        <f t="shared" si="27"/>
        <v>#REF!</v>
      </c>
      <c r="X267" s="17" t="e">
        <f t="shared" si="25"/>
        <v>#REF!</v>
      </c>
    </row>
    <row r="268" spans="1:24" ht="12.75" customHeight="1" x14ac:dyDescent="0.2">
      <c r="A268" s="19">
        <v>266</v>
      </c>
      <c r="B268" s="19" t="s">
        <v>3417</v>
      </c>
      <c r="C268" s="19" t="e">
        <f t="shared" si="7"/>
        <v>#REF!</v>
      </c>
      <c r="D268" s="19" t="e">
        <f t="shared" si="8"/>
        <v>#REF!</v>
      </c>
      <c r="E268" s="19" t="e">
        <f t="shared" si="9"/>
        <v>#REF!</v>
      </c>
      <c r="F268" s="19" t="e">
        <f>VLOOKUP(B268,'Station List'!#REF!,2,0)</f>
        <v>#REF!</v>
      </c>
      <c r="G268" s="19" t="e">
        <f>VLOOKUP(B268,#REF!,2,0)</f>
        <v>#REF!</v>
      </c>
      <c r="H268" s="19" t="e">
        <f t="shared" si="3"/>
        <v>#REF!</v>
      </c>
      <c r="I268" s="19" t="e">
        <f>VLOOKUP(B268,'Station List'!#REF!,4,0)</f>
        <v>#REF!</v>
      </c>
      <c r="J268" s="19" t="e">
        <f>VLOOKUP(B268,#REF!,3,0)</f>
        <v>#REF!</v>
      </c>
      <c r="K268" s="19" t="e">
        <f t="shared" si="26"/>
        <v>#REF!</v>
      </c>
      <c r="L268" s="19" t="e">
        <f>VLOOKUP(B267,'Station List'!#REF!,9,0)</f>
        <v>#REF!</v>
      </c>
      <c r="M268" s="19" t="e">
        <f>VLOOKUP(B267,#REF!,4,0)</f>
        <v>#REF!</v>
      </c>
      <c r="N268" s="17"/>
      <c r="O268" s="17"/>
      <c r="P268" s="17"/>
      <c r="Q268" s="17"/>
      <c r="R268" s="17"/>
      <c r="S268" s="17"/>
      <c r="T268" s="17"/>
      <c r="U268" s="17"/>
      <c r="V268" s="17"/>
      <c r="W268" s="17" t="e">
        <f t="shared" si="27"/>
        <v>#REF!</v>
      </c>
      <c r="X268" s="17" t="e">
        <f t="shared" si="25"/>
        <v>#REF!</v>
      </c>
    </row>
    <row r="269" spans="1:24" ht="12.75" customHeight="1" x14ac:dyDescent="0.2">
      <c r="A269" s="19">
        <v>267</v>
      </c>
      <c r="B269" s="19" t="s">
        <v>3418</v>
      </c>
      <c r="C269" s="19" t="e">
        <f t="shared" si="7"/>
        <v>#REF!</v>
      </c>
      <c r="D269" s="19" t="e">
        <f t="shared" si="8"/>
        <v>#REF!</v>
      </c>
      <c r="E269" s="19" t="e">
        <f t="shared" si="9"/>
        <v>#REF!</v>
      </c>
      <c r="F269" s="19" t="e">
        <f>VLOOKUP(B269,'Station List'!#REF!,2,0)</f>
        <v>#REF!</v>
      </c>
      <c r="G269" s="19" t="e">
        <f>VLOOKUP(B269,#REF!,2,0)</f>
        <v>#REF!</v>
      </c>
      <c r="H269" s="19" t="e">
        <f t="shared" si="3"/>
        <v>#REF!</v>
      </c>
      <c r="I269" s="19" t="e">
        <f>VLOOKUP(B269,'Station List'!#REF!,4,0)</f>
        <v>#REF!</v>
      </c>
      <c r="J269" s="19" t="e">
        <f>VLOOKUP(B269,#REF!,3,0)</f>
        <v>#REF!</v>
      </c>
      <c r="K269" s="19" t="e">
        <f t="shared" si="26"/>
        <v>#REF!</v>
      </c>
      <c r="L269" s="19" t="e">
        <f>VLOOKUP(B268,'Station List'!#REF!,9,0)</f>
        <v>#REF!</v>
      </c>
      <c r="M269" s="19" t="e">
        <f>VLOOKUP(B268,#REF!,4,0)</f>
        <v>#REF!</v>
      </c>
      <c r="N269" s="17"/>
      <c r="O269" s="17"/>
      <c r="P269" s="17"/>
      <c r="Q269" s="17"/>
      <c r="R269" s="17"/>
      <c r="S269" s="17"/>
      <c r="T269" s="17"/>
      <c r="U269" s="17"/>
      <c r="V269" s="17"/>
      <c r="W269" s="17" t="e">
        <f t="shared" si="27"/>
        <v>#REF!</v>
      </c>
      <c r="X269" s="17" t="e">
        <f t="shared" si="25"/>
        <v>#REF!</v>
      </c>
    </row>
    <row r="270" spans="1:24" ht="12.75" customHeight="1" x14ac:dyDescent="0.2">
      <c r="A270" s="19">
        <v>268</v>
      </c>
      <c r="B270" s="19" t="s">
        <v>3419</v>
      </c>
      <c r="C270" s="19" t="e">
        <f t="shared" si="7"/>
        <v>#REF!</v>
      </c>
      <c r="D270" s="19" t="e">
        <f t="shared" si="8"/>
        <v>#REF!</v>
      </c>
      <c r="E270" s="19" t="e">
        <f t="shared" si="9"/>
        <v>#REF!</v>
      </c>
      <c r="F270" s="19" t="e">
        <f>VLOOKUP(B270,'Station List'!#REF!,2,0)</f>
        <v>#REF!</v>
      </c>
      <c r="G270" s="19" t="e">
        <f>VLOOKUP(B270,#REF!,2,0)</f>
        <v>#REF!</v>
      </c>
      <c r="H270" s="19" t="e">
        <f t="shared" si="3"/>
        <v>#REF!</v>
      </c>
      <c r="I270" s="19" t="e">
        <f>VLOOKUP(B270,'Station List'!#REF!,4,0)</f>
        <v>#REF!</v>
      </c>
      <c r="J270" s="19" t="e">
        <f>VLOOKUP(B270,#REF!,3,0)</f>
        <v>#REF!</v>
      </c>
      <c r="K270" s="19" t="e">
        <f t="shared" si="26"/>
        <v>#REF!</v>
      </c>
      <c r="L270" s="19" t="e">
        <f>VLOOKUP(B269,'Station List'!#REF!,9,0)</f>
        <v>#REF!</v>
      </c>
      <c r="M270" s="19" t="e">
        <f>VLOOKUP(B269,#REF!,4,0)</f>
        <v>#REF!</v>
      </c>
      <c r="N270" s="17"/>
      <c r="O270" s="17"/>
      <c r="P270" s="17"/>
      <c r="Q270" s="17"/>
      <c r="R270" s="17"/>
      <c r="S270" s="17"/>
      <c r="T270" s="17"/>
      <c r="U270" s="17"/>
      <c r="V270" s="17"/>
      <c r="W270" s="17" t="e">
        <f t="shared" si="27"/>
        <v>#REF!</v>
      </c>
      <c r="X270" s="17" t="e">
        <f t="shared" si="25"/>
        <v>#REF!</v>
      </c>
    </row>
    <row r="271" spans="1:24" ht="12.75" customHeight="1" x14ac:dyDescent="0.2">
      <c r="A271" s="19">
        <v>269</v>
      </c>
      <c r="B271" s="19" t="s">
        <v>3420</v>
      </c>
      <c r="C271" s="19" t="e">
        <f t="shared" si="7"/>
        <v>#REF!</v>
      </c>
      <c r="D271" s="19" t="e">
        <f t="shared" si="8"/>
        <v>#REF!</v>
      </c>
      <c r="E271" s="19" t="e">
        <f t="shared" si="9"/>
        <v>#REF!</v>
      </c>
      <c r="F271" s="19" t="e">
        <f>VLOOKUP(B271,'Station List'!#REF!,2,0)</f>
        <v>#REF!</v>
      </c>
      <c r="G271" s="19" t="e">
        <f>VLOOKUP(B271,#REF!,2,0)</f>
        <v>#REF!</v>
      </c>
      <c r="H271" s="19" t="e">
        <f t="shared" si="3"/>
        <v>#REF!</v>
      </c>
      <c r="I271" s="19" t="e">
        <f>VLOOKUP(B271,'Station List'!#REF!,4,0)</f>
        <v>#REF!</v>
      </c>
      <c r="J271" s="19" t="e">
        <f>VLOOKUP(B271,#REF!,3,0)</f>
        <v>#REF!</v>
      </c>
      <c r="K271" s="19" t="e">
        <f t="shared" si="26"/>
        <v>#REF!</v>
      </c>
      <c r="L271" s="19" t="e">
        <f>VLOOKUP(B270,'Station List'!#REF!,9,0)</f>
        <v>#REF!</v>
      </c>
      <c r="M271" s="19" t="e">
        <f>VLOOKUP(B270,#REF!,4,0)</f>
        <v>#REF!</v>
      </c>
      <c r="N271" s="17"/>
      <c r="O271" s="17"/>
      <c r="P271" s="17"/>
      <c r="Q271" s="17"/>
      <c r="R271" s="17"/>
      <c r="S271" s="17"/>
      <c r="T271" s="17"/>
      <c r="U271" s="17"/>
      <c r="V271" s="17"/>
      <c r="W271" s="17" t="e">
        <f t="shared" si="27"/>
        <v>#REF!</v>
      </c>
      <c r="X271" s="17" t="e">
        <f t="shared" si="25"/>
        <v>#REF!</v>
      </c>
    </row>
    <row r="272" spans="1:24" ht="12.75" customHeight="1" x14ac:dyDescent="0.2">
      <c r="A272" s="19">
        <v>270</v>
      </c>
      <c r="B272" s="19" t="s">
        <v>3421</v>
      </c>
      <c r="C272" s="19" t="e">
        <f t="shared" si="7"/>
        <v>#REF!</v>
      </c>
      <c r="D272" s="19" t="e">
        <f t="shared" si="8"/>
        <v>#REF!</v>
      </c>
      <c r="E272" s="19" t="e">
        <f t="shared" si="9"/>
        <v>#REF!</v>
      </c>
      <c r="F272" s="19" t="e">
        <f>VLOOKUP(B272,'Station List'!#REF!,2,0)</f>
        <v>#REF!</v>
      </c>
      <c r="G272" s="19" t="e">
        <f>VLOOKUP(B272,#REF!,2,0)</f>
        <v>#REF!</v>
      </c>
      <c r="H272" s="19" t="e">
        <f t="shared" si="3"/>
        <v>#REF!</v>
      </c>
      <c r="I272" s="19" t="e">
        <f>VLOOKUP(B272,'Station List'!#REF!,4,0)</f>
        <v>#REF!</v>
      </c>
      <c r="J272" s="19" t="e">
        <f>VLOOKUP(B272,#REF!,3,0)</f>
        <v>#REF!</v>
      </c>
      <c r="K272" s="19" t="e">
        <f t="shared" si="26"/>
        <v>#REF!</v>
      </c>
      <c r="L272" s="19" t="e">
        <f>VLOOKUP(B271,'Station List'!#REF!,9,0)</f>
        <v>#REF!</v>
      </c>
      <c r="M272" s="19" t="e">
        <f>VLOOKUP(B271,#REF!,4,0)</f>
        <v>#REF!</v>
      </c>
      <c r="N272" s="17"/>
      <c r="O272" s="17"/>
      <c r="P272" s="17"/>
      <c r="Q272" s="17"/>
      <c r="R272" s="17"/>
      <c r="S272" s="17"/>
      <c r="T272" s="17"/>
      <c r="U272" s="17"/>
      <c r="V272" s="17"/>
      <c r="W272" s="17" t="e">
        <f t="shared" si="27"/>
        <v>#REF!</v>
      </c>
      <c r="X272" s="17" t="e">
        <f t="shared" si="25"/>
        <v>#REF!</v>
      </c>
    </row>
    <row r="273" spans="1:24" ht="12.75" customHeight="1" x14ac:dyDescent="0.2">
      <c r="A273" s="19">
        <v>271</v>
      </c>
      <c r="B273" s="19" t="s">
        <v>3422</v>
      </c>
      <c r="C273" s="19" t="e">
        <f t="shared" si="7"/>
        <v>#REF!</v>
      </c>
      <c r="D273" s="19" t="e">
        <f t="shared" si="8"/>
        <v>#REF!</v>
      </c>
      <c r="E273" s="19" t="e">
        <f t="shared" si="9"/>
        <v>#REF!</v>
      </c>
      <c r="F273" s="19" t="e">
        <f>VLOOKUP(B273,'Station List'!#REF!,2,0)</f>
        <v>#REF!</v>
      </c>
      <c r="G273" s="19" t="e">
        <f>VLOOKUP(B273,#REF!,2,0)</f>
        <v>#REF!</v>
      </c>
      <c r="H273" s="19" t="e">
        <f t="shared" si="3"/>
        <v>#REF!</v>
      </c>
      <c r="I273" s="19" t="e">
        <f>VLOOKUP(B273,'Station List'!#REF!,4,0)</f>
        <v>#REF!</v>
      </c>
      <c r="J273" s="19" t="e">
        <f>VLOOKUP(B273,#REF!,3,0)</f>
        <v>#REF!</v>
      </c>
      <c r="K273" s="19" t="e">
        <f t="shared" si="26"/>
        <v>#REF!</v>
      </c>
      <c r="L273" s="19" t="e">
        <f>VLOOKUP(B272,'Station List'!#REF!,9,0)</f>
        <v>#REF!</v>
      </c>
      <c r="M273" s="19" t="e">
        <f>VLOOKUP(B272,#REF!,4,0)</f>
        <v>#REF!</v>
      </c>
      <c r="N273" s="17"/>
      <c r="O273" s="17"/>
      <c r="P273" s="17"/>
      <c r="Q273" s="17"/>
      <c r="R273" s="17"/>
      <c r="S273" s="17"/>
      <c r="T273" s="17"/>
      <c r="U273" s="17"/>
      <c r="V273" s="17"/>
      <c r="W273" s="17" t="e">
        <f t="shared" si="27"/>
        <v>#REF!</v>
      </c>
      <c r="X273" s="17" t="e">
        <f t="shared" si="25"/>
        <v>#REF!</v>
      </c>
    </row>
    <row r="274" spans="1:24" ht="12.75" customHeight="1" x14ac:dyDescent="0.2">
      <c r="A274" s="19">
        <v>272</v>
      </c>
      <c r="B274" s="19" t="s">
        <v>3423</v>
      </c>
      <c r="C274" s="19" t="e">
        <f t="shared" si="7"/>
        <v>#REF!</v>
      </c>
      <c r="D274" s="19" t="e">
        <f t="shared" si="8"/>
        <v>#REF!</v>
      </c>
      <c r="E274" s="19" t="e">
        <f t="shared" si="9"/>
        <v>#REF!</v>
      </c>
      <c r="F274" s="19" t="e">
        <f>VLOOKUP(B274,'Station List'!#REF!,2,0)</f>
        <v>#REF!</v>
      </c>
      <c r="G274" s="19" t="e">
        <f>VLOOKUP(B274,#REF!,2,0)</f>
        <v>#REF!</v>
      </c>
      <c r="H274" s="19" t="e">
        <f t="shared" si="3"/>
        <v>#REF!</v>
      </c>
      <c r="I274" s="19" t="e">
        <f>VLOOKUP(B274,'Station List'!#REF!,4,0)</f>
        <v>#REF!</v>
      </c>
      <c r="J274" s="19" t="e">
        <f>VLOOKUP(B274,#REF!,3,0)</f>
        <v>#REF!</v>
      </c>
      <c r="K274" s="19" t="e">
        <f t="shared" si="26"/>
        <v>#REF!</v>
      </c>
      <c r="L274" s="19" t="e">
        <f>VLOOKUP(B273,'Station List'!#REF!,9,0)</f>
        <v>#REF!</v>
      </c>
      <c r="M274" s="19" t="e">
        <f>VLOOKUP(B273,#REF!,4,0)</f>
        <v>#REF!</v>
      </c>
      <c r="N274" s="17"/>
      <c r="O274" s="17"/>
      <c r="P274" s="17"/>
      <c r="Q274" s="17"/>
      <c r="R274" s="17"/>
      <c r="S274" s="17"/>
      <c r="T274" s="17"/>
      <c r="U274" s="17"/>
      <c r="V274" s="17"/>
      <c r="W274" s="17" t="e">
        <f t="shared" si="27"/>
        <v>#REF!</v>
      </c>
      <c r="X274" s="17" t="e">
        <f t="shared" si="25"/>
        <v>#REF!</v>
      </c>
    </row>
    <row r="275" spans="1:24" ht="12.75" customHeight="1" x14ac:dyDescent="0.2">
      <c r="A275" s="19">
        <v>273</v>
      </c>
      <c r="B275" s="19" t="s">
        <v>3424</v>
      </c>
      <c r="C275" s="19" t="e">
        <f t="shared" si="7"/>
        <v>#REF!</v>
      </c>
      <c r="D275" s="19" t="e">
        <f t="shared" si="8"/>
        <v>#REF!</v>
      </c>
      <c r="E275" s="19" t="e">
        <f t="shared" si="9"/>
        <v>#REF!</v>
      </c>
      <c r="F275" s="19" t="e">
        <f>VLOOKUP(B275,'Station List'!#REF!,2,0)</f>
        <v>#REF!</v>
      </c>
      <c r="G275" s="19" t="e">
        <f>VLOOKUP(B275,#REF!,2,0)</f>
        <v>#REF!</v>
      </c>
      <c r="H275" s="19" t="e">
        <f t="shared" si="3"/>
        <v>#REF!</v>
      </c>
      <c r="I275" s="19" t="e">
        <f>VLOOKUP(B275,'Station List'!#REF!,4,0)</f>
        <v>#REF!</v>
      </c>
      <c r="J275" s="19" t="e">
        <f>VLOOKUP(B275,#REF!,3,0)</f>
        <v>#REF!</v>
      </c>
      <c r="K275" s="19" t="e">
        <f t="shared" si="26"/>
        <v>#REF!</v>
      </c>
      <c r="L275" s="19" t="e">
        <f>VLOOKUP(B274,'Station List'!#REF!,9,0)</f>
        <v>#REF!</v>
      </c>
      <c r="M275" s="19" t="e">
        <f>VLOOKUP(B274,#REF!,4,0)</f>
        <v>#REF!</v>
      </c>
      <c r="N275" s="17"/>
      <c r="O275" s="17"/>
      <c r="P275" s="17"/>
      <c r="Q275" s="17"/>
      <c r="R275" s="17"/>
      <c r="S275" s="17"/>
      <c r="T275" s="17"/>
      <c r="U275" s="17"/>
      <c r="V275" s="17"/>
      <c r="W275" s="17" t="e">
        <f t="shared" si="27"/>
        <v>#REF!</v>
      </c>
      <c r="X275" s="17" t="e">
        <f t="shared" si="25"/>
        <v>#REF!</v>
      </c>
    </row>
    <row r="276" spans="1:24" ht="12.75" customHeight="1" x14ac:dyDescent="0.2">
      <c r="A276" s="19">
        <v>274</v>
      </c>
      <c r="B276" s="19" t="s">
        <v>3425</v>
      </c>
      <c r="C276" s="19" t="e">
        <f t="shared" si="7"/>
        <v>#REF!</v>
      </c>
      <c r="D276" s="19" t="e">
        <f t="shared" si="8"/>
        <v>#REF!</v>
      </c>
      <c r="E276" s="19" t="e">
        <f t="shared" si="9"/>
        <v>#REF!</v>
      </c>
      <c r="F276" s="19" t="e">
        <f>VLOOKUP(B276,'Station List'!#REF!,2,0)</f>
        <v>#REF!</v>
      </c>
      <c r="G276" s="19" t="e">
        <f>VLOOKUP(B276,#REF!,2,0)</f>
        <v>#REF!</v>
      </c>
      <c r="H276" s="19" t="e">
        <f t="shared" si="3"/>
        <v>#REF!</v>
      </c>
      <c r="I276" s="19" t="e">
        <f>VLOOKUP(B276,'Station List'!#REF!,4,0)</f>
        <v>#REF!</v>
      </c>
      <c r="J276" s="19" t="e">
        <f>VLOOKUP(B276,#REF!,3,0)</f>
        <v>#REF!</v>
      </c>
      <c r="K276" s="19" t="e">
        <f t="shared" si="26"/>
        <v>#REF!</v>
      </c>
      <c r="L276" s="19" t="e">
        <f>VLOOKUP(B275,'Station List'!#REF!,9,0)</f>
        <v>#REF!</v>
      </c>
      <c r="M276" s="19" t="e">
        <f>VLOOKUP(B275,#REF!,4,0)</f>
        <v>#REF!</v>
      </c>
      <c r="N276" s="17"/>
      <c r="O276" s="17"/>
      <c r="P276" s="17"/>
      <c r="Q276" s="17"/>
      <c r="R276" s="17"/>
      <c r="S276" s="17"/>
      <c r="T276" s="17"/>
      <c r="U276" s="17"/>
      <c r="V276" s="17"/>
      <c r="W276" s="17" t="e">
        <f t="shared" si="27"/>
        <v>#REF!</v>
      </c>
      <c r="X276" s="17" t="e">
        <f t="shared" si="25"/>
        <v>#REF!</v>
      </c>
    </row>
    <row r="277" spans="1:24" ht="12.75" customHeight="1" x14ac:dyDescent="0.2">
      <c r="A277" s="19">
        <v>275</v>
      </c>
      <c r="B277" s="113" t="s">
        <v>3426</v>
      </c>
      <c r="C277" s="113" t="e">
        <f t="shared" si="7"/>
        <v>#REF!</v>
      </c>
      <c r="D277" s="113" t="e">
        <f t="shared" si="8"/>
        <v>#REF!</v>
      </c>
      <c r="E277" s="113" t="e">
        <f t="shared" si="9"/>
        <v>#REF!</v>
      </c>
      <c r="F277" s="113" t="e">
        <f>VLOOKUP(B277,'Station List'!#REF!,2,0)</f>
        <v>#REF!</v>
      </c>
      <c r="G277" s="113" t="e">
        <f>VLOOKUP(B277,#REF!,2,0)</f>
        <v>#REF!</v>
      </c>
      <c r="H277" s="113" t="e">
        <f t="shared" si="3"/>
        <v>#REF!</v>
      </c>
      <c r="I277" s="113" t="e">
        <f>VLOOKUP(B277,'Station List'!#REF!,4,0)</f>
        <v>#REF!</v>
      </c>
      <c r="J277" s="113" t="e">
        <f>VLOOKUP(B277,#REF!,3,0)</f>
        <v>#REF!</v>
      </c>
      <c r="K277" s="19" t="e">
        <f t="shared" si="26"/>
        <v>#REF!</v>
      </c>
      <c r="L277" s="19" t="e">
        <f>VLOOKUP(B276,'Station List'!#REF!,9,0)</f>
        <v>#REF!</v>
      </c>
      <c r="M277" s="19" t="e">
        <f>VLOOKUP(B276,#REF!,4,0)</f>
        <v>#REF!</v>
      </c>
      <c r="N277" s="17"/>
      <c r="O277" s="17"/>
      <c r="P277" s="17"/>
      <c r="Q277" s="17"/>
      <c r="R277" s="17"/>
      <c r="S277" s="17"/>
      <c r="T277" s="17"/>
      <c r="U277" s="17"/>
      <c r="V277" s="17"/>
      <c r="W277" s="17" t="e">
        <f t="shared" si="27"/>
        <v>#REF!</v>
      </c>
      <c r="X277" s="17" t="e">
        <f t="shared" si="25"/>
        <v>#REF!</v>
      </c>
    </row>
    <row r="278" spans="1:24" ht="12.75" customHeight="1" x14ac:dyDescent="0.2">
      <c r="A278" s="19">
        <v>276</v>
      </c>
      <c r="B278" s="19" t="s">
        <v>3427</v>
      </c>
      <c r="C278" s="19" t="e">
        <f t="shared" si="7"/>
        <v>#REF!</v>
      </c>
      <c r="D278" s="19" t="e">
        <f t="shared" si="8"/>
        <v>#REF!</v>
      </c>
      <c r="E278" s="19" t="e">
        <f t="shared" si="9"/>
        <v>#REF!</v>
      </c>
      <c r="F278" s="19" t="e">
        <f>VLOOKUP(B278,'Station List'!#REF!,2,0)</f>
        <v>#REF!</v>
      </c>
      <c r="G278" s="19" t="e">
        <f>VLOOKUP(B278,#REF!,2,0)</f>
        <v>#REF!</v>
      </c>
      <c r="H278" s="19" t="e">
        <f t="shared" si="3"/>
        <v>#REF!</v>
      </c>
      <c r="I278" s="19" t="e">
        <f>VLOOKUP(B278,'Station List'!#REF!,4,0)</f>
        <v>#REF!</v>
      </c>
      <c r="J278" s="19" t="e">
        <f>VLOOKUP(B278,#REF!,3,0)</f>
        <v>#REF!</v>
      </c>
      <c r="K278" s="113" t="e">
        <f t="shared" si="26"/>
        <v>#REF!</v>
      </c>
      <c r="L278" s="113" t="e">
        <f>VLOOKUP(B277,'Station List'!#REF!,9,0)</f>
        <v>#REF!</v>
      </c>
      <c r="M278" s="113" t="e">
        <f>VLOOKUP(B277,#REF!,4,0)</f>
        <v>#REF!</v>
      </c>
      <c r="N278" s="17"/>
      <c r="O278" s="17"/>
      <c r="P278" s="17"/>
      <c r="Q278" s="17"/>
      <c r="R278" s="17"/>
      <c r="S278" s="17"/>
      <c r="T278" s="17"/>
      <c r="U278" s="17"/>
      <c r="V278" s="17"/>
      <c r="W278" s="17" t="e">
        <f t="shared" si="27"/>
        <v>#REF!</v>
      </c>
      <c r="X278" s="17" t="e">
        <f t="shared" si="25"/>
        <v>#REF!</v>
      </c>
    </row>
    <row r="279" spans="1:24" ht="12.75" customHeight="1" x14ac:dyDescent="0.2">
      <c r="A279" s="19">
        <v>277</v>
      </c>
      <c r="B279" s="19" t="s">
        <v>3428</v>
      </c>
      <c r="C279" s="19" t="e">
        <f t="shared" si="7"/>
        <v>#REF!</v>
      </c>
      <c r="D279" s="19" t="e">
        <f t="shared" si="8"/>
        <v>#REF!</v>
      </c>
      <c r="E279" s="19" t="e">
        <f t="shared" si="9"/>
        <v>#REF!</v>
      </c>
      <c r="F279" s="19" t="e">
        <f>VLOOKUP(B279,'Station List'!#REF!,2,0)</f>
        <v>#REF!</v>
      </c>
      <c r="G279" s="19" t="e">
        <f>VLOOKUP(B279,#REF!,2,0)</f>
        <v>#REF!</v>
      </c>
      <c r="H279" s="19" t="e">
        <f t="shared" si="3"/>
        <v>#REF!</v>
      </c>
      <c r="I279" s="112" t="e">
        <f>VLOOKUP(B279,'Station List'!#REF!,4,0)</f>
        <v>#REF!</v>
      </c>
      <c r="J279" s="19" t="e">
        <f>VLOOKUP(B279,#REF!,3,0)</f>
        <v>#REF!</v>
      </c>
      <c r="K279" s="19" t="e">
        <f t="shared" si="26"/>
        <v>#REF!</v>
      </c>
      <c r="L279" s="19" t="e">
        <f>VLOOKUP(B278,'Station List'!#REF!,9,0)</f>
        <v>#REF!</v>
      </c>
      <c r="M279" s="19" t="e">
        <f>VLOOKUP(B278,#REF!,4,0)</f>
        <v>#REF!</v>
      </c>
      <c r="N279" s="17" t="s">
        <v>3073</v>
      </c>
      <c r="O279" s="17"/>
      <c r="P279" s="17"/>
      <c r="Q279" s="17"/>
      <c r="R279" s="17"/>
      <c r="S279" s="17"/>
      <c r="T279" s="17"/>
      <c r="U279" s="17"/>
      <c r="V279" s="17"/>
      <c r="W279" s="17" t="e">
        <f t="shared" si="27"/>
        <v>#REF!</v>
      </c>
      <c r="X279" s="17" t="e">
        <f t="shared" si="25"/>
        <v>#REF!</v>
      </c>
    </row>
    <row r="280" spans="1:24" ht="12.75" customHeight="1" x14ac:dyDescent="0.2">
      <c r="A280" s="19">
        <v>278</v>
      </c>
      <c r="B280" s="19" t="s">
        <v>3429</v>
      </c>
      <c r="C280" s="19" t="e">
        <f t="shared" si="7"/>
        <v>#REF!</v>
      </c>
      <c r="D280" s="19" t="e">
        <f t="shared" si="8"/>
        <v>#REF!</v>
      </c>
      <c r="E280" s="19" t="e">
        <f t="shared" si="9"/>
        <v>#REF!</v>
      </c>
      <c r="F280" s="19" t="e">
        <f>VLOOKUP(B280,'Station List'!#REF!,2,0)</f>
        <v>#REF!</v>
      </c>
      <c r="G280" s="19" t="e">
        <f>VLOOKUP(B280,#REF!,2,0)</f>
        <v>#REF!</v>
      </c>
      <c r="H280" s="19" t="e">
        <f t="shared" si="3"/>
        <v>#REF!</v>
      </c>
      <c r="I280" s="19" t="e">
        <f>VLOOKUP(B280,'Station List'!#REF!,4,0)</f>
        <v>#REF!</v>
      </c>
      <c r="J280" s="19" t="e">
        <f>VLOOKUP(B280,#REF!,3,0)</f>
        <v>#REF!</v>
      </c>
      <c r="K280" s="19" t="e">
        <f t="shared" si="26"/>
        <v>#REF!</v>
      </c>
      <c r="L280" s="19" t="e">
        <f>VLOOKUP(B279,'Station List'!#REF!,9,0)</f>
        <v>#REF!</v>
      </c>
      <c r="M280" s="19" t="e">
        <f>VLOOKUP(B279,#REF!,4,0)</f>
        <v>#REF!</v>
      </c>
      <c r="N280" s="17"/>
      <c r="O280" s="17"/>
      <c r="P280" s="17"/>
      <c r="Q280" s="17"/>
      <c r="R280" s="17"/>
      <c r="S280" s="17"/>
      <c r="T280" s="17"/>
      <c r="U280" s="17"/>
      <c r="V280" s="17"/>
      <c r="W280" s="17" t="e">
        <f t="shared" si="27"/>
        <v>#REF!</v>
      </c>
      <c r="X280" s="17" t="e">
        <f t="shared" si="25"/>
        <v>#REF!</v>
      </c>
    </row>
    <row r="281" spans="1:24" ht="12.75" customHeight="1" x14ac:dyDescent="0.2">
      <c r="A281" s="19">
        <v>279</v>
      </c>
      <c r="B281" s="19" t="s">
        <v>3430</v>
      </c>
      <c r="C281" s="19" t="e">
        <f t="shared" si="7"/>
        <v>#REF!</v>
      </c>
      <c r="D281" s="19" t="e">
        <f t="shared" si="8"/>
        <v>#REF!</v>
      </c>
      <c r="E281" s="19" t="e">
        <f t="shared" si="9"/>
        <v>#REF!</v>
      </c>
      <c r="F281" s="19" t="e">
        <f>VLOOKUP(B281,'Station List'!#REF!,2,0)</f>
        <v>#REF!</v>
      </c>
      <c r="G281" s="19" t="e">
        <f>VLOOKUP(B281,#REF!,2,0)</f>
        <v>#REF!</v>
      </c>
      <c r="H281" s="19" t="e">
        <f t="shared" si="3"/>
        <v>#REF!</v>
      </c>
      <c r="I281" s="19" t="e">
        <f>VLOOKUP(B281,'Station List'!#REF!,4,0)</f>
        <v>#REF!</v>
      </c>
      <c r="J281" s="19" t="e">
        <f>VLOOKUP(B281,#REF!,3,0)</f>
        <v>#REF!</v>
      </c>
      <c r="K281" s="19" t="e">
        <f t="shared" si="26"/>
        <v>#REF!</v>
      </c>
      <c r="L281" s="19" t="e">
        <f>VLOOKUP(B280,'Station List'!#REF!,9,0)</f>
        <v>#REF!</v>
      </c>
      <c r="M281" s="19" t="e">
        <f>VLOOKUP(B280,#REF!,4,0)</f>
        <v>#REF!</v>
      </c>
      <c r="N281" s="17"/>
      <c r="O281" s="17"/>
      <c r="P281" s="17"/>
      <c r="Q281" s="17"/>
      <c r="R281" s="17"/>
      <c r="S281" s="17"/>
      <c r="T281" s="17"/>
      <c r="U281" s="17"/>
      <c r="V281" s="17"/>
      <c r="W281" s="17" t="e">
        <f t="shared" si="27"/>
        <v>#REF!</v>
      </c>
      <c r="X281" s="17" t="e">
        <f t="shared" si="25"/>
        <v>#REF!</v>
      </c>
    </row>
    <row r="282" spans="1:24" ht="12.75" customHeight="1" x14ac:dyDescent="0.2">
      <c r="A282" s="19">
        <v>280</v>
      </c>
      <c r="B282" s="19" t="s">
        <v>3431</v>
      </c>
      <c r="C282" s="19" t="e">
        <f t="shared" si="7"/>
        <v>#REF!</v>
      </c>
      <c r="D282" s="19" t="e">
        <f t="shared" si="8"/>
        <v>#REF!</v>
      </c>
      <c r="E282" s="19" t="e">
        <f t="shared" si="9"/>
        <v>#REF!</v>
      </c>
      <c r="F282" s="19" t="e">
        <f>VLOOKUP(B282,'Station List'!#REF!,2,0)</f>
        <v>#REF!</v>
      </c>
      <c r="G282" s="19" t="e">
        <f>VLOOKUP(B282,#REF!,2,0)</f>
        <v>#REF!</v>
      </c>
      <c r="H282" s="19" t="e">
        <f t="shared" si="3"/>
        <v>#REF!</v>
      </c>
      <c r="I282" s="19" t="e">
        <f>VLOOKUP(B282,'Station List'!#REF!,4,0)</f>
        <v>#REF!</v>
      </c>
      <c r="J282" s="19" t="e">
        <f>VLOOKUP(B282,#REF!,3,0)</f>
        <v>#REF!</v>
      </c>
      <c r="K282" s="19" t="e">
        <f t="shared" si="26"/>
        <v>#REF!</v>
      </c>
      <c r="L282" s="19" t="e">
        <f>VLOOKUP(B281,'Station List'!#REF!,9,0)</f>
        <v>#REF!</v>
      </c>
      <c r="M282" s="19" t="e">
        <f>VLOOKUP(B281,#REF!,4,0)</f>
        <v>#REF!</v>
      </c>
      <c r="N282" s="17"/>
      <c r="O282" s="17"/>
      <c r="P282" s="17"/>
      <c r="Q282" s="17"/>
      <c r="R282" s="17"/>
      <c r="S282" s="17"/>
      <c r="T282" s="17"/>
      <c r="U282" s="17"/>
      <c r="V282" s="17"/>
      <c r="W282" s="17" t="e">
        <f t="shared" si="27"/>
        <v>#REF!</v>
      </c>
      <c r="X282" s="17" t="e">
        <f t="shared" si="25"/>
        <v>#REF!</v>
      </c>
    </row>
    <row r="283" spans="1:24" ht="12.75" customHeight="1" x14ac:dyDescent="0.2">
      <c r="A283" s="19">
        <v>281</v>
      </c>
      <c r="B283" s="19" t="s">
        <v>3432</v>
      </c>
      <c r="C283" s="19" t="e">
        <f t="shared" si="7"/>
        <v>#REF!</v>
      </c>
      <c r="D283" s="19" t="e">
        <f t="shared" si="8"/>
        <v>#REF!</v>
      </c>
      <c r="E283" s="19" t="e">
        <f t="shared" si="9"/>
        <v>#REF!</v>
      </c>
      <c r="F283" s="19" t="e">
        <f>VLOOKUP(B283,'Station List'!#REF!,2,0)</f>
        <v>#REF!</v>
      </c>
      <c r="G283" s="19" t="e">
        <f>VLOOKUP(B283,#REF!,2,0)</f>
        <v>#REF!</v>
      </c>
      <c r="H283" s="19" t="e">
        <f t="shared" si="3"/>
        <v>#REF!</v>
      </c>
      <c r="I283" s="19" t="e">
        <f>VLOOKUP(B283,'Station List'!#REF!,4,0)</f>
        <v>#REF!</v>
      </c>
      <c r="J283" s="19" t="e">
        <f>VLOOKUP(B283,#REF!,3,0)</f>
        <v>#REF!</v>
      </c>
      <c r="K283" s="19" t="e">
        <f t="shared" si="26"/>
        <v>#REF!</v>
      </c>
      <c r="L283" s="19" t="e">
        <f>VLOOKUP(B282,'Station List'!#REF!,9,0)</f>
        <v>#REF!</v>
      </c>
      <c r="M283" s="19" t="e">
        <f>VLOOKUP(B282,#REF!,4,0)</f>
        <v>#REF!</v>
      </c>
      <c r="N283" s="17"/>
      <c r="O283" s="17"/>
      <c r="P283" s="17"/>
      <c r="Q283" s="17"/>
      <c r="R283" s="17"/>
      <c r="S283" s="17"/>
      <c r="T283" s="17"/>
      <c r="U283" s="17"/>
      <c r="V283" s="17"/>
      <c r="W283" s="17" t="e">
        <f t="shared" si="27"/>
        <v>#REF!</v>
      </c>
      <c r="X283" s="17" t="e">
        <f t="shared" si="25"/>
        <v>#REF!</v>
      </c>
    </row>
    <row r="284" spans="1:24" ht="12.75" customHeight="1" x14ac:dyDescent="0.2">
      <c r="A284" s="19">
        <v>282</v>
      </c>
      <c r="B284" s="19" t="s">
        <v>3433</v>
      </c>
      <c r="C284" s="19" t="e">
        <f t="shared" si="7"/>
        <v>#REF!</v>
      </c>
      <c r="D284" s="19" t="e">
        <f t="shared" si="8"/>
        <v>#REF!</v>
      </c>
      <c r="E284" s="19" t="e">
        <f t="shared" si="9"/>
        <v>#REF!</v>
      </c>
      <c r="F284" s="19" t="e">
        <f>VLOOKUP(B284,'Station List'!#REF!,2,0)</f>
        <v>#REF!</v>
      </c>
      <c r="G284" s="19" t="e">
        <f>VLOOKUP(B284,#REF!,2,0)</f>
        <v>#REF!</v>
      </c>
      <c r="H284" s="19" t="e">
        <f t="shared" si="3"/>
        <v>#REF!</v>
      </c>
      <c r="I284" s="19" t="e">
        <f>VLOOKUP(B284,'Station List'!#REF!,4,0)</f>
        <v>#REF!</v>
      </c>
      <c r="J284" s="19" t="e">
        <f>VLOOKUP(B284,#REF!,3,0)</f>
        <v>#REF!</v>
      </c>
      <c r="K284" s="19" t="e">
        <f t="shared" si="26"/>
        <v>#REF!</v>
      </c>
      <c r="L284" s="19" t="e">
        <f>VLOOKUP(B283,'Station List'!#REF!,9,0)</f>
        <v>#REF!</v>
      </c>
      <c r="M284" s="19" t="e">
        <f>VLOOKUP(B283,#REF!,4,0)</f>
        <v>#REF!</v>
      </c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 spans="1:24" ht="12.75" customHeight="1" x14ac:dyDescent="0.2">
      <c r="A285" s="19">
        <v>283</v>
      </c>
      <c r="B285" s="19" t="s">
        <v>3434</v>
      </c>
      <c r="C285" s="19" t="e">
        <f t="shared" si="7"/>
        <v>#REF!</v>
      </c>
      <c r="D285" s="19" t="e">
        <f t="shared" si="8"/>
        <v>#REF!</v>
      </c>
      <c r="E285" s="19" t="e">
        <f t="shared" si="9"/>
        <v>#REF!</v>
      </c>
      <c r="F285" s="19" t="e">
        <f>VLOOKUP(B285,'Station List'!#REF!,2,0)</f>
        <v>#REF!</v>
      </c>
      <c r="G285" s="19" t="e">
        <f>VLOOKUP(B285,#REF!,2,0)</f>
        <v>#REF!</v>
      </c>
      <c r="H285" s="19" t="e">
        <f t="shared" si="3"/>
        <v>#REF!</v>
      </c>
      <c r="I285" s="19" t="e">
        <f>VLOOKUP(B285,'Station List'!#REF!,4,0)</f>
        <v>#REF!</v>
      </c>
      <c r="J285" s="19" t="e">
        <f>VLOOKUP(B285,#REF!,3,0)</f>
        <v>#REF!</v>
      </c>
      <c r="K285" s="19" t="e">
        <f t="shared" si="26"/>
        <v>#REF!</v>
      </c>
      <c r="L285" s="19" t="e">
        <f>VLOOKUP(B284,'Station List'!#REF!,9,0)</f>
        <v>#REF!</v>
      </c>
      <c r="M285" s="19" t="e">
        <f>VLOOKUP(B284,#REF!,4,0)</f>
        <v>#REF!</v>
      </c>
      <c r="N285" s="17"/>
      <c r="O285" s="17"/>
      <c r="P285" s="17"/>
      <c r="Q285" s="17"/>
      <c r="R285" s="17"/>
      <c r="S285" s="17"/>
      <c r="T285" s="17"/>
      <c r="U285" s="17"/>
      <c r="V285" s="17"/>
      <c r="W285" s="17" t="e">
        <f t="shared" ref="W285:W312" si="28">IF(I284=J284,0,1)</f>
        <v>#REF!</v>
      </c>
      <c r="X285" s="17" t="e">
        <f t="shared" ref="X285:X323" si="29">IF(L285=M285,0,1)</f>
        <v>#REF!</v>
      </c>
    </row>
    <row r="286" spans="1:24" ht="12.75" customHeight="1" x14ac:dyDescent="0.2">
      <c r="A286" s="19">
        <v>284</v>
      </c>
      <c r="B286" s="19" t="s">
        <v>3435</v>
      </c>
      <c r="C286" s="19" t="e">
        <f t="shared" si="7"/>
        <v>#REF!</v>
      </c>
      <c r="D286" s="19" t="e">
        <f t="shared" si="8"/>
        <v>#REF!</v>
      </c>
      <c r="E286" s="19" t="e">
        <f t="shared" si="9"/>
        <v>#REF!</v>
      </c>
      <c r="F286" s="19" t="e">
        <f>VLOOKUP(B286,'Station List'!#REF!,2,0)</f>
        <v>#REF!</v>
      </c>
      <c r="G286" s="19" t="e">
        <f>VLOOKUP(B286,#REF!,2,0)</f>
        <v>#REF!</v>
      </c>
      <c r="H286" s="19" t="e">
        <f t="shared" si="3"/>
        <v>#REF!</v>
      </c>
      <c r="I286" s="19" t="e">
        <f>VLOOKUP(B286,'Station List'!#REF!,4,0)</f>
        <v>#REF!</v>
      </c>
      <c r="J286" s="19" t="e">
        <f>VLOOKUP(B286,#REF!,3,0)</f>
        <v>#REF!</v>
      </c>
      <c r="K286" s="19" t="e">
        <f t="shared" si="26"/>
        <v>#REF!</v>
      </c>
      <c r="L286" s="19" t="e">
        <f>VLOOKUP(B285,'Station List'!#REF!,9,0)</f>
        <v>#REF!</v>
      </c>
      <c r="M286" s="19" t="e">
        <f>VLOOKUP(B285,#REF!,4,0)</f>
        <v>#REF!</v>
      </c>
      <c r="N286" s="17"/>
      <c r="O286" s="17"/>
      <c r="P286" s="17"/>
      <c r="Q286" s="17"/>
      <c r="R286" s="17"/>
      <c r="S286" s="17"/>
      <c r="T286" s="17"/>
      <c r="U286" s="17"/>
      <c r="V286" s="17"/>
      <c r="W286" s="17" t="e">
        <f t="shared" si="28"/>
        <v>#REF!</v>
      </c>
      <c r="X286" s="17" t="e">
        <f t="shared" si="29"/>
        <v>#REF!</v>
      </c>
    </row>
    <row r="287" spans="1:24" ht="12.75" customHeight="1" x14ac:dyDescent="0.2">
      <c r="A287" s="19">
        <v>285</v>
      </c>
      <c r="B287" s="19" t="s">
        <v>3436</v>
      </c>
      <c r="C287" s="19" t="e">
        <f t="shared" si="7"/>
        <v>#REF!</v>
      </c>
      <c r="D287" s="19" t="e">
        <f t="shared" si="8"/>
        <v>#REF!</v>
      </c>
      <c r="E287" s="19" t="e">
        <f t="shared" si="9"/>
        <v>#REF!</v>
      </c>
      <c r="F287" s="19" t="e">
        <f>VLOOKUP(B287,'Station List'!#REF!,2,0)</f>
        <v>#REF!</v>
      </c>
      <c r="G287" s="19" t="e">
        <f>VLOOKUP(B287,#REF!,2,0)</f>
        <v>#REF!</v>
      </c>
      <c r="H287" s="19" t="e">
        <f t="shared" si="3"/>
        <v>#REF!</v>
      </c>
      <c r="I287" s="19" t="e">
        <f>VLOOKUP(B287,'Station List'!#REF!,4,0)</f>
        <v>#REF!</v>
      </c>
      <c r="J287" s="19" t="e">
        <f>VLOOKUP(B287,#REF!,3,0)</f>
        <v>#REF!</v>
      </c>
      <c r="K287" s="19" t="e">
        <f t="shared" si="26"/>
        <v>#REF!</v>
      </c>
      <c r="L287" s="19" t="e">
        <f>VLOOKUP(B286,'Station List'!#REF!,9,0)</f>
        <v>#REF!</v>
      </c>
      <c r="M287" s="19" t="e">
        <f>VLOOKUP(B286,#REF!,4,0)</f>
        <v>#REF!</v>
      </c>
      <c r="N287" s="17"/>
      <c r="O287" s="17"/>
      <c r="P287" s="17"/>
      <c r="Q287" s="17"/>
      <c r="R287" s="17"/>
      <c r="S287" s="17"/>
      <c r="T287" s="17"/>
      <c r="U287" s="17"/>
      <c r="V287" s="17"/>
      <c r="W287" s="17" t="e">
        <f t="shared" si="28"/>
        <v>#REF!</v>
      </c>
      <c r="X287" s="17" t="e">
        <f t="shared" si="29"/>
        <v>#REF!</v>
      </c>
    </row>
    <row r="288" spans="1:24" ht="12.75" customHeight="1" x14ac:dyDescent="0.2">
      <c r="A288" s="19">
        <v>286</v>
      </c>
      <c r="B288" s="19" t="s">
        <v>3437</v>
      </c>
      <c r="C288" s="19" t="e">
        <f t="shared" si="7"/>
        <v>#REF!</v>
      </c>
      <c r="D288" s="19" t="e">
        <f t="shared" si="8"/>
        <v>#REF!</v>
      </c>
      <c r="E288" s="19" t="e">
        <f t="shared" si="9"/>
        <v>#REF!</v>
      </c>
      <c r="F288" s="19" t="e">
        <f>VLOOKUP(B288,'Station List'!#REF!,2,0)</f>
        <v>#REF!</v>
      </c>
      <c r="G288" s="19" t="e">
        <f>VLOOKUP(B288,#REF!,2,0)</f>
        <v>#REF!</v>
      </c>
      <c r="H288" s="19" t="e">
        <f t="shared" si="3"/>
        <v>#REF!</v>
      </c>
      <c r="I288" s="19" t="e">
        <f>VLOOKUP(B288,'Station List'!#REF!,4,0)</f>
        <v>#REF!</v>
      </c>
      <c r="J288" s="19" t="e">
        <f>VLOOKUP(B288,#REF!,3,0)</f>
        <v>#REF!</v>
      </c>
      <c r="K288" s="19" t="e">
        <f t="shared" si="26"/>
        <v>#REF!</v>
      </c>
      <c r="L288" s="19" t="e">
        <f>VLOOKUP(B287,'Station List'!#REF!,9,0)</f>
        <v>#REF!</v>
      </c>
      <c r="M288" s="19" t="e">
        <f>VLOOKUP(B287,#REF!,4,0)</f>
        <v>#REF!</v>
      </c>
      <c r="N288" s="17"/>
      <c r="O288" s="17"/>
      <c r="P288" s="17"/>
      <c r="Q288" s="17"/>
      <c r="R288" s="17"/>
      <c r="S288" s="17"/>
      <c r="T288" s="17"/>
      <c r="U288" s="17"/>
      <c r="V288" s="17"/>
      <c r="W288" s="17" t="e">
        <f t="shared" si="28"/>
        <v>#REF!</v>
      </c>
      <c r="X288" s="17" t="e">
        <f t="shared" si="29"/>
        <v>#REF!</v>
      </c>
    </row>
    <row r="289" spans="1:24" ht="12.75" customHeight="1" x14ac:dyDescent="0.2">
      <c r="A289" s="19">
        <v>287</v>
      </c>
      <c r="B289" s="19" t="s">
        <v>3438</v>
      </c>
      <c r="C289" s="19" t="e">
        <f t="shared" si="7"/>
        <v>#REF!</v>
      </c>
      <c r="D289" s="19" t="e">
        <f t="shared" si="8"/>
        <v>#REF!</v>
      </c>
      <c r="E289" s="19" t="e">
        <f t="shared" si="9"/>
        <v>#REF!</v>
      </c>
      <c r="F289" s="19" t="e">
        <f>VLOOKUP(B289,'Station List'!#REF!,2,0)</f>
        <v>#REF!</v>
      </c>
      <c r="G289" s="19" t="e">
        <f>VLOOKUP(B289,#REF!,2,0)</f>
        <v>#REF!</v>
      </c>
      <c r="H289" s="19" t="e">
        <f t="shared" si="3"/>
        <v>#REF!</v>
      </c>
      <c r="I289" s="19" t="e">
        <f>VLOOKUP(B289,'Station List'!#REF!,4,0)</f>
        <v>#REF!</v>
      </c>
      <c r="J289" s="19" t="e">
        <f>VLOOKUP(B289,#REF!,3,0)</f>
        <v>#REF!</v>
      </c>
      <c r="K289" s="19" t="e">
        <f t="shared" si="26"/>
        <v>#REF!</v>
      </c>
      <c r="L289" s="19" t="e">
        <f>VLOOKUP(B288,'Station List'!#REF!,9,0)</f>
        <v>#REF!</v>
      </c>
      <c r="M289" s="19" t="e">
        <f>VLOOKUP(B288,#REF!,4,0)</f>
        <v>#REF!</v>
      </c>
      <c r="N289" s="17"/>
      <c r="O289" s="17"/>
      <c r="P289" s="17"/>
      <c r="Q289" s="17"/>
      <c r="R289" s="17"/>
      <c r="S289" s="17"/>
      <c r="T289" s="17"/>
      <c r="U289" s="17"/>
      <c r="V289" s="17"/>
      <c r="W289" s="17" t="e">
        <f t="shared" si="28"/>
        <v>#REF!</v>
      </c>
      <c r="X289" s="17" t="e">
        <f t="shared" si="29"/>
        <v>#REF!</v>
      </c>
    </row>
    <row r="290" spans="1:24" ht="12.75" customHeight="1" x14ac:dyDescent="0.2">
      <c r="A290" s="19">
        <v>288</v>
      </c>
      <c r="B290" s="19" t="s">
        <v>3439</v>
      </c>
      <c r="C290" s="19" t="e">
        <f t="shared" si="7"/>
        <v>#REF!</v>
      </c>
      <c r="D290" s="19" t="e">
        <f t="shared" si="8"/>
        <v>#REF!</v>
      </c>
      <c r="E290" s="19" t="e">
        <f t="shared" si="9"/>
        <v>#REF!</v>
      </c>
      <c r="F290" s="19" t="e">
        <f>VLOOKUP(B290,'Station List'!#REF!,2,0)</f>
        <v>#REF!</v>
      </c>
      <c r="G290" s="19" t="e">
        <f>VLOOKUP(B290,#REF!,2,0)</f>
        <v>#REF!</v>
      </c>
      <c r="H290" s="19" t="e">
        <f t="shared" si="3"/>
        <v>#REF!</v>
      </c>
      <c r="I290" s="19" t="e">
        <f>VLOOKUP(B290,'Station List'!#REF!,4,0)</f>
        <v>#REF!</v>
      </c>
      <c r="J290" s="19" t="e">
        <f>VLOOKUP(B290,#REF!,3,0)</f>
        <v>#REF!</v>
      </c>
      <c r="K290" s="19" t="e">
        <f t="shared" si="26"/>
        <v>#REF!</v>
      </c>
      <c r="L290" s="19" t="e">
        <f>VLOOKUP(B289,'Station List'!#REF!,9,0)</f>
        <v>#REF!</v>
      </c>
      <c r="M290" s="19" t="e">
        <f>VLOOKUP(B289,#REF!,4,0)</f>
        <v>#REF!</v>
      </c>
      <c r="N290" s="17"/>
      <c r="O290" s="17"/>
      <c r="P290" s="17"/>
      <c r="Q290" s="17"/>
      <c r="R290" s="17"/>
      <c r="S290" s="17"/>
      <c r="T290" s="17"/>
      <c r="U290" s="17"/>
      <c r="V290" s="17"/>
      <c r="W290" s="17" t="e">
        <f t="shared" si="28"/>
        <v>#REF!</v>
      </c>
      <c r="X290" s="17" t="e">
        <f t="shared" si="29"/>
        <v>#REF!</v>
      </c>
    </row>
    <row r="291" spans="1:24" ht="12.75" customHeight="1" x14ac:dyDescent="0.2">
      <c r="A291" s="19">
        <v>289</v>
      </c>
      <c r="B291" s="19" t="s">
        <v>3440</v>
      </c>
      <c r="C291" s="19" t="e">
        <f t="shared" si="7"/>
        <v>#REF!</v>
      </c>
      <c r="D291" s="19" t="e">
        <f t="shared" si="8"/>
        <v>#REF!</v>
      </c>
      <c r="E291" s="19" t="e">
        <f t="shared" si="9"/>
        <v>#REF!</v>
      </c>
      <c r="F291" s="19" t="e">
        <f>VLOOKUP(B291,'Station List'!#REF!,2,0)</f>
        <v>#REF!</v>
      </c>
      <c r="G291" s="19" t="e">
        <f>VLOOKUP(B291,#REF!,2,0)</f>
        <v>#REF!</v>
      </c>
      <c r="H291" s="19" t="e">
        <f t="shared" si="3"/>
        <v>#REF!</v>
      </c>
      <c r="I291" s="19" t="e">
        <f>VLOOKUP(B291,'Station List'!#REF!,4,0)</f>
        <v>#REF!</v>
      </c>
      <c r="J291" s="19" t="e">
        <f>VLOOKUP(B291,#REF!,3,0)</f>
        <v>#REF!</v>
      </c>
      <c r="K291" s="19" t="e">
        <f t="shared" si="26"/>
        <v>#REF!</v>
      </c>
      <c r="L291" s="19" t="e">
        <f>VLOOKUP(B290,'Station List'!#REF!,9,0)</f>
        <v>#REF!</v>
      </c>
      <c r="M291" s="19" t="e">
        <f>VLOOKUP(B290,#REF!,4,0)</f>
        <v>#REF!</v>
      </c>
      <c r="N291" s="17"/>
      <c r="O291" s="17"/>
      <c r="P291" s="17"/>
      <c r="Q291" s="17"/>
      <c r="R291" s="17"/>
      <c r="S291" s="17"/>
      <c r="T291" s="17"/>
      <c r="U291" s="17"/>
      <c r="V291" s="17"/>
      <c r="W291" s="17" t="e">
        <f t="shared" si="28"/>
        <v>#REF!</v>
      </c>
      <c r="X291" s="17" t="e">
        <f t="shared" si="29"/>
        <v>#REF!</v>
      </c>
    </row>
    <row r="292" spans="1:24" ht="12.75" customHeight="1" x14ac:dyDescent="0.2">
      <c r="A292" s="19">
        <v>290</v>
      </c>
      <c r="B292" s="19" t="s">
        <v>3441</v>
      </c>
      <c r="C292" s="19" t="e">
        <f t="shared" si="7"/>
        <v>#REF!</v>
      </c>
      <c r="D292" s="19" t="e">
        <f t="shared" si="8"/>
        <v>#REF!</v>
      </c>
      <c r="E292" s="19" t="e">
        <f t="shared" si="9"/>
        <v>#REF!</v>
      </c>
      <c r="F292" s="19" t="e">
        <f>VLOOKUP(B292,'Station List'!#REF!,2,0)</f>
        <v>#REF!</v>
      </c>
      <c r="G292" s="19" t="e">
        <f>VLOOKUP(B292,#REF!,2,0)</f>
        <v>#REF!</v>
      </c>
      <c r="H292" s="19" t="e">
        <f t="shared" si="3"/>
        <v>#REF!</v>
      </c>
      <c r="I292" s="19" t="e">
        <f>VLOOKUP(B292,'Station List'!#REF!,4,0)</f>
        <v>#REF!</v>
      </c>
      <c r="J292" s="19" t="e">
        <f>VLOOKUP(B292,#REF!,3,0)</f>
        <v>#REF!</v>
      </c>
      <c r="K292" s="19" t="e">
        <f t="shared" si="26"/>
        <v>#REF!</v>
      </c>
      <c r="L292" s="19" t="e">
        <f>VLOOKUP(B291,'Station List'!#REF!,9,0)</f>
        <v>#REF!</v>
      </c>
      <c r="M292" s="19" t="e">
        <f>VLOOKUP(B291,#REF!,4,0)</f>
        <v>#REF!</v>
      </c>
      <c r="N292" s="17"/>
      <c r="O292" s="17"/>
      <c r="P292" s="17"/>
      <c r="Q292" s="17"/>
      <c r="R292" s="17"/>
      <c r="S292" s="17"/>
      <c r="T292" s="17"/>
      <c r="U292" s="17"/>
      <c r="V292" s="17"/>
      <c r="W292" s="17" t="e">
        <f t="shared" si="28"/>
        <v>#REF!</v>
      </c>
      <c r="X292" s="17" t="e">
        <f t="shared" si="29"/>
        <v>#REF!</v>
      </c>
    </row>
    <row r="293" spans="1:24" ht="12.75" customHeight="1" x14ac:dyDescent="0.2">
      <c r="A293" s="19">
        <v>291</v>
      </c>
      <c r="B293" s="19" t="s">
        <v>3442</v>
      </c>
      <c r="C293" s="19" t="e">
        <f t="shared" si="7"/>
        <v>#REF!</v>
      </c>
      <c r="D293" s="19" t="e">
        <f t="shared" si="8"/>
        <v>#REF!</v>
      </c>
      <c r="E293" s="19" t="e">
        <f t="shared" si="9"/>
        <v>#REF!</v>
      </c>
      <c r="F293" s="19" t="e">
        <f>VLOOKUP(B293,'Station List'!#REF!,2,0)</f>
        <v>#REF!</v>
      </c>
      <c r="G293" s="19" t="e">
        <f>VLOOKUP(B293,#REF!,2,0)</f>
        <v>#REF!</v>
      </c>
      <c r="H293" s="19" t="e">
        <f t="shared" si="3"/>
        <v>#REF!</v>
      </c>
      <c r="I293" s="19" t="e">
        <f>VLOOKUP(B293,'Station List'!#REF!,4,0)</f>
        <v>#REF!</v>
      </c>
      <c r="J293" s="19" t="e">
        <f>VLOOKUP(B293,#REF!,3,0)</f>
        <v>#REF!</v>
      </c>
      <c r="K293" s="19" t="e">
        <f t="shared" si="26"/>
        <v>#REF!</v>
      </c>
      <c r="L293" s="19" t="e">
        <f>VLOOKUP(B292,'Station List'!#REF!,9,0)</f>
        <v>#REF!</v>
      </c>
      <c r="M293" s="19" t="e">
        <f>VLOOKUP(B292,#REF!,4,0)</f>
        <v>#REF!</v>
      </c>
      <c r="N293" s="17"/>
      <c r="O293" s="17"/>
      <c r="P293" s="17"/>
      <c r="Q293" s="17"/>
      <c r="R293" s="17"/>
      <c r="S293" s="17"/>
      <c r="T293" s="17"/>
      <c r="U293" s="17"/>
      <c r="V293" s="17"/>
      <c r="W293" s="17" t="e">
        <f t="shared" si="28"/>
        <v>#REF!</v>
      </c>
      <c r="X293" s="17" t="e">
        <f t="shared" si="29"/>
        <v>#REF!</v>
      </c>
    </row>
    <row r="294" spans="1:24" ht="12.75" customHeight="1" x14ac:dyDescent="0.2">
      <c r="A294" s="19">
        <v>292</v>
      </c>
      <c r="B294" s="19" t="s">
        <v>3443</v>
      </c>
      <c r="C294" s="19" t="e">
        <f t="shared" si="7"/>
        <v>#REF!</v>
      </c>
      <c r="D294" s="19" t="e">
        <f t="shared" si="8"/>
        <v>#REF!</v>
      </c>
      <c r="E294" s="19" t="e">
        <f t="shared" si="9"/>
        <v>#REF!</v>
      </c>
      <c r="F294" s="19" t="e">
        <f>VLOOKUP(B294,'Station List'!#REF!,2,0)</f>
        <v>#REF!</v>
      </c>
      <c r="G294" s="19" t="e">
        <f>VLOOKUP(B294,#REF!,2,0)</f>
        <v>#REF!</v>
      </c>
      <c r="H294" s="19" t="e">
        <f t="shared" si="3"/>
        <v>#REF!</v>
      </c>
      <c r="I294" s="112" t="e">
        <f>VLOOKUP(B294,'Station List'!#REF!,4,0)</f>
        <v>#REF!</v>
      </c>
      <c r="J294" s="19" t="e">
        <f>VLOOKUP(B294,#REF!,3,0)</f>
        <v>#REF!</v>
      </c>
      <c r="K294" s="19" t="e">
        <f t="shared" si="26"/>
        <v>#REF!</v>
      </c>
      <c r="L294" s="19" t="e">
        <f>VLOOKUP(B293,'Station List'!#REF!,9,0)</f>
        <v>#REF!</v>
      </c>
      <c r="M294" s="19" t="e">
        <f>VLOOKUP(B293,#REF!,4,0)</f>
        <v>#REF!</v>
      </c>
      <c r="N294" s="17"/>
      <c r="O294" s="17"/>
      <c r="P294" s="17"/>
      <c r="Q294" s="17"/>
      <c r="R294" s="17"/>
      <c r="S294" s="17"/>
      <c r="T294" s="17"/>
      <c r="U294" s="17"/>
      <c r="V294" s="17"/>
      <c r="W294" s="17" t="e">
        <f t="shared" si="28"/>
        <v>#REF!</v>
      </c>
      <c r="X294" s="17" t="e">
        <f t="shared" si="29"/>
        <v>#REF!</v>
      </c>
    </row>
    <row r="295" spans="1:24" ht="12.75" customHeight="1" x14ac:dyDescent="0.2">
      <c r="A295" s="19">
        <v>293</v>
      </c>
      <c r="B295" s="19" t="s">
        <v>3444</v>
      </c>
      <c r="C295" s="19" t="e">
        <f t="shared" si="7"/>
        <v>#REF!</v>
      </c>
      <c r="D295" s="19" t="e">
        <f t="shared" si="8"/>
        <v>#REF!</v>
      </c>
      <c r="E295" s="19" t="e">
        <f t="shared" si="9"/>
        <v>#REF!</v>
      </c>
      <c r="F295" s="19" t="e">
        <f>VLOOKUP(B295,'Station List'!#REF!,2,0)</f>
        <v>#REF!</v>
      </c>
      <c r="G295" s="19" t="e">
        <f>VLOOKUP(B295,#REF!,2,0)</f>
        <v>#REF!</v>
      </c>
      <c r="H295" s="19" t="e">
        <f t="shared" si="3"/>
        <v>#REF!</v>
      </c>
      <c r="I295" s="112" t="e">
        <f>VLOOKUP(B295,'Station List'!#REF!,4,0)</f>
        <v>#REF!</v>
      </c>
      <c r="J295" s="19" t="e">
        <f>VLOOKUP(B295,#REF!,3,0)</f>
        <v>#REF!</v>
      </c>
      <c r="K295" s="19" t="e">
        <f t="shared" si="26"/>
        <v>#REF!</v>
      </c>
      <c r="L295" s="19" t="e">
        <f>VLOOKUP(B294,'Station List'!#REF!,9,0)</f>
        <v>#REF!</v>
      </c>
      <c r="M295" s="19" t="e">
        <f>VLOOKUP(B294,#REF!,4,0)</f>
        <v>#REF!</v>
      </c>
      <c r="N295" s="17"/>
      <c r="O295" s="17"/>
      <c r="P295" s="17"/>
      <c r="Q295" s="17"/>
      <c r="R295" s="17"/>
      <c r="S295" s="17"/>
      <c r="T295" s="17"/>
      <c r="U295" s="17"/>
      <c r="V295" s="17"/>
      <c r="W295" s="17" t="e">
        <f t="shared" si="28"/>
        <v>#REF!</v>
      </c>
      <c r="X295" s="17" t="e">
        <f t="shared" si="29"/>
        <v>#REF!</v>
      </c>
    </row>
    <row r="296" spans="1:24" ht="12.75" customHeight="1" x14ac:dyDescent="0.2">
      <c r="A296" s="19">
        <v>294</v>
      </c>
      <c r="B296" s="19" t="s">
        <v>3445</v>
      </c>
      <c r="C296" s="19" t="e">
        <f t="shared" si="7"/>
        <v>#REF!</v>
      </c>
      <c r="D296" s="19" t="e">
        <f t="shared" si="8"/>
        <v>#REF!</v>
      </c>
      <c r="E296" s="19" t="e">
        <f t="shared" si="9"/>
        <v>#REF!</v>
      </c>
      <c r="F296" s="114" t="e">
        <f>VLOOKUP(B296,'Station List'!#REF!,2,0)</f>
        <v>#REF!</v>
      </c>
      <c r="G296" s="19" t="e">
        <f>VLOOKUP(B296,#REF!,2,0)</f>
        <v>#REF!</v>
      </c>
      <c r="H296" s="19" t="e">
        <f t="shared" si="3"/>
        <v>#REF!</v>
      </c>
      <c r="I296" s="19" t="e">
        <f>VLOOKUP(B296,'Station List'!#REF!,4,0)</f>
        <v>#REF!</v>
      </c>
      <c r="J296" s="19" t="e">
        <f>VLOOKUP(B296,#REF!,3,0)</f>
        <v>#REF!</v>
      </c>
      <c r="K296" s="19" t="e">
        <f t="shared" si="26"/>
        <v>#REF!</v>
      </c>
      <c r="L296" s="19" t="e">
        <f>VLOOKUP(B295,'Station List'!#REF!,9,0)</f>
        <v>#REF!</v>
      </c>
      <c r="M296" s="19" t="e">
        <f>VLOOKUP(B295,#REF!,4,0)</f>
        <v>#REF!</v>
      </c>
      <c r="N296" s="17"/>
      <c r="O296" s="17"/>
      <c r="P296" s="17"/>
      <c r="Q296" s="17"/>
      <c r="R296" s="17"/>
      <c r="S296" s="17"/>
      <c r="T296" s="17"/>
      <c r="U296" s="17"/>
      <c r="V296" s="17"/>
      <c r="W296" s="17" t="e">
        <f t="shared" si="28"/>
        <v>#REF!</v>
      </c>
      <c r="X296" s="17" t="e">
        <f t="shared" si="29"/>
        <v>#REF!</v>
      </c>
    </row>
    <row r="297" spans="1:24" ht="12.75" customHeight="1" x14ac:dyDescent="0.2">
      <c r="A297" s="19">
        <v>295</v>
      </c>
      <c r="B297" s="19" t="s">
        <v>3446</v>
      </c>
      <c r="C297" s="19" t="e">
        <f t="shared" si="7"/>
        <v>#REF!</v>
      </c>
      <c r="D297" s="19" t="e">
        <f t="shared" si="8"/>
        <v>#REF!</v>
      </c>
      <c r="E297" s="19" t="e">
        <f t="shared" si="9"/>
        <v>#REF!</v>
      </c>
      <c r="F297" s="19" t="e">
        <f>VLOOKUP(B297,'Station List'!#REF!,2,0)</f>
        <v>#REF!</v>
      </c>
      <c r="G297" s="19" t="e">
        <f>VLOOKUP(B297,#REF!,2,0)</f>
        <v>#REF!</v>
      </c>
      <c r="H297" s="19" t="e">
        <f t="shared" si="3"/>
        <v>#REF!</v>
      </c>
      <c r="I297" s="19" t="e">
        <f>VLOOKUP(B297,'Station List'!#REF!,4,0)</f>
        <v>#REF!</v>
      </c>
      <c r="J297" s="19" t="e">
        <f>VLOOKUP(B297,#REF!,3,0)</f>
        <v>#REF!</v>
      </c>
      <c r="K297" s="19" t="e">
        <f t="shared" si="26"/>
        <v>#REF!</v>
      </c>
      <c r="L297" s="19" t="e">
        <f>VLOOKUP(B296,'Station List'!#REF!,9,0)</f>
        <v>#REF!</v>
      </c>
      <c r="M297" s="19" t="e">
        <f>VLOOKUP(B296,#REF!,4,0)</f>
        <v>#REF!</v>
      </c>
      <c r="N297" s="17"/>
      <c r="O297" s="17"/>
      <c r="P297" s="17"/>
      <c r="Q297" s="17"/>
      <c r="R297" s="17"/>
      <c r="S297" s="17"/>
      <c r="T297" s="17"/>
      <c r="U297" s="17"/>
      <c r="V297" s="17"/>
      <c r="W297" s="17" t="e">
        <f t="shared" si="28"/>
        <v>#REF!</v>
      </c>
      <c r="X297" s="17" t="e">
        <f t="shared" si="29"/>
        <v>#REF!</v>
      </c>
    </row>
    <row r="298" spans="1:24" ht="12.75" customHeight="1" x14ac:dyDescent="0.2">
      <c r="A298" s="19">
        <v>296</v>
      </c>
      <c r="B298" s="19" t="s">
        <v>3447</v>
      </c>
      <c r="C298" s="19" t="e">
        <f t="shared" si="7"/>
        <v>#REF!</v>
      </c>
      <c r="D298" s="19" t="e">
        <f t="shared" si="8"/>
        <v>#REF!</v>
      </c>
      <c r="E298" s="19" t="e">
        <f t="shared" si="9"/>
        <v>#REF!</v>
      </c>
      <c r="F298" s="19" t="e">
        <f>VLOOKUP(B298,'Station List'!#REF!,2,0)</f>
        <v>#REF!</v>
      </c>
      <c r="G298" s="19" t="e">
        <f>VLOOKUP(B298,#REF!,2,0)</f>
        <v>#REF!</v>
      </c>
      <c r="H298" s="19" t="e">
        <f t="shared" si="3"/>
        <v>#REF!</v>
      </c>
      <c r="I298" s="19" t="e">
        <f>VLOOKUP(B298,'Station List'!#REF!,4,0)</f>
        <v>#REF!</v>
      </c>
      <c r="J298" s="19" t="e">
        <f>VLOOKUP(B298,#REF!,3,0)</f>
        <v>#REF!</v>
      </c>
      <c r="K298" s="19" t="e">
        <f t="shared" si="26"/>
        <v>#REF!</v>
      </c>
      <c r="L298" s="19" t="e">
        <f>VLOOKUP(B297,'Station List'!#REF!,9,0)</f>
        <v>#REF!</v>
      </c>
      <c r="M298" s="19" t="e">
        <f>VLOOKUP(B297,#REF!,4,0)</f>
        <v>#REF!</v>
      </c>
      <c r="N298" s="17"/>
      <c r="O298" s="17"/>
      <c r="P298" s="17"/>
      <c r="Q298" s="17"/>
      <c r="R298" s="17"/>
      <c r="S298" s="17"/>
      <c r="T298" s="17"/>
      <c r="U298" s="17"/>
      <c r="V298" s="17"/>
      <c r="W298" s="17" t="e">
        <f t="shared" si="28"/>
        <v>#REF!</v>
      </c>
      <c r="X298" s="17" t="e">
        <f t="shared" si="29"/>
        <v>#REF!</v>
      </c>
    </row>
    <row r="299" spans="1:24" ht="12.75" customHeight="1" x14ac:dyDescent="0.2">
      <c r="A299" s="19">
        <v>297</v>
      </c>
      <c r="B299" s="19" t="s">
        <v>3448</v>
      </c>
      <c r="C299" s="19" t="e">
        <f t="shared" si="7"/>
        <v>#REF!</v>
      </c>
      <c r="D299" s="19" t="e">
        <f t="shared" si="8"/>
        <v>#REF!</v>
      </c>
      <c r="E299" s="19" t="e">
        <f t="shared" si="9"/>
        <v>#REF!</v>
      </c>
      <c r="F299" s="19" t="e">
        <f>VLOOKUP(B299,'Station List'!#REF!,2,0)</f>
        <v>#REF!</v>
      </c>
      <c r="G299" s="19" t="e">
        <f>VLOOKUP(B299,#REF!,2,0)</f>
        <v>#REF!</v>
      </c>
      <c r="H299" s="19" t="e">
        <f t="shared" si="3"/>
        <v>#REF!</v>
      </c>
      <c r="I299" s="19" t="e">
        <f>VLOOKUP(B299,'Station List'!#REF!,4,0)</f>
        <v>#REF!</v>
      </c>
      <c r="J299" s="19" t="e">
        <f>VLOOKUP(B299,#REF!,3,0)</f>
        <v>#REF!</v>
      </c>
      <c r="K299" s="19" t="e">
        <f t="shared" si="26"/>
        <v>#REF!</v>
      </c>
      <c r="L299" s="19" t="e">
        <f>VLOOKUP(B298,'Station List'!#REF!,9,0)</f>
        <v>#REF!</v>
      </c>
      <c r="M299" s="19" t="e">
        <f>VLOOKUP(B298,#REF!,4,0)</f>
        <v>#REF!</v>
      </c>
      <c r="N299" s="17"/>
      <c r="O299" s="17"/>
      <c r="P299" s="17"/>
      <c r="Q299" s="17"/>
      <c r="R299" s="17"/>
      <c r="S299" s="17"/>
      <c r="T299" s="17"/>
      <c r="U299" s="17"/>
      <c r="V299" s="17"/>
      <c r="W299" s="17" t="e">
        <f t="shared" si="28"/>
        <v>#REF!</v>
      </c>
      <c r="X299" s="17" t="e">
        <f t="shared" si="29"/>
        <v>#REF!</v>
      </c>
    </row>
    <row r="300" spans="1:24" ht="12.75" customHeight="1" x14ac:dyDescent="0.2">
      <c r="A300" s="19">
        <v>298</v>
      </c>
      <c r="B300" s="19" t="s">
        <v>3449</v>
      </c>
      <c r="C300" s="19" t="e">
        <f t="shared" si="7"/>
        <v>#REF!</v>
      </c>
      <c r="D300" s="19" t="e">
        <f t="shared" si="8"/>
        <v>#REF!</v>
      </c>
      <c r="E300" s="19" t="e">
        <f t="shared" si="9"/>
        <v>#REF!</v>
      </c>
      <c r="F300" s="19" t="e">
        <f>VLOOKUP(B300,'Station List'!#REF!,2,0)</f>
        <v>#REF!</v>
      </c>
      <c r="G300" s="19" t="e">
        <f>VLOOKUP(B300,#REF!,2,0)</f>
        <v>#REF!</v>
      </c>
      <c r="H300" s="19" t="e">
        <f t="shared" si="3"/>
        <v>#REF!</v>
      </c>
      <c r="I300" s="19" t="e">
        <f>VLOOKUP(B300,'Station List'!#REF!,4,0)</f>
        <v>#REF!</v>
      </c>
      <c r="J300" s="19" t="e">
        <f>VLOOKUP(B300,#REF!,3,0)</f>
        <v>#REF!</v>
      </c>
      <c r="K300" s="19" t="e">
        <f t="shared" si="26"/>
        <v>#REF!</v>
      </c>
      <c r="L300" s="19" t="e">
        <f>VLOOKUP(B299,'Station List'!#REF!,9,0)</f>
        <v>#REF!</v>
      </c>
      <c r="M300" s="19" t="e">
        <f>VLOOKUP(B299,#REF!,4,0)</f>
        <v>#REF!</v>
      </c>
      <c r="N300" s="17"/>
      <c r="O300" s="17"/>
      <c r="P300" s="17"/>
      <c r="Q300" s="17"/>
      <c r="R300" s="17"/>
      <c r="S300" s="17"/>
      <c r="T300" s="17"/>
      <c r="U300" s="17"/>
      <c r="V300" s="17"/>
      <c r="W300" s="17" t="e">
        <f t="shared" si="28"/>
        <v>#REF!</v>
      </c>
      <c r="X300" s="17" t="e">
        <f t="shared" si="29"/>
        <v>#REF!</v>
      </c>
    </row>
    <row r="301" spans="1:24" ht="12.75" customHeight="1" x14ac:dyDescent="0.2">
      <c r="A301" s="19">
        <v>299</v>
      </c>
      <c r="B301" s="19" t="s">
        <v>3450</v>
      </c>
      <c r="C301" s="19" t="e">
        <f t="shared" si="7"/>
        <v>#REF!</v>
      </c>
      <c r="D301" s="19" t="e">
        <f t="shared" si="8"/>
        <v>#REF!</v>
      </c>
      <c r="E301" s="19" t="e">
        <f t="shared" si="9"/>
        <v>#REF!</v>
      </c>
      <c r="F301" s="19" t="e">
        <f>VLOOKUP(B301,'Station List'!#REF!,2,0)</f>
        <v>#REF!</v>
      </c>
      <c r="G301" s="19" t="e">
        <f>VLOOKUP(B301,#REF!,2,0)</f>
        <v>#REF!</v>
      </c>
      <c r="H301" s="19" t="e">
        <f t="shared" si="3"/>
        <v>#REF!</v>
      </c>
      <c r="I301" s="19" t="e">
        <f>VLOOKUP(B301,'Station List'!#REF!,4,0)</f>
        <v>#REF!</v>
      </c>
      <c r="J301" s="19" t="e">
        <f>VLOOKUP(B301,#REF!,3,0)</f>
        <v>#REF!</v>
      </c>
      <c r="K301" s="19" t="e">
        <f t="shared" si="26"/>
        <v>#REF!</v>
      </c>
      <c r="L301" s="19" t="e">
        <f>VLOOKUP(B300,'Station List'!#REF!,9,0)</f>
        <v>#REF!</v>
      </c>
      <c r="M301" s="19" t="e">
        <f>VLOOKUP(B300,#REF!,4,0)</f>
        <v>#REF!</v>
      </c>
      <c r="N301" s="17"/>
      <c r="O301" s="17"/>
      <c r="P301" s="17"/>
      <c r="Q301" s="17"/>
      <c r="R301" s="17"/>
      <c r="S301" s="17"/>
      <c r="T301" s="17"/>
      <c r="U301" s="17"/>
      <c r="V301" s="17"/>
      <c r="W301" s="17" t="e">
        <f t="shared" si="28"/>
        <v>#REF!</v>
      </c>
      <c r="X301" s="17" t="e">
        <f t="shared" si="29"/>
        <v>#REF!</v>
      </c>
    </row>
    <row r="302" spans="1:24" ht="12.75" customHeight="1" x14ac:dyDescent="0.2">
      <c r="A302" s="19">
        <v>300</v>
      </c>
      <c r="B302" s="19" t="s">
        <v>3451</v>
      </c>
      <c r="C302" s="19" t="e">
        <f t="shared" si="7"/>
        <v>#REF!</v>
      </c>
      <c r="D302" s="19" t="e">
        <f t="shared" si="8"/>
        <v>#REF!</v>
      </c>
      <c r="E302" s="19" t="e">
        <f t="shared" si="9"/>
        <v>#REF!</v>
      </c>
      <c r="F302" s="19" t="e">
        <f>VLOOKUP(B302,'Station List'!#REF!,2,0)</f>
        <v>#REF!</v>
      </c>
      <c r="G302" s="19" t="e">
        <f>VLOOKUP(B302,#REF!,2,0)</f>
        <v>#REF!</v>
      </c>
      <c r="H302" s="19" t="e">
        <f t="shared" si="3"/>
        <v>#REF!</v>
      </c>
      <c r="I302" s="19" t="e">
        <f>VLOOKUP(B302,'Station List'!#REF!,4,0)</f>
        <v>#REF!</v>
      </c>
      <c r="J302" s="19" t="e">
        <f>VLOOKUP(B302,#REF!,3,0)</f>
        <v>#REF!</v>
      </c>
      <c r="K302" s="19" t="e">
        <f t="shared" si="26"/>
        <v>#REF!</v>
      </c>
      <c r="L302" s="19" t="e">
        <f>VLOOKUP(B301,'Station List'!#REF!,9,0)</f>
        <v>#REF!</v>
      </c>
      <c r="M302" s="19" t="e">
        <f>VLOOKUP(B301,#REF!,4,0)</f>
        <v>#REF!</v>
      </c>
      <c r="N302" s="17"/>
      <c r="O302" s="17"/>
      <c r="P302" s="17"/>
      <c r="Q302" s="17"/>
      <c r="R302" s="17"/>
      <c r="S302" s="17"/>
      <c r="T302" s="17"/>
      <c r="U302" s="17"/>
      <c r="V302" s="17"/>
      <c r="W302" s="17" t="e">
        <f t="shared" si="28"/>
        <v>#REF!</v>
      </c>
      <c r="X302" s="17" t="e">
        <f t="shared" si="29"/>
        <v>#REF!</v>
      </c>
    </row>
    <row r="303" spans="1:24" ht="12.75" customHeight="1" x14ac:dyDescent="0.2">
      <c r="A303" s="19">
        <v>301</v>
      </c>
      <c r="B303" s="19" t="s">
        <v>3452</v>
      </c>
      <c r="C303" s="19" t="e">
        <f t="shared" si="7"/>
        <v>#REF!</v>
      </c>
      <c r="D303" s="19" t="e">
        <f t="shared" si="8"/>
        <v>#REF!</v>
      </c>
      <c r="E303" s="19" t="e">
        <f t="shared" si="9"/>
        <v>#REF!</v>
      </c>
      <c r="F303" s="19" t="e">
        <f>VLOOKUP(B303,'Station List'!#REF!,2,0)</f>
        <v>#REF!</v>
      </c>
      <c r="G303" s="19" t="e">
        <f>VLOOKUP(B303,#REF!,2,0)</f>
        <v>#REF!</v>
      </c>
      <c r="H303" s="19" t="e">
        <f t="shared" si="3"/>
        <v>#REF!</v>
      </c>
      <c r="I303" s="19" t="e">
        <f>VLOOKUP(B303,'Station List'!#REF!,4,0)</f>
        <v>#REF!</v>
      </c>
      <c r="J303" s="19" t="e">
        <f>VLOOKUP(B303,#REF!,3,0)</f>
        <v>#REF!</v>
      </c>
      <c r="K303" s="19" t="e">
        <f t="shared" si="26"/>
        <v>#REF!</v>
      </c>
      <c r="L303" s="19" t="e">
        <f>VLOOKUP(B302,'Station List'!#REF!,9,0)</f>
        <v>#REF!</v>
      </c>
      <c r="M303" s="19" t="e">
        <f>VLOOKUP(B302,#REF!,4,0)</f>
        <v>#REF!</v>
      </c>
      <c r="N303" s="17"/>
      <c r="O303" s="17"/>
      <c r="P303" s="17"/>
      <c r="Q303" s="17"/>
      <c r="R303" s="17"/>
      <c r="S303" s="17"/>
      <c r="T303" s="17"/>
      <c r="U303" s="17"/>
      <c r="V303" s="17"/>
      <c r="W303" s="17" t="e">
        <f t="shared" si="28"/>
        <v>#REF!</v>
      </c>
      <c r="X303" s="17" t="e">
        <f t="shared" si="29"/>
        <v>#REF!</v>
      </c>
    </row>
    <row r="304" spans="1:24" ht="12.75" customHeight="1" x14ac:dyDescent="0.2">
      <c r="A304" s="19">
        <v>302</v>
      </c>
      <c r="B304" s="19" t="s">
        <v>3453</v>
      </c>
      <c r="C304" s="19" t="e">
        <f t="shared" si="7"/>
        <v>#REF!</v>
      </c>
      <c r="D304" s="19" t="e">
        <f t="shared" si="8"/>
        <v>#REF!</v>
      </c>
      <c r="E304" s="19" t="e">
        <f t="shared" si="9"/>
        <v>#REF!</v>
      </c>
      <c r="F304" s="19" t="e">
        <f>VLOOKUP(B304,'Station List'!#REF!,2,0)</f>
        <v>#REF!</v>
      </c>
      <c r="G304" s="19" t="e">
        <f>VLOOKUP(B304,#REF!,2,0)</f>
        <v>#REF!</v>
      </c>
      <c r="H304" s="19" t="e">
        <f t="shared" si="3"/>
        <v>#REF!</v>
      </c>
      <c r="I304" s="19" t="e">
        <f>VLOOKUP(B304,'Station List'!#REF!,4,0)</f>
        <v>#REF!</v>
      </c>
      <c r="J304" s="19" t="e">
        <f>VLOOKUP(B304,#REF!,3,0)</f>
        <v>#REF!</v>
      </c>
      <c r="K304" s="19" t="e">
        <f t="shared" si="26"/>
        <v>#REF!</v>
      </c>
      <c r="L304" s="19" t="e">
        <f>VLOOKUP(B303,'Station List'!#REF!,9,0)</f>
        <v>#REF!</v>
      </c>
      <c r="M304" s="19" t="e">
        <f>VLOOKUP(B303,#REF!,4,0)</f>
        <v>#REF!</v>
      </c>
      <c r="N304" s="17"/>
      <c r="O304" s="17"/>
      <c r="P304" s="17"/>
      <c r="Q304" s="17"/>
      <c r="R304" s="17"/>
      <c r="S304" s="17"/>
      <c r="T304" s="17"/>
      <c r="U304" s="17"/>
      <c r="V304" s="17"/>
      <c r="W304" s="17" t="e">
        <f t="shared" si="28"/>
        <v>#REF!</v>
      </c>
      <c r="X304" s="17" t="e">
        <f t="shared" si="29"/>
        <v>#REF!</v>
      </c>
    </row>
    <row r="305" spans="1:24" ht="12.75" customHeight="1" x14ac:dyDescent="0.2">
      <c r="A305" s="19">
        <v>303</v>
      </c>
      <c r="B305" s="19" t="s">
        <v>3454</v>
      </c>
      <c r="C305" s="19" t="e">
        <f t="shared" si="7"/>
        <v>#REF!</v>
      </c>
      <c r="D305" s="19" t="e">
        <f t="shared" si="8"/>
        <v>#REF!</v>
      </c>
      <c r="E305" s="19" t="e">
        <f t="shared" si="9"/>
        <v>#REF!</v>
      </c>
      <c r="F305" s="19" t="e">
        <f>VLOOKUP(B305,'Station List'!#REF!,2,0)</f>
        <v>#REF!</v>
      </c>
      <c r="G305" s="19" t="e">
        <f>VLOOKUP(B305,#REF!,2,0)</f>
        <v>#REF!</v>
      </c>
      <c r="H305" s="19" t="e">
        <f t="shared" si="3"/>
        <v>#REF!</v>
      </c>
      <c r="I305" s="112" t="e">
        <f>VLOOKUP(B305,'Station List'!#REF!,4,0)</f>
        <v>#REF!</v>
      </c>
      <c r="J305" s="19" t="e">
        <f>VLOOKUP(B305,#REF!,3,0)</f>
        <v>#REF!</v>
      </c>
      <c r="K305" s="19" t="e">
        <f t="shared" si="26"/>
        <v>#REF!</v>
      </c>
      <c r="L305" s="19" t="e">
        <f>VLOOKUP(B304,'Station List'!#REF!,9,0)</f>
        <v>#REF!</v>
      </c>
      <c r="M305" s="19" t="e">
        <f>VLOOKUP(B304,#REF!,4,0)</f>
        <v>#REF!</v>
      </c>
      <c r="N305" s="17"/>
      <c r="O305" s="17"/>
      <c r="P305" s="17"/>
      <c r="Q305" s="17"/>
      <c r="R305" s="17"/>
      <c r="S305" s="17"/>
      <c r="T305" s="17"/>
      <c r="U305" s="17"/>
      <c r="V305" s="17"/>
      <c r="W305" s="17" t="e">
        <f t="shared" si="28"/>
        <v>#REF!</v>
      </c>
      <c r="X305" s="17" t="e">
        <f t="shared" si="29"/>
        <v>#REF!</v>
      </c>
    </row>
    <row r="306" spans="1:24" ht="12.75" customHeight="1" x14ac:dyDescent="0.2">
      <c r="A306" s="19">
        <v>304</v>
      </c>
      <c r="B306" s="19" t="s">
        <v>3455</v>
      </c>
      <c r="C306" s="19" t="e">
        <f t="shared" si="7"/>
        <v>#REF!</v>
      </c>
      <c r="D306" s="19" t="e">
        <f t="shared" si="8"/>
        <v>#REF!</v>
      </c>
      <c r="E306" s="19" t="e">
        <f t="shared" si="9"/>
        <v>#REF!</v>
      </c>
      <c r="F306" s="19" t="e">
        <f>VLOOKUP(B306,'Station List'!#REF!,2,0)</f>
        <v>#REF!</v>
      </c>
      <c r="G306" s="19" t="e">
        <f>VLOOKUP(B306,#REF!,2,0)</f>
        <v>#REF!</v>
      </c>
      <c r="H306" s="19" t="e">
        <f t="shared" si="3"/>
        <v>#REF!</v>
      </c>
      <c r="I306" s="112" t="e">
        <f>VLOOKUP(B306,'Station List'!#REF!,4,0)</f>
        <v>#REF!</v>
      </c>
      <c r="J306" s="19" t="e">
        <f>VLOOKUP(B306,#REF!,3,0)</f>
        <v>#REF!</v>
      </c>
      <c r="K306" s="19" t="e">
        <f t="shared" si="26"/>
        <v>#REF!</v>
      </c>
      <c r="L306" s="19" t="e">
        <f>VLOOKUP(B305,'Station List'!#REF!,9,0)</f>
        <v>#REF!</v>
      </c>
      <c r="M306" s="19" t="e">
        <f>VLOOKUP(B305,#REF!,4,0)</f>
        <v>#REF!</v>
      </c>
      <c r="N306" s="17"/>
      <c r="O306" s="17"/>
      <c r="P306" s="17"/>
      <c r="Q306" s="17"/>
      <c r="R306" s="17"/>
      <c r="S306" s="17"/>
      <c r="T306" s="17"/>
      <c r="U306" s="17"/>
      <c r="V306" s="17"/>
      <c r="W306" s="17" t="e">
        <f t="shared" si="28"/>
        <v>#REF!</v>
      </c>
      <c r="X306" s="17" t="e">
        <f t="shared" si="29"/>
        <v>#REF!</v>
      </c>
    </row>
    <row r="307" spans="1:24" ht="12.75" customHeight="1" x14ac:dyDescent="0.2">
      <c r="A307" s="19">
        <v>305</v>
      </c>
      <c r="B307" s="19" t="s">
        <v>3456</v>
      </c>
      <c r="C307" s="19" t="e">
        <f t="shared" si="7"/>
        <v>#REF!</v>
      </c>
      <c r="D307" s="19" t="e">
        <f t="shared" si="8"/>
        <v>#REF!</v>
      </c>
      <c r="E307" s="19" t="e">
        <f t="shared" si="9"/>
        <v>#REF!</v>
      </c>
      <c r="F307" s="19" t="e">
        <f>VLOOKUP(B307,'Station List'!#REF!,2,0)</f>
        <v>#REF!</v>
      </c>
      <c r="G307" s="19" t="e">
        <f>VLOOKUP(B307,#REF!,2,0)</f>
        <v>#REF!</v>
      </c>
      <c r="H307" s="19" t="e">
        <f t="shared" si="3"/>
        <v>#REF!</v>
      </c>
      <c r="I307" s="19" t="e">
        <f>VLOOKUP(B307,'Station List'!#REF!,4,0)</f>
        <v>#REF!</v>
      </c>
      <c r="J307" s="19" t="e">
        <f>VLOOKUP(B307,#REF!,3,0)</f>
        <v>#REF!</v>
      </c>
      <c r="K307" s="19" t="e">
        <f t="shared" si="26"/>
        <v>#REF!</v>
      </c>
      <c r="L307" s="19" t="e">
        <f>VLOOKUP(B306,'Station List'!#REF!,9,0)</f>
        <v>#REF!</v>
      </c>
      <c r="M307" s="19" t="e">
        <f>VLOOKUP(B306,#REF!,4,0)</f>
        <v>#REF!</v>
      </c>
      <c r="N307" s="17"/>
      <c r="O307" s="17"/>
      <c r="P307" s="17"/>
      <c r="Q307" s="17"/>
      <c r="R307" s="17"/>
      <c r="S307" s="17"/>
      <c r="T307" s="17"/>
      <c r="U307" s="17"/>
      <c r="V307" s="17"/>
      <c r="W307" s="17" t="e">
        <f t="shared" si="28"/>
        <v>#REF!</v>
      </c>
      <c r="X307" s="17" t="e">
        <f t="shared" si="29"/>
        <v>#REF!</v>
      </c>
    </row>
    <row r="308" spans="1:24" ht="12.75" customHeight="1" x14ac:dyDescent="0.2">
      <c r="A308" s="19">
        <v>306</v>
      </c>
      <c r="B308" s="19" t="s">
        <v>3457</v>
      </c>
      <c r="C308" s="19" t="e">
        <f t="shared" si="7"/>
        <v>#REF!</v>
      </c>
      <c r="D308" s="19" t="e">
        <f t="shared" si="8"/>
        <v>#REF!</v>
      </c>
      <c r="E308" s="19" t="e">
        <f t="shared" si="9"/>
        <v>#REF!</v>
      </c>
      <c r="F308" s="19" t="e">
        <f>VLOOKUP(B308,'Station List'!#REF!,2,0)</f>
        <v>#REF!</v>
      </c>
      <c r="G308" s="19" t="e">
        <f>VLOOKUP(B308,#REF!,2,0)</f>
        <v>#REF!</v>
      </c>
      <c r="H308" s="19" t="e">
        <f t="shared" si="3"/>
        <v>#REF!</v>
      </c>
      <c r="I308" s="19" t="e">
        <f>VLOOKUP(B308,'Station List'!#REF!,4,0)</f>
        <v>#REF!</v>
      </c>
      <c r="J308" s="19" t="e">
        <f>VLOOKUP(B308,#REF!,3,0)</f>
        <v>#REF!</v>
      </c>
      <c r="K308" s="19" t="e">
        <f t="shared" si="26"/>
        <v>#REF!</v>
      </c>
      <c r="L308" s="19" t="e">
        <f>VLOOKUP(B307,'Station List'!#REF!,9,0)</f>
        <v>#REF!</v>
      </c>
      <c r="M308" s="19" t="e">
        <f>VLOOKUP(B307,#REF!,4,0)</f>
        <v>#REF!</v>
      </c>
      <c r="N308" s="17"/>
      <c r="O308" s="17"/>
      <c r="P308" s="17"/>
      <c r="Q308" s="17"/>
      <c r="R308" s="17"/>
      <c r="S308" s="17"/>
      <c r="T308" s="17"/>
      <c r="U308" s="17"/>
      <c r="V308" s="17"/>
      <c r="W308" s="17" t="e">
        <f t="shared" si="28"/>
        <v>#REF!</v>
      </c>
      <c r="X308" s="17" t="e">
        <f t="shared" si="29"/>
        <v>#REF!</v>
      </c>
    </row>
    <row r="309" spans="1:24" ht="12.75" customHeight="1" x14ac:dyDescent="0.2">
      <c r="A309" s="19">
        <v>307</v>
      </c>
      <c r="B309" s="19" t="s">
        <v>3458</v>
      </c>
      <c r="C309" s="19" t="e">
        <f t="shared" si="7"/>
        <v>#REF!</v>
      </c>
      <c r="D309" s="19" t="e">
        <f t="shared" si="8"/>
        <v>#REF!</v>
      </c>
      <c r="E309" s="19" t="e">
        <f t="shared" si="9"/>
        <v>#REF!</v>
      </c>
      <c r="F309" s="19" t="e">
        <f>VLOOKUP(B309,'Station List'!#REF!,2,0)</f>
        <v>#REF!</v>
      </c>
      <c r="G309" s="19" t="e">
        <f>VLOOKUP(B309,#REF!,2,0)</f>
        <v>#REF!</v>
      </c>
      <c r="H309" s="19" t="e">
        <f t="shared" si="3"/>
        <v>#REF!</v>
      </c>
      <c r="I309" s="19" t="e">
        <f>VLOOKUP(B309,'Station List'!#REF!,4,0)</f>
        <v>#REF!</v>
      </c>
      <c r="J309" s="19" t="e">
        <f>VLOOKUP(B309,#REF!,3,0)</f>
        <v>#REF!</v>
      </c>
      <c r="K309" s="19" t="e">
        <f t="shared" si="26"/>
        <v>#REF!</v>
      </c>
      <c r="L309" s="19" t="e">
        <f>VLOOKUP(B308,'Station List'!#REF!,9,0)</f>
        <v>#REF!</v>
      </c>
      <c r="M309" s="19" t="e">
        <f>VLOOKUP(B308,#REF!,4,0)</f>
        <v>#REF!</v>
      </c>
      <c r="N309" s="17"/>
      <c r="O309" s="17"/>
      <c r="P309" s="17"/>
      <c r="Q309" s="17"/>
      <c r="R309" s="17"/>
      <c r="S309" s="17"/>
      <c r="T309" s="17"/>
      <c r="U309" s="17"/>
      <c r="V309" s="17"/>
      <c r="W309" s="17" t="e">
        <f t="shared" si="28"/>
        <v>#REF!</v>
      </c>
      <c r="X309" s="17" t="e">
        <f t="shared" si="29"/>
        <v>#REF!</v>
      </c>
    </row>
    <row r="310" spans="1:24" ht="12.75" customHeight="1" x14ac:dyDescent="0.2">
      <c r="A310" s="19">
        <v>308</v>
      </c>
      <c r="B310" s="19" t="s">
        <v>3459</v>
      </c>
      <c r="C310" s="19" t="e">
        <f t="shared" si="7"/>
        <v>#REF!</v>
      </c>
      <c r="D310" s="19" t="e">
        <f t="shared" si="8"/>
        <v>#REF!</v>
      </c>
      <c r="E310" s="19" t="e">
        <f t="shared" si="9"/>
        <v>#REF!</v>
      </c>
      <c r="F310" s="19" t="e">
        <f>VLOOKUP(B310,'Station List'!#REF!,2,0)</f>
        <v>#REF!</v>
      </c>
      <c r="G310" s="19" t="e">
        <f>VLOOKUP(B310,#REF!,2,0)</f>
        <v>#REF!</v>
      </c>
      <c r="H310" s="19" t="e">
        <f t="shared" si="3"/>
        <v>#REF!</v>
      </c>
      <c r="I310" s="19" t="e">
        <f>VLOOKUP(B310,'Station List'!#REF!,4,0)</f>
        <v>#REF!</v>
      </c>
      <c r="J310" s="19" t="e">
        <f>VLOOKUP(B310,#REF!,3,0)</f>
        <v>#REF!</v>
      </c>
      <c r="K310" s="19" t="e">
        <f t="shared" si="26"/>
        <v>#REF!</v>
      </c>
      <c r="L310" s="19" t="e">
        <f>VLOOKUP(B309,'Station List'!#REF!,9,0)</f>
        <v>#REF!</v>
      </c>
      <c r="M310" s="19" t="e">
        <f>VLOOKUP(B309,#REF!,4,0)</f>
        <v>#REF!</v>
      </c>
      <c r="N310" s="17"/>
      <c r="O310" s="17"/>
      <c r="P310" s="17"/>
      <c r="Q310" s="17"/>
      <c r="R310" s="17"/>
      <c r="S310" s="17"/>
      <c r="T310" s="17"/>
      <c r="U310" s="17"/>
      <c r="V310" s="17"/>
      <c r="W310" s="17" t="e">
        <f t="shared" si="28"/>
        <v>#REF!</v>
      </c>
      <c r="X310" s="17" t="e">
        <f t="shared" si="29"/>
        <v>#REF!</v>
      </c>
    </row>
    <row r="311" spans="1:24" ht="12.75" customHeight="1" x14ac:dyDescent="0.2">
      <c r="A311" s="19">
        <v>309</v>
      </c>
      <c r="B311" s="19" t="s">
        <v>3460</v>
      </c>
      <c r="C311" s="19" t="e">
        <f t="shared" si="7"/>
        <v>#REF!</v>
      </c>
      <c r="D311" s="19" t="e">
        <f t="shared" si="8"/>
        <v>#REF!</v>
      </c>
      <c r="E311" s="19" t="e">
        <f t="shared" si="9"/>
        <v>#REF!</v>
      </c>
      <c r="F311" s="19" t="e">
        <f>VLOOKUP(B311,'Station List'!#REF!,2,0)</f>
        <v>#REF!</v>
      </c>
      <c r="G311" s="19" t="e">
        <f>VLOOKUP(B311,#REF!,2,0)</f>
        <v>#REF!</v>
      </c>
      <c r="H311" s="19" t="e">
        <f t="shared" si="3"/>
        <v>#REF!</v>
      </c>
      <c r="I311" s="19" t="e">
        <f>VLOOKUP(B311,'Station List'!#REF!,4,0)</f>
        <v>#REF!</v>
      </c>
      <c r="J311" s="19" t="e">
        <f>VLOOKUP(B311,#REF!,3,0)</f>
        <v>#REF!</v>
      </c>
      <c r="K311" s="19" t="e">
        <f t="shared" si="26"/>
        <v>#REF!</v>
      </c>
      <c r="L311" s="19" t="e">
        <f>VLOOKUP(B310,'Station List'!#REF!,9,0)</f>
        <v>#REF!</v>
      </c>
      <c r="M311" s="19" t="e">
        <f>VLOOKUP(B310,#REF!,4,0)</f>
        <v>#REF!</v>
      </c>
      <c r="N311" s="17"/>
      <c r="O311" s="17"/>
      <c r="P311" s="17"/>
      <c r="Q311" s="17"/>
      <c r="R311" s="17"/>
      <c r="S311" s="17"/>
      <c r="T311" s="17"/>
      <c r="U311" s="17"/>
      <c r="V311" s="17"/>
      <c r="W311" s="17" t="e">
        <f t="shared" si="28"/>
        <v>#REF!</v>
      </c>
      <c r="X311" s="17" t="e">
        <f t="shared" si="29"/>
        <v>#REF!</v>
      </c>
    </row>
    <row r="312" spans="1:24" ht="12.75" customHeight="1" x14ac:dyDescent="0.2">
      <c r="A312" s="19">
        <v>310</v>
      </c>
      <c r="B312" s="19" t="s">
        <v>3461</v>
      </c>
      <c r="C312" s="19" t="e">
        <f t="shared" si="7"/>
        <v>#REF!</v>
      </c>
      <c r="D312" s="19" t="e">
        <f t="shared" si="8"/>
        <v>#REF!</v>
      </c>
      <c r="E312" s="19" t="e">
        <f t="shared" si="9"/>
        <v>#REF!</v>
      </c>
      <c r="F312" s="19" t="e">
        <f>VLOOKUP(B312,'Station List'!#REF!,2,0)</f>
        <v>#REF!</v>
      </c>
      <c r="G312" s="19" t="e">
        <f>VLOOKUP(B312,#REF!,2,0)</f>
        <v>#REF!</v>
      </c>
      <c r="H312" s="19" t="e">
        <f t="shared" si="3"/>
        <v>#REF!</v>
      </c>
      <c r="I312" s="19" t="e">
        <f>VLOOKUP(B312,'Station List'!#REF!,4,0)</f>
        <v>#REF!</v>
      </c>
      <c r="J312" s="19" t="e">
        <f>VLOOKUP(B312,#REF!,3,0)</f>
        <v>#REF!</v>
      </c>
      <c r="K312" s="19" t="e">
        <f t="shared" si="26"/>
        <v>#REF!</v>
      </c>
      <c r="L312" s="19" t="e">
        <f>VLOOKUP(B311,'Station List'!#REF!,9,0)</f>
        <v>#REF!</v>
      </c>
      <c r="M312" s="19" t="e">
        <f>VLOOKUP(B311,#REF!,4,0)</f>
        <v>#REF!</v>
      </c>
      <c r="N312" s="17"/>
      <c r="O312" s="17"/>
      <c r="P312" s="17"/>
      <c r="Q312" s="17"/>
      <c r="R312" s="17"/>
      <c r="S312" s="17"/>
      <c r="T312" s="17"/>
      <c r="U312" s="17"/>
      <c r="V312" s="17"/>
      <c r="W312" s="17" t="e">
        <f t="shared" si="28"/>
        <v>#REF!</v>
      </c>
      <c r="X312" s="17" t="e">
        <f t="shared" si="29"/>
        <v>#REF!</v>
      </c>
    </row>
    <row r="313" spans="1:24" ht="12.75" customHeight="1" x14ac:dyDescent="0.2">
      <c r="A313" s="19">
        <v>311</v>
      </c>
      <c r="B313" s="19" t="s">
        <v>3462</v>
      </c>
      <c r="C313" s="19" t="e">
        <f t="shared" si="7"/>
        <v>#REF!</v>
      </c>
      <c r="D313" s="19" t="e">
        <f t="shared" si="8"/>
        <v>#REF!</v>
      </c>
      <c r="E313" s="19" t="e">
        <f t="shared" si="9"/>
        <v>#REF!</v>
      </c>
      <c r="F313" s="19" t="e">
        <f>VLOOKUP(B313,'Station List'!#REF!,2,0)</f>
        <v>#REF!</v>
      </c>
      <c r="G313" s="19" t="e">
        <f>VLOOKUP(B313,#REF!,2,0)</f>
        <v>#REF!</v>
      </c>
      <c r="H313" s="19" t="e">
        <f t="shared" si="3"/>
        <v>#REF!</v>
      </c>
      <c r="I313" s="19" t="e">
        <f>VLOOKUP(B313,'Station List'!#REF!,4,0)</f>
        <v>#REF!</v>
      </c>
      <c r="J313" s="19" t="e">
        <f>VLOOKUP(B313,#REF!,3,0)</f>
        <v>#REF!</v>
      </c>
      <c r="K313" s="19" t="e">
        <f>VLOOKUP(#REF!,#REF!,4,0)</f>
        <v>#REF!</v>
      </c>
      <c r="L313" s="19" t="e">
        <f>VLOOKUP(#REF!,'Station List'!#REF!,9,0)</f>
        <v>#REF!</v>
      </c>
      <c r="M313" s="19" t="e">
        <f>VLOOKUP(#REF!,#REF!,4,0)</f>
        <v>#REF!</v>
      </c>
      <c r="N313" s="17"/>
      <c r="O313" s="17"/>
      <c r="P313" s="17"/>
      <c r="Q313" s="17"/>
      <c r="R313" s="17"/>
      <c r="S313" s="17"/>
      <c r="T313" s="17"/>
      <c r="U313" s="17"/>
      <c r="V313" s="17"/>
      <c r="W313" s="17" t="e">
        <f>IF(#REF!=#REF!,0,1)</f>
        <v>#REF!</v>
      </c>
      <c r="X313" s="17" t="e">
        <f t="shared" si="29"/>
        <v>#REF!</v>
      </c>
    </row>
    <row r="314" spans="1:24" ht="12.75" customHeight="1" x14ac:dyDescent="0.2">
      <c r="A314" s="19">
        <v>312</v>
      </c>
      <c r="B314" s="19" t="s">
        <v>3463</v>
      </c>
      <c r="C314" s="19" t="e">
        <f t="shared" si="7"/>
        <v>#REF!</v>
      </c>
      <c r="D314" s="19" t="e">
        <f t="shared" si="8"/>
        <v>#REF!</v>
      </c>
      <c r="E314" s="19" t="e">
        <f t="shared" si="9"/>
        <v>#REF!</v>
      </c>
      <c r="F314" s="19" t="e">
        <f>VLOOKUP(B314,'Station List'!#REF!,2,0)</f>
        <v>#REF!</v>
      </c>
      <c r="G314" s="19" t="e">
        <f>VLOOKUP(B314,#REF!,2,0)</f>
        <v>#REF!</v>
      </c>
      <c r="H314" s="19" t="e">
        <f t="shared" si="3"/>
        <v>#REF!</v>
      </c>
      <c r="I314" s="19" t="e">
        <f>VLOOKUP(B314,'Station List'!#REF!,4,0)</f>
        <v>#REF!</v>
      </c>
      <c r="J314" s="19" t="e">
        <f>VLOOKUP(B314,#REF!,3,0)</f>
        <v>#REF!</v>
      </c>
      <c r="K314" s="19" t="e">
        <f t="shared" ref="K314:K323" si="30">VLOOKUP(B313,#REF!,4,0)</f>
        <v>#REF!</v>
      </c>
      <c r="L314" s="19" t="e">
        <f>VLOOKUP(B313,'Station List'!#REF!,9,0)</f>
        <v>#REF!</v>
      </c>
      <c r="M314" s="19" t="e">
        <f>VLOOKUP(B313,#REF!,4,0)</f>
        <v>#REF!</v>
      </c>
      <c r="N314" s="17"/>
      <c r="O314" s="17"/>
      <c r="P314" s="17"/>
      <c r="Q314" s="17"/>
      <c r="R314" s="17"/>
      <c r="S314" s="17"/>
      <c r="T314" s="17"/>
      <c r="U314" s="17"/>
      <c r="V314" s="17"/>
      <c r="W314" s="17" t="e">
        <f t="shared" ref="W314:W323" si="31">IF(I313=J313,0,1)</f>
        <v>#REF!</v>
      </c>
      <c r="X314" s="17" t="e">
        <f t="shared" si="29"/>
        <v>#REF!</v>
      </c>
    </row>
    <row r="315" spans="1:24" ht="12.75" customHeight="1" x14ac:dyDescent="0.2">
      <c r="A315" s="19">
        <v>313</v>
      </c>
      <c r="B315" s="19" t="s">
        <v>3464</v>
      </c>
      <c r="C315" s="19" t="e">
        <f t="shared" si="7"/>
        <v>#REF!</v>
      </c>
      <c r="D315" s="19" t="e">
        <f t="shared" si="8"/>
        <v>#REF!</v>
      </c>
      <c r="E315" s="19" t="e">
        <f t="shared" si="9"/>
        <v>#REF!</v>
      </c>
      <c r="F315" s="19" t="e">
        <f>VLOOKUP(B315,'Station List'!#REF!,2,0)</f>
        <v>#REF!</v>
      </c>
      <c r="G315" s="19" t="e">
        <f>VLOOKUP(B315,#REF!,2,0)</f>
        <v>#REF!</v>
      </c>
      <c r="H315" s="19" t="e">
        <f t="shared" si="3"/>
        <v>#REF!</v>
      </c>
      <c r="I315" s="19" t="e">
        <f>VLOOKUP(B315,'Station List'!#REF!,4,0)</f>
        <v>#REF!</v>
      </c>
      <c r="J315" s="19" t="e">
        <f>VLOOKUP(B315,#REF!,3,0)</f>
        <v>#REF!</v>
      </c>
      <c r="K315" s="19" t="e">
        <f t="shared" si="30"/>
        <v>#REF!</v>
      </c>
      <c r="L315" s="19" t="e">
        <f>VLOOKUP(B314,'Station List'!#REF!,9,0)</f>
        <v>#REF!</v>
      </c>
      <c r="M315" s="19" t="e">
        <f>VLOOKUP(B314,#REF!,4,0)</f>
        <v>#REF!</v>
      </c>
      <c r="N315" s="17"/>
      <c r="O315" s="17"/>
      <c r="P315" s="17"/>
      <c r="Q315" s="17"/>
      <c r="R315" s="17"/>
      <c r="S315" s="17"/>
      <c r="T315" s="17"/>
      <c r="U315" s="17"/>
      <c r="V315" s="17"/>
      <c r="W315" s="17" t="e">
        <f t="shared" si="31"/>
        <v>#REF!</v>
      </c>
      <c r="X315" s="17" t="e">
        <f t="shared" si="29"/>
        <v>#REF!</v>
      </c>
    </row>
    <row r="316" spans="1:24" ht="12.75" customHeight="1" x14ac:dyDescent="0.2">
      <c r="A316" s="19">
        <v>314</v>
      </c>
      <c r="B316" s="19" t="s">
        <v>3465</v>
      </c>
      <c r="C316" s="19" t="e">
        <f t="shared" si="7"/>
        <v>#REF!</v>
      </c>
      <c r="D316" s="19" t="e">
        <f t="shared" si="8"/>
        <v>#REF!</v>
      </c>
      <c r="E316" s="19" t="e">
        <f t="shared" si="9"/>
        <v>#REF!</v>
      </c>
      <c r="F316" s="19" t="e">
        <f>VLOOKUP(B316,'Station List'!#REF!,2,0)</f>
        <v>#REF!</v>
      </c>
      <c r="G316" s="19" t="e">
        <f>VLOOKUP(B316,#REF!,2,0)</f>
        <v>#REF!</v>
      </c>
      <c r="H316" s="19" t="e">
        <f t="shared" si="3"/>
        <v>#REF!</v>
      </c>
      <c r="I316" s="19" t="e">
        <f>VLOOKUP(B316,'Station List'!#REF!,4,0)</f>
        <v>#REF!</v>
      </c>
      <c r="J316" s="19" t="e">
        <f>VLOOKUP(B316,#REF!,3,0)</f>
        <v>#REF!</v>
      </c>
      <c r="K316" s="19" t="e">
        <f t="shared" si="30"/>
        <v>#REF!</v>
      </c>
      <c r="L316" s="19" t="e">
        <f>VLOOKUP(B315,'Station List'!#REF!,9,0)</f>
        <v>#REF!</v>
      </c>
      <c r="M316" s="19" t="e">
        <f>VLOOKUP(B315,#REF!,4,0)</f>
        <v>#REF!</v>
      </c>
      <c r="N316" s="17"/>
      <c r="O316" s="17"/>
      <c r="P316" s="17"/>
      <c r="Q316" s="17"/>
      <c r="R316" s="17"/>
      <c r="S316" s="17"/>
      <c r="T316" s="17"/>
      <c r="U316" s="17"/>
      <c r="V316" s="17"/>
      <c r="W316" s="17" t="e">
        <f t="shared" si="31"/>
        <v>#REF!</v>
      </c>
      <c r="X316" s="17" t="e">
        <f t="shared" si="29"/>
        <v>#REF!</v>
      </c>
    </row>
    <row r="317" spans="1:24" ht="12.75" customHeight="1" x14ac:dyDescent="0.2">
      <c r="A317" s="19">
        <v>315</v>
      </c>
      <c r="B317" s="19" t="s">
        <v>3466</v>
      </c>
      <c r="C317" s="19" t="e">
        <f t="shared" si="7"/>
        <v>#REF!</v>
      </c>
      <c r="D317" s="19" t="e">
        <f t="shared" si="8"/>
        <v>#REF!</v>
      </c>
      <c r="E317" s="19" t="e">
        <f t="shared" si="9"/>
        <v>#REF!</v>
      </c>
      <c r="F317" s="19" t="e">
        <f>VLOOKUP(B317,'Station List'!#REF!,2,0)</f>
        <v>#REF!</v>
      </c>
      <c r="G317" s="19" t="e">
        <f>VLOOKUP(B317,#REF!,2,0)</f>
        <v>#REF!</v>
      </c>
      <c r="H317" s="19" t="e">
        <f t="shared" si="3"/>
        <v>#REF!</v>
      </c>
      <c r="I317" s="19" t="e">
        <f>VLOOKUP(B317,'Station List'!#REF!,4,0)</f>
        <v>#REF!</v>
      </c>
      <c r="J317" s="19" t="e">
        <f>VLOOKUP(B317,#REF!,3,0)</f>
        <v>#REF!</v>
      </c>
      <c r="K317" s="19" t="e">
        <f t="shared" si="30"/>
        <v>#REF!</v>
      </c>
      <c r="L317" s="19" t="e">
        <f>VLOOKUP(B316,'Station List'!#REF!,9,0)</f>
        <v>#REF!</v>
      </c>
      <c r="M317" s="19" t="e">
        <f>VLOOKUP(B316,#REF!,4,0)</f>
        <v>#REF!</v>
      </c>
      <c r="N317" s="17"/>
      <c r="O317" s="17"/>
      <c r="P317" s="17"/>
      <c r="Q317" s="17"/>
      <c r="R317" s="17"/>
      <c r="S317" s="17"/>
      <c r="T317" s="17"/>
      <c r="U317" s="17"/>
      <c r="V317" s="17"/>
      <c r="W317" s="17" t="e">
        <f t="shared" si="31"/>
        <v>#REF!</v>
      </c>
      <c r="X317" s="17" t="e">
        <f t="shared" si="29"/>
        <v>#REF!</v>
      </c>
    </row>
    <row r="318" spans="1:24" ht="12.75" customHeight="1" x14ac:dyDescent="0.2">
      <c r="A318" s="19">
        <v>316</v>
      </c>
      <c r="B318" s="19" t="s">
        <v>3467</v>
      </c>
      <c r="C318" s="19" t="e">
        <f t="shared" si="7"/>
        <v>#REF!</v>
      </c>
      <c r="D318" s="19" t="e">
        <f t="shared" si="8"/>
        <v>#REF!</v>
      </c>
      <c r="E318" s="19" t="e">
        <f t="shared" si="9"/>
        <v>#REF!</v>
      </c>
      <c r="F318" s="19" t="e">
        <f>VLOOKUP(B318,'Station List'!#REF!,2,0)</f>
        <v>#REF!</v>
      </c>
      <c r="G318" s="19" t="e">
        <f>VLOOKUP(B318,#REF!,2,0)</f>
        <v>#REF!</v>
      </c>
      <c r="H318" s="19" t="e">
        <f t="shared" si="3"/>
        <v>#REF!</v>
      </c>
      <c r="I318" s="19" t="e">
        <f>VLOOKUP(B318,'Station List'!#REF!,4,0)</f>
        <v>#REF!</v>
      </c>
      <c r="J318" s="19" t="e">
        <f>VLOOKUP(B318,#REF!,3,0)</f>
        <v>#REF!</v>
      </c>
      <c r="K318" s="19" t="e">
        <f t="shared" si="30"/>
        <v>#REF!</v>
      </c>
      <c r="L318" s="19" t="e">
        <f>VLOOKUP(B317,'Station List'!#REF!,9,0)</f>
        <v>#REF!</v>
      </c>
      <c r="M318" s="19" t="e">
        <f>VLOOKUP(B317,#REF!,4,0)</f>
        <v>#REF!</v>
      </c>
      <c r="N318" s="17"/>
      <c r="O318" s="17"/>
      <c r="P318" s="17"/>
      <c r="Q318" s="17"/>
      <c r="R318" s="17"/>
      <c r="S318" s="17"/>
      <c r="T318" s="17"/>
      <c r="U318" s="17"/>
      <c r="V318" s="17"/>
      <c r="W318" s="17" t="e">
        <f t="shared" si="31"/>
        <v>#REF!</v>
      </c>
      <c r="X318" s="17" t="e">
        <f t="shared" si="29"/>
        <v>#REF!</v>
      </c>
    </row>
    <row r="319" spans="1:24" ht="12.75" customHeight="1" x14ac:dyDescent="0.2">
      <c r="A319" s="19">
        <v>317</v>
      </c>
      <c r="B319" s="19" t="s">
        <v>3468</v>
      </c>
      <c r="C319" s="19" t="e">
        <f t="shared" si="7"/>
        <v>#REF!</v>
      </c>
      <c r="D319" s="19" t="e">
        <f t="shared" si="8"/>
        <v>#REF!</v>
      </c>
      <c r="E319" s="19" t="e">
        <f t="shared" si="9"/>
        <v>#REF!</v>
      </c>
      <c r="F319" s="19" t="e">
        <f>VLOOKUP(B319,'Station List'!#REF!,2,0)</f>
        <v>#REF!</v>
      </c>
      <c r="G319" s="19" t="e">
        <f>VLOOKUP(B319,#REF!,2,0)</f>
        <v>#REF!</v>
      </c>
      <c r="H319" s="19" t="e">
        <f t="shared" si="3"/>
        <v>#REF!</v>
      </c>
      <c r="I319" s="19" t="e">
        <f>VLOOKUP(B319,'Station List'!#REF!,4,0)</f>
        <v>#REF!</v>
      </c>
      <c r="J319" s="19" t="e">
        <f>VLOOKUP(B319,#REF!,3,0)</f>
        <v>#REF!</v>
      </c>
      <c r="K319" s="19" t="e">
        <f t="shared" si="30"/>
        <v>#REF!</v>
      </c>
      <c r="L319" s="19" t="e">
        <f>VLOOKUP(B318,'Station List'!#REF!,9,0)</f>
        <v>#REF!</v>
      </c>
      <c r="M319" s="19" t="e">
        <f>VLOOKUP(B318,#REF!,4,0)</f>
        <v>#REF!</v>
      </c>
      <c r="N319" s="17"/>
      <c r="O319" s="17"/>
      <c r="P319" s="17"/>
      <c r="Q319" s="17"/>
      <c r="R319" s="17"/>
      <c r="S319" s="17"/>
      <c r="T319" s="17"/>
      <c r="U319" s="17"/>
      <c r="V319" s="17"/>
      <c r="W319" s="17" t="e">
        <f t="shared" si="31"/>
        <v>#REF!</v>
      </c>
      <c r="X319" s="17" t="e">
        <f t="shared" si="29"/>
        <v>#REF!</v>
      </c>
    </row>
    <row r="320" spans="1:24" ht="12.75" customHeight="1" x14ac:dyDescent="0.2">
      <c r="A320" s="19">
        <v>318</v>
      </c>
      <c r="B320" s="19" t="s">
        <v>3469</v>
      </c>
      <c r="C320" s="19" t="e">
        <f t="shared" si="7"/>
        <v>#REF!</v>
      </c>
      <c r="D320" s="19" t="e">
        <f t="shared" si="8"/>
        <v>#REF!</v>
      </c>
      <c r="E320" s="19" t="e">
        <f t="shared" si="9"/>
        <v>#REF!</v>
      </c>
      <c r="F320" s="19" t="e">
        <f>VLOOKUP(B320,'Station List'!#REF!,2,0)</f>
        <v>#REF!</v>
      </c>
      <c r="G320" s="19" t="e">
        <f>VLOOKUP(B320,#REF!,2,0)</f>
        <v>#REF!</v>
      </c>
      <c r="H320" s="19" t="e">
        <f t="shared" si="3"/>
        <v>#REF!</v>
      </c>
      <c r="I320" s="19" t="e">
        <f>VLOOKUP(B320,'Station List'!#REF!,4,0)</f>
        <v>#REF!</v>
      </c>
      <c r="J320" s="19" t="e">
        <f>VLOOKUP(B320,#REF!,3,0)</f>
        <v>#REF!</v>
      </c>
      <c r="K320" s="19" t="e">
        <f t="shared" si="30"/>
        <v>#REF!</v>
      </c>
      <c r="L320" s="19" t="e">
        <f>VLOOKUP(B319,'Station List'!#REF!,9,0)</f>
        <v>#REF!</v>
      </c>
      <c r="M320" s="19" t="e">
        <f>VLOOKUP(B319,#REF!,4,0)</f>
        <v>#REF!</v>
      </c>
      <c r="N320" s="17"/>
      <c r="O320" s="17"/>
      <c r="P320" s="17"/>
      <c r="Q320" s="17"/>
      <c r="R320" s="17"/>
      <c r="S320" s="17"/>
      <c r="T320" s="17"/>
      <c r="U320" s="17"/>
      <c r="V320" s="17"/>
      <c r="W320" s="17" t="e">
        <f t="shared" si="31"/>
        <v>#REF!</v>
      </c>
      <c r="X320" s="17" t="e">
        <f t="shared" si="29"/>
        <v>#REF!</v>
      </c>
    </row>
    <row r="321" spans="1:24" ht="12.75" customHeight="1" x14ac:dyDescent="0.2">
      <c r="A321" s="19">
        <v>319</v>
      </c>
      <c r="B321" s="19" t="s">
        <v>3470</v>
      </c>
      <c r="C321" s="19" t="e">
        <f t="shared" si="7"/>
        <v>#REF!</v>
      </c>
      <c r="D321" s="19" t="e">
        <f t="shared" si="8"/>
        <v>#REF!</v>
      </c>
      <c r="E321" s="19" t="e">
        <f t="shared" si="9"/>
        <v>#REF!</v>
      </c>
      <c r="F321" s="19" t="e">
        <f>VLOOKUP(B321,'Station List'!#REF!,2,0)</f>
        <v>#REF!</v>
      </c>
      <c r="G321" s="19" t="e">
        <f>VLOOKUP(B321,#REF!,2,0)</f>
        <v>#REF!</v>
      </c>
      <c r="H321" s="19" t="e">
        <f t="shared" si="3"/>
        <v>#REF!</v>
      </c>
      <c r="I321" s="19" t="e">
        <f>VLOOKUP(B321,'Station List'!#REF!,4,0)</f>
        <v>#REF!</v>
      </c>
      <c r="J321" s="19" t="e">
        <f>VLOOKUP(B321,#REF!,3,0)</f>
        <v>#REF!</v>
      </c>
      <c r="K321" s="19" t="e">
        <f t="shared" si="30"/>
        <v>#REF!</v>
      </c>
      <c r="L321" s="19" t="e">
        <f>VLOOKUP(B320,'Station List'!#REF!,9,0)</f>
        <v>#REF!</v>
      </c>
      <c r="M321" s="19" t="e">
        <f>VLOOKUP(B320,#REF!,4,0)</f>
        <v>#REF!</v>
      </c>
      <c r="N321" s="17"/>
      <c r="O321" s="17"/>
      <c r="P321" s="17"/>
      <c r="Q321" s="17"/>
      <c r="R321" s="17"/>
      <c r="S321" s="17"/>
      <c r="T321" s="17"/>
      <c r="U321" s="17"/>
      <c r="V321" s="17"/>
      <c r="W321" s="17" t="e">
        <f t="shared" si="31"/>
        <v>#REF!</v>
      </c>
      <c r="X321" s="17" t="e">
        <f t="shared" si="29"/>
        <v>#REF!</v>
      </c>
    </row>
    <row r="322" spans="1:24" ht="12.75" customHeight="1" x14ac:dyDescent="0.2">
      <c r="A322" s="19">
        <v>320</v>
      </c>
      <c r="B322" s="19" t="s">
        <v>3471</v>
      </c>
      <c r="C322" s="19" t="e">
        <f t="shared" si="7"/>
        <v>#REF!</v>
      </c>
      <c r="D322" s="19" t="e">
        <f t="shared" si="8"/>
        <v>#REF!</v>
      </c>
      <c r="E322" s="19" t="e">
        <f t="shared" si="9"/>
        <v>#REF!</v>
      </c>
      <c r="F322" s="19" t="e">
        <f>VLOOKUP(B322,'Station List'!#REF!,2,0)</f>
        <v>#REF!</v>
      </c>
      <c r="G322" s="19" t="e">
        <f>VLOOKUP(B322,#REF!,2,0)</f>
        <v>#REF!</v>
      </c>
      <c r="H322" s="19" t="e">
        <f t="shared" si="3"/>
        <v>#REF!</v>
      </c>
      <c r="I322" s="19" t="e">
        <f>VLOOKUP(B322,'Station List'!#REF!,4,0)</f>
        <v>#REF!</v>
      </c>
      <c r="J322" s="19" t="e">
        <f>VLOOKUP(B322,#REF!,3,0)</f>
        <v>#REF!</v>
      </c>
      <c r="K322" s="19" t="e">
        <f t="shared" si="30"/>
        <v>#REF!</v>
      </c>
      <c r="L322" s="19" t="e">
        <f>VLOOKUP(B321,'Station List'!#REF!,9,0)</f>
        <v>#REF!</v>
      </c>
      <c r="M322" s="19" t="e">
        <f>VLOOKUP(B321,#REF!,4,0)</f>
        <v>#REF!</v>
      </c>
      <c r="N322" s="17" t="s">
        <v>3472</v>
      </c>
      <c r="O322" s="17"/>
      <c r="P322" s="17"/>
      <c r="Q322" s="17"/>
      <c r="R322" s="17"/>
      <c r="S322" s="17"/>
      <c r="T322" s="17"/>
      <c r="U322" s="17"/>
      <c r="V322" s="17"/>
      <c r="W322" s="17" t="e">
        <f t="shared" si="31"/>
        <v>#REF!</v>
      </c>
      <c r="X322" s="17" t="e">
        <f t="shared" si="29"/>
        <v>#REF!</v>
      </c>
    </row>
    <row r="323" spans="1:24" ht="12.75" customHeight="1" x14ac:dyDescent="0.2">
      <c r="A323" s="19">
        <v>321</v>
      </c>
      <c r="B323" s="19" t="s">
        <v>3473</v>
      </c>
      <c r="C323" s="19" t="e">
        <f t="shared" si="7"/>
        <v>#REF!</v>
      </c>
      <c r="D323" s="19" t="e">
        <f t="shared" si="8"/>
        <v>#REF!</v>
      </c>
      <c r="E323" s="19" t="e">
        <f t="shared" si="9"/>
        <v>#REF!</v>
      </c>
      <c r="F323" s="19" t="e">
        <f>VLOOKUP(B323,'Station List'!#REF!,2,0)</f>
        <v>#REF!</v>
      </c>
      <c r="G323" s="19" t="e">
        <f>VLOOKUP(B323,#REF!,2,0)</f>
        <v>#REF!</v>
      </c>
      <c r="H323" s="19" t="e">
        <f t="shared" si="3"/>
        <v>#REF!</v>
      </c>
      <c r="I323" s="19" t="e">
        <f>VLOOKUP(B323,'Station List'!#REF!,4,0)</f>
        <v>#REF!</v>
      </c>
      <c r="J323" s="19" t="e">
        <f>VLOOKUP(B323,#REF!,3,0)</f>
        <v>#REF!</v>
      </c>
      <c r="K323" s="19" t="e">
        <f t="shared" si="30"/>
        <v>#REF!</v>
      </c>
      <c r="L323" s="19" t="e">
        <f>VLOOKUP(B322,'Station List'!#REF!,9,0)</f>
        <v>#REF!</v>
      </c>
      <c r="M323" s="19" t="e">
        <f>VLOOKUP(B322,#REF!,4,0)</f>
        <v>#REF!</v>
      </c>
      <c r="N323" s="17"/>
      <c r="O323" s="17"/>
      <c r="P323" s="17"/>
      <c r="Q323" s="17"/>
      <c r="R323" s="17"/>
      <c r="S323" s="17"/>
      <c r="T323" s="17"/>
      <c r="U323" s="17"/>
      <c r="V323" s="17"/>
      <c r="W323" s="17" t="e">
        <f t="shared" si="31"/>
        <v>#REF!</v>
      </c>
      <c r="X323" s="17" t="e">
        <f t="shared" si="29"/>
        <v>#REF!</v>
      </c>
    </row>
    <row r="324" spans="1:24" ht="12.75" customHeight="1" x14ac:dyDescent="0.2">
      <c r="A324" s="19">
        <v>322</v>
      </c>
      <c r="B324" s="19" t="s">
        <v>3474</v>
      </c>
      <c r="C324" s="19" t="e">
        <f t="shared" si="7"/>
        <v>#REF!</v>
      </c>
      <c r="D324" s="19" t="e">
        <f t="shared" si="8"/>
        <v>#REF!</v>
      </c>
      <c r="E324" s="19" t="e">
        <f t="shared" si="9"/>
        <v>#REF!</v>
      </c>
      <c r="F324" s="19" t="s">
        <v>57</v>
      </c>
      <c r="G324" s="19" t="s">
        <v>57</v>
      </c>
      <c r="H324" s="19" t="e">
        <f t="shared" si="3"/>
        <v>#REF!</v>
      </c>
      <c r="I324" s="19" t="s">
        <v>3475</v>
      </c>
      <c r="J324" s="19" t="s">
        <v>3475</v>
      </c>
      <c r="K324" s="19"/>
      <c r="L324" s="19"/>
      <c r="M324" s="19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 spans="1:24" ht="12.75" customHeight="1" x14ac:dyDescent="0.2">
      <c r="A325" s="19">
        <v>323</v>
      </c>
      <c r="B325" s="19" t="s">
        <v>3476</v>
      </c>
      <c r="C325" s="19" t="e">
        <f t="shared" si="7"/>
        <v>#REF!</v>
      </c>
      <c r="D325" s="19" t="e">
        <f t="shared" si="8"/>
        <v>#REF!</v>
      </c>
      <c r="E325" s="19" t="e">
        <f t="shared" si="9"/>
        <v>#REF!</v>
      </c>
      <c r="F325" s="19" t="e">
        <f>VLOOKUP(B325,'Station List'!#REF!,2,0)</f>
        <v>#REF!</v>
      </c>
      <c r="G325" s="19" t="e">
        <f>VLOOKUP(B325,#REF!,2,0)</f>
        <v>#REF!</v>
      </c>
      <c r="H325" s="19" t="e">
        <f t="shared" si="3"/>
        <v>#REF!</v>
      </c>
      <c r="I325" s="19" t="e">
        <f>VLOOKUP(B325,'Station List'!#REF!,4,0)</f>
        <v>#REF!</v>
      </c>
      <c r="J325" s="19" t="e">
        <f>VLOOKUP(B325,#REF!,3,0)</f>
        <v>#REF!</v>
      </c>
      <c r="K325" s="19" t="e">
        <f>VLOOKUP(B323,#REF!,4,0)</f>
        <v>#REF!</v>
      </c>
      <c r="L325" s="19" t="e">
        <f>VLOOKUP(B323,'Station List'!#REF!,9,0)</f>
        <v>#REF!</v>
      </c>
      <c r="M325" s="19" t="e">
        <f>VLOOKUP(B323,#REF!,4,0)</f>
        <v>#REF!</v>
      </c>
      <c r="N325" s="17"/>
      <c r="O325" s="17"/>
      <c r="P325" s="17"/>
      <c r="Q325" s="17"/>
      <c r="R325" s="17"/>
      <c r="S325" s="17"/>
      <c r="T325" s="17"/>
      <c r="U325" s="17"/>
      <c r="V325" s="17"/>
      <c r="W325" s="17" t="e">
        <f>IF(I323=J323,0,1)</f>
        <v>#REF!</v>
      </c>
      <c r="X325" s="17" t="e">
        <f t="shared" ref="X325:X409" si="32">IF(L325=M325,0,1)</f>
        <v>#REF!</v>
      </c>
    </row>
    <row r="326" spans="1:24" ht="12.75" customHeight="1" x14ac:dyDescent="0.2">
      <c r="A326" s="19">
        <v>324</v>
      </c>
      <c r="B326" s="19" t="s">
        <v>3477</v>
      </c>
      <c r="C326" s="19" t="e">
        <f t="shared" si="7"/>
        <v>#REF!</v>
      </c>
      <c r="D326" s="19" t="e">
        <f t="shared" si="8"/>
        <v>#REF!</v>
      </c>
      <c r="E326" s="19" t="e">
        <f t="shared" si="9"/>
        <v>#REF!</v>
      </c>
      <c r="F326" s="19" t="e">
        <f>VLOOKUP(B326,'Station List'!#REF!,2,0)</f>
        <v>#REF!</v>
      </c>
      <c r="G326" s="19" t="e">
        <f>VLOOKUP(B326,#REF!,2,0)</f>
        <v>#REF!</v>
      </c>
      <c r="H326" s="19" t="e">
        <f t="shared" si="3"/>
        <v>#REF!</v>
      </c>
      <c r="I326" s="19" t="e">
        <f>VLOOKUP(B326,'Station List'!#REF!,4,0)</f>
        <v>#REF!</v>
      </c>
      <c r="J326" s="19" t="e">
        <f>VLOOKUP(B326,#REF!,3,0)</f>
        <v>#REF!</v>
      </c>
      <c r="K326" s="19" t="e">
        <f t="shared" ref="K326:K403" si="33">VLOOKUP(B325,#REF!,4,0)</f>
        <v>#REF!</v>
      </c>
      <c r="L326" s="19" t="e">
        <f>VLOOKUP(B325,'Station List'!#REF!,9,0)</f>
        <v>#REF!</v>
      </c>
      <c r="M326" s="19" t="e">
        <f>VLOOKUP(B325,#REF!,4,0)</f>
        <v>#REF!</v>
      </c>
      <c r="N326" s="17"/>
      <c r="O326" s="17"/>
      <c r="P326" s="17"/>
      <c r="Q326" s="17"/>
      <c r="R326" s="17"/>
      <c r="S326" s="17"/>
      <c r="T326" s="17"/>
      <c r="U326" s="17"/>
      <c r="V326" s="17"/>
      <c r="W326" s="17" t="e">
        <f t="shared" ref="W326:W403" si="34">IF(I325=J325,0,1)</f>
        <v>#REF!</v>
      </c>
      <c r="X326" s="17" t="e">
        <f t="shared" si="32"/>
        <v>#REF!</v>
      </c>
    </row>
    <row r="327" spans="1:24" ht="12.75" customHeight="1" x14ac:dyDescent="0.2">
      <c r="A327" s="19">
        <v>325</v>
      </c>
      <c r="B327" s="19" t="s">
        <v>3478</v>
      </c>
      <c r="C327" s="19" t="e">
        <f t="shared" si="7"/>
        <v>#REF!</v>
      </c>
      <c r="D327" s="19" t="e">
        <f t="shared" si="8"/>
        <v>#REF!</v>
      </c>
      <c r="E327" s="19" t="e">
        <f t="shared" si="9"/>
        <v>#REF!</v>
      </c>
      <c r="F327" s="19" t="e">
        <f>VLOOKUP(B327,'Station List'!#REF!,2,0)</f>
        <v>#REF!</v>
      </c>
      <c r="G327" s="19" t="e">
        <f>VLOOKUP(B327,#REF!,2,0)</f>
        <v>#REF!</v>
      </c>
      <c r="H327" s="19" t="e">
        <f t="shared" si="3"/>
        <v>#REF!</v>
      </c>
      <c r="I327" s="19" t="e">
        <f>VLOOKUP(B327,'Station List'!#REF!,4,0)</f>
        <v>#REF!</v>
      </c>
      <c r="J327" s="19" t="e">
        <f>VLOOKUP(B327,#REF!,3,0)</f>
        <v>#REF!</v>
      </c>
      <c r="K327" s="19" t="e">
        <f t="shared" si="33"/>
        <v>#REF!</v>
      </c>
      <c r="L327" s="19" t="e">
        <f>VLOOKUP(B326,'Station List'!#REF!,9,0)</f>
        <v>#REF!</v>
      </c>
      <c r="M327" s="19" t="e">
        <f>VLOOKUP(B326,#REF!,4,0)</f>
        <v>#REF!</v>
      </c>
      <c r="N327" s="17"/>
      <c r="O327" s="17"/>
      <c r="P327" s="17"/>
      <c r="Q327" s="17"/>
      <c r="R327" s="17"/>
      <c r="S327" s="17"/>
      <c r="T327" s="17"/>
      <c r="U327" s="17"/>
      <c r="V327" s="17"/>
      <c r="W327" s="17" t="e">
        <f t="shared" si="34"/>
        <v>#REF!</v>
      </c>
      <c r="X327" s="17" t="e">
        <f t="shared" si="32"/>
        <v>#REF!</v>
      </c>
    </row>
    <row r="328" spans="1:24" ht="12.75" customHeight="1" x14ac:dyDescent="0.2">
      <c r="A328" s="19">
        <v>326</v>
      </c>
      <c r="B328" s="19" t="s">
        <v>3479</v>
      </c>
      <c r="C328" s="19" t="e">
        <f t="shared" si="7"/>
        <v>#REF!</v>
      </c>
      <c r="D328" s="19" t="e">
        <f t="shared" si="8"/>
        <v>#REF!</v>
      </c>
      <c r="E328" s="19" t="e">
        <f t="shared" si="9"/>
        <v>#REF!</v>
      </c>
      <c r="F328" s="19" t="e">
        <f>VLOOKUP(B328,'Station List'!#REF!,2,0)</f>
        <v>#REF!</v>
      </c>
      <c r="G328" s="19" t="e">
        <f>VLOOKUP(B328,#REF!,2,0)</f>
        <v>#REF!</v>
      </c>
      <c r="H328" s="19" t="e">
        <f t="shared" si="3"/>
        <v>#REF!</v>
      </c>
      <c r="I328" s="19" t="e">
        <f>VLOOKUP(B328,'Station List'!#REF!,4,0)</f>
        <v>#REF!</v>
      </c>
      <c r="J328" s="19" t="e">
        <f>VLOOKUP(B328,#REF!,3,0)</f>
        <v>#REF!</v>
      </c>
      <c r="K328" s="19" t="e">
        <f t="shared" si="33"/>
        <v>#REF!</v>
      </c>
      <c r="L328" s="19" t="e">
        <f>VLOOKUP(B327,'Station List'!#REF!,9,0)</f>
        <v>#REF!</v>
      </c>
      <c r="M328" s="19" t="e">
        <f>VLOOKUP(B327,#REF!,4,0)</f>
        <v>#REF!</v>
      </c>
      <c r="N328" s="17"/>
      <c r="O328" s="17"/>
      <c r="P328" s="17"/>
      <c r="Q328" s="17"/>
      <c r="R328" s="17"/>
      <c r="S328" s="17"/>
      <c r="T328" s="17"/>
      <c r="U328" s="17"/>
      <c r="V328" s="17"/>
      <c r="W328" s="17" t="e">
        <f t="shared" si="34"/>
        <v>#REF!</v>
      </c>
      <c r="X328" s="17" t="e">
        <f t="shared" si="32"/>
        <v>#REF!</v>
      </c>
    </row>
    <row r="329" spans="1:24" ht="12.75" customHeight="1" x14ac:dyDescent="0.2">
      <c r="A329" s="19">
        <v>327</v>
      </c>
      <c r="B329" s="19" t="s">
        <v>3480</v>
      </c>
      <c r="C329" s="19" t="e">
        <f t="shared" si="7"/>
        <v>#REF!</v>
      </c>
      <c r="D329" s="19" t="e">
        <f t="shared" si="8"/>
        <v>#REF!</v>
      </c>
      <c r="E329" s="19" t="e">
        <f t="shared" si="9"/>
        <v>#REF!</v>
      </c>
      <c r="F329" s="19" t="e">
        <f>VLOOKUP(B329,'Station List'!#REF!,2,0)</f>
        <v>#REF!</v>
      </c>
      <c r="G329" s="19" t="e">
        <f>VLOOKUP(B329,#REF!,2,0)</f>
        <v>#REF!</v>
      </c>
      <c r="H329" s="19" t="e">
        <f t="shared" si="3"/>
        <v>#REF!</v>
      </c>
      <c r="I329" s="19" t="e">
        <f>VLOOKUP(B329,'Station List'!#REF!,4,0)</f>
        <v>#REF!</v>
      </c>
      <c r="J329" s="19" t="e">
        <f>VLOOKUP(B329,#REF!,3,0)</f>
        <v>#REF!</v>
      </c>
      <c r="K329" s="19" t="e">
        <f t="shared" si="33"/>
        <v>#REF!</v>
      </c>
      <c r="L329" s="19" t="e">
        <f>VLOOKUP(B328,'Station List'!#REF!,9,0)</f>
        <v>#REF!</v>
      </c>
      <c r="M329" s="19" t="e">
        <f>VLOOKUP(B328,#REF!,4,0)</f>
        <v>#REF!</v>
      </c>
      <c r="N329" s="17"/>
      <c r="O329" s="17"/>
      <c r="P329" s="17"/>
      <c r="Q329" s="17"/>
      <c r="R329" s="17"/>
      <c r="S329" s="17"/>
      <c r="T329" s="17"/>
      <c r="U329" s="17"/>
      <c r="V329" s="17"/>
      <c r="W329" s="17" t="e">
        <f t="shared" si="34"/>
        <v>#REF!</v>
      </c>
      <c r="X329" s="17" t="e">
        <f t="shared" si="32"/>
        <v>#REF!</v>
      </c>
    </row>
    <row r="330" spans="1:24" ht="12.75" customHeight="1" x14ac:dyDescent="0.2">
      <c r="A330" s="19">
        <v>328</v>
      </c>
      <c r="B330" s="19" t="s">
        <v>3481</v>
      </c>
      <c r="C330" s="19" t="e">
        <f t="shared" si="7"/>
        <v>#REF!</v>
      </c>
      <c r="D330" s="19" t="e">
        <f t="shared" si="8"/>
        <v>#REF!</v>
      </c>
      <c r="E330" s="19" t="e">
        <f t="shared" si="9"/>
        <v>#REF!</v>
      </c>
      <c r="F330" s="19" t="e">
        <f>VLOOKUP(B330,'Station List'!#REF!,2,0)</f>
        <v>#REF!</v>
      </c>
      <c r="G330" s="19" t="e">
        <f>VLOOKUP(B330,#REF!,2,0)</f>
        <v>#REF!</v>
      </c>
      <c r="H330" s="19" t="e">
        <f t="shared" si="3"/>
        <v>#REF!</v>
      </c>
      <c r="I330" s="19" t="e">
        <f>VLOOKUP(B330,'Station List'!#REF!,4,0)</f>
        <v>#REF!</v>
      </c>
      <c r="J330" s="19" t="e">
        <f>VLOOKUP(B330,#REF!,3,0)</f>
        <v>#REF!</v>
      </c>
      <c r="K330" s="19" t="e">
        <f t="shared" si="33"/>
        <v>#REF!</v>
      </c>
      <c r="L330" s="19" t="e">
        <f>VLOOKUP(B329,'Station List'!#REF!,9,0)</f>
        <v>#REF!</v>
      </c>
      <c r="M330" s="19" t="e">
        <f>VLOOKUP(B329,#REF!,4,0)</f>
        <v>#REF!</v>
      </c>
      <c r="N330" s="17"/>
      <c r="O330" s="17"/>
      <c r="P330" s="17"/>
      <c r="Q330" s="17"/>
      <c r="R330" s="17"/>
      <c r="S330" s="17"/>
      <c r="T330" s="17"/>
      <c r="U330" s="17"/>
      <c r="V330" s="17"/>
      <c r="W330" s="17" t="e">
        <f t="shared" si="34"/>
        <v>#REF!</v>
      </c>
      <c r="X330" s="17" t="e">
        <f t="shared" si="32"/>
        <v>#REF!</v>
      </c>
    </row>
    <row r="331" spans="1:24" ht="12.75" customHeight="1" x14ac:dyDescent="0.2">
      <c r="A331" s="19">
        <v>329</v>
      </c>
      <c r="B331" s="19" t="s">
        <v>3482</v>
      </c>
      <c r="C331" s="19" t="e">
        <f t="shared" si="7"/>
        <v>#REF!</v>
      </c>
      <c r="D331" s="19" t="e">
        <f t="shared" si="8"/>
        <v>#REF!</v>
      </c>
      <c r="E331" s="19" t="e">
        <f t="shared" si="9"/>
        <v>#REF!</v>
      </c>
      <c r="F331" s="19" t="e">
        <f>VLOOKUP(B331,'Station List'!#REF!,2,0)</f>
        <v>#REF!</v>
      </c>
      <c r="G331" s="19" t="e">
        <f>VLOOKUP(B331,#REF!,2,0)</f>
        <v>#REF!</v>
      </c>
      <c r="H331" s="19" t="e">
        <f t="shared" si="3"/>
        <v>#REF!</v>
      </c>
      <c r="I331" s="19" t="e">
        <f>VLOOKUP(B331,'Station List'!#REF!,4,0)</f>
        <v>#REF!</v>
      </c>
      <c r="J331" s="19" t="e">
        <f>VLOOKUP(B331,#REF!,3,0)</f>
        <v>#REF!</v>
      </c>
      <c r="K331" s="19" t="e">
        <f t="shared" si="33"/>
        <v>#REF!</v>
      </c>
      <c r="L331" s="19" t="e">
        <f>VLOOKUP(B330,'Station List'!#REF!,9,0)</f>
        <v>#REF!</v>
      </c>
      <c r="M331" s="19" t="e">
        <f>VLOOKUP(B330,#REF!,4,0)</f>
        <v>#REF!</v>
      </c>
      <c r="N331" s="17"/>
      <c r="O331" s="17"/>
      <c r="P331" s="17"/>
      <c r="Q331" s="17"/>
      <c r="R331" s="17"/>
      <c r="S331" s="17"/>
      <c r="T331" s="17"/>
      <c r="U331" s="17"/>
      <c r="V331" s="17"/>
      <c r="W331" s="17" t="e">
        <f t="shared" si="34"/>
        <v>#REF!</v>
      </c>
      <c r="X331" s="17" t="e">
        <f t="shared" si="32"/>
        <v>#REF!</v>
      </c>
    </row>
    <row r="332" spans="1:24" ht="12.75" customHeight="1" x14ac:dyDescent="0.2">
      <c r="A332" s="19">
        <v>330</v>
      </c>
      <c r="B332" s="19" t="s">
        <v>3483</v>
      </c>
      <c r="C332" s="19" t="e">
        <f t="shared" si="7"/>
        <v>#REF!</v>
      </c>
      <c r="D332" s="19" t="e">
        <f t="shared" si="8"/>
        <v>#REF!</v>
      </c>
      <c r="E332" s="19" t="e">
        <f t="shared" si="9"/>
        <v>#REF!</v>
      </c>
      <c r="F332" s="19" t="e">
        <f>VLOOKUP(B332,'Station List'!#REF!,2,0)</f>
        <v>#REF!</v>
      </c>
      <c r="G332" s="19" t="e">
        <f>VLOOKUP(B332,#REF!,2,0)</f>
        <v>#REF!</v>
      </c>
      <c r="H332" s="19" t="e">
        <f t="shared" si="3"/>
        <v>#REF!</v>
      </c>
      <c r="I332" s="19" t="e">
        <f>VLOOKUP(B332,'Station List'!#REF!,4,0)</f>
        <v>#REF!</v>
      </c>
      <c r="J332" s="19" t="e">
        <f>VLOOKUP(B332,#REF!,3,0)</f>
        <v>#REF!</v>
      </c>
      <c r="K332" s="19" t="e">
        <f t="shared" si="33"/>
        <v>#REF!</v>
      </c>
      <c r="L332" s="19" t="e">
        <f>VLOOKUP(B331,'Station List'!#REF!,9,0)</f>
        <v>#REF!</v>
      </c>
      <c r="M332" s="19" t="e">
        <f>VLOOKUP(B331,#REF!,4,0)</f>
        <v>#REF!</v>
      </c>
      <c r="N332" s="17"/>
      <c r="O332" s="17"/>
      <c r="P332" s="17"/>
      <c r="Q332" s="17"/>
      <c r="R332" s="17"/>
      <c r="S332" s="17"/>
      <c r="T332" s="17"/>
      <c r="U332" s="17"/>
      <c r="V332" s="17"/>
      <c r="W332" s="17" t="e">
        <f t="shared" si="34"/>
        <v>#REF!</v>
      </c>
      <c r="X332" s="17" t="e">
        <f t="shared" si="32"/>
        <v>#REF!</v>
      </c>
    </row>
    <row r="333" spans="1:24" ht="12.75" customHeight="1" x14ac:dyDescent="0.2">
      <c r="A333" s="19">
        <v>331</v>
      </c>
      <c r="B333" s="19" t="s">
        <v>3484</v>
      </c>
      <c r="C333" s="19" t="e">
        <f t="shared" si="7"/>
        <v>#REF!</v>
      </c>
      <c r="D333" s="19" t="e">
        <f t="shared" si="8"/>
        <v>#REF!</v>
      </c>
      <c r="E333" s="19" t="e">
        <f t="shared" si="9"/>
        <v>#REF!</v>
      </c>
      <c r="F333" s="19" t="e">
        <f>VLOOKUP(B333,'Station List'!#REF!,2,0)</f>
        <v>#REF!</v>
      </c>
      <c r="G333" s="19" t="e">
        <f>VLOOKUP(B333,#REF!,2,0)</f>
        <v>#REF!</v>
      </c>
      <c r="H333" s="19" t="e">
        <f t="shared" si="3"/>
        <v>#REF!</v>
      </c>
      <c r="I333" s="19" t="e">
        <f>VLOOKUP(B333,'Station List'!#REF!,4,0)</f>
        <v>#REF!</v>
      </c>
      <c r="J333" s="19" t="e">
        <f>VLOOKUP(B333,#REF!,3,0)</f>
        <v>#REF!</v>
      </c>
      <c r="K333" s="19" t="e">
        <f t="shared" si="33"/>
        <v>#REF!</v>
      </c>
      <c r="L333" s="19" t="e">
        <f>VLOOKUP(B332,'Station List'!#REF!,9,0)</f>
        <v>#REF!</v>
      </c>
      <c r="M333" s="19" t="e">
        <f>VLOOKUP(B332,#REF!,4,0)</f>
        <v>#REF!</v>
      </c>
      <c r="N333" s="17"/>
      <c r="O333" s="17"/>
      <c r="P333" s="17"/>
      <c r="Q333" s="17"/>
      <c r="R333" s="17"/>
      <c r="S333" s="17"/>
      <c r="T333" s="17"/>
      <c r="U333" s="17"/>
      <c r="V333" s="17"/>
      <c r="W333" s="17" t="e">
        <f t="shared" si="34"/>
        <v>#REF!</v>
      </c>
      <c r="X333" s="17" t="e">
        <f t="shared" si="32"/>
        <v>#REF!</v>
      </c>
    </row>
    <row r="334" spans="1:24" ht="12.75" customHeight="1" x14ac:dyDescent="0.2">
      <c r="A334" s="19">
        <v>332</v>
      </c>
      <c r="B334" s="19" t="s">
        <v>3485</v>
      </c>
      <c r="C334" s="19" t="e">
        <f t="shared" si="7"/>
        <v>#REF!</v>
      </c>
      <c r="D334" s="19" t="e">
        <f t="shared" si="8"/>
        <v>#REF!</v>
      </c>
      <c r="E334" s="19" t="e">
        <f t="shared" si="9"/>
        <v>#REF!</v>
      </c>
      <c r="F334" s="19" t="e">
        <f>VLOOKUP(B334,'Station List'!#REF!,2,0)</f>
        <v>#REF!</v>
      </c>
      <c r="G334" s="19" t="e">
        <f>VLOOKUP(B334,#REF!,2,0)</f>
        <v>#REF!</v>
      </c>
      <c r="H334" s="19" t="e">
        <f t="shared" si="3"/>
        <v>#REF!</v>
      </c>
      <c r="I334" s="19" t="e">
        <f>VLOOKUP(B334,'Station List'!#REF!,4,0)</f>
        <v>#REF!</v>
      </c>
      <c r="J334" s="19" t="e">
        <f>VLOOKUP(B334,#REF!,3,0)</f>
        <v>#REF!</v>
      </c>
      <c r="K334" s="19" t="e">
        <f t="shared" si="33"/>
        <v>#REF!</v>
      </c>
      <c r="L334" s="19" t="e">
        <f>VLOOKUP(B333,'Station List'!#REF!,9,0)</f>
        <v>#REF!</v>
      </c>
      <c r="M334" s="19" t="e">
        <f>VLOOKUP(B333,#REF!,4,0)</f>
        <v>#REF!</v>
      </c>
      <c r="N334" s="17"/>
      <c r="O334" s="17"/>
      <c r="P334" s="17"/>
      <c r="Q334" s="17"/>
      <c r="R334" s="17"/>
      <c r="S334" s="17"/>
      <c r="T334" s="17"/>
      <c r="U334" s="17"/>
      <c r="V334" s="17"/>
      <c r="W334" s="17" t="e">
        <f t="shared" si="34"/>
        <v>#REF!</v>
      </c>
      <c r="X334" s="17" t="e">
        <f t="shared" si="32"/>
        <v>#REF!</v>
      </c>
    </row>
    <row r="335" spans="1:24" ht="12.75" customHeight="1" x14ac:dyDescent="0.2">
      <c r="A335" s="19">
        <v>333</v>
      </c>
      <c r="B335" s="19" t="s">
        <v>3486</v>
      </c>
      <c r="C335" s="19" t="e">
        <f t="shared" si="7"/>
        <v>#REF!</v>
      </c>
      <c r="D335" s="19" t="e">
        <f t="shared" si="8"/>
        <v>#REF!</v>
      </c>
      <c r="E335" s="19" t="e">
        <f t="shared" si="9"/>
        <v>#REF!</v>
      </c>
      <c r="F335" s="19" t="e">
        <f>VLOOKUP(B335,'Station List'!#REF!,2,0)</f>
        <v>#REF!</v>
      </c>
      <c r="G335" s="19" t="e">
        <f>VLOOKUP(B335,#REF!,2,0)</f>
        <v>#REF!</v>
      </c>
      <c r="H335" s="19" t="e">
        <f t="shared" si="3"/>
        <v>#REF!</v>
      </c>
      <c r="I335" s="19" t="e">
        <f>VLOOKUP(B335,'Station List'!#REF!,4,0)</f>
        <v>#REF!</v>
      </c>
      <c r="J335" s="19" t="e">
        <f>VLOOKUP(B335,#REF!,3,0)</f>
        <v>#REF!</v>
      </c>
      <c r="K335" s="19" t="e">
        <f t="shared" si="33"/>
        <v>#REF!</v>
      </c>
      <c r="L335" s="19" t="e">
        <f>VLOOKUP(B334,'Station List'!#REF!,9,0)</f>
        <v>#REF!</v>
      </c>
      <c r="M335" s="19" t="e">
        <f>VLOOKUP(B334,#REF!,4,0)</f>
        <v>#REF!</v>
      </c>
      <c r="N335" s="17"/>
      <c r="O335" s="17"/>
      <c r="P335" s="17"/>
      <c r="Q335" s="17"/>
      <c r="R335" s="17"/>
      <c r="S335" s="17"/>
      <c r="T335" s="17"/>
      <c r="U335" s="17"/>
      <c r="V335" s="17"/>
      <c r="W335" s="17" t="e">
        <f t="shared" si="34"/>
        <v>#REF!</v>
      </c>
      <c r="X335" s="17" t="e">
        <f t="shared" si="32"/>
        <v>#REF!</v>
      </c>
    </row>
    <row r="336" spans="1:24" ht="12.75" customHeight="1" x14ac:dyDescent="0.2">
      <c r="A336" s="19">
        <v>334</v>
      </c>
      <c r="B336" s="19" t="s">
        <v>3487</v>
      </c>
      <c r="C336" s="19" t="e">
        <f t="shared" si="7"/>
        <v>#REF!</v>
      </c>
      <c r="D336" s="19" t="e">
        <f t="shared" si="8"/>
        <v>#REF!</v>
      </c>
      <c r="E336" s="19" t="e">
        <f t="shared" si="9"/>
        <v>#REF!</v>
      </c>
      <c r="F336" s="19" t="e">
        <f>VLOOKUP(B336,'Station List'!#REF!,2,0)</f>
        <v>#REF!</v>
      </c>
      <c r="G336" s="19" t="e">
        <f>VLOOKUP(B336,#REF!,2,0)</f>
        <v>#REF!</v>
      </c>
      <c r="H336" s="19" t="e">
        <f t="shared" si="3"/>
        <v>#REF!</v>
      </c>
      <c r="I336" s="19" t="e">
        <f>VLOOKUP(B336,'Station List'!#REF!,4,0)</f>
        <v>#REF!</v>
      </c>
      <c r="J336" s="19" t="e">
        <f>VLOOKUP(B336,#REF!,3,0)</f>
        <v>#REF!</v>
      </c>
      <c r="K336" s="19" t="e">
        <f t="shared" si="33"/>
        <v>#REF!</v>
      </c>
      <c r="L336" s="19" t="e">
        <f>VLOOKUP(B335,'Station List'!#REF!,9,0)</f>
        <v>#REF!</v>
      </c>
      <c r="M336" s="19" t="e">
        <f>VLOOKUP(B335,#REF!,4,0)</f>
        <v>#REF!</v>
      </c>
      <c r="N336" s="17"/>
      <c r="O336" s="17"/>
      <c r="P336" s="17"/>
      <c r="Q336" s="17"/>
      <c r="R336" s="17"/>
      <c r="S336" s="17"/>
      <c r="T336" s="17"/>
      <c r="U336" s="17"/>
      <c r="V336" s="17"/>
      <c r="W336" s="17" t="e">
        <f t="shared" si="34"/>
        <v>#REF!</v>
      </c>
      <c r="X336" s="17" t="e">
        <f t="shared" si="32"/>
        <v>#REF!</v>
      </c>
    </row>
    <row r="337" spans="1:24" ht="12.75" customHeight="1" x14ac:dyDescent="0.2">
      <c r="A337" s="19">
        <v>335</v>
      </c>
      <c r="B337" s="19" t="s">
        <v>3488</v>
      </c>
      <c r="C337" s="19" t="e">
        <f t="shared" si="7"/>
        <v>#REF!</v>
      </c>
      <c r="D337" s="19" t="e">
        <f t="shared" si="8"/>
        <v>#REF!</v>
      </c>
      <c r="E337" s="19" t="e">
        <f t="shared" si="9"/>
        <v>#REF!</v>
      </c>
      <c r="F337" s="19" t="e">
        <f>VLOOKUP(B337,'Station List'!#REF!,2,0)</f>
        <v>#REF!</v>
      </c>
      <c r="G337" s="19" t="e">
        <f>VLOOKUP(B337,#REF!,2,0)</f>
        <v>#REF!</v>
      </c>
      <c r="H337" s="19" t="e">
        <f t="shared" si="3"/>
        <v>#REF!</v>
      </c>
      <c r="I337" s="19" t="e">
        <f>VLOOKUP(B337,'Station List'!#REF!,4,0)</f>
        <v>#REF!</v>
      </c>
      <c r="J337" s="19" t="e">
        <f>VLOOKUP(B337,#REF!,3,0)</f>
        <v>#REF!</v>
      </c>
      <c r="K337" s="19" t="e">
        <f t="shared" si="33"/>
        <v>#REF!</v>
      </c>
      <c r="L337" s="19" t="e">
        <f>VLOOKUP(B336,'Station List'!#REF!,9,0)</f>
        <v>#REF!</v>
      </c>
      <c r="M337" s="19" t="e">
        <f>VLOOKUP(B336,#REF!,4,0)</f>
        <v>#REF!</v>
      </c>
      <c r="N337" s="17"/>
      <c r="O337" s="17"/>
      <c r="P337" s="17"/>
      <c r="Q337" s="17"/>
      <c r="R337" s="17"/>
      <c r="S337" s="17"/>
      <c r="T337" s="17"/>
      <c r="U337" s="17"/>
      <c r="V337" s="17"/>
      <c r="W337" s="17" t="e">
        <f t="shared" si="34"/>
        <v>#REF!</v>
      </c>
      <c r="X337" s="17" t="e">
        <f t="shared" si="32"/>
        <v>#REF!</v>
      </c>
    </row>
    <row r="338" spans="1:24" ht="12.75" customHeight="1" x14ac:dyDescent="0.2">
      <c r="A338" s="19">
        <v>336</v>
      </c>
      <c r="B338" s="19" t="s">
        <v>3489</v>
      </c>
      <c r="C338" s="19" t="e">
        <f t="shared" si="7"/>
        <v>#REF!</v>
      </c>
      <c r="D338" s="19" t="e">
        <f t="shared" si="8"/>
        <v>#REF!</v>
      </c>
      <c r="E338" s="19" t="e">
        <f t="shared" si="9"/>
        <v>#REF!</v>
      </c>
      <c r="F338" s="19" t="e">
        <f>VLOOKUP(B338,'Station List'!#REF!,2,0)</f>
        <v>#REF!</v>
      </c>
      <c r="G338" s="19" t="e">
        <f>VLOOKUP(B338,#REF!,2,0)</f>
        <v>#REF!</v>
      </c>
      <c r="H338" s="19" t="e">
        <f t="shared" si="3"/>
        <v>#REF!</v>
      </c>
      <c r="I338" s="19" t="e">
        <f>VLOOKUP(B338,'Station List'!#REF!,4,0)</f>
        <v>#REF!</v>
      </c>
      <c r="J338" s="19" t="e">
        <f>VLOOKUP(B338,#REF!,3,0)</f>
        <v>#REF!</v>
      </c>
      <c r="K338" s="19" t="e">
        <f t="shared" si="33"/>
        <v>#REF!</v>
      </c>
      <c r="L338" s="19" t="e">
        <f>VLOOKUP(B337,'Station List'!#REF!,9,0)</f>
        <v>#REF!</v>
      </c>
      <c r="M338" s="19" t="e">
        <f>VLOOKUP(B337,#REF!,4,0)</f>
        <v>#REF!</v>
      </c>
      <c r="N338" s="17"/>
      <c r="O338" s="17"/>
      <c r="P338" s="17"/>
      <c r="Q338" s="17"/>
      <c r="R338" s="17"/>
      <c r="S338" s="17"/>
      <c r="T338" s="17"/>
      <c r="U338" s="17"/>
      <c r="V338" s="17"/>
      <c r="W338" s="17" t="e">
        <f t="shared" si="34"/>
        <v>#REF!</v>
      </c>
      <c r="X338" s="17" t="e">
        <f t="shared" si="32"/>
        <v>#REF!</v>
      </c>
    </row>
    <row r="339" spans="1:24" ht="12.75" customHeight="1" x14ac:dyDescent="0.2">
      <c r="A339" s="19">
        <v>337</v>
      </c>
      <c r="B339" s="19" t="s">
        <v>3490</v>
      </c>
      <c r="C339" s="19" t="e">
        <f t="shared" si="7"/>
        <v>#REF!</v>
      </c>
      <c r="D339" s="19" t="e">
        <f t="shared" si="8"/>
        <v>#REF!</v>
      </c>
      <c r="E339" s="19" t="e">
        <f t="shared" si="9"/>
        <v>#REF!</v>
      </c>
      <c r="F339" s="19" t="e">
        <f>VLOOKUP(B339,'Station List'!#REF!,2,0)</f>
        <v>#REF!</v>
      </c>
      <c r="G339" s="19" t="e">
        <f>VLOOKUP(B339,#REF!,2,0)</f>
        <v>#REF!</v>
      </c>
      <c r="H339" s="19" t="e">
        <f t="shared" si="3"/>
        <v>#REF!</v>
      </c>
      <c r="I339" s="19" t="e">
        <f>VLOOKUP(B339,'Station List'!#REF!,4,0)</f>
        <v>#REF!</v>
      </c>
      <c r="J339" s="19" t="e">
        <f>VLOOKUP(B339,#REF!,3,0)</f>
        <v>#REF!</v>
      </c>
      <c r="K339" s="19" t="e">
        <f t="shared" si="33"/>
        <v>#REF!</v>
      </c>
      <c r="L339" s="19" t="e">
        <f>VLOOKUP(B338,'Station List'!#REF!,9,0)</f>
        <v>#REF!</v>
      </c>
      <c r="M339" s="19" t="e">
        <f>VLOOKUP(B338,#REF!,4,0)</f>
        <v>#REF!</v>
      </c>
      <c r="N339" s="17"/>
      <c r="O339" s="17"/>
      <c r="P339" s="17"/>
      <c r="Q339" s="17"/>
      <c r="R339" s="17"/>
      <c r="S339" s="17"/>
      <c r="T339" s="17"/>
      <c r="U339" s="17"/>
      <c r="V339" s="17"/>
      <c r="W339" s="17" t="e">
        <f t="shared" si="34"/>
        <v>#REF!</v>
      </c>
      <c r="X339" s="17" t="e">
        <f t="shared" si="32"/>
        <v>#REF!</v>
      </c>
    </row>
    <row r="340" spans="1:24" ht="12.75" customHeight="1" x14ac:dyDescent="0.2">
      <c r="A340" s="19">
        <v>338</v>
      </c>
      <c r="B340" s="19" t="s">
        <v>3491</v>
      </c>
      <c r="C340" s="19" t="e">
        <f t="shared" si="7"/>
        <v>#REF!</v>
      </c>
      <c r="D340" s="19" t="e">
        <f t="shared" si="8"/>
        <v>#REF!</v>
      </c>
      <c r="E340" s="19" t="e">
        <f t="shared" si="9"/>
        <v>#REF!</v>
      </c>
      <c r="F340" s="19" t="e">
        <f>VLOOKUP(B340,'Station List'!#REF!,2,0)</f>
        <v>#REF!</v>
      </c>
      <c r="G340" s="19" t="e">
        <f>VLOOKUP(B340,#REF!,2,0)</f>
        <v>#REF!</v>
      </c>
      <c r="H340" s="19" t="e">
        <f t="shared" si="3"/>
        <v>#REF!</v>
      </c>
      <c r="I340" s="19" t="e">
        <f>VLOOKUP(B340,'Station List'!#REF!,I341,0)</f>
        <v>#REF!</v>
      </c>
      <c r="J340" s="19" t="e">
        <f>VLOOKUP(B340,#REF!,3,0)</f>
        <v>#REF!</v>
      </c>
      <c r="K340" s="19" t="e">
        <f t="shared" si="33"/>
        <v>#REF!</v>
      </c>
      <c r="L340" s="19" t="e">
        <f>VLOOKUP(B339,'Station List'!#REF!,9,0)</f>
        <v>#REF!</v>
      </c>
      <c r="M340" s="19" t="e">
        <f>VLOOKUP(B339,#REF!,4,0)</f>
        <v>#REF!</v>
      </c>
      <c r="N340" s="17"/>
      <c r="O340" s="17"/>
      <c r="P340" s="17"/>
      <c r="Q340" s="17"/>
      <c r="R340" s="17"/>
      <c r="S340" s="17"/>
      <c r="T340" s="17"/>
      <c r="U340" s="17"/>
      <c r="V340" s="17"/>
      <c r="W340" s="17" t="e">
        <f t="shared" si="34"/>
        <v>#REF!</v>
      </c>
      <c r="X340" s="17" t="e">
        <f t="shared" si="32"/>
        <v>#REF!</v>
      </c>
    </row>
    <row r="341" spans="1:24" ht="12.75" customHeight="1" x14ac:dyDescent="0.2">
      <c r="A341" s="19">
        <v>339</v>
      </c>
      <c r="B341" s="19" t="s">
        <v>3492</v>
      </c>
      <c r="C341" s="19" t="e">
        <f t="shared" si="7"/>
        <v>#REF!</v>
      </c>
      <c r="D341" s="19" t="e">
        <f t="shared" si="8"/>
        <v>#REF!</v>
      </c>
      <c r="E341" s="19" t="e">
        <f t="shared" si="9"/>
        <v>#REF!</v>
      </c>
      <c r="F341" s="19" t="e">
        <f>VLOOKUP(B341,'Station List'!#REF!,2,0)</f>
        <v>#REF!</v>
      </c>
      <c r="G341" s="19" t="e">
        <f>VLOOKUP(B341,#REF!,2,0)</f>
        <v>#REF!</v>
      </c>
      <c r="H341" s="19" t="e">
        <f t="shared" si="3"/>
        <v>#REF!</v>
      </c>
      <c r="I341" s="19" t="e">
        <f>VLOOKUP(B341,'Station List'!#REF!,4,0)</f>
        <v>#REF!</v>
      </c>
      <c r="J341" s="19" t="e">
        <f>VLOOKUP(B341,#REF!,3,0)</f>
        <v>#REF!</v>
      </c>
      <c r="K341" s="19" t="e">
        <f t="shared" si="33"/>
        <v>#REF!</v>
      </c>
      <c r="L341" s="19" t="e">
        <f>VLOOKUP(B340,'Station List'!#REF!,9,0)</f>
        <v>#REF!</v>
      </c>
      <c r="M341" s="19" t="e">
        <f>VLOOKUP(B340,#REF!,4,0)</f>
        <v>#REF!</v>
      </c>
      <c r="N341" s="17"/>
      <c r="O341" s="17"/>
      <c r="P341" s="17"/>
      <c r="Q341" s="17"/>
      <c r="R341" s="17"/>
      <c r="S341" s="17"/>
      <c r="T341" s="17"/>
      <c r="U341" s="17"/>
      <c r="V341" s="17"/>
      <c r="W341" s="17" t="e">
        <f t="shared" si="34"/>
        <v>#REF!</v>
      </c>
      <c r="X341" s="17" t="e">
        <f t="shared" si="32"/>
        <v>#REF!</v>
      </c>
    </row>
    <row r="342" spans="1:24" ht="12.75" customHeight="1" x14ac:dyDescent="0.2">
      <c r="A342" s="19">
        <v>340</v>
      </c>
      <c r="B342" s="19" t="s">
        <v>3493</v>
      </c>
      <c r="C342" s="19" t="e">
        <f t="shared" si="7"/>
        <v>#REF!</v>
      </c>
      <c r="D342" s="19" t="e">
        <f t="shared" si="8"/>
        <v>#REF!</v>
      </c>
      <c r="E342" s="19" t="e">
        <f t="shared" si="9"/>
        <v>#REF!</v>
      </c>
      <c r="F342" s="19" t="e">
        <f>VLOOKUP(B342,'Station List'!#REF!,2,0)</f>
        <v>#REF!</v>
      </c>
      <c r="G342" s="19" t="e">
        <f>VLOOKUP(B342,#REF!,2,0)</f>
        <v>#REF!</v>
      </c>
      <c r="H342" s="19" t="e">
        <f t="shared" si="3"/>
        <v>#REF!</v>
      </c>
      <c r="I342" s="19" t="e">
        <f>VLOOKUP(B342,'Station List'!#REF!,4,0)</f>
        <v>#REF!</v>
      </c>
      <c r="J342" s="19" t="e">
        <f>VLOOKUP(B342,#REF!,3,0)</f>
        <v>#REF!</v>
      </c>
      <c r="K342" s="19" t="e">
        <f t="shared" si="33"/>
        <v>#REF!</v>
      </c>
      <c r="L342" s="19" t="e">
        <f>VLOOKUP(B341,'Station List'!#REF!,9,0)</f>
        <v>#REF!</v>
      </c>
      <c r="M342" s="19" t="e">
        <f>VLOOKUP(B341,#REF!,4,0)</f>
        <v>#REF!</v>
      </c>
      <c r="N342" s="17"/>
      <c r="O342" s="17"/>
      <c r="P342" s="17"/>
      <c r="Q342" s="17"/>
      <c r="R342" s="17"/>
      <c r="S342" s="17"/>
      <c r="T342" s="17"/>
      <c r="U342" s="17"/>
      <c r="V342" s="17"/>
      <c r="W342" s="17" t="e">
        <f t="shared" si="34"/>
        <v>#REF!</v>
      </c>
      <c r="X342" s="17" t="e">
        <f t="shared" si="32"/>
        <v>#REF!</v>
      </c>
    </row>
    <row r="343" spans="1:24" ht="12.75" customHeight="1" x14ac:dyDescent="0.2">
      <c r="A343" s="19">
        <v>341</v>
      </c>
      <c r="B343" s="19" t="s">
        <v>3494</v>
      </c>
      <c r="C343" s="19" t="e">
        <f t="shared" si="7"/>
        <v>#REF!</v>
      </c>
      <c r="D343" s="19" t="e">
        <f t="shared" si="8"/>
        <v>#REF!</v>
      </c>
      <c r="E343" s="19" t="e">
        <f t="shared" si="9"/>
        <v>#REF!</v>
      </c>
      <c r="F343" s="19" t="e">
        <f>VLOOKUP(B343,'Station List'!#REF!,2,0)</f>
        <v>#REF!</v>
      </c>
      <c r="G343" s="19" t="e">
        <f>VLOOKUP(B343,#REF!,2,0)</f>
        <v>#REF!</v>
      </c>
      <c r="H343" s="19" t="e">
        <f t="shared" si="3"/>
        <v>#REF!</v>
      </c>
      <c r="I343" s="19" t="e">
        <f>VLOOKUP(B343,'Station List'!#REF!,4,0)</f>
        <v>#REF!</v>
      </c>
      <c r="J343" s="19" t="e">
        <f>VLOOKUP(B343,#REF!,3,0)</f>
        <v>#REF!</v>
      </c>
      <c r="K343" s="19" t="e">
        <f t="shared" si="33"/>
        <v>#REF!</v>
      </c>
      <c r="L343" s="19" t="e">
        <f>VLOOKUP(B342,'Station List'!#REF!,9,0)</f>
        <v>#REF!</v>
      </c>
      <c r="M343" s="19" t="e">
        <f>VLOOKUP(B342,#REF!,4,0)</f>
        <v>#REF!</v>
      </c>
      <c r="N343" s="17"/>
      <c r="O343" s="17"/>
      <c r="P343" s="17"/>
      <c r="Q343" s="17"/>
      <c r="R343" s="17"/>
      <c r="S343" s="17"/>
      <c r="T343" s="17"/>
      <c r="U343" s="17"/>
      <c r="V343" s="17"/>
      <c r="W343" s="17" t="e">
        <f t="shared" si="34"/>
        <v>#REF!</v>
      </c>
      <c r="X343" s="17" t="e">
        <f t="shared" si="32"/>
        <v>#REF!</v>
      </c>
    </row>
    <row r="344" spans="1:24" ht="12.75" customHeight="1" x14ac:dyDescent="0.2">
      <c r="A344" s="19">
        <v>342</v>
      </c>
      <c r="B344" s="19" t="s">
        <v>3495</v>
      </c>
      <c r="C344" s="19" t="e">
        <f t="shared" si="7"/>
        <v>#REF!</v>
      </c>
      <c r="D344" s="19" t="e">
        <f t="shared" si="8"/>
        <v>#REF!</v>
      </c>
      <c r="E344" s="19" t="e">
        <f t="shared" si="9"/>
        <v>#REF!</v>
      </c>
      <c r="F344" s="19" t="e">
        <f>VLOOKUP(B344,'Station List'!#REF!,2,0)</f>
        <v>#REF!</v>
      </c>
      <c r="G344" s="19" t="e">
        <f>VLOOKUP(B344,#REF!,2,0)</f>
        <v>#REF!</v>
      </c>
      <c r="H344" s="19" t="e">
        <f t="shared" si="3"/>
        <v>#REF!</v>
      </c>
      <c r="I344" s="19" t="e">
        <f>VLOOKUP(B344,'Station List'!#REF!,4,0)</f>
        <v>#REF!</v>
      </c>
      <c r="J344" s="19" t="e">
        <f>VLOOKUP(B344,#REF!,3,0)</f>
        <v>#REF!</v>
      </c>
      <c r="K344" s="19" t="e">
        <f t="shared" si="33"/>
        <v>#REF!</v>
      </c>
      <c r="L344" s="19" t="e">
        <f>VLOOKUP(B343,'Station List'!#REF!,9,0)</f>
        <v>#REF!</v>
      </c>
      <c r="M344" s="19" t="e">
        <f>VLOOKUP(B343,#REF!,4,0)</f>
        <v>#REF!</v>
      </c>
      <c r="N344" s="17"/>
      <c r="O344" s="17"/>
      <c r="P344" s="17"/>
      <c r="Q344" s="17"/>
      <c r="R344" s="17"/>
      <c r="S344" s="17"/>
      <c r="T344" s="17"/>
      <c r="U344" s="17"/>
      <c r="V344" s="17"/>
      <c r="W344" s="17" t="e">
        <f t="shared" si="34"/>
        <v>#REF!</v>
      </c>
      <c r="X344" s="17" t="e">
        <f t="shared" si="32"/>
        <v>#REF!</v>
      </c>
    </row>
    <row r="345" spans="1:24" ht="12.75" customHeight="1" x14ac:dyDescent="0.2">
      <c r="A345" s="19">
        <v>343</v>
      </c>
      <c r="B345" s="19" t="s">
        <v>3496</v>
      </c>
      <c r="C345" s="19" t="e">
        <f t="shared" si="7"/>
        <v>#REF!</v>
      </c>
      <c r="D345" s="19" t="e">
        <f t="shared" si="8"/>
        <v>#REF!</v>
      </c>
      <c r="E345" s="19" t="e">
        <f t="shared" si="9"/>
        <v>#REF!</v>
      </c>
      <c r="F345" s="19" t="e">
        <f>VLOOKUP(B345,'Station List'!#REF!,2,0)</f>
        <v>#REF!</v>
      </c>
      <c r="G345" s="19" t="e">
        <f>VLOOKUP(B345,#REF!,2,0)</f>
        <v>#REF!</v>
      </c>
      <c r="H345" s="19" t="e">
        <f t="shared" si="3"/>
        <v>#REF!</v>
      </c>
      <c r="I345" s="19" t="e">
        <f>VLOOKUP(B345,'Station List'!#REF!,4,0)</f>
        <v>#REF!</v>
      </c>
      <c r="J345" s="19" t="e">
        <f>VLOOKUP(B345,#REF!,3,0)</f>
        <v>#REF!</v>
      </c>
      <c r="K345" s="19" t="e">
        <f t="shared" si="33"/>
        <v>#REF!</v>
      </c>
      <c r="L345" s="19" t="e">
        <f>VLOOKUP(B344,'Station List'!#REF!,9,0)</f>
        <v>#REF!</v>
      </c>
      <c r="M345" s="19" t="e">
        <f>VLOOKUP(B344,#REF!,4,0)</f>
        <v>#REF!</v>
      </c>
      <c r="N345" s="17"/>
      <c r="O345" s="17"/>
      <c r="P345" s="17"/>
      <c r="Q345" s="17"/>
      <c r="R345" s="17"/>
      <c r="S345" s="17"/>
      <c r="T345" s="17"/>
      <c r="U345" s="17"/>
      <c r="V345" s="17"/>
      <c r="W345" s="17" t="e">
        <f t="shared" si="34"/>
        <v>#REF!</v>
      </c>
      <c r="X345" s="17" t="e">
        <f t="shared" si="32"/>
        <v>#REF!</v>
      </c>
    </row>
    <row r="346" spans="1:24" ht="12.75" customHeight="1" x14ac:dyDescent="0.2">
      <c r="A346" s="19">
        <v>344</v>
      </c>
      <c r="B346" s="19" t="s">
        <v>3497</v>
      </c>
      <c r="C346" s="19" t="e">
        <f t="shared" si="7"/>
        <v>#REF!</v>
      </c>
      <c r="D346" s="19" t="e">
        <f t="shared" si="8"/>
        <v>#REF!</v>
      </c>
      <c r="E346" s="19" t="e">
        <f t="shared" si="9"/>
        <v>#REF!</v>
      </c>
      <c r="F346" s="19" t="e">
        <f>VLOOKUP(B346,'Station List'!#REF!,2,0)</f>
        <v>#REF!</v>
      </c>
      <c r="G346" s="19" t="e">
        <f>VLOOKUP(B346,#REF!,2,0)</f>
        <v>#REF!</v>
      </c>
      <c r="H346" s="19" t="e">
        <f t="shared" si="3"/>
        <v>#REF!</v>
      </c>
      <c r="I346" s="19" t="e">
        <f>VLOOKUP(B346,'Station List'!#REF!,4,0)</f>
        <v>#REF!</v>
      </c>
      <c r="J346" s="19" t="e">
        <f>VLOOKUP(B346,#REF!,3,0)</f>
        <v>#REF!</v>
      </c>
      <c r="K346" s="19" t="e">
        <f t="shared" si="33"/>
        <v>#REF!</v>
      </c>
      <c r="L346" s="19" t="e">
        <f>VLOOKUP(B345,'Station List'!#REF!,9,0)</f>
        <v>#REF!</v>
      </c>
      <c r="M346" s="19" t="e">
        <f>VLOOKUP(B345,#REF!,4,0)</f>
        <v>#REF!</v>
      </c>
      <c r="N346" s="17"/>
      <c r="O346" s="17"/>
      <c r="P346" s="17"/>
      <c r="Q346" s="17"/>
      <c r="R346" s="17"/>
      <c r="S346" s="17"/>
      <c r="T346" s="17"/>
      <c r="U346" s="17"/>
      <c r="V346" s="17"/>
      <c r="W346" s="17" t="e">
        <f t="shared" si="34"/>
        <v>#REF!</v>
      </c>
      <c r="X346" s="17" t="e">
        <f t="shared" si="32"/>
        <v>#REF!</v>
      </c>
    </row>
    <row r="347" spans="1:24" ht="12.75" customHeight="1" x14ac:dyDescent="0.2">
      <c r="A347" s="19">
        <v>345</v>
      </c>
      <c r="B347" s="19" t="s">
        <v>3498</v>
      </c>
      <c r="C347" s="19" t="e">
        <f t="shared" si="7"/>
        <v>#REF!</v>
      </c>
      <c r="D347" s="19" t="e">
        <f t="shared" si="8"/>
        <v>#REF!</v>
      </c>
      <c r="E347" s="19" t="e">
        <f t="shared" si="9"/>
        <v>#REF!</v>
      </c>
      <c r="F347" s="19" t="e">
        <f>VLOOKUP(B347,'Station List'!#REF!,2,0)</f>
        <v>#REF!</v>
      </c>
      <c r="G347" s="19" t="e">
        <f>VLOOKUP(B347,#REF!,2,0)</f>
        <v>#REF!</v>
      </c>
      <c r="H347" s="19" t="e">
        <f t="shared" si="3"/>
        <v>#REF!</v>
      </c>
      <c r="I347" s="19" t="e">
        <f>VLOOKUP(B347,'Station List'!#REF!,4,0)</f>
        <v>#REF!</v>
      </c>
      <c r="J347" s="19" t="e">
        <f>VLOOKUP(B347,#REF!,3,0)</f>
        <v>#REF!</v>
      </c>
      <c r="K347" s="19" t="e">
        <f t="shared" si="33"/>
        <v>#REF!</v>
      </c>
      <c r="L347" s="19" t="e">
        <f>VLOOKUP(B346,'Station List'!#REF!,9,0)</f>
        <v>#REF!</v>
      </c>
      <c r="M347" s="19" t="e">
        <f>VLOOKUP(B346,#REF!,4,0)</f>
        <v>#REF!</v>
      </c>
      <c r="N347" s="17"/>
      <c r="O347" s="17"/>
      <c r="P347" s="17"/>
      <c r="Q347" s="17"/>
      <c r="R347" s="17"/>
      <c r="S347" s="17"/>
      <c r="T347" s="17"/>
      <c r="U347" s="17"/>
      <c r="V347" s="17"/>
      <c r="W347" s="17" t="e">
        <f t="shared" si="34"/>
        <v>#REF!</v>
      </c>
      <c r="X347" s="17" t="e">
        <f t="shared" si="32"/>
        <v>#REF!</v>
      </c>
    </row>
    <row r="348" spans="1:24" ht="12.75" customHeight="1" x14ac:dyDescent="0.2">
      <c r="A348" s="19">
        <v>346</v>
      </c>
      <c r="B348" s="19" t="s">
        <v>3499</v>
      </c>
      <c r="C348" s="19" t="e">
        <f t="shared" si="7"/>
        <v>#REF!</v>
      </c>
      <c r="D348" s="19" t="e">
        <f t="shared" si="8"/>
        <v>#REF!</v>
      </c>
      <c r="E348" s="19" t="e">
        <f t="shared" si="9"/>
        <v>#REF!</v>
      </c>
      <c r="F348" s="19" t="e">
        <f>VLOOKUP(B348,'Station List'!#REF!,2,0)</f>
        <v>#REF!</v>
      </c>
      <c r="G348" s="19" t="e">
        <f>VLOOKUP(B348,#REF!,2,0)</f>
        <v>#REF!</v>
      </c>
      <c r="H348" s="19" t="e">
        <f t="shared" si="3"/>
        <v>#REF!</v>
      </c>
      <c r="I348" s="19" t="e">
        <f>VLOOKUP(B348,'Station List'!#REF!,4,0)</f>
        <v>#REF!</v>
      </c>
      <c r="J348" s="19" t="e">
        <f>VLOOKUP(B348,#REF!,3,0)</f>
        <v>#REF!</v>
      </c>
      <c r="K348" s="19" t="e">
        <f t="shared" si="33"/>
        <v>#REF!</v>
      </c>
      <c r="L348" s="19" t="e">
        <f>VLOOKUP(B347,'Station List'!#REF!,9,0)</f>
        <v>#REF!</v>
      </c>
      <c r="M348" s="19" t="e">
        <f>VLOOKUP(B347,#REF!,4,0)</f>
        <v>#REF!</v>
      </c>
      <c r="N348" s="17"/>
      <c r="O348" s="17"/>
      <c r="P348" s="17"/>
      <c r="Q348" s="17"/>
      <c r="R348" s="17"/>
      <c r="S348" s="17"/>
      <c r="T348" s="17"/>
      <c r="U348" s="17"/>
      <c r="V348" s="17"/>
      <c r="W348" s="17" t="e">
        <f t="shared" si="34"/>
        <v>#REF!</v>
      </c>
      <c r="X348" s="17" t="e">
        <f t="shared" si="32"/>
        <v>#REF!</v>
      </c>
    </row>
    <row r="349" spans="1:24" ht="12.75" customHeight="1" x14ac:dyDescent="0.2">
      <c r="A349" s="19">
        <v>347</v>
      </c>
      <c r="B349" s="19" t="s">
        <v>3500</v>
      </c>
      <c r="C349" s="19" t="e">
        <f t="shared" si="7"/>
        <v>#REF!</v>
      </c>
      <c r="D349" s="19" t="e">
        <f t="shared" si="8"/>
        <v>#REF!</v>
      </c>
      <c r="E349" s="19" t="e">
        <f t="shared" si="9"/>
        <v>#REF!</v>
      </c>
      <c r="F349" s="19" t="e">
        <f>VLOOKUP(B349,'Station List'!#REF!,2,0)</f>
        <v>#REF!</v>
      </c>
      <c r="G349" s="19" t="e">
        <f>VLOOKUP(B349,#REF!,2,0)</f>
        <v>#REF!</v>
      </c>
      <c r="H349" s="19" t="e">
        <f t="shared" si="3"/>
        <v>#REF!</v>
      </c>
      <c r="I349" s="19" t="e">
        <f>VLOOKUP(B349,'Station List'!#REF!,4,0)</f>
        <v>#REF!</v>
      </c>
      <c r="J349" s="19" t="e">
        <f>VLOOKUP(B349,#REF!,3,0)</f>
        <v>#REF!</v>
      </c>
      <c r="K349" s="19" t="e">
        <f t="shared" si="33"/>
        <v>#REF!</v>
      </c>
      <c r="L349" s="19" t="e">
        <f>VLOOKUP(B348,'Station List'!#REF!,9,0)</f>
        <v>#REF!</v>
      </c>
      <c r="M349" s="19" t="e">
        <f>VLOOKUP(B348,#REF!,4,0)</f>
        <v>#REF!</v>
      </c>
      <c r="N349" s="17"/>
      <c r="O349" s="17"/>
      <c r="P349" s="17"/>
      <c r="Q349" s="17"/>
      <c r="R349" s="17"/>
      <c r="S349" s="17"/>
      <c r="T349" s="17"/>
      <c r="U349" s="17"/>
      <c r="V349" s="17"/>
      <c r="W349" s="17" t="e">
        <f t="shared" si="34"/>
        <v>#REF!</v>
      </c>
      <c r="X349" s="17" t="e">
        <f t="shared" si="32"/>
        <v>#REF!</v>
      </c>
    </row>
    <row r="350" spans="1:24" ht="12.75" customHeight="1" x14ac:dyDescent="0.2">
      <c r="A350" s="19">
        <v>348</v>
      </c>
      <c r="B350" s="19" t="s">
        <v>3501</v>
      </c>
      <c r="C350" s="19" t="e">
        <f t="shared" si="7"/>
        <v>#REF!</v>
      </c>
      <c r="D350" s="19" t="e">
        <f t="shared" si="8"/>
        <v>#REF!</v>
      </c>
      <c r="E350" s="19" t="e">
        <f t="shared" si="9"/>
        <v>#REF!</v>
      </c>
      <c r="F350" s="19" t="e">
        <f>VLOOKUP(B350,'Station List'!#REF!,2,0)</f>
        <v>#REF!</v>
      </c>
      <c r="G350" s="19" t="e">
        <f>VLOOKUP(B350,#REF!,2,0)</f>
        <v>#REF!</v>
      </c>
      <c r="H350" s="19" t="e">
        <f t="shared" si="3"/>
        <v>#REF!</v>
      </c>
      <c r="I350" s="19" t="e">
        <f>VLOOKUP(B350,'Station List'!#REF!,4,0)</f>
        <v>#REF!</v>
      </c>
      <c r="J350" s="19" t="e">
        <f>VLOOKUP(B350,#REF!,3,0)</f>
        <v>#REF!</v>
      </c>
      <c r="K350" s="19" t="e">
        <f t="shared" si="33"/>
        <v>#REF!</v>
      </c>
      <c r="L350" s="19" t="e">
        <f>VLOOKUP(B349,'Station List'!#REF!,9,0)</f>
        <v>#REF!</v>
      </c>
      <c r="M350" s="19" t="e">
        <f>VLOOKUP(B349,#REF!,4,0)</f>
        <v>#REF!</v>
      </c>
      <c r="N350" s="17"/>
      <c r="O350" s="17"/>
      <c r="P350" s="17"/>
      <c r="Q350" s="17"/>
      <c r="R350" s="17"/>
      <c r="S350" s="17"/>
      <c r="T350" s="17"/>
      <c r="U350" s="17"/>
      <c r="V350" s="17"/>
      <c r="W350" s="17" t="e">
        <f t="shared" si="34"/>
        <v>#REF!</v>
      </c>
      <c r="X350" s="17" t="e">
        <f t="shared" si="32"/>
        <v>#REF!</v>
      </c>
    </row>
    <row r="351" spans="1:24" ht="12.75" customHeight="1" x14ac:dyDescent="0.2">
      <c r="A351" s="19">
        <v>349</v>
      </c>
      <c r="B351" s="19" t="s">
        <v>3502</v>
      </c>
      <c r="C351" s="19" t="e">
        <f t="shared" si="7"/>
        <v>#REF!</v>
      </c>
      <c r="D351" s="19" t="e">
        <f t="shared" si="8"/>
        <v>#REF!</v>
      </c>
      <c r="E351" s="19" t="e">
        <f t="shared" si="9"/>
        <v>#REF!</v>
      </c>
      <c r="F351" s="19" t="e">
        <f>VLOOKUP(B351,'Station List'!#REF!,2,0)</f>
        <v>#REF!</v>
      </c>
      <c r="G351" s="19" t="e">
        <f>VLOOKUP(B351,#REF!,2,0)</f>
        <v>#REF!</v>
      </c>
      <c r="H351" s="19" t="e">
        <f t="shared" si="3"/>
        <v>#REF!</v>
      </c>
      <c r="I351" s="19" t="e">
        <f>VLOOKUP(B351,'Station List'!#REF!,4,0)</f>
        <v>#REF!</v>
      </c>
      <c r="J351" s="19" t="e">
        <f>VLOOKUP(B351,#REF!,3,0)</f>
        <v>#REF!</v>
      </c>
      <c r="K351" s="19" t="e">
        <f t="shared" si="33"/>
        <v>#REF!</v>
      </c>
      <c r="L351" s="19" t="e">
        <f>VLOOKUP(B350,'Station List'!#REF!,9,0)</f>
        <v>#REF!</v>
      </c>
      <c r="M351" s="19" t="e">
        <f>VLOOKUP(B350,#REF!,4,0)</f>
        <v>#REF!</v>
      </c>
      <c r="N351" s="17"/>
      <c r="O351" s="17"/>
      <c r="P351" s="17"/>
      <c r="Q351" s="17"/>
      <c r="R351" s="17"/>
      <c r="S351" s="17"/>
      <c r="T351" s="17"/>
      <c r="U351" s="17"/>
      <c r="V351" s="17"/>
      <c r="W351" s="17" t="e">
        <f t="shared" si="34"/>
        <v>#REF!</v>
      </c>
      <c r="X351" s="17" t="e">
        <f t="shared" si="32"/>
        <v>#REF!</v>
      </c>
    </row>
    <row r="352" spans="1:24" ht="12.75" customHeight="1" x14ac:dyDescent="0.2">
      <c r="A352" s="19">
        <v>350</v>
      </c>
      <c r="B352" s="19" t="s">
        <v>2360</v>
      </c>
      <c r="C352" s="19" t="e">
        <f t="shared" si="7"/>
        <v>#REF!</v>
      </c>
      <c r="D352" s="19" t="e">
        <f t="shared" si="8"/>
        <v>#REF!</v>
      </c>
      <c r="E352" s="19" t="e">
        <f t="shared" si="9"/>
        <v>#REF!</v>
      </c>
      <c r="F352" s="19" t="e">
        <f>VLOOKUP(B352,'Station List'!#REF!,2,0)</f>
        <v>#REF!</v>
      </c>
      <c r="G352" s="19" t="e">
        <f>VLOOKUP(B352,#REF!,2,0)</f>
        <v>#REF!</v>
      </c>
      <c r="H352" s="19" t="e">
        <f t="shared" si="3"/>
        <v>#REF!</v>
      </c>
      <c r="I352" s="19" t="e">
        <f>VLOOKUP(B352,'Station List'!#REF!,4,0)</f>
        <v>#REF!</v>
      </c>
      <c r="J352" s="19" t="e">
        <f>VLOOKUP(B352,#REF!,3,0)</f>
        <v>#REF!</v>
      </c>
      <c r="K352" s="19" t="e">
        <f t="shared" si="33"/>
        <v>#REF!</v>
      </c>
      <c r="L352" s="19" t="e">
        <f>VLOOKUP(B351,'Station List'!#REF!,9,0)</f>
        <v>#REF!</v>
      </c>
      <c r="M352" s="19" t="e">
        <f>VLOOKUP(B351,#REF!,4,0)</f>
        <v>#REF!</v>
      </c>
      <c r="N352" s="17"/>
      <c r="O352" s="17"/>
      <c r="P352" s="17"/>
      <c r="Q352" s="17"/>
      <c r="R352" s="17"/>
      <c r="S352" s="17"/>
      <c r="T352" s="17"/>
      <c r="U352" s="17"/>
      <c r="V352" s="17"/>
      <c r="W352" s="17" t="e">
        <f t="shared" si="34"/>
        <v>#REF!</v>
      </c>
      <c r="X352" s="17" t="e">
        <f t="shared" si="32"/>
        <v>#REF!</v>
      </c>
    </row>
    <row r="353" spans="1:24" ht="12.75" customHeight="1" x14ac:dyDescent="0.2">
      <c r="A353" s="19">
        <v>351</v>
      </c>
      <c r="B353" s="19" t="s">
        <v>3503</v>
      </c>
      <c r="C353" s="19" t="e">
        <f t="shared" si="7"/>
        <v>#REF!</v>
      </c>
      <c r="D353" s="19" t="e">
        <f t="shared" si="8"/>
        <v>#REF!</v>
      </c>
      <c r="E353" s="19" t="e">
        <f t="shared" si="9"/>
        <v>#REF!</v>
      </c>
      <c r="F353" s="19" t="e">
        <f>VLOOKUP(B353,'Station List'!#REF!,2,0)</f>
        <v>#REF!</v>
      </c>
      <c r="G353" s="19" t="e">
        <f>VLOOKUP(B353,#REF!,2,0)</f>
        <v>#REF!</v>
      </c>
      <c r="H353" s="19" t="e">
        <f t="shared" si="3"/>
        <v>#REF!</v>
      </c>
      <c r="I353" s="19" t="e">
        <f>VLOOKUP(B353,'Station List'!#REF!,4,0)</f>
        <v>#REF!</v>
      </c>
      <c r="J353" s="19" t="e">
        <f>VLOOKUP(B353,#REF!,3,0)</f>
        <v>#REF!</v>
      </c>
      <c r="K353" s="19" t="e">
        <f t="shared" si="33"/>
        <v>#REF!</v>
      </c>
      <c r="L353" s="19" t="e">
        <f>VLOOKUP(B352,'Station List'!#REF!,9,0)</f>
        <v>#REF!</v>
      </c>
      <c r="M353" s="19" t="e">
        <f>VLOOKUP(B352,#REF!,4,0)</f>
        <v>#REF!</v>
      </c>
      <c r="N353" s="17"/>
      <c r="O353" s="17"/>
      <c r="P353" s="17"/>
      <c r="Q353" s="17"/>
      <c r="R353" s="17"/>
      <c r="S353" s="17"/>
      <c r="T353" s="17"/>
      <c r="U353" s="17"/>
      <c r="V353" s="17"/>
      <c r="W353" s="17" t="e">
        <f t="shared" si="34"/>
        <v>#REF!</v>
      </c>
      <c r="X353" s="17" t="e">
        <f t="shared" si="32"/>
        <v>#REF!</v>
      </c>
    </row>
    <row r="354" spans="1:24" ht="12.75" customHeight="1" x14ac:dyDescent="0.2">
      <c r="A354" s="19">
        <v>352</v>
      </c>
      <c r="B354" s="19" t="s">
        <v>3504</v>
      </c>
      <c r="C354" s="19" t="e">
        <f t="shared" si="7"/>
        <v>#REF!</v>
      </c>
      <c r="D354" s="19" t="e">
        <f t="shared" si="8"/>
        <v>#REF!</v>
      </c>
      <c r="E354" s="19" t="e">
        <f t="shared" si="9"/>
        <v>#REF!</v>
      </c>
      <c r="F354" s="19" t="e">
        <f>VLOOKUP(B354,'Station List'!#REF!,2,0)</f>
        <v>#REF!</v>
      </c>
      <c r="G354" s="19" t="e">
        <f>VLOOKUP(B354,#REF!,2,0)</f>
        <v>#REF!</v>
      </c>
      <c r="H354" s="19" t="e">
        <f t="shared" si="3"/>
        <v>#REF!</v>
      </c>
      <c r="I354" s="19" t="e">
        <f>VLOOKUP(B354,'Station List'!#REF!,4,0)</f>
        <v>#REF!</v>
      </c>
      <c r="J354" s="19" t="e">
        <f>VLOOKUP(B354,#REF!,3,0)</f>
        <v>#REF!</v>
      </c>
      <c r="K354" s="19" t="e">
        <f t="shared" si="33"/>
        <v>#REF!</v>
      </c>
      <c r="L354" s="19" t="e">
        <f>VLOOKUP(B353,'Station List'!#REF!,9,0)</f>
        <v>#REF!</v>
      </c>
      <c r="M354" s="19" t="e">
        <f>VLOOKUP(B353,#REF!,4,0)</f>
        <v>#REF!</v>
      </c>
      <c r="N354" s="17"/>
      <c r="O354" s="17"/>
      <c r="P354" s="17"/>
      <c r="Q354" s="17"/>
      <c r="R354" s="17"/>
      <c r="S354" s="17"/>
      <c r="T354" s="17"/>
      <c r="U354" s="17"/>
      <c r="V354" s="17"/>
      <c r="W354" s="17" t="e">
        <f t="shared" si="34"/>
        <v>#REF!</v>
      </c>
      <c r="X354" s="17" t="e">
        <f t="shared" si="32"/>
        <v>#REF!</v>
      </c>
    </row>
    <row r="355" spans="1:24" ht="12.75" customHeight="1" x14ac:dyDescent="0.2">
      <c r="A355" s="19">
        <v>353</v>
      </c>
      <c r="B355" s="19" t="s">
        <v>3505</v>
      </c>
      <c r="C355" s="19" t="e">
        <f t="shared" si="7"/>
        <v>#REF!</v>
      </c>
      <c r="D355" s="19" t="e">
        <f t="shared" si="8"/>
        <v>#REF!</v>
      </c>
      <c r="E355" s="19" t="e">
        <f t="shared" si="9"/>
        <v>#REF!</v>
      </c>
      <c r="F355" s="19" t="e">
        <f>VLOOKUP(B355,'Station List'!#REF!,2,0)</f>
        <v>#REF!</v>
      </c>
      <c r="G355" s="19" t="e">
        <f>VLOOKUP(B355,#REF!,2,0)</f>
        <v>#REF!</v>
      </c>
      <c r="H355" s="19" t="e">
        <f t="shared" si="3"/>
        <v>#REF!</v>
      </c>
      <c r="I355" s="19" t="e">
        <f>VLOOKUP(B355,'Station List'!#REF!,4,0)</f>
        <v>#REF!</v>
      </c>
      <c r="J355" s="19" t="e">
        <f>VLOOKUP(B355,#REF!,3,0)</f>
        <v>#REF!</v>
      </c>
      <c r="K355" s="19" t="e">
        <f t="shared" si="33"/>
        <v>#REF!</v>
      </c>
      <c r="L355" s="19" t="e">
        <f>VLOOKUP(B354,'Station List'!#REF!,9,0)</f>
        <v>#REF!</v>
      </c>
      <c r="M355" s="19" t="e">
        <f>VLOOKUP(B354,#REF!,4,0)</f>
        <v>#REF!</v>
      </c>
      <c r="N355" s="17"/>
      <c r="O355" s="17"/>
      <c r="P355" s="17"/>
      <c r="Q355" s="17"/>
      <c r="R355" s="17"/>
      <c r="S355" s="17"/>
      <c r="T355" s="17"/>
      <c r="U355" s="17"/>
      <c r="V355" s="17"/>
      <c r="W355" s="17" t="e">
        <f t="shared" si="34"/>
        <v>#REF!</v>
      </c>
      <c r="X355" s="17" t="e">
        <f t="shared" si="32"/>
        <v>#REF!</v>
      </c>
    </row>
    <row r="356" spans="1:24" ht="12.75" customHeight="1" x14ac:dyDescent="0.2">
      <c r="A356" s="19">
        <v>354</v>
      </c>
      <c r="B356" s="19" t="s">
        <v>3506</v>
      </c>
      <c r="C356" s="19" t="e">
        <f t="shared" si="7"/>
        <v>#REF!</v>
      </c>
      <c r="D356" s="19" t="e">
        <f t="shared" si="8"/>
        <v>#REF!</v>
      </c>
      <c r="E356" s="19" t="e">
        <f t="shared" si="9"/>
        <v>#REF!</v>
      </c>
      <c r="F356" s="19" t="e">
        <f>VLOOKUP(B356,'Station List'!#REF!,2,0)</f>
        <v>#REF!</v>
      </c>
      <c r="G356" s="19" t="e">
        <f>VLOOKUP(B356,#REF!,2,0)</f>
        <v>#REF!</v>
      </c>
      <c r="H356" s="19" t="e">
        <f t="shared" si="3"/>
        <v>#REF!</v>
      </c>
      <c r="I356" s="19" t="e">
        <f>VLOOKUP(B356,'Station List'!#REF!,4,0)</f>
        <v>#REF!</v>
      </c>
      <c r="J356" s="19" t="e">
        <f>VLOOKUP(B356,#REF!,3,0)</f>
        <v>#REF!</v>
      </c>
      <c r="K356" s="19" t="e">
        <f t="shared" si="33"/>
        <v>#REF!</v>
      </c>
      <c r="L356" s="19" t="e">
        <f>VLOOKUP(B355,'Station List'!#REF!,9,0)</f>
        <v>#REF!</v>
      </c>
      <c r="M356" s="19" t="e">
        <f>VLOOKUP(B355,#REF!,4,0)</f>
        <v>#REF!</v>
      </c>
      <c r="N356" s="17"/>
      <c r="O356" s="17"/>
      <c r="P356" s="17"/>
      <c r="Q356" s="17"/>
      <c r="R356" s="17"/>
      <c r="S356" s="17"/>
      <c r="T356" s="17"/>
      <c r="U356" s="17"/>
      <c r="V356" s="17"/>
      <c r="W356" s="17" t="e">
        <f t="shared" si="34"/>
        <v>#REF!</v>
      </c>
      <c r="X356" s="17" t="e">
        <f t="shared" si="32"/>
        <v>#REF!</v>
      </c>
    </row>
    <row r="357" spans="1:24" ht="12.75" customHeight="1" x14ac:dyDescent="0.2">
      <c r="A357" s="19">
        <v>355</v>
      </c>
      <c r="B357" s="19" t="s">
        <v>3507</v>
      </c>
      <c r="C357" s="19" t="e">
        <f t="shared" si="7"/>
        <v>#REF!</v>
      </c>
      <c r="D357" s="19" t="e">
        <f t="shared" si="8"/>
        <v>#REF!</v>
      </c>
      <c r="E357" s="19" t="e">
        <f t="shared" si="9"/>
        <v>#REF!</v>
      </c>
      <c r="F357" s="19" t="e">
        <f>VLOOKUP(B357,'Station List'!#REF!,2,0)</f>
        <v>#REF!</v>
      </c>
      <c r="G357" s="19" t="e">
        <f>VLOOKUP(B357,#REF!,2,0)</f>
        <v>#REF!</v>
      </c>
      <c r="H357" s="19" t="e">
        <f t="shared" si="3"/>
        <v>#REF!</v>
      </c>
      <c r="I357" s="19" t="e">
        <f>VLOOKUP(B357,'Station List'!#REF!,4,0)</f>
        <v>#REF!</v>
      </c>
      <c r="J357" s="19" t="e">
        <f>VLOOKUP(B357,#REF!,3,0)</f>
        <v>#REF!</v>
      </c>
      <c r="K357" s="19" t="e">
        <f t="shared" si="33"/>
        <v>#REF!</v>
      </c>
      <c r="L357" s="19" t="e">
        <f>VLOOKUP(B356,'Station List'!#REF!,9,0)</f>
        <v>#REF!</v>
      </c>
      <c r="M357" s="19" t="e">
        <f>VLOOKUP(B356,#REF!,4,0)</f>
        <v>#REF!</v>
      </c>
      <c r="N357" s="17"/>
      <c r="O357" s="17"/>
      <c r="P357" s="17"/>
      <c r="Q357" s="17"/>
      <c r="R357" s="17"/>
      <c r="S357" s="17"/>
      <c r="T357" s="17"/>
      <c r="U357" s="17"/>
      <c r="V357" s="17"/>
      <c r="W357" s="17" t="e">
        <f t="shared" si="34"/>
        <v>#REF!</v>
      </c>
      <c r="X357" s="17" t="e">
        <f t="shared" si="32"/>
        <v>#REF!</v>
      </c>
    </row>
    <row r="358" spans="1:24" ht="12.75" customHeight="1" x14ac:dyDescent="0.2">
      <c r="A358" s="19">
        <v>356</v>
      </c>
      <c r="B358" s="19" t="s">
        <v>3508</v>
      </c>
      <c r="C358" s="19" t="e">
        <f t="shared" si="7"/>
        <v>#REF!</v>
      </c>
      <c r="D358" s="19" t="e">
        <f t="shared" si="8"/>
        <v>#REF!</v>
      </c>
      <c r="E358" s="19" t="e">
        <f t="shared" si="9"/>
        <v>#REF!</v>
      </c>
      <c r="F358" s="19" t="e">
        <f>VLOOKUP(B358,'Station List'!#REF!,2,0)</f>
        <v>#REF!</v>
      </c>
      <c r="G358" s="19" t="e">
        <f>VLOOKUP(B358,#REF!,2,0)</f>
        <v>#REF!</v>
      </c>
      <c r="H358" s="19" t="e">
        <f t="shared" si="3"/>
        <v>#REF!</v>
      </c>
      <c r="I358" s="19" t="e">
        <f>VLOOKUP(B358,'Station List'!#REF!,4,0)</f>
        <v>#REF!</v>
      </c>
      <c r="J358" s="19" t="e">
        <f>VLOOKUP(B358,#REF!,3,0)</f>
        <v>#REF!</v>
      </c>
      <c r="K358" s="19" t="e">
        <f t="shared" si="33"/>
        <v>#REF!</v>
      </c>
      <c r="L358" s="19" t="e">
        <f>VLOOKUP(B357,'Station List'!#REF!,9,0)</f>
        <v>#REF!</v>
      </c>
      <c r="M358" s="19" t="e">
        <f>VLOOKUP(B357,#REF!,4,0)</f>
        <v>#REF!</v>
      </c>
      <c r="N358" s="17"/>
      <c r="O358" s="17"/>
      <c r="P358" s="17"/>
      <c r="Q358" s="17"/>
      <c r="R358" s="17"/>
      <c r="S358" s="17"/>
      <c r="T358" s="17"/>
      <c r="U358" s="17"/>
      <c r="V358" s="17"/>
      <c r="W358" s="17" t="e">
        <f t="shared" si="34"/>
        <v>#REF!</v>
      </c>
      <c r="X358" s="17" t="e">
        <f t="shared" si="32"/>
        <v>#REF!</v>
      </c>
    </row>
    <row r="359" spans="1:24" ht="12.75" customHeight="1" x14ac:dyDescent="0.2">
      <c r="A359" s="19">
        <v>357</v>
      </c>
      <c r="B359" s="19" t="s">
        <v>3509</v>
      </c>
      <c r="C359" s="19" t="e">
        <f t="shared" si="7"/>
        <v>#REF!</v>
      </c>
      <c r="D359" s="19" t="e">
        <f t="shared" si="8"/>
        <v>#REF!</v>
      </c>
      <c r="E359" s="19" t="e">
        <f t="shared" si="9"/>
        <v>#REF!</v>
      </c>
      <c r="F359" s="19" t="e">
        <f>VLOOKUP(B359,'Station List'!#REF!,2,0)</f>
        <v>#REF!</v>
      </c>
      <c r="G359" s="19" t="e">
        <f>VLOOKUP(B359,#REF!,2,0)</f>
        <v>#REF!</v>
      </c>
      <c r="H359" s="19" t="e">
        <f t="shared" si="3"/>
        <v>#REF!</v>
      </c>
      <c r="I359" s="19" t="e">
        <f>VLOOKUP(B359,'Station List'!#REF!,4,0)</f>
        <v>#REF!</v>
      </c>
      <c r="J359" s="19" t="e">
        <f>VLOOKUP(B359,#REF!,3,0)</f>
        <v>#REF!</v>
      </c>
      <c r="K359" s="19" t="e">
        <f t="shared" si="33"/>
        <v>#REF!</v>
      </c>
      <c r="L359" s="19" t="e">
        <f>VLOOKUP(B358,'Station List'!#REF!,9,0)</f>
        <v>#REF!</v>
      </c>
      <c r="M359" s="19" t="e">
        <f>VLOOKUP(B358,#REF!,4,0)</f>
        <v>#REF!</v>
      </c>
      <c r="N359" s="17"/>
      <c r="O359" s="17"/>
      <c r="P359" s="17"/>
      <c r="Q359" s="17"/>
      <c r="R359" s="17"/>
      <c r="S359" s="17"/>
      <c r="T359" s="17"/>
      <c r="U359" s="17"/>
      <c r="V359" s="17"/>
      <c r="W359" s="17" t="e">
        <f t="shared" si="34"/>
        <v>#REF!</v>
      </c>
      <c r="X359" s="17" t="e">
        <f t="shared" si="32"/>
        <v>#REF!</v>
      </c>
    </row>
    <row r="360" spans="1:24" ht="12.75" customHeight="1" x14ac:dyDescent="0.2">
      <c r="A360" s="19">
        <v>358</v>
      </c>
      <c r="B360" s="19" t="s">
        <v>3510</v>
      </c>
      <c r="C360" s="19" t="e">
        <f t="shared" si="7"/>
        <v>#REF!</v>
      </c>
      <c r="D360" s="19" t="e">
        <f t="shared" si="8"/>
        <v>#REF!</v>
      </c>
      <c r="E360" s="19" t="e">
        <f t="shared" si="9"/>
        <v>#REF!</v>
      </c>
      <c r="F360" s="19" t="e">
        <f>VLOOKUP(B360,'Station List'!#REF!,2,0)</f>
        <v>#REF!</v>
      </c>
      <c r="G360" s="19" t="e">
        <f>VLOOKUP(B360,#REF!,2,0)</f>
        <v>#REF!</v>
      </c>
      <c r="H360" s="19" t="e">
        <f t="shared" si="3"/>
        <v>#REF!</v>
      </c>
      <c r="I360" s="19" t="e">
        <f>VLOOKUP(B360,'Station List'!#REF!,4,0)</f>
        <v>#REF!</v>
      </c>
      <c r="J360" s="19" t="e">
        <f>VLOOKUP(B360,#REF!,3,0)</f>
        <v>#REF!</v>
      </c>
      <c r="K360" s="19" t="e">
        <f t="shared" si="33"/>
        <v>#REF!</v>
      </c>
      <c r="L360" s="19" t="e">
        <f>VLOOKUP(B359,'Station List'!#REF!,9,0)</f>
        <v>#REF!</v>
      </c>
      <c r="M360" s="19" t="e">
        <f>VLOOKUP(B359,#REF!,4,0)</f>
        <v>#REF!</v>
      </c>
      <c r="N360" s="17"/>
      <c r="O360" s="17"/>
      <c r="P360" s="17"/>
      <c r="Q360" s="17"/>
      <c r="R360" s="17"/>
      <c r="S360" s="17"/>
      <c r="T360" s="17"/>
      <c r="U360" s="17"/>
      <c r="V360" s="17"/>
      <c r="W360" s="17" t="e">
        <f t="shared" si="34"/>
        <v>#REF!</v>
      </c>
      <c r="X360" s="17" t="e">
        <f t="shared" si="32"/>
        <v>#REF!</v>
      </c>
    </row>
    <row r="361" spans="1:24" ht="12.75" customHeight="1" x14ac:dyDescent="0.2">
      <c r="A361" s="19">
        <v>359</v>
      </c>
      <c r="B361" s="19" t="s">
        <v>3511</v>
      </c>
      <c r="C361" s="19" t="e">
        <f t="shared" si="7"/>
        <v>#REF!</v>
      </c>
      <c r="D361" s="19" t="e">
        <f t="shared" si="8"/>
        <v>#REF!</v>
      </c>
      <c r="E361" s="19" t="e">
        <f t="shared" si="9"/>
        <v>#REF!</v>
      </c>
      <c r="F361" s="19" t="e">
        <f>VLOOKUP(B361,'Station List'!#REF!,2,0)</f>
        <v>#REF!</v>
      </c>
      <c r="G361" s="19" t="e">
        <f>VLOOKUP(B361,#REF!,2,0)</f>
        <v>#REF!</v>
      </c>
      <c r="H361" s="19" t="e">
        <f t="shared" si="3"/>
        <v>#REF!</v>
      </c>
      <c r="I361" s="19" t="e">
        <f>VLOOKUP(B361,'Station List'!#REF!,4,0)</f>
        <v>#REF!</v>
      </c>
      <c r="J361" s="19" t="e">
        <f>VLOOKUP(B361,#REF!,3,0)</f>
        <v>#REF!</v>
      </c>
      <c r="K361" s="19" t="e">
        <f t="shared" si="33"/>
        <v>#REF!</v>
      </c>
      <c r="L361" s="19" t="e">
        <f>VLOOKUP(B360,'Station List'!#REF!,9,0)</f>
        <v>#REF!</v>
      </c>
      <c r="M361" s="19" t="e">
        <f>VLOOKUP(B360,#REF!,4,0)</f>
        <v>#REF!</v>
      </c>
      <c r="N361" s="17"/>
      <c r="O361" s="17"/>
      <c r="P361" s="17"/>
      <c r="Q361" s="17"/>
      <c r="R361" s="17"/>
      <c r="S361" s="17"/>
      <c r="T361" s="17"/>
      <c r="U361" s="17"/>
      <c r="V361" s="17"/>
      <c r="W361" s="17" t="e">
        <f t="shared" si="34"/>
        <v>#REF!</v>
      </c>
      <c r="X361" s="17" t="e">
        <f t="shared" si="32"/>
        <v>#REF!</v>
      </c>
    </row>
    <row r="362" spans="1:24" ht="12.75" customHeight="1" x14ac:dyDescent="0.2">
      <c r="A362" s="19">
        <v>360</v>
      </c>
      <c r="B362" s="19" t="s">
        <v>3512</v>
      </c>
      <c r="C362" s="19" t="e">
        <f t="shared" si="7"/>
        <v>#REF!</v>
      </c>
      <c r="D362" s="19" t="e">
        <f t="shared" si="8"/>
        <v>#REF!</v>
      </c>
      <c r="E362" s="19" t="e">
        <f t="shared" si="9"/>
        <v>#REF!</v>
      </c>
      <c r="F362" s="19" t="e">
        <f>VLOOKUP(B362,'Station List'!#REF!,2,0)</f>
        <v>#REF!</v>
      </c>
      <c r="G362" s="19" t="e">
        <f>VLOOKUP(B362,#REF!,2,0)</f>
        <v>#REF!</v>
      </c>
      <c r="H362" s="19" t="e">
        <f t="shared" si="3"/>
        <v>#REF!</v>
      </c>
      <c r="I362" s="19" t="e">
        <f>VLOOKUP(B362,'Station List'!#REF!,4,0)</f>
        <v>#REF!</v>
      </c>
      <c r="J362" s="19" t="e">
        <f>VLOOKUP(B362,#REF!,3,0)</f>
        <v>#REF!</v>
      </c>
      <c r="K362" s="19" t="e">
        <f t="shared" si="33"/>
        <v>#REF!</v>
      </c>
      <c r="L362" s="19" t="e">
        <f>VLOOKUP(B361,'Station List'!#REF!,9,0)</f>
        <v>#REF!</v>
      </c>
      <c r="M362" s="19" t="e">
        <f>VLOOKUP(B361,#REF!,4,0)</f>
        <v>#REF!</v>
      </c>
      <c r="N362" s="17"/>
      <c r="O362" s="17"/>
      <c r="P362" s="17"/>
      <c r="Q362" s="17"/>
      <c r="R362" s="17"/>
      <c r="S362" s="17"/>
      <c r="T362" s="17"/>
      <c r="U362" s="17"/>
      <c r="V362" s="17"/>
      <c r="W362" s="17" t="e">
        <f t="shared" si="34"/>
        <v>#REF!</v>
      </c>
      <c r="X362" s="17" t="e">
        <f t="shared" si="32"/>
        <v>#REF!</v>
      </c>
    </row>
    <row r="363" spans="1:24" ht="12.75" customHeight="1" x14ac:dyDescent="0.2">
      <c r="A363" s="19">
        <v>361</v>
      </c>
      <c r="B363" s="19" t="s">
        <v>3513</v>
      </c>
      <c r="C363" s="19" t="e">
        <f t="shared" si="7"/>
        <v>#REF!</v>
      </c>
      <c r="D363" s="19" t="e">
        <f t="shared" si="8"/>
        <v>#REF!</v>
      </c>
      <c r="E363" s="19" t="e">
        <f t="shared" si="9"/>
        <v>#REF!</v>
      </c>
      <c r="F363" s="19" t="e">
        <f>VLOOKUP(B363,'Station List'!#REF!,2,0)</f>
        <v>#REF!</v>
      </c>
      <c r="G363" s="19" t="e">
        <f>VLOOKUP(B363,#REF!,2,0)</f>
        <v>#REF!</v>
      </c>
      <c r="H363" s="19" t="e">
        <f t="shared" si="3"/>
        <v>#REF!</v>
      </c>
      <c r="I363" s="19" t="e">
        <f>VLOOKUP(B363,'Station List'!#REF!,4,0)</f>
        <v>#REF!</v>
      </c>
      <c r="J363" s="19" t="e">
        <f>VLOOKUP(B363,#REF!,3,0)</f>
        <v>#REF!</v>
      </c>
      <c r="K363" s="19" t="e">
        <f t="shared" si="33"/>
        <v>#REF!</v>
      </c>
      <c r="L363" s="19" t="e">
        <f>VLOOKUP(B362,'Station List'!#REF!,9,0)</f>
        <v>#REF!</v>
      </c>
      <c r="M363" s="19" t="e">
        <f>VLOOKUP(B362,#REF!,4,0)</f>
        <v>#REF!</v>
      </c>
      <c r="N363" s="17"/>
      <c r="O363" s="17"/>
      <c r="P363" s="17"/>
      <c r="Q363" s="17"/>
      <c r="R363" s="17"/>
      <c r="S363" s="17"/>
      <c r="T363" s="17"/>
      <c r="U363" s="17"/>
      <c r="V363" s="17"/>
      <c r="W363" s="17" t="e">
        <f t="shared" si="34"/>
        <v>#REF!</v>
      </c>
      <c r="X363" s="17" t="e">
        <f t="shared" si="32"/>
        <v>#REF!</v>
      </c>
    </row>
    <row r="364" spans="1:24" ht="12.75" customHeight="1" x14ac:dyDescent="0.2">
      <c r="A364" s="19">
        <v>362</v>
      </c>
      <c r="B364" s="19" t="s">
        <v>3514</v>
      </c>
      <c r="C364" s="19" t="e">
        <f t="shared" si="7"/>
        <v>#REF!</v>
      </c>
      <c r="D364" s="19" t="e">
        <f t="shared" si="8"/>
        <v>#REF!</v>
      </c>
      <c r="E364" s="19" t="e">
        <f t="shared" si="9"/>
        <v>#REF!</v>
      </c>
      <c r="F364" s="19" t="e">
        <f>VLOOKUP(B364,'Station List'!#REF!,2,0)</f>
        <v>#REF!</v>
      </c>
      <c r="G364" s="19" t="e">
        <f>VLOOKUP(B364,#REF!,2,0)</f>
        <v>#REF!</v>
      </c>
      <c r="H364" s="19" t="e">
        <f t="shared" si="3"/>
        <v>#REF!</v>
      </c>
      <c r="I364" s="19" t="e">
        <f>VLOOKUP(B364,'Station List'!#REF!,4,0)</f>
        <v>#REF!</v>
      </c>
      <c r="J364" s="19" t="e">
        <f>VLOOKUP(B364,#REF!,3,0)</f>
        <v>#REF!</v>
      </c>
      <c r="K364" s="19" t="e">
        <f t="shared" si="33"/>
        <v>#REF!</v>
      </c>
      <c r="L364" s="19" t="e">
        <f>VLOOKUP(B363,'Station List'!#REF!,9,0)</f>
        <v>#REF!</v>
      </c>
      <c r="M364" s="19" t="e">
        <f>VLOOKUP(B363,#REF!,4,0)</f>
        <v>#REF!</v>
      </c>
      <c r="N364" s="17"/>
      <c r="O364" s="17"/>
      <c r="P364" s="17"/>
      <c r="Q364" s="17"/>
      <c r="R364" s="17"/>
      <c r="S364" s="17"/>
      <c r="T364" s="17"/>
      <c r="U364" s="17"/>
      <c r="V364" s="17"/>
      <c r="W364" s="17" t="e">
        <f t="shared" si="34"/>
        <v>#REF!</v>
      </c>
      <c r="X364" s="17" t="e">
        <f t="shared" si="32"/>
        <v>#REF!</v>
      </c>
    </row>
    <row r="365" spans="1:24" ht="12.75" customHeight="1" x14ac:dyDescent="0.2">
      <c r="A365" s="19">
        <v>363</v>
      </c>
      <c r="B365" s="19" t="s">
        <v>3515</v>
      </c>
      <c r="C365" s="19" t="e">
        <f t="shared" si="7"/>
        <v>#REF!</v>
      </c>
      <c r="D365" s="19" t="e">
        <f t="shared" si="8"/>
        <v>#REF!</v>
      </c>
      <c r="E365" s="19" t="e">
        <f t="shared" si="9"/>
        <v>#REF!</v>
      </c>
      <c r="F365" s="19" t="e">
        <f>VLOOKUP(B365,'Station List'!#REF!,2,0)</f>
        <v>#REF!</v>
      </c>
      <c r="G365" s="19" t="e">
        <f>VLOOKUP(B365,#REF!,2,0)</f>
        <v>#REF!</v>
      </c>
      <c r="H365" s="19" t="e">
        <f t="shared" si="3"/>
        <v>#REF!</v>
      </c>
      <c r="I365" s="19" t="e">
        <f>VLOOKUP(B365,'Station List'!#REF!,4,0)</f>
        <v>#REF!</v>
      </c>
      <c r="J365" s="19" t="e">
        <f>VLOOKUP(B365,#REF!,3,0)</f>
        <v>#REF!</v>
      </c>
      <c r="K365" s="19" t="e">
        <f t="shared" si="33"/>
        <v>#REF!</v>
      </c>
      <c r="L365" s="19" t="e">
        <f>VLOOKUP(B364,'Station List'!#REF!,9,0)</f>
        <v>#REF!</v>
      </c>
      <c r="M365" s="19" t="e">
        <f>VLOOKUP(B364,#REF!,4,0)</f>
        <v>#REF!</v>
      </c>
      <c r="N365" s="17"/>
      <c r="O365" s="17"/>
      <c r="P365" s="17"/>
      <c r="Q365" s="17"/>
      <c r="R365" s="17"/>
      <c r="S365" s="17"/>
      <c r="T365" s="17"/>
      <c r="U365" s="17"/>
      <c r="V365" s="17"/>
      <c r="W365" s="17" t="e">
        <f t="shared" si="34"/>
        <v>#REF!</v>
      </c>
      <c r="X365" s="17" t="e">
        <f t="shared" si="32"/>
        <v>#REF!</v>
      </c>
    </row>
    <row r="366" spans="1:24" ht="12.75" customHeight="1" x14ac:dyDescent="0.2">
      <c r="A366" s="19">
        <v>364</v>
      </c>
      <c r="B366" s="19" t="s">
        <v>3516</v>
      </c>
      <c r="C366" s="19" t="e">
        <f t="shared" si="7"/>
        <v>#REF!</v>
      </c>
      <c r="D366" s="19" t="e">
        <f t="shared" si="8"/>
        <v>#REF!</v>
      </c>
      <c r="E366" s="19" t="e">
        <f t="shared" si="9"/>
        <v>#REF!</v>
      </c>
      <c r="F366" s="19" t="e">
        <f>VLOOKUP(B366,'Station List'!#REF!,2,0)</f>
        <v>#REF!</v>
      </c>
      <c r="G366" s="19" t="e">
        <f>VLOOKUP(B366,#REF!,2,0)</f>
        <v>#REF!</v>
      </c>
      <c r="H366" s="19" t="e">
        <f t="shared" si="3"/>
        <v>#REF!</v>
      </c>
      <c r="I366" s="19" t="e">
        <f>VLOOKUP(B366,'Station List'!#REF!,4,0)</f>
        <v>#REF!</v>
      </c>
      <c r="J366" s="19" t="e">
        <f>VLOOKUP(B366,#REF!,3,0)</f>
        <v>#REF!</v>
      </c>
      <c r="K366" s="19" t="e">
        <f t="shared" si="33"/>
        <v>#REF!</v>
      </c>
      <c r="L366" s="19" t="e">
        <f>VLOOKUP(B365,'Station List'!#REF!,9,0)</f>
        <v>#REF!</v>
      </c>
      <c r="M366" s="19" t="e">
        <f>VLOOKUP(B365,#REF!,4,0)</f>
        <v>#REF!</v>
      </c>
      <c r="N366" s="17"/>
      <c r="O366" s="17"/>
      <c r="P366" s="17"/>
      <c r="Q366" s="17"/>
      <c r="R366" s="17"/>
      <c r="S366" s="17"/>
      <c r="T366" s="17"/>
      <c r="U366" s="17"/>
      <c r="V366" s="17"/>
      <c r="W366" s="17" t="e">
        <f t="shared" si="34"/>
        <v>#REF!</v>
      </c>
      <c r="X366" s="17" t="e">
        <f t="shared" si="32"/>
        <v>#REF!</v>
      </c>
    </row>
    <row r="367" spans="1:24" ht="12.75" customHeight="1" x14ac:dyDescent="0.2">
      <c r="A367" s="19">
        <v>365</v>
      </c>
      <c r="B367" s="19" t="s">
        <v>3517</v>
      </c>
      <c r="C367" s="19" t="e">
        <f t="shared" si="7"/>
        <v>#REF!</v>
      </c>
      <c r="D367" s="19" t="e">
        <f t="shared" si="8"/>
        <v>#REF!</v>
      </c>
      <c r="E367" s="19" t="e">
        <f t="shared" si="9"/>
        <v>#REF!</v>
      </c>
      <c r="F367" s="19" t="e">
        <f>VLOOKUP(B367,'Station List'!#REF!,2,0)</f>
        <v>#REF!</v>
      </c>
      <c r="G367" s="19" t="e">
        <f>VLOOKUP(B367,#REF!,2,0)</f>
        <v>#REF!</v>
      </c>
      <c r="H367" s="19" t="e">
        <f t="shared" si="3"/>
        <v>#REF!</v>
      </c>
      <c r="I367" s="19" t="e">
        <f>VLOOKUP(B367,'Station List'!#REF!,4,0)</f>
        <v>#REF!</v>
      </c>
      <c r="J367" s="19" t="e">
        <f>VLOOKUP(B367,#REF!,3,0)</f>
        <v>#REF!</v>
      </c>
      <c r="K367" s="19" t="e">
        <f t="shared" si="33"/>
        <v>#REF!</v>
      </c>
      <c r="L367" s="19" t="e">
        <f>VLOOKUP(B366,'Station List'!#REF!,9,0)</f>
        <v>#REF!</v>
      </c>
      <c r="M367" s="19" t="e">
        <f>VLOOKUP(B366,#REF!,4,0)</f>
        <v>#REF!</v>
      </c>
      <c r="N367" s="17"/>
      <c r="O367" s="17"/>
      <c r="P367" s="17"/>
      <c r="Q367" s="17"/>
      <c r="R367" s="17"/>
      <c r="S367" s="17"/>
      <c r="T367" s="17"/>
      <c r="U367" s="17"/>
      <c r="V367" s="17"/>
      <c r="W367" s="17" t="e">
        <f t="shared" si="34"/>
        <v>#REF!</v>
      </c>
      <c r="X367" s="17" t="e">
        <f t="shared" si="32"/>
        <v>#REF!</v>
      </c>
    </row>
    <row r="368" spans="1:24" ht="12.75" customHeight="1" x14ac:dyDescent="0.2">
      <c r="A368" s="19">
        <v>366</v>
      </c>
      <c r="B368" s="19" t="s">
        <v>3518</v>
      </c>
      <c r="C368" s="19" t="e">
        <f t="shared" si="7"/>
        <v>#REF!</v>
      </c>
      <c r="D368" s="19" t="e">
        <f t="shared" si="8"/>
        <v>#REF!</v>
      </c>
      <c r="E368" s="19" t="e">
        <f t="shared" si="9"/>
        <v>#REF!</v>
      </c>
      <c r="F368" s="19" t="e">
        <f>VLOOKUP(B368,'Station List'!#REF!,2,0)</f>
        <v>#REF!</v>
      </c>
      <c r="G368" s="19" t="e">
        <f>VLOOKUP(B368,#REF!,2,0)</f>
        <v>#REF!</v>
      </c>
      <c r="H368" s="19" t="e">
        <f t="shared" si="3"/>
        <v>#REF!</v>
      </c>
      <c r="I368" s="19" t="e">
        <f>VLOOKUP(B368,'Station List'!#REF!,4,0)</f>
        <v>#REF!</v>
      </c>
      <c r="J368" s="19" t="e">
        <f>VLOOKUP(B368,#REF!,3,0)</f>
        <v>#REF!</v>
      </c>
      <c r="K368" s="19" t="e">
        <f t="shared" si="33"/>
        <v>#REF!</v>
      </c>
      <c r="L368" s="19" t="e">
        <f>VLOOKUP(B367,'Station List'!#REF!,9,0)</f>
        <v>#REF!</v>
      </c>
      <c r="M368" s="19" t="e">
        <f>VLOOKUP(B367,#REF!,4,0)</f>
        <v>#REF!</v>
      </c>
      <c r="N368" s="17"/>
      <c r="O368" s="17"/>
      <c r="P368" s="17"/>
      <c r="Q368" s="17"/>
      <c r="R368" s="17"/>
      <c r="S368" s="17"/>
      <c r="T368" s="17"/>
      <c r="U368" s="17"/>
      <c r="V368" s="17"/>
      <c r="W368" s="17" t="e">
        <f t="shared" si="34"/>
        <v>#REF!</v>
      </c>
      <c r="X368" s="17" t="e">
        <f t="shared" si="32"/>
        <v>#REF!</v>
      </c>
    </row>
    <row r="369" spans="1:24" ht="12.75" customHeight="1" x14ac:dyDescent="0.2">
      <c r="A369" s="19">
        <v>367</v>
      </c>
      <c r="B369" s="19" t="s">
        <v>3519</v>
      </c>
      <c r="C369" s="19" t="e">
        <f t="shared" si="7"/>
        <v>#REF!</v>
      </c>
      <c r="D369" s="19" t="e">
        <f t="shared" si="8"/>
        <v>#REF!</v>
      </c>
      <c r="E369" s="19" t="e">
        <f t="shared" si="9"/>
        <v>#REF!</v>
      </c>
      <c r="F369" s="19" t="e">
        <f>VLOOKUP(B369,'Station List'!#REF!,2,0)</f>
        <v>#REF!</v>
      </c>
      <c r="G369" s="19" t="e">
        <f>VLOOKUP(B369,#REF!,2,0)</f>
        <v>#REF!</v>
      </c>
      <c r="H369" s="19" t="e">
        <f t="shared" si="3"/>
        <v>#REF!</v>
      </c>
      <c r="I369" s="19" t="e">
        <f>VLOOKUP(B369,'Station List'!#REF!,4,0)</f>
        <v>#REF!</v>
      </c>
      <c r="J369" s="19" t="e">
        <f>VLOOKUP(B369,#REF!,3,0)</f>
        <v>#REF!</v>
      </c>
      <c r="K369" s="19" t="e">
        <f t="shared" si="33"/>
        <v>#REF!</v>
      </c>
      <c r="L369" s="19" t="e">
        <f>VLOOKUP(B368,'Station List'!#REF!,9,0)</f>
        <v>#REF!</v>
      </c>
      <c r="M369" s="19" t="e">
        <f>VLOOKUP(B368,#REF!,4,0)</f>
        <v>#REF!</v>
      </c>
      <c r="N369" s="17"/>
      <c r="O369" s="17"/>
      <c r="P369" s="17"/>
      <c r="Q369" s="17"/>
      <c r="R369" s="17"/>
      <c r="S369" s="17"/>
      <c r="T369" s="17"/>
      <c r="U369" s="17"/>
      <c r="V369" s="17"/>
      <c r="W369" s="17" t="e">
        <f t="shared" si="34"/>
        <v>#REF!</v>
      </c>
      <c r="X369" s="17" t="e">
        <f t="shared" si="32"/>
        <v>#REF!</v>
      </c>
    </row>
    <row r="370" spans="1:24" ht="12.75" customHeight="1" x14ac:dyDescent="0.2">
      <c r="A370" s="19">
        <v>368</v>
      </c>
      <c r="B370" s="19" t="s">
        <v>3520</v>
      </c>
      <c r="C370" s="19" t="e">
        <f t="shared" si="7"/>
        <v>#REF!</v>
      </c>
      <c r="D370" s="19" t="e">
        <f t="shared" si="8"/>
        <v>#REF!</v>
      </c>
      <c r="E370" s="19" t="e">
        <f t="shared" si="9"/>
        <v>#REF!</v>
      </c>
      <c r="F370" s="19" t="e">
        <f>VLOOKUP(B370,'Station List'!#REF!,2,0)</f>
        <v>#REF!</v>
      </c>
      <c r="G370" s="19" t="e">
        <f>VLOOKUP(B370,#REF!,2,0)</f>
        <v>#REF!</v>
      </c>
      <c r="H370" s="19" t="e">
        <f t="shared" si="3"/>
        <v>#REF!</v>
      </c>
      <c r="I370" s="19" t="e">
        <f>VLOOKUP(B370,'Station List'!#REF!,4,0)</f>
        <v>#REF!</v>
      </c>
      <c r="J370" s="19" t="e">
        <f>VLOOKUP(B370,#REF!,3,0)</f>
        <v>#REF!</v>
      </c>
      <c r="K370" s="19" t="e">
        <f t="shared" si="33"/>
        <v>#REF!</v>
      </c>
      <c r="L370" s="19" t="e">
        <f>VLOOKUP(B369,'Station List'!#REF!,9,0)</f>
        <v>#REF!</v>
      </c>
      <c r="M370" s="19" t="e">
        <f>VLOOKUP(B369,#REF!,4,0)</f>
        <v>#REF!</v>
      </c>
      <c r="N370" s="17"/>
      <c r="O370" s="17"/>
      <c r="P370" s="17"/>
      <c r="Q370" s="17"/>
      <c r="R370" s="17"/>
      <c r="S370" s="17"/>
      <c r="T370" s="17"/>
      <c r="U370" s="17"/>
      <c r="V370" s="17"/>
      <c r="W370" s="17" t="e">
        <f t="shared" si="34"/>
        <v>#REF!</v>
      </c>
      <c r="X370" s="17" t="e">
        <f t="shared" si="32"/>
        <v>#REF!</v>
      </c>
    </row>
    <row r="371" spans="1:24" ht="12.75" customHeight="1" x14ac:dyDescent="0.2">
      <c r="A371" s="19">
        <v>369</v>
      </c>
      <c r="B371" s="19" t="s">
        <v>3521</v>
      </c>
      <c r="C371" s="19" t="e">
        <f t="shared" si="7"/>
        <v>#REF!</v>
      </c>
      <c r="D371" s="19" t="e">
        <f t="shared" si="8"/>
        <v>#REF!</v>
      </c>
      <c r="E371" s="19" t="e">
        <f t="shared" si="9"/>
        <v>#REF!</v>
      </c>
      <c r="F371" s="19" t="e">
        <f>VLOOKUP(B371,'Station List'!#REF!,2,0)</f>
        <v>#REF!</v>
      </c>
      <c r="G371" s="19" t="e">
        <f>VLOOKUP(B371,#REF!,2,0)</f>
        <v>#REF!</v>
      </c>
      <c r="H371" s="19" t="e">
        <f t="shared" si="3"/>
        <v>#REF!</v>
      </c>
      <c r="I371" s="19" t="e">
        <f>VLOOKUP(B371,'Station List'!#REF!,4,0)</f>
        <v>#REF!</v>
      </c>
      <c r="J371" s="19" t="e">
        <f>VLOOKUP(B371,#REF!,3,0)</f>
        <v>#REF!</v>
      </c>
      <c r="K371" s="19" t="e">
        <f t="shared" si="33"/>
        <v>#REF!</v>
      </c>
      <c r="L371" s="19" t="e">
        <f>VLOOKUP(B370,'Station List'!#REF!,9,0)</f>
        <v>#REF!</v>
      </c>
      <c r="M371" s="19" t="e">
        <f>VLOOKUP(B370,#REF!,4,0)</f>
        <v>#REF!</v>
      </c>
      <c r="N371" s="17"/>
      <c r="O371" s="17"/>
      <c r="P371" s="17"/>
      <c r="Q371" s="17"/>
      <c r="R371" s="17"/>
      <c r="S371" s="17"/>
      <c r="T371" s="17"/>
      <c r="U371" s="17"/>
      <c r="V371" s="17"/>
      <c r="W371" s="17" t="e">
        <f t="shared" si="34"/>
        <v>#REF!</v>
      </c>
      <c r="X371" s="17" t="e">
        <f t="shared" si="32"/>
        <v>#REF!</v>
      </c>
    </row>
    <row r="372" spans="1:24" ht="12.75" customHeight="1" x14ac:dyDescent="0.2">
      <c r="A372" s="19">
        <v>370</v>
      </c>
      <c r="B372" s="19" t="s">
        <v>3522</v>
      </c>
      <c r="C372" s="19" t="e">
        <f t="shared" si="7"/>
        <v>#REF!</v>
      </c>
      <c r="D372" s="19" t="e">
        <f t="shared" si="8"/>
        <v>#REF!</v>
      </c>
      <c r="E372" s="19" t="e">
        <f t="shared" si="9"/>
        <v>#REF!</v>
      </c>
      <c r="F372" s="19" t="e">
        <f>VLOOKUP(B372,'Station List'!#REF!,2,0)</f>
        <v>#REF!</v>
      </c>
      <c r="G372" s="19" t="e">
        <f>VLOOKUP(B372,#REF!,2,0)</f>
        <v>#REF!</v>
      </c>
      <c r="H372" s="19" t="e">
        <f t="shared" si="3"/>
        <v>#REF!</v>
      </c>
      <c r="I372" s="19" t="e">
        <f>VLOOKUP(B372,'Station List'!#REF!,4,0)</f>
        <v>#REF!</v>
      </c>
      <c r="J372" s="19" t="e">
        <f>VLOOKUP(B372,#REF!,3,0)</f>
        <v>#REF!</v>
      </c>
      <c r="K372" s="19" t="e">
        <f t="shared" si="33"/>
        <v>#REF!</v>
      </c>
      <c r="L372" s="19" t="e">
        <f>VLOOKUP(B371,'Station List'!#REF!,9,0)</f>
        <v>#REF!</v>
      </c>
      <c r="M372" s="19" t="e">
        <f>VLOOKUP(B371,#REF!,4,0)</f>
        <v>#REF!</v>
      </c>
      <c r="N372" s="17"/>
      <c r="O372" s="17"/>
      <c r="P372" s="17"/>
      <c r="Q372" s="17"/>
      <c r="R372" s="17"/>
      <c r="S372" s="17"/>
      <c r="T372" s="17"/>
      <c r="U372" s="17"/>
      <c r="V372" s="17"/>
      <c r="W372" s="17" t="e">
        <f t="shared" si="34"/>
        <v>#REF!</v>
      </c>
      <c r="X372" s="17" t="e">
        <f t="shared" si="32"/>
        <v>#REF!</v>
      </c>
    </row>
    <row r="373" spans="1:24" ht="12.75" customHeight="1" x14ac:dyDescent="0.2">
      <c r="A373" s="19">
        <v>371</v>
      </c>
      <c r="B373" s="19" t="s">
        <v>3523</v>
      </c>
      <c r="C373" s="19" t="e">
        <f t="shared" si="7"/>
        <v>#REF!</v>
      </c>
      <c r="D373" s="19" t="e">
        <f t="shared" si="8"/>
        <v>#REF!</v>
      </c>
      <c r="E373" s="19" t="e">
        <f t="shared" si="9"/>
        <v>#REF!</v>
      </c>
      <c r="F373" s="19" t="e">
        <f>VLOOKUP(B373,'Station List'!#REF!,2,0)</f>
        <v>#REF!</v>
      </c>
      <c r="G373" s="19" t="e">
        <f>VLOOKUP(B373,#REF!,2,0)</f>
        <v>#REF!</v>
      </c>
      <c r="H373" s="19" t="e">
        <f t="shared" si="3"/>
        <v>#REF!</v>
      </c>
      <c r="I373" s="19" t="e">
        <f>VLOOKUP(B373,'Station List'!#REF!,4,0)</f>
        <v>#REF!</v>
      </c>
      <c r="J373" s="19" t="e">
        <f>VLOOKUP(B373,#REF!,3,0)</f>
        <v>#REF!</v>
      </c>
      <c r="K373" s="19" t="e">
        <f t="shared" si="33"/>
        <v>#REF!</v>
      </c>
      <c r="L373" s="19" t="e">
        <f>VLOOKUP(B372,'Station List'!#REF!,9,0)</f>
        <v>#REF!</v>
      </c>
      <c r="M373" s="19" t="e">
        <f>VLOOKUP(B372,#REF!,4,0)</f>
        <v>#REF!</v>
      </c>
      <c r="N373" s="17"/>
      <c r="O373" s="17"/>
      <c r="P373" s="17"/>
      <c r="Q373" s="17"/>
      <c r="R373" s="17"/>
      <c r="S373" s="17"/>
      <c r="T373" s="17"/>
      <c r="U373" s="17"/>
      <c r="V373" s="17"/>
      <c r="W373" s="17" t="e">
        <f t="shared" si="34"/>
        <v>#REF!</v>
      </c>
      <c r="X373" s="17" t="e">
        <f t="shared" si="32"/>
        <v>#REF!</v>
      </c>
    </row>
    <row r="374" spans="1:24" ht="12.75" customHeight="1" x14ac:dyDescent="0.2">
      <c r="A374" s="19">
        <v>372</v>
      </c>
      <c r="B374" s="19" t="s">
        <v>3524</v>
      </c>
      <c r="C374" s="19" t="e">
        <f t="shared" si="7"/>
        <v>#REF!</v>
      </c>
      <c r="D374" s="19" t="e">
        <f t="shared" si="8"/>
        <v>#REF!</v>
      </c>
      <c r="E374" s="19" t="e">
        <f t="shared" si="9"/>
        <v>#REF!</v>
      </c>
      <c r="F374" s="19" t="e">
        <f>VLOOKUP(B374,'Station List'!#REF!,2,0)</f>
        <v>#REF!</v>
      </c>
      <c r="G374" s="19" t="e">
        <f>VLOOKUP(B374,#REF!,2,0)</f>
        <v>#REF!</v>
      </c>
      <c r="H374" s="19" t="e">
        <f t="shared" si="3"/>
        <v>#REF!</v>
      </c>
      <c r="I374" s="19" t="e">
        <f>VLOOKUP(B374,'Station List'!#REF!,4,0)</f>
        <v>#REF!</v>
      </c>
      <c r="J374" s="19" t="e">
        <f>VLOOKUP(B374,#REF!,3,0)</f>
        <v>#REF!</v>
      </c>
      <c r="K374" s="19" t="e">
        <f t="shared" si="33"/>
        <v>#REF!</v>
      </c>
      <c r="L374" s="19" t="e">
        <f>VLOOKUP(B373,'Station List'!#REF!,9,0)</f>
        <v>#REF!</v>
      </c>
      <c r="M374" s="19" t="e">
        <f>VLOOKUP(B373,#REF!,4,0)</f>
        <v>#REF!</v>
      </c>
      <c r="N374" s="17"/>
      <c r="O374" s="17"/>
      <c r="P374" s="17"/>
      <c r="Q374" s="17"/>
      <c r="R374" s="17"/>
      <c r="S374" s="17"/>
      <c r="T374" s="17"/>
      <c r="U374" s="17"/>
      <c r="V374" s="17"/>
      <c r="W374" s="17" t="e">
        <f t="shared" si="34"/>
        <v>#REF!</v>
      </c>
      <c r="X374" s="17" t="e">
        <f t="shared" si="32"/>
        <v>#REF!</v>
      </c>
    </row>
    <row r="375" spans="1:24" ht="12.75" customHeight="1" x14ac:dyDescent="0.2">
      <c r="A375" s="19">
        <v>373</v>
      </c>
      <c r="B375" s="19" t="s">
        <v>3525</v>
      </c>
      <c r="C375" s="19" t="e">
        <f t="shared" si="7"/>
        <v>#REF!</v>
      </c>
      <c r="D375" s="19" t="e">
        <f t="shared" si="8"/>
        <v>#REF!</v>
      </c>
      <c r="E375" s="19" t="e">
        <f t="shared" si="9"/>
        <v>#REF!</v>
      </c>
      <c r="F375" s="19" t="e">
        <f>VLOOKUP(B375,'Station List'!#REF!,2,0)</f>
        <v>#REF!</v>
      </c>
      <c r="G375" s="19" t="e">
        <f>VLOOKUP(B375,#REF!,2,0)</f>
        <v>#REF!</v>
      </c>
      <c r="H375" s="19" t="e">
        <f t="shared" si="3"/>
        <v>#REF!</v>
      </c>
      <c r="I375" s="19" t="e">
        <f>VLOOKUP(B375,'Station List'!#REF!,4,0)</f>
        <v>#REF!</v>
      </c>
      <c r="J375" s="19" t="e">
        <f>VLOOKUP(B375,#REF!,3,0)</f>
        <v>#REF!</v>
      </c>
      <c r="K375" s="19" t="e">
        <f t="shared" si="33"/>
        <v>#REF!</v>
      </c>
      <c r="L375" s="19" t="e">
        <f>VLOOKUP(B374,'Station List'!#REF!,9,0)</f>
        <v>#REF!</v>
      </c>
      <c r="M375" s="19" t="e">
        <f>VLOOKUP(B374,#REF!,4,0)</f>
        <v>#REF!</v>
      </c>
      <c r="N375" s="17"/>
      <c r="O375" s="17"/>
      <c r="P375" s="17"/>
      <c r="Q375" s="17"/>
      <c r="R375" s="17"/>
      <c r="S375" s="17"/>
      <c r="T375" s="17"/>
      <c r="U375" s="17"/>
      <c r="V375" s="17"/>
      <c r="W375" s="17" t="e">
        <f t="shared" si="34"/>
        <v>#REF!</v>
      </c>
      <c r="X375" s="17" t="e">
        <f t="shared" si="32"/>
        <v>#REF!</v>
      </c>
    </row>
    <row r="376" spans="1:24" ht="12.75" customHeight="1" x14ac:dyDescent="0.2">
      <c r="A376" s="19">
        <v>374</v>
      </c>
      <c r="B376" s="19" t="s">
        <v>3526</v>
      </c>
      <c r="C376" s="19" t="e">
        <f t="shared" si="7"/>
        <v>#REF!</v>
      </c>
      <c r="D376" s="19" t="e">
        <f t="shared" si="8"/>
        <v>#REF!</v>
      </c>
      <c r="E376" s="19" t="e">
        <f t="shared" si="9"/>
        <v>#REF!</v>
      </c>
      <c r="F376" s="19" t="e">
        <f>VLOOKUP(B376,'Station List'!#REF!,2,0)</f>
        <v>#REF!</v>
      </c>
      <c r="G376" s="19" t="e">
        <f>VLOOKUP(B376,#REF!,2,0)</f>
        <v>#REF!</v>
      </c>
      <c r="H376" s="19" t="e">
        <f t="shared" si="3"/>
        <v>#REF!</v>
      </c>
      <c r="I376" s="19" t="e">
        <f>VLOOKUP(B376,'Station List'!#REF!,4,0)</f>
        <v>#REF!</v>
      </c>
      <c r="J376" s="19" t="e">
        <f>VLOOKUP(B376,#REF!,3,0)</f>
        <v>#REF!</v>
      </c>
      <c r="K376" s="19" t="e">
        <f t="shared" si="33"/>
        <v>#REF!</v>
      </c>
      <c r="L376" s="19" t="e">
        <f>VLOOKUP(B375,'Station List'!#REF!,9,0)</f>
        <v>#REF!</v>
      </c>
      <c r="M376" s="19" t="e">
        <f>VLOOKUP(B375,#REF!,4,0)</f>
        <v>#REF!</v>
      </c>
      <c r="N376" s="17"/>
      <c r="O376" s="17"/>
      <c r="P376" s="17"/>
      <c r="Q376" s="17"/>
      <c r="R376" s="17"/>
      <c r="S376" s="17"/>
      <c r="T376" s="17"/>
      <c r="U376" s="17"/>
      <c r="V376" s="17"/>
      <c r="W376" s="17" t="e">
        <f t="shared" si="34"/>
        <v>#REF!</v>
      </c>
      <c r="X376" s="17" t="e">
        <f t="shared" si="32"/>
        <v>#REF!</v>
      </c>
    </row>
    <row r="377" spans="1:24" ht="12.75" customHeight="1" x14ac:dyDescent="0.2">
      <c r="A377" s="19">
        <v>375</v>
      </c>
      <c r="B377" s="19" t="s">
        <v>3527</v>
      </c>
      <c r="C377" s="19" t="e">
        <f t="shared" si="7"/>
        <v>#REF!</v>
      </c>
      <c r="D377" s="19" t="e">
        <f t="shared" si="8"/>
        <v>#REF!</v>
      </c>
      <c r="E377" s="19" t="e">
        <f t="shared" si="9"/>
        <v>#REF!</v>
      </c>
      <c r="F377" s="19" t="e">
        <f>VLOOKUP(B377,'Station List'!#REF!,2,0)</f>
        <v>#REF!</v>
      </c>
      <c r="G377" s="19" t="e">
        <f>VLOOKUP(B377,#REF!,2,0)</f>
        <v>#REF!</v>
      </c>
      <c r="H377" s="19" t="e">
        <f t="shared" si="3"/>
        <v>#REF!</v>
      </c>
      <c r="I377" s="19" t="e">
        <f>VLOOKUP(B377,'Station List'!#REF!,4,0)</f>
        <v>#REF!</v>
      </c>
      <c r="J377" s="19" t="e">
        <f>VLOOKUP(B377,#REF!,3,0)</f>
        <v>#REF!</v>
      </c>
      <c r="K377" s="19" t="e">
        <f t="shared" si="33"/>
        <v>#REF!</v>
      </c>
      <c r="L377" s="19" t="e">
        <f>VLOOKUP(B376,'Station List'!#REF!,9,0)</f>
        <v>#REF!</v>
      </c>
      <c r="M377" s="19" t="e">
        <f>VLOOKUP(B376,#REF!,4,0)</f>
        <v>#REF!</v>
      </c>
      <c r="N377" s="17"/>
      <c r="O377" s="17"/>
      <c r="P377" s="17"/>
      <c r="Q377" s="17"/>
      <c r="R377" s="17"/>
      <c r="S377" s="17"/>
      <c r="T377" s="17"/>
      <c r="U377" s="17"/>
      <c r="V377" s="17"/>
      <c r="W377" s="17" t="e">
        <f t="shared" si="34"/>
        <v>#REF!</v>
      </c>
      <c r="X377" s="17" t="e">
        <f t="shared" si="32"/>
        <v>#REF!</v>
      </c>
    </row>
    <row r="378" spans="1:24" ht="12.75" customHeight="1" x14ac:dyDescent="0.2">
      <c r="A378" s="19">
        <v>376</v>
      </c>
      <c r="B378" s="19" t="s">
        <v>3528</v>
      </c>
      <c r="C378" s="19" t="e">
        <f t="shared" si="7"/>
        <v>#REF!</v>
      </c>
      <c r="D378" s="19" t="e">
        <f t="shared" si="8"/>
        <v>#REF!</v>
      </c>
      <c r="E378" s="19" t="e">
        <f t="shared" si="9"/>
        <v>#REF!</v>
      </c>
      <c r="F378" s="19" t="e">
        <f>VLOOKUP(B378,'Station List'!#REF!,2,0)</f>
        <v>#REF!</v>
      </c>
      <c r="G378" s="19" t="e">
        <f>VLOOKUP(B378,#REF!,2,0)</f>
        <v>#REF!</v>
      </c>
      <c r="H378" s="19" t="e">
        <f t="shared" si="3"/>
        <v>#REF!</v>
      </c>
      <c r="I378" s="19" t="e">
        <f>VLOOKUP(B378,'Station List'!#REF!,4,0)</f>
        <v>#REF!</v>
      </c>
      <c r="J378" s="19" t="e">
        <f>VLOOKUP(B378,#REF!,3,0)</f>
        <v>#REF!</v>
      </c>
      <c r="K378" s="19" t="e">
        <f t="shared" si="33"/>
        <v>#REF!</v>
      </c>
      <c r="L378" s="19" t="e">
        <f>VLOOKUP(B377,'Station List'!#REF!,9,0)</f>
        <v>#REF!</v>
      </c>
      <c r="M378" s="19" t="e">
        <f>VLOOKUP(B377,#REF!,4,0)</f>
        <v>#REF!</v>
      </c>
      <c r="N378" s="17"/>
      <c r="O378" s="17"/>
      <c r="P378" s="17"/>
      <c r="Q378" s="17"/>
      <c r="R378" s="17"/>
      <c r="S378" s="17"/>
      <c r="T378" s="17"/>
      <c r="U378" s="17"/>
      <c r="V378" s="17"/>
      <c r="W378" s="17" t="e">
        <f t="shared" si="34"/>
        <v>#REF!</v>
      </c>
      <c r="X378" s="17" t="e">
        <f t="shared" si="32"/>
        <v>#REF!</v>
      </c>
    </row>
    <row r="379" spans="1:24" ht="12.75" customHeight="1" x14ac:dyDescent="0.2">
      <c r="A379" s="19">
        <v>377</v>
      </c>
      <c r="B379" s="19" t="s">
        <v>3529</v>
      </c>
      <c r="C379" s="19" t="e">
        <f t="shared" si="7"/>
        <v>#REF!</v>
      </c>
      <c r="D379" s="19" t="e">
        <f t="shared" si="8"/>
        <v>#REF!</v>
      </c>
      <c r="E379" s="19" t="e">
        <f t="shared" si="9"/>
        <v>#REF!</v>
      </c>
      <c r="F379" s="19" t="e">
        <f>VLOOKUP(B379,'Station List'!#REF!,2,0)</f>
        <v>#REF!</v>
      </c>
      <c r="G379" s="19" t="e">
        <f>VLOOKUP(B379,#REF!,2,0)</f>
        <v>#REF!</v>
      </c>
      <c r="H379" s="19" t="e">
        <f t="shared" si="3"/>
        <v>#REF!</v>
      </c>
      <c r="I379" s="19" t="e">
        <f>VLOOKUP(B379,'Station List'!#REF!,4,0)</f>
        <v>#REF!</v>
      </c>
      <c r="J379" s="19" t="e">
        <f>VLOOKUP(B379,#REF!,3,0)</f>
        <v>#REF!</v>
      </c>
      <c r="K379" s="19" t="e">
        <f t="shared" si="33"/>
        <v>#REF!</v>
      </c>
      <c r="L379" s="19" t="e">
        <f>VLOOKUP(B378,'Station List'!#REF!,9,0)</f>
        <v>#REF!</v>
      </c>
      <c r="M379" s="19" t="e">
        <f>VLOOKUP(B378,#REF!,4,0)</f>
        <v>#REF!</v>
      </c>
      <c r="N379" s="17"/>
      <c r="O379" s="17"/>
      <c r="P379" s="17"/>
      <c r="Q379" s="17"/>
      <c r="R379" s="17"/>
      <c r="S379" s="17"/>
      <c r="T379" s="17"/>
      <c r="U379" s="17"/>
      <c r="V379" s="17"/>
      <c r="W379" s="17" t="e">
        <f t="shared" si="34"/>
        <v>#REF!</v>
      </c>
      <c r="X379" s="17" t="e">
        <f t="shared" si="32"/>
        <v>#REF!</v>
      </c>
    </row>
    <row r="380" spans="1:24" ht="12.75" customHeight="1" x14ac:dyDescent="0.2">
      <c r="A380" s="19">
        <v>378</v>
      </c>
      <c r="B380" s="19" t="s">
        <v>3530</v>
      </c>
      <c r="C380" s="19" t="e">
        <f t="shared" si="7"/>
        <v>#REF!</v>
      </c>
      <c r="D380" s="19" t="e">
        <f t="shared" si="8"/>
        <v>#REF!</v>
      </c>
      <c r="E380" s="19" t="e">
        <f t="shared" si="9"/>
        <v>#REF!</v>
      </c>
      <c r="F380" s="19" t="e">
        <f>VLOOKUP(B380,'Station List'!#REF!,2,0)</f>
        <v>#REF!</v>
      </c>
      <c r="G380" s="19" t="e">
        <f>VLOOKUP(B380,#REF!,2,0)</f>
        <v>#REF!</v>
      </c>
      <c r="H380" s="19" t="e">
        <f t="shared" si="3"/>
        <v>#REF!</v>
      </c>
      <c r="I380" s="19" t="e">
        <f>VLOOKUP(B380,'Station List'!#REF!,4,0)</f>
        <v>#REF!</v>
      </c>
      <c r="J380" s="19" t="e">
        <f>VLOOKUP(B380,#REF!,3,0)</f>
        <v>#REF!</v>
      </c>
      <c r="K380" s="19" t="e">
        <f t="shared" si="33"/>
        <v>#REF!</v>
      </c>
      <c r="L380" s="102" t="e">
        <f>VLOOKUP(B379,'Station List'!#REF!,9,0)</f>
        <v>#REF!</v>
      </c>
      <c r="M380" s="19" t="e">
        <f>VLOOKUP(B379,#REF!,4,0)</f>
        <v>#REF!</v>
      </c>
      <c r="N380" s="17"/>
      <c r="O380" s="17"/>
      <c r="P380" s="17"/>
      <c r="Q380" s="17"/>
      <c r="R380" s="17"/>
      <c r="S380" s="17"/>
      <c r="T380" s="17"/>
      <c r="U380" s="17"/>
      <c r="V380" s="17"/>
      <c r="W380" s="17" t="e">
        <f t="shared" si="34"/>
        <v>#REF!</v>
      </c>
      <c r="X380" s="17" t="e">
        <f t="shared" si="32"/>
        <v>#REF!</v>
      </c>
    </row>
    <row r="381" spans="1:24" ht="12.75" customHeight="1" x14ac:dyDescent="0.2">
      <c r="A381" s="19">
        <v>379</v>
      </c>
      <c r="B381" s="19" t="s">
        <v>3531</v>
      </c>
      <c r="C381" s="19" t="e">
        <f t="shared" si="7"/>
        <v>#REF!</v>
      </c>
      <c r="D381" s="19" t="e">
        <f t="shared" si="8"/>
        <v>#REF!</v>
      </c>
      <c r="E381" s="19" t="e">
        <f t="shared" si="9"/>
        <v>#REF!</v>
      </c>
      <c r="F381" s="19" t="e">
        <f>VLOOKUP(B381,'Station List'!#REF!,2,0)</f>
        <v>#REF!</v>
      </c>
      <c r="G381" s="19" t="e">
        <f>VLOOKUP(B381,#REF!,2,0)</f>
        <v>#REF!</v>
      </c>
      <c r="H381" s="19" t="e">
        <f t="shared" si="3"/>
        <v>#REF!</v>
      </c>
      <c r="I381" s="19" t="e">
        <f>VLOOKUP(B381,'Station List'!#REF!,4,0)</f>
        <v>#REF!</v>
      </c>
      <c r="J381" s="19" t="e">
        <f>VLOOKUP(B381,#REF!,3,0)</f>
        <v>#REF!</v>
      </c>
      <c r="K381" s="19" t="e">
        <f t="shared" si="33"/>
        <v>#REF!</v>
      </c>
      <c r="L381" s="19" t="e">
        <f>VLOOKUP(B380,'Station List'!#REF!,9,0)</f>
        <v>#REF!</v>
      </c>
      <c r="M381" s="19" t="e">
        <f>VLOOKUP(B380,#REF!,4,0)</f>
        <v>#REF!</v>
      </c>
      <c r="N381" s="17"/>
      <c r="O381" s="17"/>
      <c r="P381" s="17"/>
      <c r="Q381" s="17"/>
      <c r="R381" s="17"/>
      <c r="S381" s="17"/>
      <c r="T381" s="17"/>
      <c r="U381" s="17"/>
      <c r="V381" s="17"/>
      <c r="W381" s="17" t="e">
        <f t="shared" si="34"/>
        <v>#REF!</v>
      </c>
      <c r="X381" s="17" t="e">
        <f t="shared" si="32"/>
        <v>#REF!</v>
      </c>
    </row>
    <row r="382" spans="1:24" ht="12.75" customHeight="1" x14ac:dyDescent="0.2">
      <c r="A382" s="19">
        <v>380</v>
      </c>
      <c r="B382" s="19" t="s">
        <v>3532</v>
      </c>
      <c r="C382" s="19" t="e">
        <f t="shared" si="7"/>
        <v>#REF!</v>
      </c>
      <c r="D382" s="19" t="e">
        <f t="shared" si="8"/>
        <v>#REF!</v>
      </c>
      <c r="E382" s="19" t="e">
        <f t="shared" si="9"/>
        <v>#REF!</v>
      </c>
      <c r="F382" s="19" t="e">
        <f>VLOOKUP(B382,'Station List'!#REF!,2,0)</f>
        <v>#REF!</v>
      </c>
      <c r="G382" s="19" t="e">
        <f>VLOOKUP(B382,#REF!,2,0)</f>
        <v>#REF!</v>
      </c>
      <c r="H382" s="19" t="e">
        <f t="shared" si="3"/>
        <v>#REF!</v>
      </c>
      <c r="I382" s="19" t="e">
        <f>VLOOKUP(B382,'Station List'!#REF!,4,0)</f>
        <v>#REF!</v>
      </c>
      <c r="J382" s="19" t="e">
        <f>VLOOKUP(B382,#REF!,3,0)</f>
        <v>#REF!</v>
      </c>
      <c r="K382" s="19" t="e">
        <f t="shared" si="33"/>
        <v>#REF!</v>
      </c>
      <c r="L382" s="19" t="e">
        <f>VLOOKUP(B381,'Station List'!#REF!,9,0)</f>
        <v>#REF!</v>
      </c>
      <c r="M382" s="19" t="e">
        <f>VLOOKUP(B381,#REF!,4,0)</f>
        <v>#REF!</v>
      </c>
      <c r="N382" s="17"/>
      <c r="O382" s="17"/>
      <c r="P382" s="17"/>
      <c r="Q382" s="17"/>
      <c r="R382" s="17"/>
      <c r="S382" s="17"/>
      <c r="T382" s="17"/>
      <c r="U382" s="17"/>
      <c r="V382" s="17"/>
      <c r="W382" s="17" t="e">
        <f t="shared" si="34"/>
        <v>#REF!</v>
      </c>
      <c r="X382" s="17" t="e">
        <f t="shared" si="32"/>
        <v>#REF!</v>
      </c>
    </row>
    <row r="383" spans="1:24" ht="12.75" customHeight="1" x14ac:dyDescent="0.2">
      <c r="A383" s="19">
        <v>381</v>
      </c>
      <c r="B383" s="19" t="s">
        <v>3533</v>
      </c>
      <c r="C383" s="19" t="e">
        <f t="shared" si="7"/>
        <v>#REF!</v>
      </c>
      <c r="D383" s="19" t="e">
        <f t="shared" si="8"/>
        <v>#REF!</v>
      </c>
      <c r="E383" s="19" t="e">
        <f t="shared" si="9"/>
        <v>#REF!</v>
      </c>
      <c r="F383" s="19" t="e">
        <f>VLOOKUP(B383,'Station List'!#REF!,2,0)</f>
        <v>#REF!</v>
      </c>
      <c r="G383" s="19" t="e">
        <f>VLOOKUP(B383,#REF!,2,0)</f>
        <v>#REF!</v>
      </c>
      <c r="H383" s="19" t="e">
        <f t="shared" si="3"/>
        <v>#REF!</v>
      </c>
      <c r="I383" s="19" t="e">
        <f>VLOOKUP(B383,'Station List'!#REF!,4,0)</f>
        <v>#REF!</v>
      </c>
      <c r="J383" s="19" t="e">
        <f>VLOOKUP(B383,#REF!,3,0)</f>
        <v>#REF!</v>
      </c>
      <c r="K383" s="19" t="e">
        <f t="shared" si="33"/>
        <v>#REF!</v>
      </c>
      <c r="L383" s="19" t="e">
        <f>VLOOKUP(B382,'Station List'!#REF!,9,0)</f>
        <v>#REF!</v>
      </c>
      <c r="M383" s="19" t="e">
        <f>VLOOKUP(B382,#REF!,4,0)</f>
        <v>#REF!</v>
      </c>
      <c r="N383" s="17"/>
      <c r="O383" s="17"/>
      <c r="P383" s="17"/>
      <c r="Q383" s="17"/>
      <c r="R383" s="17"/>
      <c r="S383" s="17"/>
      <c r="T383" s="17"/>
      <c r="U383" s="17"/>
      <c r="V383" s="17"/>
      <c r="W383" s="17" t="e">
        <f t="shared" si="34"/>
        <v>#REF!</v>
      </c>
      <c r="X383" s="17" t="e">
        <f t="shared" si="32"/>
        <v>#REF!</v>
      </c>
    </row>
    <row r="384" spans="1:24" ht="12.75" customHeight="1" x14ac:dyDescent="0.2">
      <c r="A384" s="19">
        <v>382</v>
      </c>
      <c r="B384" s="19" t="s">
        <v>3534</v>
      </c>
      <c r="C384" s="19" t="e">
        <f t="shared" si="7"/>
        <v>#REF!</v>
      </c>
      <c r="D384" s="19" t="e">
        <f t="shared" si="8"/>
        <v>#REF!</v>
      </c>
      <c r="E384" s="19" t="e">
        <f t="shared" si="9"/>
        <v>#REF!</v>
      </c>
      <c r="F384" s="19" t="e">
        <f>VLOOKUP(B384,'Station List'!#REF!,2,0)</f>
        <v>#REF!</v>
      </c>
      <c r="G384" s="19" t="e">
        <f>VLOOKUP(B384,#REF!,2,0)</f>
        <v>#REF!</v>
      </c>
      <c r="H384" s="19" t="e">
        <f t="shared" si="3"/>
        <v>#REF!</v>
      </c>
      <c r="I384" s="19" t="e">
        <f>VLOOKUP(B384,'Station List'!#REF!,4,0)</f>
        <v>#REF!</v>
      </c>
      <c r="J384" s="19" t="e">
        <f>VLOOKUP(B384,#REF!,3,0)</f>
        <v>#REF!</v>
      </c>
      <c r="K384" s="19" t="e">
        <f t="shared" si="33"/>
        <v>#REF!</v>
      </c>
      <c r="L384" s="19" t="e">
        <f>VLOOKUP(B383,'Station List'!#REF!,9,0)</f>
        <v>#REF!</v>
      </c>
      <c r="M384" s="19" t="e">
        <f>VLOOKUP(B383,#REF!,4,0)</f>
        <v>#REF!</v>
      </c>
      <c r="N384" s="17"/>
      <c r="O384" s="17"/>
      <c r="P384" s="17"/>
      <c r="Q384" s="17"/>
      <c r="R384" s="17"/>
      <c r="S384" s="17"/>
      <c r="T384" s="17"/>
      <c r="U384" s="17"/>
      <c r="V384" s="17"/>
      <c r="W384" s="17" t="e">
        <f t="shared" si="34"/>
        <v>#REF!</v>
      </c>
      <c r="X384" s="17" t="e">
        <f t="shared" si="32"/>
        <v>#REF!</v>
      </c>
    </row>
    <row r="385" spans="1:24" ht="12.75" customHeight="1" x14ac:dyDescent="0.2">
      <c r="A385" s="19">
        <v>383</v>
      </c>
      <c r="B385" s="19" t="s">
        <v>3535</v>
      </c>
      <c r="C385" s="19" t="e">
        <f t="shared" si="7"/>
        <v>#REF!</v>
      </c>
      <c r="D385" s="19" t="e">
        <f t="shared" si="8"/>
        <v>#REF!</v>
      </c>
      <c r="E385" s="19" t="e">
        <f t="shared" si="9"/>
        <v>#REF!</v>
      </c>
      <c r="F385" s="19" t="e">
        <f>VLOOKUP(B385,'Station List'!#REF!,2,0)</f>
        <v>#REF!</v>
      </c>
      <c r="G385" s="19" t="e">
        <f>VLOOKUP(B385,#REF!,2,0)</f>
        <v>#REF!</v>
      </c>
      <c r="H385" s="19" t="e">
        <f t="shared" si="3"/>
        <v>#REF!</v>
      </c>
      <c r="I385" s="19" t="e">
        <f>VLOOKUP(B385,'Station List'!#REF!,4,0)</f>
        <v>#REF!</v>
      </c>
      <c r="J385" s="19" t="e">
        <f>VLOOKUP(B385,#REF!,3,0)</f>
        <v>#REF!</v>
      </c>
      <c r="K385" s="19" t="e">
        <f t="shared" si="33"/>
        <v>#REF!</v>
      </c>
      <c r="L385" s="19" t="e">
        <f>VLOOKUP(B384,'Station List'!#REF!,9,0)</f>
        <v>#REF!</v>
      </c>
      <c r="M385" s="19" t="e">
        <f>VLOOKUP(B384,#REF!,4,0)</f>
        <v>#REF!</v>
      </c>
      <c r="N385" s="17"/>
      <c r="O385" s="17"/>
      <c r="P385" s="17"/>
      <c r="Q385" s="17"/>
      <c r="R385" s="17"/>
      <c r="S385" s="17"/>
      <c r="T385" s="17"/>
      <c r="U385" s="17"/>
      <c r="V385" s="17"/>
      <c r="W385" s="17" t="e">
        <f t="shared" si="34"/>
        <v>#REF!</v>
      </c>
      <c r="X385" s="17" t="e">
        <f t="shared" si="32"/>
        <v>#REF!</v>
      </c>
    </row>
    <row r="386" spans="1:24" ht="12.75" customHeight="1" x14ac:dyDescent="0.2">
      <c r="A386" s="19">
        <v>384</v>
      </c>
      <c r="B386" s="19" t="s">
        <v>3536</v>
      </c>
      <c r="C386" s="19" t="e">
        <f t="shared" si="7"/>
        <v>#REF!</v>
      </c>
      <c r="D386" s="19" t="e">
        <f t="shared" si="8"/>
        <v>#REF!</v>
      </c>
      <c r="E386" s="19" t="e">
        <f t="shared" si="9"/>
        <v>#REF!</v>
      </c>
      <c r="F386" s="19" t="e">
        <f>VLOOKUP(B386,'Station List'!#REF!,2,0)</f>
        <v>#REF!</v>
      </c>
      <c r="G386" s="19" t="e">
        <f>VLOOKUP(B386,#REF!,2,0)</f>
        <v>#REF!</v>
      </c>
      <c r="H386" s="19" t="e">
        <f t="shared" si="3"/>
        <v>#REF!</v>
      </c>
      <c r="I386" s="19" t="e">
        <f>VLOOKUP(B386,'Station List'!#REF!,4,0)</f>
        <v>#REF!</v>
      </c>
      <c r="J386" s="19" t="e">
        <f>VLOOKUP(B386,#REF!,3,0)</f>
        <v>#REF!</v>
      </c>
      <c r="K386" s="19" t="e">
        <f t="shared" si="33"/>
        <v>#REF!</v>
      </c>
      <c r="L386" s="19" t="e">
        <f>VLOOKUP(B385,'Station List'!#REF!,9,0)</f>
        <v>#REF!</v>
      </c>
      <c r="M386" s="19" t="e">
        <f>VLOOKUP(B385,#REF!,4,0)</f>
        <v>#REF!</v>
      </c>
      <c r="N386" s="17"/>
      <c r="O386" s="17"/>
      <c r="P386" s="17"/>
      <c r="Q386" s="17"/>
      <c r="R386" s="17"/>
      <c r="S386" s="17"/>
      <c r="T386" s="17"/>
      <c r="U386" s="17"/>
      <c r="V386" s="17"/>
      <c r="W386" s="17" t="e">
        <f t="shared" si="34"/>
        <v>#REF!</v>
      </c>
      <c r="X386" s="17" t="e">
        <f t="shared" si="32"/>
        <v>#REF!</v>
      </c>
    </row>
    <row r="387" spans="1:24" ht="12.75" customHeight="1" x14ac:dyDescent="0.2">
      <c r="A387" s="19">
        <v>385</v>
      </c>
      <c r="B387" s="19" t="s">
        <v>3537</v>
      </c>
      <c r="C387" s="19" t="e">
        <f t="shared" si="7"/>
        <v>#REF!</v>
      </c>
      <c r="D387" s="19" t="e">
        <f t="shared" si="8"/>
        <v>#REF!</v>
      </c>
      <c r="E387" s="19" t="e">
        <f t="shared" si="9"/>
        <v>#REF!</v>
      </c>
      <c r="F387" s="19" t="e">
        <f>VLOOKUP(B387,'Station List'!#REF!,2,0)</f>
        <v>#REF!</v>
      </c>
      <c r="G387" s="19" t="e">
        <f>VLOOKUP(B387,#REF!,2,0)</f>
        <v>#REF!</v>
      </c>
      <c r="H387" s="19" t="e">
        <f t="shared" si="3"/>
        <v>#REF!</v>
      </c>
      <c r="I387" s="19" t="e">
        <f>VLOOKUP(B387,'Station List'!#REF!,4,0)</f>
        <v>#REF!</v>
      </c>
      <c r="J387" s="19" t="e">
        <f>VLOOKUP(B387,#REF!,3,0)</f>
        <v>#REF!</v>
      </c>
      <c r="K387" s="19" t="e">
        <f t="shared" si="33"/>
        <v>#REF!</v>
      </c>
      <c r="L387" s="19" t="e">
        <f>VLOOKUP(B386,'Station List'!#REF!,9,0)</f>
        <v>#REF!</v>
      </c>
      <c r="M387" s="19" t="e">
        <f>VLOOKUP(B386,#REF!,4,0)</f>
        <v>#REF!</v>
      </c>
      <c r="N387" s="17"/>
      <c r="O387" s="17"/>
      <c r="P387" s="17"/>
      <c r="Q387" s="17"/>
      <c r="R387" s="17"/>
      <c r="S387" s="17"/>
      <c r="T387" s="17"/>
      <c r="U387" s="17"/>
      <c r="V387" s="17"/>
      <c r="W387" s="17" t="e">
        <f t="shared" si="34"/>
        <v>#REF!</v>
      </c>
      <c r="X387" s="17" t="e">
        <f t="shared" si="32"/>
        <v>#REF!</v>
      </c>
    </row>
    <row r="388" spans="1:24" ht="12.75" customHeight="1" x14ac:dyDescent="0.2">
      <c r="A388" s="19">
        <v>386</v>
      </c>
      <c r="B388" s="19" t="s">
        <v>3538</v>
      </c>
      <c r="C388" s="19" t="e">
        <f t="shared" si="7"/>
        <v>#REF!</v>
      </c>
      <c r="D388" s="19" t="e">
        <f t="shared" si="8"/>
        <v>#REF!</v>
      </c>
      <c r="E388" s="19" t="e">
        <f t="shared" si="9"/>
        <v>#REF!</v>
      </c>
      <c r="F388" s="19" t="e">
        <f>VLOOKUP(B388,'Station List'!#REF!,2,0)</f>
        <v>#REF!</v>
      </c>
      <c r="G388" s="19" t="e">
        <f>VLOOKUP(B388,#REF!,2,0)</f>
        <v>#REF!</v>
      </c>
      <c r="H388" s="19" t="e">
        <f t="shared" si="3"/>
        <v>#REF!</v>
      </c>
      <c r="I388" s="19" t="e">
        <f>VLOOKUP(B388,'Station List'!#REF!,4,0)</f>
        <v>#REF!</v>
      </c>
      <c r="J388" s="19" t="e">
        <f>VLOOKUP(B388,#REF!,3,0)</f>
        <v>#REF!</v>
      </c>
      <c r="K388" s="19" t="e">
        <f t="shared" si="33"/>
        <v>#REF!</v>
      </c>
      <c r="L388" s="19" t="e">
        <f>VLOOKUP(B387,'Station List'!#REF!,9,0)</f>
        <v>#REF!</v>
      </c>
      <c r="M388" s="19" t="e">
        <f>VLOOKUP(B387,#REF!,4,0)</f>
        <v>#REF!</v>
      </c>
      <c r="N388" s="17"/>
      <c r="O388" s="17"/>
      <c r="P388" s="17"/>
      <c r="Q388" s="17"/>
      <c r="R388" s="17"/>
      <c r="S388" s="17"/>
      <c r="T388" s="17"/>
      <c r="U388" s="17"/>
      <c r="V388" s="17"/>
      <c r="W388" s="17" t="e">
        <f t="shared" si="34"/>
        <v>#REF!</v>
      </c>
      <c r="X388" s="17" t="e">
        <f t="shared" si="32"/>
        <v>#REF!</v>
      </c>
    </row>
    <row r="389" spans="1:24" ht="12.75" customHeight="1" x14ac:dyDescent="0.2">
      <c r="A389" s="19">
        <v>387</v>
      </c>
      <c r="B389" s="19" t="s">
        <v>3539</v>
      </c>
      <c r="C389" s="19" t="e">
        <f t="shared" si="7"/>
        <v>#REF!</v>
      </c>
      <c r="D389" s="19" t="e">
        <f t="shared" si="8"/>
        <v>#REF!</v>
      </c>
      <c r="E389" s="19" t="e">
        <f t="shared" si="9"/>
        <v>#REF!</v>
      </c>
      <c r="F389" s="19" t="e">
        <f>VLOOKUP(B389,'Station List'!#REF!,2,0)</f>
        <v>#REF!</v>
      </c>
      <c r="G389" s="19" t="e">
        <f>VLOOKUP(B389,#REF!,2,0)</f>
        <v>#REF!</v>
      </c>
      <c r="H389" s="19" t="e">
        <f t="shared" si="3"/>
        <v>#REF!</v>
      </c>
      <c r="I389" s="19" t="e">
        <f>VLOOKUP(B389,'Station List'!#REF!,4,0)</f>
        <v>#REF!</v>
      </c>
      <c r="J389" s="19" t="e">
        <f>VLOOKUP(B389,#REF!,3,0)</f>
        <v>#REF!</v>
      </c>
      <c r="K389" s="19" t="e">
        <f t="shared" si="33"/>
        <v>#REF!</v>
      </c>
      <c r="L389" s="19" t="e">
        <f>VLOOKUP(B388,'Station List'!#REF!,9,0)</f>
        <v>#REF!</v>
      </c>
      <c r="M389" s="19" t="e">
        <f>VLOOKUP(B388,#REF!,4,0)</f>
        <v>#REF!</v>
      </c>
      <c r="N389" s="17"/>
      <c r="O389" s="17"/>
      <c r="P389" s="17"/>
      <c r="Q389" s="17"/>
      <c r="R389" s="17"/>
      <c r="S389" s="17"/>
      <c r="T389" s="17"/>
      <c r="U389" s="17"/>
      <c r="V389" s="17"/>
      <c r="W389" s="17" t="e">
        <f t="shared" si="34"/>
        <v>#REF!</v>
      </c>
      <c r="X389" s="17" t="e">
        <f t="shared" si="32"/>
        <v>#REF!</v>
      </c>
    </row>
    <row r="390" spans="1:24" ht="12.75" customHeight="1" x14ac:dyDescent="0.2">
      <c r="A390" s="19">
        <v>388</v>
      </c>
      <c r="B390" s="19" t="s">
        <v>3540</v>
      </c>
      <c r="C390" s="19" t="e">
        <f t="shared" si="7"/>
        <v>#REF!</v>
      </c>
      <c r="D390" s="19" t="e">
        <f t="shared" si="8"/>
        <v>#REF!</v>
      </c>
      <c r="E390" s="19" t="e">
        <f t="shared" si="9"/>
        <v>#REF!</v>
      </c>
      <c r="F390" s="19" t="e">
        <f>VLOOKUP(B390,'Station List'!#REF!,2,0)</f>
        <v>#REF!</v>
      </c>
      <c r="G390" s="19" t="e">
        <f>VLOOKUP(B390,#REF!,2,0)</f>
        <v>#REF!</v>
      </c>
      <c r="H390" s="19" t="e">
        <f t="shared" si="3"/>
        <v>#REF!</v>
      </c>
      <c r="I390" s="19" t="e">
        <f>VLOOKUP(B390,'Station List'!#REF!,4,0)</f>
        <v>#REF!</v>
      </c>
      <c r="J390" s="19" t="e">
        <f>VLOOKUP(B390,#REF!,3,0)</f>
        <v>#REF!</v>
      </c>
      <c r="K390" s="19" t="e">
        <f t="shared" si="33"/>
        <v>#REF!</v>
      </c>
      <c r="L390" s="19" t="e">
        <f>VLOOKUP(B389,'Station List'!#REF!,9,0)</f>
        <v>#REF!</v>
      </c>
      <c r="M390" s="19" t="e">
        <f>VLOOKUP(B389,#REF!,4,0)</f>
        <v>#REF!</v>
      </c>
      <c r="N390" s="17"/>
      <c r="O390" s="17"/>
      <c r="P390" s="17"/>
      <c r="Q390" s="17"/>
      <c r="R390" s="17"/>
      <c r="S390" s="17"/>
      <c r="T390" s="17"/>
      <c r="U390" s="17"/>
      <c r="V390" s="17"/>
      <c r="W390" s="17" t="e">
        <f t="shared" si="34"/>
        <v>#REF!</v>
      </c>
      <c r="X390" s="17" t="e">
        <f t="shared" si="32"/>
        <v>#REF!</v>
      </c>
    </row>
    <row r="391" spans="1:24" ht="12.75" customHeight="1" x14ac:dyDescent="0.2">
      <c r="A391" s="19">
        <v>389</v>
      </c>
      <c r="B391" s="19" t="s">
        <v>3541</v>
      </c>
      <c r="C391" s="19" t="e">
        <f t="shared" si="7"/>
        <v>#REF!</v>
      </c>
      <c r="D391" s="19" t="e">
        <f t="shared" si="8"/>
        <v>#REF!</v>
      </c>
      <c r="E391" s="19" t="e">
        <f t="shared" si="9"/>
        <v>#REF!</v>
      </c>
      <c r="F391" s="19" t="e">
        <f>VLOOKUP(B391,'Station List'!#REF!,2,0)</f>
        <v>#REF!</v>
      </c>
      <c r="G391" s="19" t="e">
        <f>VLOOKUP(B391,#REF!,2,0)</f>
        <v>#REF!</v>
      </c>
      <c r="H391" s="19" t="e">
        <f t="shared" si="3"/>
        <v>#REF!</v>
      </c>
      <c r="I391" s="19" t="e">
        <f>VLOOKUP(B391,'Station List'!#REF!,4,0)</f>
        <v>#REF!</v>
      </c>
      <c r="J391" s="19" t="e">
        <f>VLOOKUP(B391,#REF!,3,0)</f>
        <v>#REF!</v>
      </c>
      <c r="K391" s="19" t="e">
        <f t="shared" si="33"/>
        <v>#REF!</v>
      </c>
      <c r="L391" s="19" t="e">
        <f>VLOOKUP(B390,'Station List'!#REF!,9,0)</f>
        <v>#REF!</v>
      </c>
      <c r="M391" s="19" t="e">
        <f>VLOOKUP(B390,#REF!,4,0)</f>
        <v>#REF!</v>
      </c>
      <c r="N391" s="17"/>
      <c r="O391" s="17"/>
      <c r="P391" s="17"/>
      <c r="Q391" s="17"/>
      <c r="R391" s="17"/>
      <c r="S391" s="17"/>
      <c r="T391" s="17"/>
      <c r="U391" s="17"/>
      <c r="V391" s="17"/>
      <c r="W391" s="17" t="e">
        <f t="shared" si="34"/>
        <v>#REF!</v>
      </c>
      <c r="X391" s="17" t="e">
        <f t="shared" si="32"/>
        <v>#REF!</v>
      </c>
    </row>
    <row r="392" spans="1:24" ht="12.75" customHeight="1" x14ac:dyDescent="0.2">
      <c r="A392" s="19">
        <v>390</v>
      </c>
      <c r="B392" s="19" t="s">
        <v>3542</v>
      </c>
      <c r="C392" s="19" t="e">
        <f t="shared" si="7"/>
        <v>#REF!</v>
      </c>
      <c r="D392" s="19" t="e">
        <f t="shared" si="8"/>
        <v>#REF!</v>
      </c>
      <c r="E392" s="19" t="e">
        <f t="shared" si="9"/>
        <v>#REF!</v>
      </c>
      <c r="F392" s="19" t="e">
        <f>VLOOKUP(B392,'Station List'!#REF!,2,0)</f>
        <v>#REF!</v>
      </c>
      <c r="G392" s="19" t="e">
        <f>VLOOKUP(B392,#REF!,2,0)</f>
        <v>#REF!</v>
      </c>
      <c r="H392" s="19" t="e">
        <f t="shared" si="3"/>
        <v>#REF!</v>
      </c>
      <c r="I392" s="19" t="e">
        <f>VLOOKUP(B392,'Station List'!#REF!,4,0)</f>
        <v>#REF!</v>
      </c>
      <c r="J392" s="19" t="e">
        <f>VLOOKUP(B392,#REF!,3,0)</f>
        <v>#REF!</v>
      </c>
      <c r="K392" s="19" t="e">
        <f t="shared" si="33"/>
        <v>#REF!</v>
      </c>
      <c r="L392" s="19" t="e">
        <f>VLOOKUP(B391,'Station List'!#REF!,9,0)</f>
        <v>#REF!</v>
      </c>
      <c r="M392" s="19" t="e">
        <f>VLOOKUP(B391,#REF!,4,0)</f>
        <v>#REF!</v>
      </c>
      <c r="N392" s="17"/>
      <c r="O392" s="17"/>
      <c r="P392" s="17"/>
      <c r="Q392" s="17"/>
      <c r="R392" s="17"/>
      <c r="S392" s="17"/>
      <c r="T392" s="17"/>
      <c r="U392" s="17"/>
      <c r="V392" s="17"/>
      <c r="W392" s="17" t="e">
        <f t="shared" si="34"/>
        <v>#REF!</v>
      </c>
      <c r="X392" s="17" t="e">
        <f t="shared" si="32"/>
        <v>#REF!</v>
      </c>
    </row>
    <row r="393" spans="1:24" ht="12.75" customHeight="1" x14ac:dyDescent="0.2">
      <c r="A393" s="19">
        <v>391</v>
      </c>
      <c r="B393" s="19" t="s">
        <v>3543</v>
      </c>
      <c r="C393" s="19" t="e">
        <f t="shared" si="7"/>
        <v>#REF!</v>
      </c>
      <c r="D393" s="19" t="e">
        <f t="shared" si="8"/>
        <v>#REF!</v>
      </c>
      <c r="E393" s="19" t="e">
        <f t="shared" si="9"/>
        <v>#REF!</v>
      </c>
      <c r="F393" s="19" t="e">
        <f>VLOOKUP(B393,'Station List'!#REF!,2,0)</f>
        <v>#REF!</v>
      </c>
      <c r="G393" s="19" t="e">
        <f>VLOOKUP(B393,#REF!,2,0)</f>
        <v>#REF!</v>
      </c>
      <c r="H393" s="19" t="e">
        <f t="shared" si="3"/>
        <v>#REF!</v>
      </c>
      <c r="I393" s="19" t="e">
        <f>VLOOKUP(B393,'Station List'!#REF!,4,0)</f>
        <v>#REF!</v>
      </c>
      <c r="J393" s="19" t="e">
        <f>VLOOKUP(B393,#REF!,3,0)</f>
        <v>#REF!</v>
      </c>
      <c r="K393" s="19" t="e">
        <f t="shared" si="33"/>
        <v>#REF!</v>
      </c>
      <c r="L393" s="102" t="e">
        <f>VLOOKUP(B392,'Station List'!#REF!,9,0)</f>
        <v>#REF!</v>
      </c>
      <c r="M393" s="19" t="e">
        <f>VLOOKUP(B392,#REF!,4,0)</f>
        <v>#REF!</v>
      </c>
      <c r="N393" s="17"/>
      <c r="O393" s="17"/>
      <c r="P393" s="17"/>
      <c r="Q393" s="17"/>
      <c r="R393" s="17"/>
      <c r="S393" s="17"/>
      <c r="T393" s="17"/>
      <c r="U393" s="17"/>
      <c r="V393" s="17"/>
      <c r="W393" s="17" t="e">
        <f t="shared" si="34"/>
        <v>#REF!</v>
      </c>
      <c r="X393" s="17" t="e">
        <f t="shared" si="32"/>
        <v>#REF!</v>
      </c>
    </row>
    <row r="394" spans="1:24" ht="12.75" customHeight="1" x14ac:dyDescent="0.2">
      <c r="A394" s="19">
        <v>392</v>
      </c>
      <c r="B394" s="19" t="s">
        <v>3544</v>
      </c>
      <c r="C394" s="19" t="e">
        <f t="shared" si="7"/>
        <v>#REF!</v>
      </c>
      <c r="D394" s="19" t="e">
        <f t="shared" si="8"/>
        <v>#REF!</v>
      </c>
      <c r="E394" s="19" t="e">
        <f t="shared" si="9"/>
        <v>#REF!</v>
      </c>
      <c r="F394" s="19" t="e">
        <f>VLOOKUP(B394,'Station List'!#REF!,2,0)</f>
        <v>#REF!</v>
      </c>
      <c r="G394" s="19" t="e">
        <f>VLOOKUP(B394,#REF!,2,0)</f>
        <v>#REF!</v>
      </c>
      <c r="H394" s="19" t="e">
        <f t="shared" si="3"/>
        <v>#REF!</v>
      </c>
      <c r="I394" s="19" t="e">
        <f>VLOOKUP(B394,'Station List'!#REF!,4,0)</f>
        <v>#REF!</v>
      </c>
      <c r="J394" s="19" t="e">
        <f>VLOOKUP(B394,#REF!,3,0)</f>
        <v>#REF!</v>
      </c>
      <c r="K394" s="19" t="e">
        <f t="shared" si="33"/>
        <v>#REF!</v>
      </c>
      <c r="L394" s="19" t="e">
        <f>VLOOKUP(B393,'Station List'!#REF!,9,0)</f>
        <v>#REF!</v>
      </c>
      <c r="M394" s="19" t="e">
        <f>VLOOKUP(B393,#REF!,4,0)</f>
        <v>#REF!</v>
      </c>
      <c r="N394" s="17"/>
      <c r="O394" s="17"/>
      <c r="P394" s="17"/>
      <c r="Q394" s="17"/>
      <c r="R394" s="17"/>
      <c r="S394" s="17"/>
      <c r="T394" s="17"/>
      <c r="U394" s="17"/>
      <c r="V394" s="17"/>
      <c r="W394" s="17" t="e">
        <f t="shared" si="34"/>
        <v>#REF!</v>
      </c>
      <c r="X394" s="17" t="e">
        <f t="shared" si="32"/>
        <v>#REF!</v>
      </c>
    </row>
    <row r="395" spans="1:24" ht="12.75" customHeight="1" x14ac:dyDescent="0.2">
      <c r="A395" s="19">
        <v>393</v>
      </c>
      <c r="B395" s="19" t="s">
        <v>3545</v>
      </c>
      <c r="C395" s="19" t="e">
        <f t="shared" si="7"/>
        <v>#REF!</v>
      </c>
      <c r="D395" s="19" t="e">
        <f t="shared" si="8"/>
        <v>#REF!</v>
      </c>
      <c r="E395" s="19" t="e">
        <f t="shared" si="9"/>
        <v>#REF!</v>
      </c>
      <c r="F395" s="19" t="e">
        <f>VLOOKUP(B395,'Station List'!#REF!,2,0)</f>
        <v>#REF!</v>
      </c>
      <c r="G395" s="19" t="e">
        <f>VLOOKUP(B395,#REF!,2,0)</f>
        <v>#REF!</v>
      </c>
      <c r="H395" s="19" t="e">
        <f t="shared" si="3"/>
        <v>#REF!</v>
      </c>
      <c r="I395" s="19" t="e">
        <f>VLOOKUP(B395,'Station List'!#REF!,4,0)</f>
        <v>#REF!</v>
      </c>
      <c r="J395" s="19" t="e">
        <f>VLOOKUP(B395,#REF!,3,0)</f>
        <v>#REF!</v>
      </c>
      <c r="K395" s="19" t="e">
        <f t="shared" si="33"/>
        <v>#REF!</v>
      </c>
      <c r="L395" s="19" t="e">
        <f>VLOOKUP(B394,'Station List'!#REF!,9,0)</f>
        <v>#REF!</v>
      </c>
      <c r="M395" s="19" t="e">
        <f>VLOOKUP(B394,#REF!,4,0)</f>
        <v>#REF!</v>
      </c>
      <c r="N395" s="17"/>
      <c r="O395" s="17"/>
      <c r="P395" s="17"/>
      <c r="Q395" s="17"/>
      <c r="R395" s="17"/>
      <c r="S395" s="17"/>
      <c r="T395" s="17"/>
      <c r="U395" s="17"/>
      <c r="V395" s="17"/>
      <c r="W395" s="17" t="e">
        <f t="shared" si="34"/>
        <v>#REF!</v>
      </c>
      <c r="X395" s="17" t="e">
        <f t="shared" si="32"/>
        <v>#REF!</v>
      </c>
    </row>
    <row r="396" spans="1:24" ht="12.75" customHeight="1" x14ac:dyDescent="0.2">
      <c r="A396" s="19">
        <v>394</v>
      </c>
      <c r="B396" s="19" t="s">
        <v>3546</v>
      </c>
      <c r="C396" s="19" t="e">
        <f t="shared" si="7"/>
        <v>#REF!</v>
      </c>
      <c r="D396" s="19" t="e">
        <f t="shared" si="8"/>
        <v>#REF!</v>
      </c>
      <c r="E396" s="19" t="e">
        <f t="shared" si="9"/>
        <v>#REF!</v>
      </c>
      <c r="F396" s="19" t="e">
        <f>VLOOKUP(B396,'Station List'!#REF!,2,0)</f>
        <v>#REF!</v>
      </c>
      <c r="G396" s="19" t="e">
        <f>VLOOKUP(B396,#REF!,2,0)</f>
        <v>#REF!</v>
      </c>
      <c r="H396" s="19" t="e">
        <f t="shared" si="3"/>
        <v>#REF!</v>
      </c>
      <c r="I396" s="19" t="e">
        <f>VLOOKUP(B396,'Station List'!#REF!,4,0)</f>
        <v>#REF!</v>
      </c>
      <c r="J396" s="19" t="e">
        <f>VLOOKUP(B396,#REF!,3,0)</f>
        <v>#REF!</v>
      </c>
      <c r="K396" s="19" t="e">
        <f t="shared" si="33"/>
        <v>#REF!</v>
      </c>
      <c r="L396" s="19" t="e">
        <f>VLOOKUP(B395,'Station List'!#REF!,9,0)</f>
        <v>#REF!</v>
      </c>
      <c r="M396" s="19" t="e">
        <f>VLOOKUP(B395,#REF!,4,0)</f>
        <v>#REF!</v>
      </c>
      <c r="N396" s="17"/>
      <c r="O396" s="17"/>
      <c r="P396" s="17"/>
      <c r="Q396" s="17"/>
      <c r="R396" s="17"/>
      <c r="S396" s="17"/>
      <c r="T396" s="17"/>
      <c r="U396" s="17"/>
      <c r="V396" s="17"/>
      <c r="W396" s="17" t="e">
        <f t="shared" si="34"/>
        <v>#REF!</v>
      </c>
      <c r="X396" s="17" t="e">
        <f t="shared" si="32"/>
        <v>#REF!</v>
      </c>
    </row>
    <row r="397" spans="1:24" ht="12.75" customHeight="1" x14ac:dyDescent="0.2">
      <c r="A397" s="19">
        <v>395</v>
      </c>
      <c r="B397" s="19" t="s">
        <v>3547</v>
      </c>
      <c r="C397" s="19" t="e">
        <f t="shared" si="7"/>
        <v>#REF!</v>
      </c>
      <c r="D397" s="19" t="e">
        <f t="shared" si="8"/>
        <v>#REF!</v>
      </c>
      <c r="E397" s="19" t="e">
        <f t="shared" si="9"/>
        <v>#REF!</v>
      </c>
      <c r="F397" s="19" t="e">
        <f>VLOOKUP(B397,'Station List'!#REF!,2,0)</f>
        <v>#REF!</v>
      </c>
      <c r="G397" s="19" t="e">
        <f>VLOOKUP(B397,#REF!,2,0)</f>
        <v>#REF!</v>
      </c>
      <c r="H397" s="19" t="e">
        <f t="shared" si="3"/>
        <v>#REF!</v>
      </c>
      <c r="I397" s="19" t="e">
        <f>VLOOKUP(B397,'Station List'!#REF!,4,0)</f>
        <v>#REF!</v>
      </c>
      <c r="J397" s="19" t="e">
        <f>VLOOKUP(B397,#REF!,3,0)</f>
        <v>#REF!</v>
      </c>
      <c r="K397" s="19" t="e">
        <f t="shared" si="33"/>
        <v>#REF!</v>
      </c>
      <c r="L397" s="19" t="e">
        <f>VLOOKUP(B396,'Station List'!#REF!,9,0)</f>
        <v>#REF!</v>
      </c>
      <c r="M397" s="19" t="e">
        <f>VLOOKUP(B396,#REF!,4,0)</f>
        <v>#REF!</v>
      </c>
      <c r="N397" s="17"/>
      <c r="O397" s="17"/>
      <c r="P397" s="17"/>
      <c r="Q397" s="17"/>
      <c r="R397" s="17"/>
      <c r="S397" s="17"/>
      <c r="T397" s="17"/>
      <c r="U397" s="17"/>
      <c r="V397" s="17"/>
      <c r="W397" s="17" t="e">
        <f t="shared" si="34"/>
        <v>#REF!</v>
      </c>
      <c r="X397" s="17" t="e">
        <f t="shared" si="32"/>
        <v>#REF!</v>
      </c>
    </row>
    <row r="398" spans="1:24" ht="12.75" customHeight="1" x14ac:dyDescent="0.2">
      <c r="A398" s="19">
        <v>396</v>
      </c>
      <c r="B398" s="19" t="s">
        <v>3548</v>
      </c>
      <c r="C398" s="19" t="e">
        <f t="shared" si="7"/>
        <v>#REF!</v>
      </c>
      <c r="D398" s="19" t="e">
        <f t="shared" si="8"/>
        <v>#REF!</v>
      </c>
      <c r="E398" s="19" t="e">
        <f t="shared" si="9"/>
        <v>#REF!</v>
      </c>
      <c r="F398" s="19" t="e">
        <f>VLOOKUP(B398,'Station List'!#REF!,2,0)</f>
        <v>#REF!</v>
      </c>
      <c r="G398" s="19" t="e">
        <f>VLOOKUP(B398,#REF!,2,0)</f>
        <v>#REF!</v>
      </c>
      <c r="H398" s="19" t="e">
        <f t="shared" si="3"/>
        <v>#REF!</v>
      </c>
      <c r="I398" s="19" t="e">
        <f>VLOOKUP(B398,'Station List'!#REF!,4,0)</f>
        <v>#REF!</v>
      </c>
      <c r="J398" s="19" t="e">
        <f>VLOOKUP(B398,#REF!,3,0)</f>
        <v>#REF!</v>
      </c>
      <c r="K398" s="19" t="e">
        <f t="shared" si="33"/>
        <v>#REF!</v>
      </c>
      <c r="L398" s="19" t="e">
        <f>VLOOKUP(B397,'Station List'!#REF!,9,0)</f>
        <v>#REF!</v>
      </c>
      <c r="M398" s="19" t="e">
        <f>VLOOKUP(B397,#REF!,4,0)</f>
        <v>#REF!</v>
      </c>
      <c r="N398" s="17"/>
      <c r="O398" s="17"/>
      <c r="P398" s="17"/>
      <c r="Q398" s="17"/>
      <c r="R398" s="17"/>
      <c r="S398" s="17"/>
      <c r="T398" s="17"/>
      <c r="U398" s="17"/>
      <c r="V398" s="17"/>
      <c r="W398" s="17" t="e">
        <f t="shared" si="34"/>
        <v>#REF!</v>
      </c>
      <c r="X398" s="17" t="e">
        <f t="shared" si="32"/>
        <v>#REF!</v>
      </c>
    </row>
    <row r="399" spans="1:24" ht="12.75" customHeight="1" x14ac:dyDescent="0.2">
      <c r="A399" s="19">
        <v>397</v>
      </c>
      <c r="B399" s="19" t="s">
        <v>3549</v>
      </c>
      <c r="C399" s="19" t="e">
        <f t="shared" si="7"/>
        <v>#REF!</v>
      </c>
      <c r="D399" s="19" t="e">
        <f t="shared" si="8"/>
        <v>#REF!</v>
      </c>
      <c r="E399" s="19" t="e">
        <f t="shared" si="9"/>
        <v>#REF!</v>
      </c>
      <c r="F399" s="19" t="e">
        <f>VLOOKUP(B399,'Station List'!#REF!,2,0)</f>
        <v>#REF!</v>
      </c>
      <c r="G399" s="19" t="e">
        <f>VLOOKUP(B399,#REF!,2,0)</f>
        <v>#REF!</v>
      </c>
      <c r="H399" s="19" t="e">
        <f t="shared" si="3"/>
        <v>#REF!</v>
      </c>
      <c r="I399" s="19" t="e">
        <f>VLOOKUP(B399,'Station List'!#REF!,4,0)</f>
        <v>#REF!</v>
      </c>
      <c r="J399" s="19" t="e">
        <f>VLOOKUP(B399,#REF!,3,0)</f>
        <v>#REF!</v>
      </c>
      <c r="K399" s="19" t="e">
        <f t="shared" si="33"/>
        <v>#REF!</v>
      </c>
      <c r="L399" s="19" t="e">
        <f>VLOOKUP(B398,'Station List'!#REF!,9,0)</f>
        <v>#REF!</v>
      </c>
      <c r="M399" s="19" t="e">
        <f>VLOOKUP(B398,#REF!,4,0)</f>
        <v>#REF!</v>
      </c>
      <c r="N399" s="17"/>
      <c r="O399" s="17"/>
      <c r="P399" s="17"/>
      <c r="Q399" s="17"/>
      <c r="R399" s="17"/>
      <c r="S399" s="17"/>
      <c r="T399" s="17"/>
      <c r="U399" s="17"/>
      <c r="V399" s="17"/>
      <c r="W399" s="17" t="e">
        <f t="shared" si="34"/>
        <v>#REF!</v>
      </c>
      <c r="X399" s="17" t="e">
        <f t="shared" si="32"/>
        <v>#REF!</v>
      </c>
    </row>
    <row r="400" spans="1:24" ht="12.75" customHeight="1" x14ac:dyDescent="0.2">
      <c r="A400" s="19">
        <v>398</v>
      </c>
      <c r="B400" s="19" t="s">
        <v>3550</v>
      </c>
      <c r="C400" s="19" t="e">
        <f t="shared" si="7"/>
        <v>#REF!</v>
      </c>
      <c r="D400" s="19" t="e">
        <f t="shared" si="8"/>
        <v>#REF!</v>
      </c>
      <c r="E400" s="19" t="e">
        <f t="shared" si="9"/>
        <v>#REF!</v>
      </c>
      <c r="F400" s="19" t="e">
        <f>VLOOKUP(B400,'Station List'!#REF!,2,0)</f>
        <v>#REF!</v>
      </c>
      <c r="G400" s="19" t="e">
        <f>VLOOKUP(B400,#REF!,2,0)</f>
        <v>#REF!</v>
      </c>
      <c r="H400" s="19" t="e">
        <f t="shared" si="3"/>
        <v>#REF!</v>
      </c>
      <c r="I400" s="19" t="e">
        <f>VLOOKUP(B400,'Station List'!#REF!,4,0)</f>
        <v>#REF!</v>
      </c>
      <c r="J400" s="19" t="e">
        <f>VLOOKUP(B400,#REF!,3,0)</f>
        <v>#REF!</v>
      </c>
      <c r="K400" s="19" t="e">
        <f t="shared" si="33"/>
        <v>#REF!</v>
      </c>
      <c r="L400" s="19" t="e">
        <f>VLOOKUP(B399,'Station List'!#REF!,9,0)</f>
        <v>#REF!</v>
      </c>
      <c r="M400" s="19" t="e">
        <f>VLOOKUP(B399,#REF!,4,0)</f>
        <v>#REF!</v>
      </c>
      <c r="N400" s="17"/>
      <c r="O400" s="17"/>
      <c r="P400" s="17"/>
      <c r="Q400" s="17"/>
      <c r="R400" s="17"/>
      <c r="S400" s="17"/>
      <c r="T400" s="17"/>
      <c r="U400" s="17"/>
      <c r="V400" s="17"/>
      <c r="W400" s="17" t="e">
        <f t="shared" si="34"/>
        <v>#REF!</v>
      </c>
      <c r="X400" s="17" t="e">
        <f t="shared" si="32"/>
        <v>#REF!</v>
      </c>
    </row>
    <row r="401" spans="1:24" ht="12.75" customHeight="1" x14ac:dyDescent="0.2">
      <c r="A401" s="19">
        <v>399</v>
      </c>
      <c r="B401" s="19" t="s">
        <v>3551</v>
      </c>
      <c r="C401" s="19" t="e">
        <f t="shared" si="7"/>
        <v>#REF!</v>
      </c>
      <c r="D401" s="19" t="e">
        <f t="shared" si="8"/>
        <v>#REF!</v>
      </c>
      <c r="E401" s="19" t="e">
        <f t="shared" si="9"/>
        <v>#REF!</v>
      </c>
      <c r="F401" s="19" t="e">
        <f>VLOOKUP(B401,'Station List'!#REF!,2,0)</f>
        <v>#REF!</v>
      </c>
      <c r="G401" s="19" t="e">
        <f>VLOOKUP(B401,#REF!,2,0)</f>
        <v>#REF!</v>
      </c>
      <c r="H401" s="19" t="e">
        <f t="shared" si="3"/>
        <v>#REF!</v>
      </c>
      <c r="I401" s="19" t="e">
        <f>VLOOKUP(B401,'Station List'!#REF!,4,0)</f>
        <v>#REF!</v>
      </c>
      <c r="J401" s="19" t="e">
        <f>VLOOKUP(B401,#REF!,3,0)</f>
        <v>#REF!</v>
      </c>
      <c r="K401" s="19" t="e">
        <f t="shared" si="33"/>
        <v>#REF!</v>
      </c>
      <c r="L401" s="19" t="e">
        <f>VLOOKUP(B400,'Station List'!#REF!,9,0)</f>
        <v>#REF!</v>
      </c>
      <c r="M401" s="19" t="e">
        <f>VLOOKUP(B400,#REF!,4,0)</f>
        <v>#REF!</v>
      </c>
      <c r="N401" s="17"/>
      <c r="O401" s="17"/>
      <c r="P401" s="17"/>
      <c r="Q401" s="17"/>
      <c r="R401" s="17"/>
      <c r="S401" s="17"/>
      <c r="T401" s="17"/>
      <c r="U401" s="17"/>
      <c r="V401" s="17"/>
      <c r="W401" s="17" t="e">
        <f t="shared" si="34"/>
        <v>#REF!</v>
      </c>
      <c r="X401" s="17" t="e">
        <f t="shared" si="32"/>
        <v>#REF!</v>
      </c>
    </row>
    <row r="402" spans="1:24" ht="12.75" customHeight="1" x14ac:dyDescent="0.2">
      <c r="A402" s="19">
        <v>400</v>
      </c>
      <c r="B402" s="19" t="s">
        <v>3552</v>
      </c>
      <c r="C402" s="19" t="e">
        <f t="shared" si="7"/>
        <v>#REF!</v>
      </c>
      <c r="D402" s="19" t="e">
        <f t="shared" si="8"/>
        <v>#REF!</v>
      </c>
      <c r="E402" s="19" t="e">
        <f t="shared" si="9"/>
        <v>#REF!</v>
      </c>
      <c r="F402" s="19" t="e">
        <f>VLOOKUP(B402,'Station List'!#REF!,2,0)</f>
        <v>#REF!</v>
      </c>
      <c r="G402" s="19" t="e">
        <f>VLOOKUP(B402,#REF!,2,0)</f>
        <v>#REF!</v>
      </c>
      <c r="H402" s="19" t="e">
        <f t="shared" si="3"/>
        <v>#REF!</v>
      </c>
      <c r="I402" s="19" t="e">
        <f>VLOOKUP(B402,'Station List'!#REF!,4,0)</f>
        <v>#REF!</v>
      </c>
      <c r="J402" s="19" t="e">
        <f>VLOOKUP(B402,#REF!,3,0)</f>
        <v>#REF!</v>
      </c>
      <c r="K402" s="19" t="e">
        <f t="shared" si="33"/>
        <v>#REF!</v>
      </c>
      <c r="L402" s="19" t="e">
        <f>VLOOKUP(B401,'Station List'!#REF!,9,0)</f>
        <v>#REF!</v>
      </c>
      <c r="M402" s="19" t="e">
        <f>VLOOKUP(B401,#REF!,4,0)</f>
        <v>#REF!</v>
      </c>
      <c r="N402" s="17"/>
      <c r="O402" s="17"/>
      <c r="P402" s="17"/>
      <c r="Q402" s="17"/>
      <c r="R402" s="17"/>
      <c r="S402" s="17"/>
      <c r="T402" s="17"/>
      <c r="U402" s="17"/>
      <c r="V402" s="17"/>
      <c r="W402" s="17" t="e">
        <f t="shared" si="34"/>
        <v>#REF!</v>
      </c>
      <c r="X402" s="17" t="e">
        <f t="shared" si="32"/>
        <v>#REF!</v>
      </c>
    </row>
    <row r="403" spans="1:24" ht="12.75" customHeight="1" x14ac:dyDescent="0.2">
      <c r="A403" s="19">
        <v>401</v>
      </c>
      <c r="B403" s="19" t="s">
        <v>3553</v>
      </c>
      <c r="C403" s="19" t="e">
        <f t="shared" si="7"/>
        <v>#REF!</v>
      </c>
      <c r="D403" s="19" t="e">
        <f t="shared" si="8"/>
        <v>#REF!</v>
      </c>
      <c r="E403" s="19" t="e">
        <f t="shared" si="9"/>
        <v>#REF!</v>
      </c>
      <c r="F403" s="19" t="e">
        <f>VLOOKUP(B403,'Station List'!#REF!,2,0)</f>
        <v>#REF!</v>
      </c>
      <c r="G403" s="19" t="e">
        <f>VLOOKUP(B403,#REF!,2,0)</f>
        <v>#REF!</v>
      </c>
      <c r="H403" s="19" t="e">
        <f t="shared" si="3"/>
        <v>#REF!</v>
      </c>
      <c r="I403" s="19" t="e">
        <f>VLOOKUP(B403,'Station List'!#REF!,4,0)</f>
        <v>#REF!</v>
      </c>
      <c r="J403" s="19" t="e">
        <f>VLOOKUP(B403,#REF!,3,0)</f>
        <v>#REF!</v>
      </c>
      <c r="K403" s="19" t="e">
        <f t="shared" si="33"/>
        <v>#REF!</v>
      </c>
      <c r="L403" s="19" t="e">
        <f>VLOOKUP(B402,'Station List'!#REF!,9,0)</f>
        <v>#REF!</v>
      </c>
      <c r="M403" s="19" t="e">
        <f>VLOOKUP(B402,#REF!,4,0)</f>
        <v>#REF!</v>
      </c>
      <c r="N403" s="17"/>
      <c r="O403" s="17"/>
      <c r="P403" s="17"/>
      <c r="Q403" s="17"/>
      <c r="R403" s="17"/>
      <c r="S403" s="17"/>
      <c r="T403" s="17"/>
      <c r="U403" s="17"/>
      <c r="V403" s="17"/>
      <c r="W403" s="17" t="e">
        <f t="shared" si="34"/>
        <v>#REF!</v>
      </c>
      <c r="X403" s="17" t="e">
        <f t="shared" si="32"/>
        <v>#REF!</v>
      </c>
    </row>
    <row r="404" spans="1:24" ht="12.75" customHeight="1" x14ac:dyDescent="0.2">
      <c r="A404" s="19">
        <v>403</v>
      </c>
      <c r="B404" s="19" t="s">
        <v>3554</v>
      </c>
      <c r="C404" s="19" t="e">
        <f t="shared" si="7"/>
        <v>#REF!</v>
      </c>
      <c r="D404" s="19" t="e">
        <f t="shared" si="8"/>
        <v>#REF!</v>
      </c>
      <c r="E404" s="19" t="e">
        <f t="shared" si="9"/>
        <v>#REF!</v>
      </c>
      <c r="F404" s="19" t="e">
        <f>VLOOKUP(B404,'Station List'!#REF!,2,0)</f>
        <v>#REF!</v>
      </c>
      <c r="G404" s="19" t="e">
        <f>VLOOKUP(B404,#REF!,2,0)</f>
        <v>#REF!</v>
      </c>
      <c r="H404" s="19" t="e">
        <f t="shared" si="3"/>
        <v>#REF!</v>
      </c>
      <c r="I404" s="19" t="e">
        <f>VLOOKUP(B404,'Station List'!#REF!,4,0)</f>
        <v>#REF!</v>
      </c>
      <c r="J404" s="19" t="e">
        <f>VLOOKUP(B404,#REF!,3,0)</f>
        <v>#REF!</v>
      </c>
      <c r="K404" s="19" t="e">
        <f>VLOOKUP(#REF!,#REF!,4,0)</f>
        <v>#REF!</v>
      </c>
      <c r="L404" s="19" t="e">
        <f>VLOOKUP(#REF!,'Station List'!#REF!,9,0)</f>
        <v>#REF!</v>
      </c>
      <c r="M404" s="19" t="e">
        <f>VLOOKUP(#REF!,#REF!,4,0)</f>
        <v>#REF!</v>
      </c>
      <c r="N404" s="17"/>
      <c r="O404" s="17"/>
      <c r="P404" s="17"/>
      <c r="Q404" s="17"/>
      <c r="R404" s="17"/>
      <c r="S404" s="17"/>
      <c r="T404" s="17"/>
      <c r="U404" s="17"/>
      <c r="V404" s="17"/>
      <c r="W404" s="17" t="e">
        <f>IF(#REF!=#REF!,0,1)</f>
        <v>#REF!</v>
      </c>
      <c r="X404" s="17" t="e">
        <f t="shared" si="32"/>
        <v>#REF!</v>
      </c>
    </row>
    <row r="405" spans="1:24" ht="12.75" customHeight="1" x14ac:dyDescent="0.2">
      <c r="A405" s="19">
        <v>404</v>
      </c>
      <c r="B405" s="19" t="s">
        <v>3555</v>
      </c>
      <c r="C405" s="19" t="e">
        <f t="shared" si="7"/>
        <v>#REF!</v>
      </c>
      <c r="D405" s="19" t="e">
        <f t="shared" si="8"/>
        <v>#REF!</v>
      </c>
      <c r="E405" s="19" t="e">
        <f t="shared" si="9"/>
        <v>#REF!</v>
      </c>
      <c r="F405" s="19" t="e">
        <f>VLOOKUP(B405,'Station List'!#REF!,2,0)</f>
        <v>#REF!</v>
      </c>
      <c r="G405" s="19" t="e">
        <f>VLOOKUP(B405,#REF!,2,0)</f>
        <v>#REF!</v>
      </c>
      <c r="H405" s="19" t="e">
        <f t="shared" si="3"/>
        <v>#REF!</v>
      </c>
      <c r="I405" s="19" t="e">
        <f>VLOOKUP(B405,'Station List'!#REF!,4,0)</f>
        <v>#REF!</v>
      </c>
      <c r="J405" s="19" t="e">
        <f>VLOOKUP(B405,#REF!,3,0)</f>
        <v>#REF!</v>
      </c>
      <c r="K405" s="19" t="e">
        <f t="shared" ref="K405:K409" si="35">VLOOKUP(B404,#REF!,4,0)</f>
        <v>#REF!</v>
      </c>
      <c r="L405" s="19" t="e">
        <f>VLOOKUP(B404,'Station List'!#REF!,9,0)</f>
        <v>#REF!</v>
      </c>
      <c r="M405" s="19" t="e">
        <f>VLOOKUP(B404,#REF!,4,0)</f>
        <v>#REF!</v>
      </c>
      <c r="N405" s="17"/>
      <c r="O405" s="17"/>
      <c r="P405" s="17"/>
      <c r="Q405" s="17"/>
      <c r="R405" s="17"/>
      <c r="S405" s="17"/>
      <c r="T405" s="17"/>
      <c r="U405" s="17"/>
      <c r="V405" s="17"/>
      <c r="W405" s="17" t="e">
        <f t="shared" ref="W405:W409" si="36">IF(I404=J404,0,1)</f>
        <v>#REF!</v>
      </c>
      <c r="X405" s="17" t="e">
        <f t="shared" si="32"/>
        <v>#REF!</v>
      </c>
    </row>
    <row r="406" spans="1:24" ht="12.75" customHeight="1" x14ac:dyDescent="0.2">
      <c r="A406" s="19">
        <v>405</v>
      </c>
      <c r="B406" s="19" t="s">
        <v>3556</v>
      </c>
      <c r="C406" s="19" t="e">
        <f t="shared" si="7"/>
        <v>#REF!</v>
      </c>
      <c r="D406" s="19" t="e">
        <f t="shared" si="8"/>
        <v>#REF!</v>
      </c>
      <c r="E406" s="19" t="e">
        <f t="shared" si="9"/>
        <v>#REF!</v>
      </c>
      <c r="F406" s="19" t="e">
        <f>VLOOKUP(B406,'Station List'!#REF!,2,0)</f>
        <v>#REF!</v>
      </c>
      <c r="G406" s="19" t="e">
        <f>VLOOKUP(B406,#REF!,2,0)</f>
        <v>#REF!</v>
      </c>
      <c r="H406" s="19" t="e">
        <f t="shared" si="3"/>
        <v>#REF!</v>
      </c>
      <c r="I406" s="19" t="e">
        <f>VLOOKUP(B406,'Station List'!#REF!,4,0)</f>
        <v>#REF!</v>
      </c>
      <c r="J406" s="19" t="e">
        <f>VLOOKUP(B406,#REF!,3,0)</f>
        <v>#REF!</v>
      </c>
      <c r="K406" s="19" t="e">
        <f t="shared" si="35"/>
        <v>#REF!</v>
      </c>
      <c r="L406" s="19" t="e">
        <f>VLOOKUP(B405,'Station List'!#REF!,9,0)</f>
        <v>#REF!</v>
      </c>
      <c r="M406" s="19" t="e">
        <f>VLOOKUP(B405,#REF!,4,0)</f>
        <v>#REF!</v>
      </c>
      <c r="N406" s="17" t="s">
        <v>3073</v>
      </c>
      <c r="O406" s="17"/>
      <c r="P406" s="17"/>
      <c r="Q406" s="17"/>
      <c r="R406" s="17"/>
      <c r="S406" s="17"/>
      <c r="T406" s="17"/>
      <c r="U406" s="17"/>
      <c r="V406" s="17"/>
      <c r="W406" s="17" t="e">
        <f t="shared" si="36"/>
        <v>#REF!</v>
      </c>
      <c r="X406" s="17" t="e">
        <f t="shared" si="32"/>
        <v>#REF!</v>
      </c>
    </row>
    <row r="407" spans="1:24" ht="12.75" customHeight="1" x14ac:dyDescent="0.2">
      <c r="A407" s="19">
        <v>406</v>
      </c>
      <c r="B407" s="19" t="s">
        <v>3557</v>
      </c>
      <c r="C407" s="19" t="e">
        <f t="shared" si="7"/>
        <v>#REF!</v>
      </c>
      <c r="D407" s="19" t="e">
        <f t="shared" si="8"/>
        <v>#REF!</v>
      </c>
      <c r="E407" s="19" t="e">
        <f t="shared" si="9"/>
        <v>#REF!</v>
      </c>
      <c r="F407" s="19" t="e">
        <f>VLOOKUP(B407,'Station List'!#REF!,2,0)</f>
        <v>#REF!</v>
      </c>
      <c r="G407" s="19" t="e">
        <f>VLOOKUP(B407,#REF!,2,0)</f>
        <v>#REF!</v>
      </c>
      <c r="H407" s="19" t="e">
        <f t="shared" si="3"/>
        <v>#REF!</v>
      </c>
      <c r="I407" s="19" t="e">
        <f>VLOOKUP(B407,'Station List'!#REF!,4,0)</f>
        <v>#REF!</v>
      </c>
      <c r="J407" s="19" t="e">
        <f>VLOOKUP(B407,#REF!,3,0)</f>
        <v>#REF!</v>
      </c>
      <c r="K407" s="19" t="e">
        <f t="shared" si="35"/>
        <v>#REF!</v>
      </c>
      <c r="L407" s="92" t="e">
        <f>VLOOKUP(B406,'Station List'!#REF!,9,0)</f>
        <v>#REF!</v>
      </c>
      <c r="M407" s="19" t="e">
        <f>VLOOKUP(B406,#REF!,4,0)</f>
        <v>#REF!</v>
      </c>
      <c r="N407" s="17"/>
      <c r="O407" s="17"/>
      <c r="P407" s="17"/>
      <c r="Q407" s="17"/>
      <c r="R407" s="17"/>
      <c r="S407" s="17"/>
      <c r="T407" s="17"/>
      <c r="U407" s="17"/>
      <c r="V407" s="17"/>
      <c r="W407" s="17" t="e">
        <f t="shared" si="36"/>
        <v>#REF!</v>
      </c>
      <c r="X407" s="17" t="e">
        <f t="shared" si="32"/>
        <v>#REF!</v>
      </c>
    </row>
    <row r="408" spans="1:24" ht="12.75" customHeight="1" x14ac:dyDescent="0.2">
      <c r="A408" s="19">
        <v>407</v>
      </c>
      <c r="B408" s="19" t="s">
        <v>3558</v>
      </c>
      <c r="C408" s="19" t="e">
        <f t="shared" si="7"/>
        <v>#REF!</v>
      </c>
      <c r="D408" s="19" t="e">
        <f t="shared" si="8"/>
        <v>#REF!</v>
      </c>
      <c r="E408" s="19" t="e">
        <f t="shared" si="9"/>
        <v>#REF!</v>
      </c>
      <c r="F408" s="19" t="e">
        <f>VLOOKUP(B408,'Station List'!#REF!,2,0)</f>
        <v>#REF!</v>
      </c>
      <c r="G408" s="19" t="e">
        <f>VLOOKUP(B408,#REF!,2,0)</f>
        <v>#REF!</v>
      </c>
      <c r="H408" s="19" t="e">
        <f t="shared" si="3"/>
        <v>#REF!</v>
      </c>
      <c r="I408" s="19" t="e">
        <f>VLOOKUP(B408,'Station List'!#REF!,4,0)</f>
        <v>#REF!</v>
      </c>
      <c r="J408" s="19" t="e">
        <f>VLOOKUP(B408,#REF!,3,0)</f>
        <v>#REF!</v>
      </c>
      <c r="K408" s="19" t="e">
        <f t="shared" si="35"/>
        <v>#REF!</v>
      </c>
      <c r="L408" s="19" t="e">
        <f>VLOOKUP(B407,'Station List'!#REF!,9,0)</f>
        <v>#REF!</v>
      </c>
      <c r="M408" s="19" t="e">
        <f>VLOOKUP(B407,#REF!,4,0)</f>
        <v>#REF!</v>
      </c>
      <c r="N408" s="17"/>
      <c r="O408" s="17"/>
      <c r="P408" s="17"/>
      <c r="Q408" s="17"/>
      <c r="R408" s="17"/>
      <c r="S408" s="17"/>
      <c r="T408" s="17"/>
      <c r="U408" s="17"/>
      <c r="V408" s="17"/>
      <c r="W408" s="17" t="e">
        <f t="shared" si="36"/>
        <v>#REF!</v>
      </c>
      <c r="X408" s="17" t="e">
        <f t="shared" si="32"/>
        <v>#REF!</v>
      </c>
    </row>
    <row r="409" spans="1:24" ht="12.75" customHeight="1" x14ac:dyDescent="0.2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 t="e">
        <f t="shared" si="35"/>
        <v>#REF!</v>
      </c>
      <c r="L409" s="19" t="e">
        <f>VLOOKUP(B408,'Station List'!#REF!,9,0)</f>
        <v>#REF!</v>
      </c>
      <c r="M409" s="19" t="e">
        <f>VLOOKUP(B408,#REF!,4,0)</f>
        <v>#REF!</v>
      </c>
      <c r="N409" s="17" t="s">
        <v>3559</v>
      </c>
      <c r="O409" s="17"/>
      <c r="P409" s="17"/>
      <c r="Q409" s="17"/>
      <c r="R409" s="17"/>
      <c r="S409" s="17"/>
      <c r="T409" s="17"/>
      <c r="U409" s="17"/>
      <c r="V409" s="17"/>
      <c r="W409" s="17" t="e">
        <f t="shared" si="36"/>
        <v>#REF!</v>
      </c>
      <c r="X409" s="17" t="e">
        <f t="shared" si="32"/>
        <v>#REF!</v>
      </c>
    </row>
    <row r="410" spans="1:24" ht="12.75" customHeight="1" x14ac:dyDescent="0.2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</row>
    <row r="411" spans="1:24" ht="12.75" customHeight="1" x14ac:dyDescent="0.2">
      <c r="A411" s="86" t="s">
        <v>3560</v>
      </c>
      <c r="B411" s="19" t="s">
        <v>3561</v>
      </c>
      <c r="C411" s="19" t="e">
        <f t="shared" ref="C411:C578" si="37">VLOOKUP(E411,$S$2:$T$15,2,0)</f>
        <v>#REF!</v>
      </c>
      <c r="D411" s="19" t="e">
        <f t="shared" ref="D411:D578" si="38">VLOOKUP(E411,$S$2:$U$15,3,0)</f>
        <v>#REF!</v>
      </c>
      <c r="E411" s="19" t="e">
        <f t="shared" ref="E411:E578" si="39">VLOOKUP(B411,#REF!,2,0)</f>
        <v>#REF!</v>
      </c>
      <c r="F411" s="19" t="e">
        <f>VLOOKUP(B411,'Station List'!#REF!,2,0)</f>
        <v>#REF!</v>
      </c>
      <c r="G411" s="19" t="e">
        <v>#NAME?</v>
      </c>
      <c r="H411" s="19" t="e">
        <f t="shared" ref="H411:H421" si="40">VLOOKUP(B411,#REF!,3,0)</f>
        <v>#REF!</v>
      </c>
      <c r="I411" s="19" t="e">
        <f>VLOOKUP(B411,'Station List'!#REF!,4,0)</f>
        <v>#REF!</v>
      </c>
      <c r="J411" s="19" t="e">
        <v>#NAME?</v>
      </c>
      <c r="K411" s="19"/>
      <c r="L411" s="19"/>
      <c r="M411" s="19"/>
    </row>
    <row r="412" spans="1:24" ht="12.75" customHeight="1" x14ac:dyDescent="0.2">
      <c r="A412" s="19">
        <v>1</v>
      </c>
      <c r="B412" s="19" t="s">
        <v>3562</v>
      </c>
      <c r="C412" s="19" t="e">
        <f t="shared" si="37"/>
        <v>#REF!</v>
      </c>
      <c r="D412" s="19" t="e">
        <f t="shared" si="38"/>
        <v>#REF!</v>
      </c>
      <c r="E412" s="19" t="e">
        <f t="shared" si="39"/>
        <v>#REF!</v>
      </c>
      <c r="F412" s="19" t="e">
        <f>VLOOKUP(B412,'Station List'!#REF!,2,0)</f>
        <v>#REF!</v>
      </c>
      <c r="G412" s="19" t="e">
        <v>#NAME?</v>
      </c>
      <c r="H412" s="19" t="e">
        <f t="shared" si="40"/>
        <v>#REF!</v>
      </c>
      <c r="I412" s="19" t="e">
        <f>VLOOKUP(B412,'Station List'!#REF!,4,0)</f>
        <v>#REF!</v>
      </c>
      <c r="J412" s="19" t="e">
        <v>#NAME?</v>
      </c>
      <c r="K412" s="19" t="e">
        <f t="shared" ref="K412:K439" si="41">VLOOKUP(B411,#REF!,4,0)</f>
        <v>#REF!</v>
      </c>
      <c r="L412" s="19" t="e">
        <f>VLOOKUP(B411,'Station List'!#REF!,9,0)</f>
        <v>#REF!</v>
      </c>
      <c r="M412" s="19" t="e">
        <v>#NAME?</v>
      </c>
      <c r="N412" s="17"/>
      <c r="O412" s="17" t="s">
        <v>3561</v>
      </c>
      <c r="P412" s="17">
        <f t="shared" ref="P412:P439" si="42">IF(B411=O412,0,1)</f>
        <v>0</v>
      </c>
      <c r="Q412" s="17"/>
      <c r="R412" s="17"/>
      <c r="S412" s="17"/>
      <c r="T412" s="17"/>
      <c r="U412" s="17"/>
      <c r="V412" s="17"/>
      <c r="W412" s="17" t="e">
        <f t="shared" ref="W412:W417" si="43">IF(I411=J411,0,1)</f>
        <v>#REF!</v>
      </c>
      <c r="X412" s="17" t="e">
        <f t="shared" ref="X412:X417" si="44">IF(L412=M412,0,1)</f>
        <v>#REF!</v>
      </c>
    </row>
    <row r="413" spans="1:24" ht="12.75" customHeight="1" x14ac:dyDescent="0.2">
      <c r="A413" s="19">
        <f t="shared" ref="A413:A439" si="45">A412+1</f>
        <v>2</v>
      </c>
      <c r="B413" s="19" t="s">
        <v>3563</v>
      </c>
      <c r="C413" s="19" t="e">
        <f t="shared" si="37"/>
        <v>#REF!</v>
      </c>
      <c r="D413" s="19" t="e">
        <f t="shared" si="38"/>
        <v>#REF!</v>
      </c>
      <c r="E413" s="19" t="e">
        <f t="shared" si="39"/>
        <v>#REF!</v>
      </c>
      <c r="F413" s="19" t="e">
        <f>VLOOKUP(B413,'Station List'!#REF!,2,0)</f>
        <v>#REF!</v>
      </c>
      <c r="G413" s="19" t="e">
        <v>#NAME?</v>
      </c>
      <c r="H413" s="19" t="e">
        <f t="shared" si="40"/>
        <v>#REF!</v>
      </c>
      <c r="I413" s="19" t="e">
        <f>VLOOKUP(B413,'Station List'!#REF!,4,0)</f>
        <v>#REF!</v>
      </c>
      <c r="J413" s="19" t="e">
        <v>#NAME?</v>
      </c>
      <c r="K413" s="19" t="e">
        <f t="shared" si="41"/>
        <v>#REF!</v>
      </c>
      <c r="L413" s="19" t="e">
        <f>VLOOKUP(B412,'Station List'!#REF!,9,0)</f>
        <v>#REF!</v>
      </c>
      <c r="M413" s="19" t="e">
        <v>#NAME?</v>
      </c>
      <c r="N413" s="17"/>
      <c r="O413" s="17" t="s">
        <v>3562</v>
      </c>
      <c r="P413" s="17">
        <f t="shared" si="42"/>
        <v>0</v>
      </c>
      <c r="Q413" s="17"/>
      <c r="R413" s="17"/>
      <c r="S413" s="17"/>
      <c r="T413" s="17"/>
      <c r="U413" s="17"/>
      <c r="V413" s="17"/>
      <c r="W413" s="17" t="e">
        <f t="shared" si="43"/>
        <v>#REF!</v>
      </c>
      <c r="X413" s="17" t="e">
        <f t="shared" si="44"/>
        <v>#REF!</v>
      </c>
    </row>
    <row r="414" spans="1:24" ht="12.75" customHeight="1" x14ac:dyDescent="0.2">
      <c r="A414" s="19">
        <f t="shared" si="45"/>
        <v>3</v>
      </c>
      <c r="B414" s="19" t="s">
        <v>3564</v>
      </c>
      <c r="C414" s="19" t="e">
        <f t="shared" si="37"/>
        <v>#REF!</v>
      </c>
      <c r="D414" s="19" t="e">
        <f t="shared" si="38"/>
        <v>#REF!</v>
      </c>
      <c r="E414" s="19" t="e">
        <f t="shared" si="39"/>
        <v>#REF!</v>
      </c>
      <c r="F414" s="19" t="e">
        <f>VLOOKUP(B414,'Station List'!#REF!,2,0)</f>
        <v>#REF!</v>
      </c>
      <c r="G414" s="19" t="e">
        <v>#NAME?</v>
      </c>
      <c r="H414" s="19" t="e">
        <f t="shared" si="40"/>
        <v>#REF!</v>
      </c>
      <c r="I414" s="19" t="e">
        <f>VLOOKUP(B414,'Station List'!#REF!,4,0)</f>
        <v>#REF!</v>
      </c>
      <c r="J414" s="19" t="e">
        <v>#NAME?</v>
      </c>
      <c r="K414" s="19" t="e">
        <f t="shared" si="41"/>
        <v>#REF!</v>
      </c>
      <c r="L414" s="19" t="e">
        <f>VLOOKUP(B413,'Station List'!#REF!,9,0)</f>
        <v>#REF!</v>
      </c>
      <c r="M414" s="19" t="e">
        <v>#NAME?</v>
      </c>
      <c r="N414" s="17"/>
      <c r="O414" s="17" t="s">
        <v>3563</v>
      </c>
      <c r="P414" s="17">
        <f t="shared" si="42"/>
        <v>0</v>
      </c>
      <c r="Q414" s="17"/>
      <c r="R414" s="17"/>
      <c r="S414" s="17"/>
      <c r="T414" s="17"/>
      <c r="U414" s="17"/>
      <c r="V414" s="17"/>
      <c r="W414" s="17" t="e">
        <f t="shared" si="43"/>
        <v>#REF!</v>
      </c>
      <c r="X414" s="17" t="e">
        <f t="shared" si="44"/>
        <v>#REF!</v>
      </c>
    </row>
    <row r="415" spans="1:24" ht="12.75" customHeight="1" x14ac:dyDescent="0.2">
      <c r="A415" s="19">
        <f t="shared" si="45"/>
        <v>4</v>
      </c>
      <c r="B415" s="19" t="s">
        <v>3565</v>
      </c>
      <c r="C415" s="19" t="e">
        <f t="shared" si="37"/>
        <v>#REF!</v>
      </c>
      <c r="D415" s="19" t="e">
        <f t="shared" si="38"/>
        <v>#REF!</v>
      </c>
      <c r="E415" s="19" t="e">
        <f t="shared" si="39"/>
        <v>#REF!</v>
      </c>
      <c r="F415" s="19" t="e">
        <f>VLOOKUP(B415,'Station List'!#REF!,2,0)</f>
        <v>#REF!</v>
      </c>
      <c r="G415" s="19" t="e">
        <v>#NAME?</v>
      </c>
      <c r="H415" s="19" t="e">
        <f t="shared" si="40"/>
        <v>#REF!</v>
      </c>
      <c r="I415" s="19" t="e">
        <f>VLOOKUP(B415,'Station List'!#REF!,4,0)</f>
        <v>#REF!</v>
      </c>
      <c r="J415" s="19" t="e">
        <v>#NAME?</v>
      </c>
      <c r="K415" s="19" t="e">
        <f t="shared" si="41"/>
        <v>#REF!</v>
      </c>
      <c r="L415" s="19" t="e">
        <f>VLOOKUP(B414,'Station List'!#REF!,9,0)</f>
        <v>#REF!</v>
      </c>
      <c r="M415" s="19" t="e">
        <v>#NAME?</v>
      </c>
      <c r="N415" s="17"/>
      <c r="O415" s="17" t="s">
        <v>3564</v>
      </c>
      <c r="P415" s="17">
        <f t="shared" si="42"/>
        <v>0</v>
      </c>
      <c r="Q415" s="17"/>
      <c r="R415" s="17"/>
      <c r="S415" s="17"/>
      <c r="T415" s="17"/>
      <c r="U415" s="17"/>
      <c r="V415" s="17"/>
      <c r="W415" s="17" t="e">
        <f t="shared" si="43"/>
        <v>#REF!</v>
      </c>
      <c r="X415" s="17" t="e">
        <f t="shared" si="44"/>
        <v>#REF!</v>
      </c>
    </row>
    <row r="416" spans="1:24" ht="12.75" customHeight="1" x14ac:dyDescent="0.2">
      <c r="A416" s="19">
        <f t="shared" si="45"/>
        <v>5</v>
      </c>
      <c r="B416" s="19" t="s">
        <v>3566</v>
      </c>
      <c r="C416" s="19" t="e">
        <f t="shared" si="37"/>
        <v>#REF!</v>
      </c>
      <c r="D416" s="19" t="e">
        <f t="shared" si="38"/>
        <v>#REF!</v>
      </c>
      <c r="E416" s="19" t="e">
        <f t="shared" si="39"/>
        <v>#REF!</v>
      </c>
      <c r="F416" s="19" t="e">
        <f>VLOOKUP(B416,'Station List'!#REF!,2,0)</f>
        <v>#REF!</v>
      </c>
      <c r="G416" s="19" t="e">
        <v>#NAME?</v>
      </c>
      <c r="H416" s="19" t="e">
        <f t="shared" si="40"/>
        <v>#REF!</v>
      </c>
      <c r="I416" s="19" t="e">
        <f>VLOOKUP(B416,'Station List'!#REF!,4,0)</f>
        <v>#REF!</v>
      </c>
      <c r="J416" s="19" t="e">
        <v>#NAME?</v>
      </c>
      <c r="K416" s="19" t="e">
        <f t="shared" si="41"/>
        <v>#REF!</v>
      </c>
      <c r="L416" s="19" t="e">
        <f>VLOOKUP(B415,'Station List'!#REF!,9,0)</f>
        <v>#REF!</v>
      </c>
      <c r="M416" s="19" t="e">
        <v>#NAME?</v>
      </c>
      <c r="N416" s="17"/>
      <c r="O416" s="17" t="s">
        <v>3565</v>
      </c>
      <c r="P416" s="17">
        <f t="shared" si="42"/>
        <v>0</v>
      </c>
      <c r="Q416" s="17"/>
      <c r="R416" s="17"/>
      <c r="S416" s="17"/>
      <c r="T416" s="17"/>
      <c r="U416" s="17"/>
      <c r="V416" s="17"/>
      <c r="W416" s="17" t="e">
        <f t="shared" si="43"/>
        <v>#REF!</v>
      </c>
      <c r="X416" s="17" t="e">
        <f t="shared" si="44"/>
        <v>#REF!</v>
      </c>
    </row>
    <row r="417" spans="1:24" ht="12.75" customHeight="1" x14ac:dyDescent="0.2">
      <c r="A417" s="19">
        <f t="shared" si="45"/>
        <v>6</v>
      </c>
      <c r="B417" s="19" t="s">
        <v>3567</v>
      </c>
      <c r="C417" s="19" t="e">
        <f t="shared" si="37"/>
        <v>#REF!</v>
      </c>
      <c r="D417" s="19" t="e">
        <f t="shared" si="38"/>
        <v>#REF!</v>
      </c>
      <c r="E417" s="19" t="e">
        <f t="shared" si="39"/>
        <v>#REF!</v>
      </c>
      <c r="F417" s="19" t="e">
        <f>VLOOKUP(B417,'Station List'!#REF!,2,0)</f>
        <v>#REF!</v>
      </c>
      <c r="G417" s="19" t="e">
        <v>#NAME?</v>
      </c>
      <c r="H417" s="19" t="e">
        <f t="shared" si="40"/>
        <v>#REF!</v>
      </c>
      <c r="I417" s="19" t="e">
        <f>VLOOKUP(B417,'Station List'!#REF!,4,0)</f>
        <v>#REF!</v>
      </c>
      <c r="J417" s="19" t="e">
        <v>#NAME?</v>
      </c>
      <c r="K417" s="19" t="e">
        <f t="shared" si="41"/>
        <v>#REF!</v>
      </c>
      <c r="L417" s="19" t="e">
        <f>VLOOKUP(B416,'Station List'!#REF!,9,0)</f>
        <v>#REF!</v>
      </c>
      <c r="M417" s="19" t="e">
        <v>#NAME?</v>
      </c>
      <c r="N417" s="17"/>
      <c r="O417" s="17" t="s">
        <v>3566</v>
      </c>
      <c r="P417" s="17">
        <f t="shared" si="42"/>
        <v>0</v>
      </c>
      <c r="Q417" s="17"/>
      <c r="R417" s="17"/>
      <c r="S417" s="17"/>
      <c r="T417" s="17"/>
      <c r="U417" s="17"/>
      <c r="V417" s="17"/>
      <c r="W417" s="17" t="e">
        <f t="shared" si="43"/>
        <v>#REF!</v>
      </c>
      <c r="X417" s="17" t="e">
        <f t="shared" si="44"/>
        <v>#REF!</v>
      </c>
    </row>
    <row r="418" spans="1:24" ht="12.75" customHeight="1" x14ac:dyDescent="0.2">
      <c r="A418" s="19">
        <f t="shared" si="45"/>
        <v>7</v>
      </c>
      <c r="B418" s="19" t="s">
        <v>3568</v>
      </c>
      <c r="C418" s="19" t="e">
        <f t="shared" si="37"/>
        <v>#REF!</v>
      </c>
      <c r="D418" s="19" t="e">
        <f t="shared" si="38"/>
        <v>#REF!</v>
      </c>
      <c r="E418" s="19" t="e">
        <f t="shared" si="39"/>
        <v>#REF!</v>
      </c>
      <c r="F418" s="19" t="e">
        <f>VLOOKUP(B418,'Station List'!#REF!,2,0)</f>
        <v>#REF!</v>
      </c>
      <c r="G418" s="19" t="e">
        <v>#NAME?</v>
      </c>
      <c r="H418" s="19" t="e">
        <f t="shared" si="40"/>
        <v>#REF!</v>
      </c>
      <c r="I418" s="19" t="e">
        <f>VLOOKUP(B418,'Station List'!#REF!,4,0)</f>
        <v>#REF!</v>
      </c>
      <c r="J418" s="19" t="e">
        <v>#NAME?</v>
      </c>
      <c r="K418" s="19" t="e">
        <f t="shared" si="41"/>
        <v>#REF!</v>
      </c>
      <c r="L418" s="19" t="e">
        <f>VLOOKUP(B417,'Station List'!#REF!,9,0)</f>
        <v>#REF!</v>
      </c>
      <c r="M418" s="19" t="e">
        <v>#NAME?</v>
      </c>
      <c r="N418" s="17"/>
      <c r="O418" s="17"/>
      <c r="P418" s="17">
        <f t="shared" si="42"/>
        <v>1</v>
      </c>
      <c r="Q418" s="17"/>
      <c r="R418" s="17"/>
      <c r="S418" s="17"/>
      <c r="T418" s="17"/>
      <c r="U418" s="17"/>
      <c r="V418" s="17"/>
      <c r="W418" s="17"/>
      <c r="X418" s="17"/>
    </row>
    <row r="419" spans="1:24" ht="12.75" customHeight="1" x14ac:dyDescent="0.2">
      <c r="A419" s="19">
        <f t="shared" si="45"/>
        <v>8</v>
      </c>
      <c r="B419" s="19" t="s">
        <v>3569</v>
      </c>
      <c r="C419" s="19" t="e">
        <f t="shared" si="37"/>
        <v>#REF!</v>
      </c>
      <c r="D419" s="19" t="e">
        <f t="shared" si="38"/>
        <v>#REF!</v>
      </c>
      <c r="E419" s="19" t="e">
        <f t="shared" si="39"/>
        <v>#REF!</v>
      </c>
      <c r="F419" s="19" t="e">
        <f>VLOOKUP(B419,'Station List'!#REF!,2,0)</f>
        <v>#REF!</v>
      </c>
      <c r="G419" s="19" t="e">
        <v>#NAME?</v>
      </c>
      <c r="H419" s="19" t="e">
        <f t="shared" si="40"/>
        <v>#REF!</v>
      </c>
      <c r="I419" s="19" t="e">
        <f>VLOOKUP(B419,'Station List'!#REF!,4,0)</f>
        <v>#REF!</v>
      </c>
      <c r="J419" s="19" t="e">
        <v>#NAME?</v>
      </c>
      <c r="K419" s="19" t="e">
        <f t="shared" si="41"/>
        <v>#REF!</v>
      </c>
      <c r="L419" s="19" t="e">
        <f>VLOOKUP(B418,'Station List'!#REF!,9,0)</f>
        <v>#REF!</v>
      </c>
      <c r="M419" s="19" t="e">
        <v>#NAME?</v>
      </c>
      <c r="N419" s="17"/>
      <c r="O419" s="17" t="s">
        <v>3568</v>
      </c>
      <c r="P419" s="17">
        <f t="shared" si="42"/>
        <v>0</v>
      </c>
      <c r="Q419" s="17"/>
      <c r="R419" s="17"/>
      <c r="S419" s="17"/>
      <c r="T419" s="17"/>
      <c r="U419" s="17"/>
      <c r="V419" s="17"/>
      <c r="W419" s="17" t="e">
        <f t="shared" ref="W419:W439" si="46">IF(I418=J418,0,1)</f>
        <v>#REF!</v>
      </c>
      <c r="X419" s="17" t="e">
        <f t="shared" ref="X419:X442" si="47">IF(L419=M419,0,1)</f>
        <v>#REF!</v>
      </c>
    </row>
    <row r="420" spans="1:24" ht="12.75" customHeight="1" x14ac:dyDescent="0.2">
      <c r="A420" s="19">
        <f t="shared" si="45"/>
        <v>9</v>
      </c>
      <c r="B420" s="19" t="s">
        <v>3570</v>
      </c>
      <c r="C420" s="19" t="e">
        <f t="shared" si="37"/>
        <v>#REF!</v>
      </c>
      <c r="D420" s="19" t="e">
        <f t="shared" si="38"/>
        <v>#REF!</v>
      </c>
      <c r="E420" s="19" t="e">
        <f t="shared" si="39"/>
        <v>#REF!</v>
      </c>
      <c r="F420" s="19" t="e">
        <f>VLOOKUP(B420,'Station List'!#REF!,2,0)</f>
        <v>#REF!</v>
      </c>
      <c r="G420" s="19" t="e">
        <v>#NAME?</v>
      </c>
      <c r="H420" s="19" t="e">
        <f t="shared" si="40"/>
        <v>#REF!</v>
      </c>
      <c r="I420" s="19" t="e">
        <f>VLOOKUP(B420,'Station List'!#REF!,4,0)</f>
        <v>#REF!</v>
      </c>
      <c r="J420" s="19" t="e">
        <v>#NAME?</v>
      </c>
      <c r="K420" s="19" t="e">
        <f t="shared" si="41"/>
        <v>#REF!</v>
      </c>
      <c r="L420" s="115" t="e">
        <f>VLOOKUP(B419,'Station List'!#REF!,9,0)</f>
        <v>#REF!</v>
      </c>
      <c r="M420" s="19" t="e">
        <v>#NAME?</v>
      </c>
      <c r="N420" s="17"/>
      <c r="O420" s="17" t="s">
        <v>3569</v>
      </c>
      <c r="P420" s="17">
        <f t="shared" si="42"/>
        <v>0</v>
      </c>
      <c r="Q420" s="17"/>
      <c r="R420" s="17"/>
      <c r="S420" s="17"/>
      <c r="T420" s="17"/>
      <c r="U420" s="17"/>
      <c r="V420" s="17"/>
      <c r="W420" s="17" t="e">
        <f t="shared" si="46"/>
        <v>#REF!</v>
      </c>
      <c r="X420" s="17" t="e">
        <f t="shared" si="47"/>
        <v>#REF!</v>
      </c>
    </row>
    <row r="421" spans="1:24" ht="12.75" customHeight="1" x14ac:dyDescent="0.2">
      <c r="A421" s="19">
        <f t="shared" si="45"/>
        <v>10</v>
      </c>
      <c r="B421" s="19" t="s">
        <v>3571</v>
      </c>
      <c r="C421" s="19" t="e">
        <f t="shared" si="37"/>
        <v>#REF!</v>
      </c>
      <c r="D421" s="19" t="e">
        <f t="shared" si="38"/>
        <v>#REF!</v>
      </c>
      <c r="E421" s="19" t="e">
        <f t="shared" si="39"/>
        <v>#REF!</v>
      </c>
      <c r="F421" s="19" t="e">
        <f>VLOOKUP(B421,'Station List'!#REF!,2,0)</f>
        <v>#REF!</v>
      </c>
      <c r="G421" s="19" t="e">
        <v>#NAME?</v>
      </c>
      <c r="H421" s="19" t="e">
        <f t="shared" si="40"/>
        <v>#REF!</v>
      </c>
      <c r="I421" s="19" t="e">
        <f>VLOOKUP(B421,'Station List'!#REF!,4,0)</f>
        <v>#REF!</v>
      </c>
      <c r="J421" s="19" t="e">
        <v>#NAME?</v>
      </c>
      <c r="K421" s="19" t="e">
        <f t="shared" si="41"/>
        <v>#REF!</v>
      </c>
      <c r="L421" s="19" t="e">
        <f>VLOOKUP(B420,'Station List'!#REF!,9,0)</f>
        <v>#REF!</v>
      </c>
      <c r="M421" s="19" t="e">
        <v>#NAME?</v>
      </c>
      <c r="N421" s="17" t="s">
        <v>3472</v>
      </c>
      <c r="O421" s="17" t="s">
        <v>3572</v>
      </c>
      <c r="P421" s="17">
        <f t="shared" si="42"/>
        <v>1</v>
      </c>
      <c r="Q421" s="17"/>
      <c r="R421" s="17"/>
      <c r="S421" s="17"/>
      <c r="T421" s="17"/>
      <c r="U421" s="17"/>
      <c r="V421" s="17"/>
      <c r="W421" s="17" t="e">
        <f t="shared" si="46"/>
        <v>#REF!</v>
      </c>
      <c r="X421" s="17" t="e">
        <f t="shared" si="47"/>
        <v>#REF!</v>
      </c>
    </row>
    <row r="422" spans="1:24" ht="12.75" customHeight="1" x14ac:dyDescent="0.2">
      <c r="A422" s="19">
        <f t="shared" si="45"/>
        <v>11</v>
      </c>
      <c r="B422" s="19" t="s">
        <v>3573</v>
      </c>
      <c r="C422" s="19" t="e">
        <f t="shared" si="37"/>
        <v>#REF!</v>
      </c>
      <c r="D422" s="19" t="e">
        <f t="shared" si="38"/>
        <v>#REF!</v>
      </c>
      <c r="E422" s="19" t="e">
        <f t="shared" si="39"/>
        <v>#REF!</v>
      </c>
      <c r="F422" s="19" t="e">
        <f>VLOOKUP(B422,'Station List'!#REF!,2,0)</f>
        <v>#REF!</v>
      </c>
      <c r="G422" s="19" t="e">
        <v>#NAME?</v>
      </c>
      <c r="H422" s="19" t="e">
        <f>i214phas</f>
        <v>#NAME?</v>
      </c>
      <c r="I422" s="19" t="e">
        <f>VLOOKUP(B422,'Station List'!#REF!,4,0)</f>
        <v>#REF!</v>
      </c>
      <c r="J422" s="19" t="e">
        <v>#NAME?</v>
      </c>
      <c r="K422" s="19" t="e">
        <f t="shared" si="41"/>
        <v>#REF!</v>
      </c>
      <c r="L422" s="19" t="e">
        <f>VLOOKUP(B421,'Station List'!#REF!,9,0)</f>
        <v>#REF!</v>
      </c>
      <c r="M422" s="19" t="e">
        <v>#NAME?</v>
      </c>
      <c r="N422" s="17"/>
      <c r="O422" s="17" t="s">
        <v>3571</v>
      </c>
      <c r="P422" s="17">
        <f t="shared" si="42"/>
        <v>0</v>
      </c>
      <c r="Q422" s="17"/>
      <c r="R422" s="17"/>
      <c r="S422" s="17"/>
      <c r="T422" s="17"/>
      <c r="U422" s="17"/>
      <c r="V422" s="17"/>
      <c r="W422" s="17" t="e">
        <f t="shared" si="46"/>
        <v>#REF!</v>
      </c>
      <c r="X422" s="17" t="e">
        <f t="shared" si="47"/>
        <v>#REF!</v>
      </c>
    </row>
    <row r="423" spans="1:24" ht="12.75" customHeight="1" x14ac:dyDescent="0.2">
      <c r="A423" s="19">
        <f t="shared" si="45"/>
        <v>12</v>
      </c>
      <c r="B423" s="19" t="s">
        <v>3574</v>
      </c>
      <c r="C423" s="19" t="e">
        <f t="shared" si="37"/>
        <v>#REF!</v>
      </c>
      <c r="D423" s="19" t="e">
        <f t="shared" si="38"/>
        <v>#REF!</v>
      </c>
      <c r="E423" s="19" t="e">
        <f t="shared" si="39"/>
        <v>#REF!</v>
      </c>
      <c r="F423" s="19" t="e">
        <f>VLOOKUP(B423,'Station List'!#REF!,2,0)</f>
        <v>#REF!</v>
      </c>
      <c r="G423" s="19" t="e">
        <v>#NAME?</v>
      </c>
      <c r="H423" s="19" t="e">
        <f t="shared" ref="H423:H578" si="48">VLOOKUP(B423,#REF!,3,0)</f>
        <v>#REF!</v>
      </c>
      <c r="I423" s="19" t="e">
        <f>VLOOKUP(B423,'Station List'!#REF!,4,0)</f>
        <v>#REF!</v>
      </c>
      <c r="J423" s="19" t="e">
        <v>#NAME?</v>
      </c>
      <c r="K423" s="19" t="e">
        <f t="shared" si="41"/>
        <v>#REF!</v>
      </c>
      <c r="L423" s="19" t="e">
        <f>VLOOKUP(B422,'Station List'!#REF!,9,0)</f>
        <v>#REF!</v>
      </c>
      <c r="M423" s="19" t="e">
        <v>#NAME?</v>
      </c>
      <c r="N423" s="17"/>
      <c r="O423" s="17" t="s">
        <v>3573</v>
      </c>
      <c r="P423" s="17">
        <f t="shared" si="42"/>
        <v>0</v>
      </c>
      <c r="Q423" s="17"/>
      <c r="R423" s="17"/>
      <c r="S423" s="17"/>
      <c r="T423" s="17"/>
      <c r="U423" s="17"/>
      <c r="V423" s="17"/>
      <c r="W423" s="17" t="e">
        <f t="shared" si="46"/>
        <v>#REF!</v>
      </c>
      <c r="X423" s="17" t="e">
        <f t="shared" si="47"/>
        <v>#REF!</v>
      </c>
    </row>
    <row r="424" spans="1:24" ht="12.75" customHeight="1" x14ac:dyDescent="0.2">
      <c r="A424" s="19">
        <f t="shared" si="45"/>
        <v>13</v>
      </c>
      <c r="B424" s="19" t="s">
        <v>3575</v>
      </c>
      <c r="C424" s="19" t="e">
        <f t="shared" si="37"/>
        <v>#REF!</v>
      </c>
      <c r="D424" s="19" t="e">
        <f t="shared" si="38"/>
        <v>#REF!</v>
      </c>
      <c r="E424" s="19" t="e">
        <f t="shared" si="39"/>
        <v>#REF!</v>
      </c>
      <c r="F424" s="19" t="e">
        <f>VLOOKUP(B424,'Station List'!#REF!,2,0)</f>
        <v>#REF!</v>
      </c>
      <c r="G424" s="19" t="e">
        <v>#NAME?</v>
      </c>
      <c r="H424" s="19" t="e">
        <f t="shared" si="48"/>
        <v>#REF!</v>
      </c>
      <c r="I424" s="19" t="e">
        <f>VLOOKUP(B424,'Station List'!#REF!,4,0)</f>
        <v>#REF!</v>
      </c>
      <c r="J424" s="19" t="e">
        <v>#NAME?</v>
      </c>
      <c r="K424" s="19" t="e">
        <f t="shared" si="41"/>
        <v>#REF!</v>
      </c>
      <c r="L424" s="92" t="e">
        <f>VLOOKUP(B423,'Station List'!#REF!,9,0)</f>
        <v>#REF!</v>
      </c>
      <c r="M424" s="19" t="e">
        <v>#NAME?</v>
      </c>
      <c r="N424" s="17"/>
      <c r="O424" s="17" t="s">
        <v>3574</v>
      </c>
      <c r="P424" s="17">
        <f t="shared" si="42"/>
        <v>0</v>
      </c>
      <c r="Q424" s="17"/>
      <c r="R424" s="17"/>
      <c r="S424" s="17"/>
      <c r="T424" s="17"/>
      <c r="U424" s="17"/>
      <c r="V424" s="17"/>
      <c r="W424" s="17" t="e">
        <f t="shared" si="46"/>
        <v>#REF!</v>
      </c>
      <c r="X424" s="17" t="e">
        <f t="shared" si="47"/>
        <v>#REF!</v>
      </c>
    </row>
    <row r="425" spans="1:24" ht="12.75" customHeight="1" x14ac:dyDescent="0.2">
      <c r="A425" s="19">
        <f t="shared" si="45"/>
        <v>14</v>
      </c>
      <c r="B425" s="19" t="s">
        <v>3576</v>
      </c>
      <c r="C425" s="19" t="e">
        <f t="shared" si="37"/>
        <v>#REF!</v>
      </c>
      <c r="D425" s="19" t="e">
        <f t="shared" si="38"/>
        <v>#REF!</v>
      </c>
      <c r="E425" s="19" t="e">
        <f t="shared" si="39"/>
        <v>#REF!</v>
      </c>
      <c r="F425" s="19" t="e">
        <f>VLOOKUP(B425,'Station List'!#REF!,2,0)</f>
        <v>#REF!</v>
      </c>
      <c r="G425" s="19" t="e">
        <v>#NAME?</v>
      </c>
      <c r="H425" s="19" t="e">
        <f t="shared" si="48"/>
        <v>#REF!</v>
      </c>
      <c r="I425" s="19" t="e">
        <f>VLOOKUP(B425,'Station List'!#REF!,4,0)</f>
        <v>#REF!</v>
      </c>
      <c r="J425" s="19" t="e">
        <v>#NAME?</v>
      </c>
      <c r="K425" s="19" t="e">
        <f t="shared" si="41"/>
        <v>#REF!</v>
      </c>
      <c r="L425" s="19" t="e">
        <f>VLOOKUP(B424,'Station List'!#REF!,9,0)</f>
        <v>#REF!</v>
      </c>
      <c r="M425" s="19" t="e">
        <v>#NAME?</v>
      </c>
      <c r="N425" s="17"/>
      <c r="O425" s="17" t="s">
        <v>3575</v>
      </c>
      <c r="P425" s="17">
        <f t="shared" si="42"/>
        <v>0</v>
      </c>
      <c r="Q425" s="17"/>
      <c r="R425" s="17"/>
      <c r="S425" s="17"/>
      <c r="T425" s="17"/>
      <c r="U425" s="17"/>
      <c r="V425" s="17"/>
      <c r="W425" s="17" t="e">
        <f t="shared" si="46"/>
        <v>#REF!</v>
      </c>
      <c r="X425" s="17" t="e">
        <f t="shared" si="47"/>
        <v>#REF!</v>
      </c>
    </row>
    <row r="426" spans="1:24" ht="12.75" customHeight="1" x14ac:dyDescent="0.2">
      <c r="A426" s="19">
        <f t="shared" si="45"/>
        <v>15</v>
      </c>
      <c r="B426" s="19" t="s">
        <v>3577</v>
      </c>
      <c r="C426" s="19" t="e">
        <f t="shared" si="37"/>
        <v>#REF!</v>
      </c>
      <c r="D426" s="19" t="e">
        <f t="shared" si="38"/>
        <v>#REF!</v>
      </c>
      <c r="E426" s="19" t="e">
        <f t="shared" si="39"/>
        <v>#REF!</v>
      </c>
      <c r="F426" s="19" t="e">
        <f>VLOOKUP(B426,'Station List'!#REF!,2,0)</f>
        <v>#REF!</v>
      </c>
      <c r="G426" s="19" t="e">
        <v>#NAME?</v>
      </c>
      <c r="H426" s="19" t="e">
        <f t="shared" si="48"/>
        <v>#REF!</v>
      </c>
      <c r="I426" s="19" t="e">
        <f>VLOOKUP(B426,'Station List'!#REF!,4,0)</f>
        <v>#REF!</v>
      </c>
      <c r="J426" s="19" t="e">
        <v>#NAME?</v>
      </c>
      <c r="K426" s="19" t="e">
        <f t="shared" si="41"/>
        <v>#REF!</v>
      </c>
      <c r="L426" s="19" t="e">
        <f>VLOOKUP(B425,'Station List'!#REF!,9,0)</f>
        <v>#REF!</v>
      </c>
      <c r="M426" s="19" t="e">
        <v>#NAME?</v>
      </c>
      <c r="N426" s="17"/>
      <c r="O426" s="17" t="s">
        <v>3576</v>
      </c>
      <c r="P426" s="17">
        <f t="shared" si="42"/>
        <v>0</v>
      </c>
      <c r="Q426" s="17"/>
      <c r="R426" s="17"/>
      <c r="S426" s="17"/>
      <c r="T426" s="17"/>
      <c r="U426" s="17"/>
      <c r="V426" s="17"/>
      <c r="W426" s="17" t="e">
        <f t="shared" si="46"/>
        <v>#REF!</v>
      </c>
      <c r="X426" s="17" t="e">
        <f t="shared" si="47"/>
        <v>#REF!</v>
      </c>
    </row>
    <row r="427" spans="1:24" ht="12.75" customHeight="1" x14ac:dyDescent="0.2">
      <c r="A427" s="19">
        <f t="shared" si="45"/>
        <v>16</v>
      </c>
      <c r="B427" s="19" t="s">
        <v>3578</v>
      </c>
      <c r="C427" s="19" t="e">
        <f t="shared" si="37"/>
        <v>#REF!</v>
      </c>
      <c r="D427" s="19" t="e">
        <f t="shared" si="38"/>
        <v>#REF!</v>
      </c>
      <c r="E427" s="19" t="e">
        <f t="shared" si="39"/>
        <v>#REF!</v>
      </c>
      <c r="F427" s="19" t="e">
        <f>VLOOKUP(B427,'Station List'!#REF!,2,0)</f>
        <v>#REF!</v>
      </c>
      <c r="G427" s="19" t="e">
        <v>#NAME?</v>
      </c>
      <c r="H427" s="19" t="e">
        <f t="shared" si="48"/>
        <v>#REF!</v>
      </c>
      <c r="I427" s="19" t="e">
        <f>VLOOKUP(B427,'Station List'!#REF!,4,0)</f>
        <v>#REF!</v>
      </c>
      <c r="J427" s="19" t="e">
        <v>#NAME?</v>
      </c>
      <c r="K427" s="19" t="e">
        <f t="shared" si="41"/>
        <v>#REF!</v>
      </c>
      <c r="L427" s="19" t="e">
        <f>VLOOKUP(B426,'Station List'!#REF!,9,0)</f>
        <v>#REF!</v>
      </c>
      <c r="M427" s="19" t="e">
        <v>#NAME?</v>
      </c>
      <c r="N427" s="17"/>
      <c r="O427" s="17" t="s">
        <v>3579</v>
      </c>
      <c r="P427" s="17">
        <f t="shared" si="42"/>
        <v>1</v>
      </c>
      <c r="Q427" s="17"/>
      <c r="R427" s="17"/>
      <c r="S427" s="17"/>
      <c r="T427" s="17"/>
      <c r="U427" s="17"/>
      <c r="V427" s="17"/>
      <c r="W427" s="17" t="e">
        <f t="shared" si="46"/>
        <v>#REF!</v>
      </c>
      <c r="X427" s="17" t="e">
        <f t="shared" si="47"/>
        <v>#REF!</v>
      </c>
    </row>
    <row r="428" spans="1:24" ht="12.75" customHeight="1" x14ac:dyDescent="0.2">
      <c r="A428" s="19">
        <f t="shared" si="45"/>
        <v>17</v>
      </c>
      <c r="B428" s="19" t="s">
        <v>3580</v>
      </c>
      <c r="C428" s="19" t="e">
        <f t="shared" si="37"/>
        <v>#REF!</v>
      </c>
      <c r="D428" s="19" t="e">
        <f t="shared" si="38"/>
        <v>#REF!</v>
      </c>
      <c r="E428" s="19" t="e">
        <f t="shared" si="39"/>
        <v>#REF!</v>
      </c>
      <c r="F428" s="19" t="e">
        <f>VLOOKUP(B428,'Station List'!#REF!,2,0)</f>
        <v>#REF!</v>
      </c>
      <c r="G428" s="19" t="e">
        <v>#NAME?</v>
      </c>
      <c r="H428" s="19" t="e">
        <f t="shared" si="48"/>
        <v>#REF!</v>
      </c>
      <c r="I428" s="19" t="e">
        <f>VLOOKUP(B428,'Station List'!#REF!,4,0)</f>
        <v>#REF!</v>
      </c>
      <c r="J428" s="19" t="e">
        <v>#NAME?</v>
      </c>
      <c r="K428" s="19" t="e">
        <f t="shared" si="41"/>
        <v>#REF!</v>
      </c>
      <c r="L428" s="19" t="e">
        <f>VLOOKUP(B427,'Station List'!#REF!,9,0)</f>
        <v>#REF!</v>
      </c>
      <c r="M428" s="19" t="e">
        <v>#NAME?</v>
      </c>
      <c r="N428" s="17"/>
      <c r="O428" s="17" t="s">
        <v>3578</v>
      </c>
      <c r="P428" s="17">
        <f t="shared" si="42"/>
        <v>0</v>
      </c>
      <c r="Q428" s="17"/>
      <c r="R428" s="17"/>
      <c r="S428" s="17"/>
      <c r="T428" s="17"/>
      <c r="U428" s="17"/>
      <c r="V428" s="17"/>
      <c r="W428" s="17" t="e">
        <f t="shared" si="46"/>
        <v>#REF!</v>
      </c>
      <c r="X428" s="17" t="e">
        <f t="shared" si="47"/>
        <v>#REF!</v>
      </c>
    </row>
    <row r="429" spans="1:24" ht="12.75" customHeight="1" x14ac:dyDescent="0.2">
      <c r="A429" s="19">
        <f t="shared" si="45"/>
        <v>18</v>
      </c>
      <c r="B429" s="19" t="s">
        <v>3581</v>
      </c>
      <c r="C429" s="19" t="e">
        <f t="shared" si="37"/>
        <v>#REF!</v>
      </c>
      <c r="D429" s="19" t="e">
        <f t="shared" si="38"/>
        <v>#REF!</v>
      </c>
      <c r="E429" s="19" t="e">
        <f t="shared" si="39"/>
        <v>#REF!</v>
      </c>
      <c r="F429" s="19" t="e">
        <f>VLOOKUP(B429,'Station List'!#REF!,2,0)</f>
        <v>#REF!</v>
      </c>
      <c r="G429" s="19" t="e">
        <v>#NAME?</v>
      </c>
      <c r="H429" s="19" t="e">
        <f t="shared" si="48"/>
        <v>#REF!</v>
      </c>
      <c r="I429" s="19" t="e">
        <f>VLOOKUP(B429,'Station List'!#REF!,4,0)</f>
        <v>#REF!</v>
      </c>
      <c r="J429" s="19" t="e">
        <v>#NAME?</v>
      </c>
      <c r="K429" s="19" t="e">
        <f t="shared" si="41"/>
        <v>#REF!</v>
      </c>
      <c r="L429" s="19" t="e">
        <f>VLOOKUP(B428,'Station List'!#REF!,9,0)</f>
        <v>#REF!</v>
      </c>
      <c r="M429" s="19" t="e">
        <v>#NAME?</v>
      </c>
      <c r="N429" s="17"/>
      <c r="O429" s="17" t="s">
        <v>3580</v>
      </c>
      <c r="P429" s="17">
        <f t="shared" si="42"/>
        <v>0</v>
      </c>
      <c r="Q429" s="17"/>
      <c r="R429" s="17"/>
      <c r="S429" s="17"/>
      <c r="T429" s="17"/>
      <c r="U429" s="17"/>
      <c r="V429" s="17"/>
      <c r="W429" s="17" t="e">
        <f t="shared" si="46"/>
        <v>#REF!</v>
      </c>
      <c r="X429" s="17" t="e">
        <f t="shared" si="47"/>
        <v>#REF!</v>
      </c>
    </row>
    <row r="430" spans="1:24" ht="12.75" customHeight="1" x14ac:dyDescent="0.2">
      <c r="A430" s="19">
        <f t="shared" si="45"/>
        <v>19</v>
      </c>
      <c r="B430" s="19" t="s">
        <v>3582</v>
      </c>
      <c r="C430" s="19" t="e">
        <f t="shared" si="37"/>
        <v>#REF!</v>
      </c>
      <c r="D430" s="19" t="e">
        <f t="shared" si="38"/>
        <v>#REF!</v>
      </c>
      <c r="E430" s="19" t="e">
        <f t="shared" si="39"/>
        <v>#REF!</v>
      </c>
      <c r="F430" s="19" t="e">
        <f>VLOOKUP(B430,'Station List'!#REF!,2,0)</f>
        <v>#REF!</v>
      </c>
      <c r="G430" s="19" t="e">
        <v>#NAME?</v>
      </c>
      <c r="H430" s="19" t="e">
        <f t="shared" si="48"/>
        <v>#REF!</v>
      </c>
      <c r="I430" s="19" t="e">
        <f>VLOOKUP(B430,'Station List'!#REF!,4,0)</f>
        <v>#REF!</v>
      </c>
      <c r="J430" s="19" t="e">
        <v>#NAME?</v>
      </c>
      <c r="K430" s="19" t="e">
        <f t="shared" si="41"/>
        <v>#REF!</v>
      </c>
      <c r="L430" s="92" t="e">
        <f>VLOOKUP(B429,'Station List'!#REF!,9,0)</f>
        <v>#REF!</v>
      </c>
      <c r="M430" s="19" t="e">
        <v>#NAME?</v>
      </c>
      <c r="N430" s="17"/>
      <c r="O430" s="17" t="s">
        <v>3581</v>
      </c>
      <c r="P430" s="17">
        <f t="shared" si="42"/>
        <v>0</v>
      </c>
      <c r="Q430" s="17"/>
      <c r="R430" s="17"/>
      <c r="S430" s="17"/>
      <c r="T430" s="17"/>
      <c r="U430" s="17"/>
      <c r="V430" s="17"/>
      <c r="W430" s="17" t="e">
        <f t="shared" si="46"/>
        <v>#REF!</v>
      </c>
      <c r="X430" s="17" t="e">
        <f t="shared" si="47"/>
        <v>#REF!</v>
      </c>
    </row>
    <row r="431" spans="1:24" ht="12.75" customHeight="1" x14ac:dyDescent="0.2">
      <c r="A431" s="19">
        <f t="shared" si="45"/>
        <v>20</v>
      </c>
      <c r="B431" s="19" t="s">
        <v>3583</v>
      </c>
      <c r="C431" s="19" t="e">
        <f t="shared" si="37"/>
        <v>#REF!</v>
      </c>
      <c r="D431" s="19" t="e">
        <f t="shared" si="38"/>
        <v>#REF!</v>
      </c>
      <c r="E431" s="19" t="e">
        <f t="shared" si="39"/>
        <v>#REF!</v>
      </c>
      <c r="F431" s="19" t="e">
        <f>VLOOKUP(B431,'Station List'!#REF!,2,0)</f>
        <v>#REF!</v>
      </c>
      <c r="G431" s="19" t="e">
        <v>#NAME?</v>
      </c>
      <c r="H431" s="19" t="e">
        <f t="shared" si="48"/>
        <v>#REF!</v>
      </c>
      <c r="I431" s="19" t="e">
        <f>VLOOKUP(B431,'Station List'!#REF!,4,0)</f>
        <v>#REF!</v>
      </c>
      <c r="J431" s="19" t="e">
        <v>#NAME?</v>
      </c>
      <c r="K431" s="19" t="e">
        <f t="shared" si="41"/>
        <v>#REF!</v>
      </c>
      <c r="L431" s="19" t="e">
        <f>VLOOKUP(B430,'Station List'!#REF!,9,0)</f>
        <v>#REF!</v>
      </c>
      <c r="M431" s="19" t="e">
        <v>#NAME?</v>
      </c>
      <c r="N431" s="17"/>
      <c r="O431" s="17" t="s">
        <v>3582</v>
      </c>
      <c r="P431" s="17">
        <f t="shared" si="42"/>
        <v>0</v>
      </c>
      <c r="Q431" s="17"/>
      <c r="R431" s="17"/>
      <c r="S431" s="17"/>
      <c r="T431" s="17"/>
      <c r="U431" s="17"/>
      <c r="V431" s="17"/>
      <c r="W431" s="17" t="e">
        <f t="shared" si="46"/>
        <v>#REF!</v>
      </c>
      <c r="X431" s="17" t="e">
        <f t="shared" si="47"/>
        <v>#REF!</v>
      </c>
    </row>
    <row r="432" spans="1:24" ht="12.75" customHeight="1" x14ac:dyDescent="0.2">
      <c r="A432" s="19">
        <f t="shared" si="45"/>
        <v>21</v>
      </c>
      <c r="B432" s="19" t="s">
        <v>3584</v>
      </c>
      <c r="C432" s="19" t="e">
        <f t="shared" si="37"/>
        <v>#REF!</v>
      </c>
      <c r="D432" s="19" t="e">
        <f t="shared" si="38"/>
        <v>#REF!</v>
      </c>
      <c r="E432" s="19" t="e">
        <f t="shared" si="39"/>
        <v>#REF!</v>
      </c>
      <c r="F432" s="19" t="e">
        <f>VLOOKUP(B432,'Station List'!#REF!,2,0)</f>
        <v>#REF!</v>
      </c>
      <c r="G432" s="19" t="e">
        <v>#NAME?</v>
      </c>
      <c r="H432" s="19" t="e">
        <f t="shared" si="48"/>
        <v>#REF!</v>
      </c>
      <c r="I432" s="19" t="e">
        <f>VLOOKUP(B432,'Station List'!#REF!,4,0)</f>
        <v>#REF!</v>
      </c>
      <c r="J432" s="19" t="e">
        <v>#NAME?</v>
      </c>
      <c r="K432" s="19" t="e">
        <f t="shared" si="41"/>
        <v>#REF!</v>
      </c>
      <c r="L432" s="19" t="e">
        <f>VLOOKUP(B431,'Station List'!#REF!,9,0)</f>
        <v>#REF!</v>
      </c>
      <c r="M432" s="19" t="e">
        <v>#NAME?</v>
      </c>
      <c r="N432" s="17"/>
      <c r="O432" s="17" t="s">
        <v>3583</v>
      </c>
      <c r="P432" s="17">
        <f t="shared" si="42"/>
        <v>0</v>
      </c>
      <c r="Q432" s="17"/>
      <c r="R432" s="17"/>
      <c r="S432" s="17"/>
      <c r="T432" s="17"/>
      <c r="U432" s="17"/>
      <c r="V432" s="17"/>
      <c r="W432" s="17" t="e">
        <f t="shared" si="46"/>
        <v>#REF!</v>
      </c>
      <c r="X432" s="17" t="e">
        <f t="shared" si="47"/>
        <v>#REF!</v>
      </c>
    </row>
    <row r="433" spans="1:24" ht="12.75" customHeight="1" x14ac:dyDescent="0.2">
      <c r="A433" s="19">
        <f t="shared" si="45"/>
        <v>22</v>
      </c>
      <c r="B433" s="19" t="s">
        <v>3585</v>
      </c>
      <c r="C433" s="19" t="e">
        <f t="shared" si="37"/>
        <v>#REF!</v>
      </c>
      <c r="D433" s="19" t="e">
        <f t="shared" si="38"/>
        <v>#REF!</v>
      </c>
      <c r="E433" s="19" t="e">
        <f t="shared" si="39"/>
        <v>#REF!</v>
      </c>
      <c r="F433" s="19" t="e">
        <f>VLOOKUP(B433,'Station List'!#REF!,2,0)</f>
        <v>#REF!</v>
      </c>
      <c r="G433" s="19" t="e">
        <v>#NAME?</v>
      </c>
      <c r="H433" s="19" t="e">
        <f t="shared" si="48"/>
        <v>#REF!</v>
      </c>
      <c r="I433" s="19" t="e">
        <f>VLOOKUP(B433,'Station List'!#REF!,4,0)</f>
        <v>#REF!</v>
      </c>
      <c r="J433" s="19" t="e">
        <v>#NAME?</v>
      </c>
      <c r="K433" s="19" t="e">
        <f t="shared" si="41"/>
        <v>#REF!</v>
      </c>
      <c r="L433" s="19" t="e">
        <f>VLOOKUP(B432,'Station List'!#REF!,9,0)</f>
        <v>#REF!</v>
      </c>
      <c r="M433" s="19" t="e">
        <v>#NAME?</v>
      </c>
      <c r="N433" s="17"/>
      <c r="O433" s="17" t="s">
        <v>3586</v>
      </c>
      <c r="P433" s="17">
        <f t="shared" si="42"/>
        <v>1</v>
      </c>
      <c r="Q433" s="17"/>
      <c r="R433" s="17"/>
      <c r="S433" s="17"/>
      <c r="T433" s="17"/>
      <c r="U433" s="17"/>
      <c r="V433" s="17"/>
      <c r="W433" s="17" t="e">
        <f t="shared" si="46"/>
        <v>#REF!</v>
      </c>
      <c r="X433" s="17" t="e">
        <f t="shared" si="47"/>
        <v>#REF!</v>
      </c>
    </row>
    <row r="434" spans="1:24" ht="12.75" customHeight="1" x14ac:dyDescent="0.2">
      <c r="A434" s="19">
        <f t="shared" si="45"/>
        <v>23</v>
      </c>
      <c r="B434" s="19" t="s">
        <v>3587</v>
      </c>
      <c r="C434" s="19" t="e">
        <f t="shared" si="37"/>
        <v>#REF!</v>
      </c>
      <c r="D434" s="19" t="e">
        <f t="shared" si="38"/>
        <v>#REF!</v>
      </c>
      <c r="E434" s="19" t="e">
        <f t="shared" si="39"/>
        <v>#REF!</v>
      </c>
      <c r="F434" s="19" t="e">
        <f>VLOOKUP(B434,'Station List'!#REF!,2,0)</f>
        <v>#REF!</v>
      </c>
      <c r="G434" s="19" t="e">
        <v>#NAME?</v>
      </c>
      <c r="H434" s="19" t="e">
        <f t="shared" si="48"/>
        <v>#REF!</v>
      </c>
      <c r="I434" s="19" t="e">
        <f>VLOOKUP(B434,'Station List'!#REF!,4,0)</f>
        <v>#REF!</v>
      </c>
      <c r="J434" s="19" t="e">
        <v>#NAME?</v>
      </c>
      <c r="K434" s="19" t="e">
        <f t="shared" si="41"/>
        <v>#REF!</v>
      </c>
      <c r="L434" s="19" t="e">
        <f>VLOOKUP(B433,'Station List'!#REF!,9,0)</f>
        <v>#REF!</v>
      </c>
      <c r="M434" s="19" t="e">
        <v>#NAME?</v>
      </c>
      <c r="N434" s="17"/>
      <c r="O434" s="17" t="s">
        <v>3585</v>
      </c>
      <c r="P434" s="17">
        <f t="shared" si="42"/>
        <v>0</v>
      </c>
      <c r="Q434" s="17"/>
      <c r="R434" s="17"/>
      <c r="S434" s="17"/>
      <c r="T434" s="17"/>
      <c r="U434" s="17"/>
      <c r="V434" s="17"/>
      <c r="W434" s="17" t="e">
        <f t="shared" si="46"/>
        <v>#REF!</v>
      </c>
      <c r="X434" s="17" t="e">
        <f t="shared" si="47"/>
        <v>#REF!</v>
      </c>
    </row>
    <row r="435" spans="1:24" ht="12.75" customHeight="1" x14ac:dyDescent="0.2">
      <c r="A435" s="19">
        <f t="shared" si="45"/>
        <v>24</v>
      </c>
      <c r="B435" s="19" t="s">
        <v>3588</v>
      </c>
      <c r="C435" s="19" t="e">
        <f t="shared" si="37"/>
        <v>#REF!</v>
      </c>
      <c r="D435" s="19" t="e">
        <f t="shared" si="38"/>
        <v>#REF!</v>
      </c>
      <c r="E435" s="19" t="e">
        <f t="shared" si="39"/>
        <v>#REF!</v>
      </c>
      <c r="F435" s="19" t="e">
        <f>VLOOKUP(B435,'Station List'!#REF!,2,0)</f>
        <v>#REF!</v>
      </c>
      <c r="G435" s="19" t="e">
        <v>#NAME?</v>
      </c>
      <c r="H435" s="19" t="e">
        <f t="shared" si="48"/>
        <v>#REF!</v>
      </c>
      <c r="I435" s="19" t="e">
        <f>VLOOKUP(B435,'Station List'!#REF!,4,0)</f>
        <v>#REF!</v>
      </c>
      <c r="J435" s="19" t="e">
        <v>#NAME?</v>
      </c>
      <c r="K435" s="19" t="e">
        <f t="shared" si="41"/>
        <v>#REF!</v>
      </c>
      <c r="L435" s="19" t="e">
        <f>VLOOKUP(B434,'Station List'!#REF!,9,0)</f>
        <v>#REF!</v>
      </c>
      <c r="M435" s="19" t="e">
        <v>#NAME?</v>
      </c>
      <c r="N435" s="17"/>
      <c r="O435" s="17" t="s">
        <v>3587</v>
      </c>
      <c r="P435" s="17">
        <f t="shared" si="42"/>
        <v>0</v>
      </c>
      <c r="Q435" s="17"/>
      <c r="R435" s="17"/>
      <c r="S435" s="17"/>
      <c r="T435" s="17"/>
      <c r="U435" s="17"/>
      <c r="V435" s="17"/>
      <c r="W435" s="17" t="e">
        <f t="shared" si="46"/>
        <v>#REF!</v>
      </c>
      <c r="X435" s="17" t="e">
        <f t="shared" si="47"/>
        <v>#REF!</v>
      </c>
    </row>
    <row r="436" spans="1:24" ht="12.75" customHeight="1" x14ac:dyDescent="0.2">
      <c r="A436" s="19">
        <f t="shared" si="45"/>
        <v>25</v>
      </c>
      <c r="B436" s="19" t="s">
        <v>3589</v>
      </c>
      <c r="C436" s="19" t="e">
        <f t="shared" si="37"/>
        <v>#REF!</v>
      </c>
      <c r="D436" s="19" t="e">
        <f t="shared" si="38"/>
        <v>#REF!</v>
      </c>
      <c r="E436" s="19" t="e">
        <f t="shared" si="39"/>
        <v>#REF!</v>
      </c>
      <c r="F436" s="19" t="e">
        <f>VLOOKUP(B436,'Station List'!#REF!,2,0)</f>
        <v>#REF!</v>
      </c>
      <c r="G436" s="19" t="e">
        <v>#NAME?</v>
      </c>
      <c r="H436" s="19" t="e">
        <f t="shared" si="48"/>
        <v>#REF!</v>
      </c>
      <c r="I436" s="19" t="e">
        <f>VLOOKUP(B436,'Station List'!#REF!,4,0)</f>
        <v>#REF!</v>
      </c>
      <c r="J436" s="19" t="e">
        <v>#NAME?</v>
      </c>
      <c r="K436" s="19" t="e">
        <f t="shared" si="41"/>
        <v>#REF!</v>
      </c>
      <c r="L436" s="19" t="e">
        <f>VLOOKUP(B435,'Station List'!#REF!,9,0)</f>
        <v>#REF!</v>
      </c>
      <c r="M436" s="19" t="e">
        <v>#NAME?</v>
      </c>
      <c r="N436" s="17"/>
      <c r="O436" s="17" t="s">
        <v>3588</v>
      </c>
      <c r="P436" s="17">
        <f t="shared" si="42"/>
        <v>0</v>
      </c>
      <c r="Q436" s="17"/>
      <c r="R436" s="17"/>
      <c r="S436" s="17"/>
      <c r="T436" s="17"/>
      <c r="U436" s="17"/>
      <c r="V436" s="17"/>
      <c r="W436" s="17" t="e">
        <f t="shared" si="46"/>
        <v>#REF!</v>
      </c>
      <c r="X436" s="17" t="e">
        <f t="shared" si="47"/>
        <v>#REF!</v>
      </c>
    </row>
    <row r="437" spans="1:24" ht="12.75" customHeight="1" x14ac:dyDescent="0.2">
      <c r="A437" s="19">
        <f t="shared" si="45"/>
        <v>26</v>
      </c>
      <c r="B437" s="19" t="s">
        <v>3590</v>
      </c>
      <c r="C437" s="19" t="e">
        <f t="shared" si="37"/>
        <v>#REF!</v>
      </c>
      <c r="D437" s="19" t="e">
        <f t="shared" si="38"/>
        <v>#REF!</v>
      </c>
      <c r="E437" s="19" t="e">
        <f t="shared" si="39"/>
        <v>#REF!</v>
      </c>
      <c r="F437" s="19" t="e">
        <f>VLOOKUP(B437,'Station List'!#REF!,2,0)</f>
        <v>#REF!</v>
      </c>
      <c r="G437" s="19" t="e">
        <v>#NAME?</v>
      </c>
      <c r="H437" s="19" t="e">
        <f t="shared" si="48"/>
        <v>#REF!</v>
      </c>
      <c r="I437" s="19" t="e">
        <f>VLOOKUP(B437,'Station List'!#REF!,4,0)</f>
        <v>#REF!</v>
      </c>
      <c r="J437" s="19" t="e">
        <v>#NAME?</v>
      </c>
      <c r="K437" s="19" t="e">
        <f t="shared" si="41"/>
        <v>#REF!</v>
      </c>
      <c r="L437" s="19" t="e">
        <f>VLOOKUP(B436,'Station List'!#REF!,9,0)</f>
        <v>#REF!</v>
      </c>
      <c r="M437" s="19" t="e">
        <v>#NAME?</v>
      </c>
      <c r="N437" s="17"/>
      <c r="O437" s="17" t="s">
        <v>3589</v>
      </c>
      <c r="P437" s="17">
        <f t="shared" si="42"/>
        <v>0</v>
      </c>
      <c r="Q437" s="17"/>
      <c r="R437" s="17"/>
      <c r="S437" s="17"/>
      <c r="T437" s="17"/>
      <c r="U437" s="17"/>
      <c r="V437" s="17"/>
      <c r="W437" s="17" t="e">
        <f t="shared" si="46"/>
        <v>#REF!</v>
      </c>
      <c r="X437" s="17" t="e">
        <f t="shared" si="47"/>
        <v>#REF!</v>
      </c>
    </row>
    <row r="438" spans="1:24" ht="12.75" customHeight="1" x14ac:dyDescent="0.2">
      <c r="A438" s="19">
        <f t="shared" si="45"/>
        <v>27</v>
      </c>
      <c r="B438" s="19" t="s">
        <v>3591</v>
      </c>
      <c r="C438" s="19" t="e">
        <f t="shared" si="37"/>
        <v>#REF!</v>
      </c>
      <c r="D438" s="19" t="e">
        <f t="shared" si="38"/>
        <v>#REF!</v>
      </c>
      <c r="E438" s="19" t="e">
        <f t="shared" si="39"/>
        <v>#REF!</v>
      </c>
      <c r="F438" s="19" t="e">
        <f>VLOOKUP(B438,'Station List'!#REF!,2,0)</f>
        <v>#REF!</v>
      </c>
      <c r="G438" s="19" t="e">
        <v>#NAME?</v>
      </c>
      <c r="H438" s="19" t="e">
        <f t="shared" si="48"/>
        <v>#REF!</v>
      </c>
      <c r="I438" s="19" t="e">
        <f>VLOOKUP(B438,'Station List'!#REF!,4,0)</f>
        <v>#REF!</v>
      </c>
      <c r="J438" s="19" t="e">
        <v>#NAME?</v>
      </c>
      <c r="K438" s="19" t="e">
        <f t="shared" si="41"/>
        <v>#REF!</v>
      </c>
      <c r="L438" s="19" t="e">
        <f>VLOOKUP(B437,'Station List'!#REF!,9,0)</f>
        <v>#REF!</v>
      </c>
      <c r="M438" s="19" t="e">
        <v>#NAME?</v>
      </c>
      <c r="N438" s="17"/>
      <c r="O438" s="17" t="s">
        <v>3590</v>
      </c>
      <c r="P438" s="17">
        <f t="shared" si="42"/>
        <v>0</v>
      </c>
      <c r="Q438" s="17"/>
      <c r="R438" s="17"/>
      <c r="S438" s="17"/>
      <c r="T438" s="17"/>
      <c r="U438" s="17"/>
      <c r="V438" s="17"/>
      <c r="W438" s="17" t="e">
        <f t="shared" si="46"/>
        <v>#REF!</v>
      </c>
      <c r="X438" s="17" t="e">
        <f t="shared" si="47"/>
        <v>#REF!</v>
      </c>
    </row>
    <row r="439" spans="1:24" ht="12.75" customHeight="1" x14ac:dyDescent="0.2">
      <c r="A439" s="19">
        <f t="shared" si="45"/>
        <v>28</v>
      </c>
      <c r="B439" s="19" t="s">
        <v>3592</v>
      </c>
      <c r="C439" s="19" t="e">
        <f t="shared" si="37"/>
        <v>#REF!</v>
      </c>
      <c r="D439" s="19" t="e">
        <f t="shared" si="38"/>
        <v>#REF!</v>
      </c>
      <c r="E439" s="19" t="e">
        <f t="shared" si="39"/>
        <v>#REF!</v>
      </c>
      <c r="F439" s="19" t="e">
        <f>VLOOKUP(B439,'Station List'!#REF!,2,0)</f>
        <v>#REF!</v>
      </c>
      <c r="G439" s="19" t="e">
        <v>#NAME?</v>
      </c>
      <c r="H439" s="19" t="e">
        <f t="shared" si="48"/>
        <v>#REF!</v>
      </c>
      <c r="I439" s="19" t="e">
        <f>VLOOKUP(B439,'Station List'!#REF!,4,0)</f>
        <v>#REF!</v>
      </c>
      <c r="J439" s="19" t="e">
        <v>#NAME?</v>
      </c>
      <c r="K439" s="19" t="e">
        <f t="shared" si="41"/>
        <v>#REF!</v>
      </c>
      <c r="L439" s="19" t="e">
        <f>VLOOKUP(B438,'Station List'!#REF!,9,0)</f>
        <v>#REF!</v>
      </c>
      <c r="M439" s="19" t="e">
        <v>#NAME?</v>
      </c>
      <c r="N439" s="17"/>
      <c r="O439" s="17" t="s">
        <v>3591</v>
      </c>
      <c r="P439" s="17">
        <f t="shared" si="42"/>
        <v>0</v>
      </c>
      <c r="Q439" s="17"/>
      <c r="R439" s="17"/>
      <c r="S439" s="17"/>
      <c r="T439" s="17"/>
      <c r="U439" s="17"/>
      <c r="V439" s="17"/>
      <c r="W439" s="17" t="e">
        <f t="shared" si="46"/>
        <v>#REF!</v>
      </c>
      <c r="X439" s="17" t="e">
        <f t="shared" si="47"/>
        <v>#REF!</v>
      </c>
    </row>
    <row r="440" spans="1:24" ht="12.75" customHeight="1" x14ac:dyDescent="0.2">
      <c r="A440" s="19">
        <v>29</v>
      </c>
      <c r="B440" s="19" t="s">
        <v>3593</v>
      </c>
      <c r="C440" s="19" t="e">
        <f t="shared" si="37"/>
        <v>#REF!</v>
      </c>
      <c r="D440" s="19" t="e">
        <f t="shared" si="38"/>
        <v>#REF!</v>
      </c>
      <c r="E440" s="19" t="e">
        <f t="shared" si="39"/>
        <v>#REF!</v>
      </c>
      <c r="F440" s="19" t="e">
        <f>VLOOKUP(B440,'Station List'!#REF!,2,0)</f>
        <v>#REF!</v>
      </c>
      <c r="G440" s="19" t="e">
        <v>#NAME?</v>
      </c>
      <c r="H440" s="19" t="e">
        <f t="shared" si="48"/>
        <v>#REF!</v>
      </c>
      <c r="I440" s="19" t="e">
        <f>VLOOKUP(B440,'Station List'!#REF!,4,0)</f>
        <v>#REF!</v>
      </c>
      <c r="J440" s="19" t="e">
        <v>#NAME?</v>
      </c>
      <c r="K440" s="19" t="e">
        <f>VLOOKUP(#REF!,#REF!,4,0)</f>
        <v>#REF!</v>
      </c>
      <c r="L440" s="19" t="e">
        <f>VLOOKUP(#REF!,'Station List'!#REF!,9,0)</f>
        <v>#REF!</v>
      </c>
      <c r="M440" s="19" t="e">
        <v>#NAME?</v>
      </c>
      <c r="N440" s="17"/>
      <c r="O440" s="17" t="s">
        <v>3594</v>
      </c>
      <c r="P440" s="17" t="e">
        <f>IF(#REF!=O440,0,1)</f>
        <v>#REF!</v>
      </c>
      <c r="Q440" s="17"/>
      <c r="R440" s="17"/>
      <c r="S440" s="17"/>
      <c r="T440" s="17"/>
      <c r="U440" s="17"/>
      <c r="V440" s="17"/>
      <c r="W440" s="17" t="e">
        <f>IF(#REF!=#REF!,0,1)</f>
        <v>#REF!</v>
      </c>
      <c r="X440" s="17" t="e">
        <f t="shared" si="47"/>
        <v>#REF!</v>
      </c>
    </row>
    <row r="441" spans="1:24" ht="12.75" customHeight="1" x14ac:dyDescent="0.2">
      <c r="A441" s="19">
        <f t="shared" ref="A441:A449" si="49">A440+1</f>
        <v>30</v>
      </c>
      <c r="B441" s="19" t="s">
        <v>3595</v>
      </c>
      <c r="C441" s="19" t="e">
        <f t="shared" si="37"/>
        <v>#REF!</v>
      </c>
      <c r="D441" s="19" t="e">
        <f t="shared" si="38"/>
        <v>#REF!</v>
      </c>
      <c r="E441" s="19" t="e">
        <f t="shared" si="39"/>
        <v>#REF!</v>
      </c>
      <c r="F441" s="19" t="e">
        <f>VLOOKUP(B441,'Station List'!#REF!,2,0)</f>
        <v>#REF!</v>
      </c>
      <c r="G441" s="19" t="e">
        <v>#NAME?</v>
      </c>
      <c r="H441" s="19" t="e">
        <f t="shared" si="48"/>
        <v>#REF!</v>
      </c>
      <c r="I441" s="19" t="e">
        <f>VLOOKUP(B441,'Station List'!#REF!,4,0)</f>
        <v>#REF!</v>
      </c>
      <c r="J441" s="19" t="e">
        <v>#NAME?</v>
      </c>
      <c r="K441" s="19" t="e">
        <f t="shared" ref="K441:K449" si="50">VLOOKUP(B440,#REF!,4,0)</f>
        <v>#REF!</v>
      </c>
      <c r="L441" s="19" t="e">
        <f>VLOOKUP(B440,'Station List'!#REF!,9,0)</f>
        <v>#REF!</v>
      </c>
      <c r="M441" s="19" t="e">
        <v>#NAME?</v>
      </c>
      <c r="N441" s="17"/>
      <c r="O441" s="17" t="s">
        <v>3593</v>
      </c>
      <c r="P441" s="17">
        <f t="shared" ref="P441:P442" si="51">IF(B440=O441,0,1)</f>
        <v>0</v>
      </c>
      <c r="Q441" s="17"/>
      <c r="R441" s="17"/>
      <c r="S441" s="17"/>
      <c r="T441" s="17"/>
      <c r="U441" s="17"/>
      <c r="V441" s="17"/>
      <c r="W441" s="17" t="e">
        <f t="shared" ref="W441:W442" si="52">IF(I440=J440,0,1)</f>
        <v>#REF!</v>
      </c>
      <c r="X441" s="17" t="e">
        <f t="shared" si="47"/>
        <v>#REF!</v>
      </c>
    </row>
    <row r="442" spans="1:24" ht="12.75" customHeight="1" x14ac:dyDescent="0.2">
      <c r="A442" s="19">
        <f t="shared" si="49"/>
        <v>31</v>
      </c>
      <c r="B442" s="19" t="s">
        <v>3596</v>
      </c>
      <c r="C442" s="19" t="e">
        <f t="shared" si="37"/>
        <v>#REF!</v>
      </c>
      <c r="D442" s="19" t="e">
        <f t="shared" si="38"/>
        <v>#REF!</v>
      </c>
      <c r="E442" s="19" t="e">
        <f t="shared" si="39"/>
        <v>#REF!</v>
      </c>
      <c r="F442" s="19" t="e">
        <f>VLOOKUP(B442,'Station List'!#REF!,2,0)</f>
        <v>#REF!</v>
      </c>
      <c r="G442" s="19" t="e">
        <v>#NAME?</v>
      </c>
      <c r="H442" s="19" t="e">
        <f t="shared" si="48"/>
        <v>#REF!</v>
      </c>
      <c r="I442" s="19" t="e">
        <f>VLOOKUP(B442,'Station List'!#REF!,4,0)</f>
        <v>#REF!</v>
      </c>
      <c r="J442" s="19" t="e">
        <v>#NAME?</v>
      </c>
      <c r="K442" s="19" t="e">
        <f t="shared" si="50"/>
        <v>#REF!</v>
      </c>
      <c r="L442" s="19" t="e">
        <f>VLOOKUP(B441,'Station List'!#REF!,9,0)</f>
        <v>#REF!</v>
      </c>
      <c r="M442" s="19" t="e">
        <v>#NAME?</v>
      </c>
      <c r="N442" s="17"/>
      <c r="O442" s="17" t="s">
        <v>3595</v>
      </c>
      <c r="P442" s="17">
        <f t="shared" si="51"/>
        <v>0</v>
      </c>
      <c r="Q442" s="17"/>
      <c r="R442" s="17"/>
      <c r="S442" s="17"/>
      <c r="T442" s="17"/>
      <c r="U442" s="17"/>
      <c r="V442" s="17"/>
      <c r="W442" s="17" t="e">
        <f t="shared" si="52"/>
        <v>#REF!</v>
      </c>
      <c r="X442" s="17" t="e">
        <f t="shared" si="47"/>
        <v>#REF!</v>
      </c>
    </row>
    <row r="443" spans="1:24" ht="12.75" customHeight="1" x14ac:dyDescent="0.2">
      <c r="A443" s="19">
        <f t="shared" si="49"/>
        <v>32</v>
      </c>
      <c r="B443" s="19" t="s">
        <v>3597</v>
      </c>
      <c r="C443" s="19" t="e">
        <f t="shared" si="37"/>
        <v>#REF!</v>
      </c>
      <c r="D443" s="19" t="e">
        <f t="shared" si="38"/>
        <v>#REF!</v>
      </c>
      <c r="E443" s="19" t="e">
        <f t="shared" si="39"/>
        <v>#REF!</v>
      </c>
      <c r="F443" s="19" t="e">
        <f>VLOOKUP(B443,'Station List'!#REF!,2,0)</f>
        <v>#REF!</v>
      </c>
      <c r="G443" s="19" t="e">
        <v>#NAME?</v>
      </c>
      <c r="H443" s="19" t="e">
        <f t="shared" si="48"/>
        <v>#REF!</v>
      </c>
      <c r="I443" s="19" t="e">
        <f>VLOOKUP(B443,'Station List'!#REF!,4,0)</f>
        <v>#REF!</v>
      </c>
      <c r="J443" s="19" t="e">
        <v>#NAME?</v>
      </c>
      <c r="K443" s="19" t="e">
        <f t="shared" si="50"/>
        <v>#REF!</v>
      </c>
      <c r="L443" s="19" t="e">
        <f>VLOOKUP(B442,'Station List'!#REF!,9,0)</f>
        <v>#REF!</v>
      </c>
      <c r="M443" s="19" t="e">
        <v>#NAME?</v>
      </c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 spans="1:24" ht="12.75" customHeight="1" x14ac:dyDescent="0.2">
      <c r="A444" s="19">
        <f t="shared" si="49"/>
        <v>33</v>
      </c>
      <c r="B444" s="19" t="s">
        <v>3598</v>
      </c>
      <c r="C444" s="19" t="e">
        <f t="shared" si="37"/>
        <v>#REF!</v>
      </c>
      <c r="D444" s="19" t="e">
        <f t="shared" si="38"/>
        <v>#REF!</v>
      </c>
      <c r="E444" s="19" t="e">
        <f t="shared" si="39"/>
        <v>#REF!</v>
      </c>
      <c r="F444" s="19" t="e">
        <f>VLOOKUP(B444,'Station List'!#REF!,2,0)</f>
        <v>#REF!</v>
      </c>
      <c r="G444" s="19" t="e">
        <v>#NAME?</v>
      </c>
      <c r="H444" s="19" t="e">
        <f t="shared" si="48"/>
        <v>#REF!</v>
      </c>
      <c r="I444" s="19" t="e">
        <f>VLOOKUP(B444,'Station List'!#REF!,4,0)</f>
        <v>#REF!</v>
      </c>
      <c r="J444" s="19" t="e">
        <v>#NAME?</v>
      </c>
      <c r="K444" s="19" t="e">
        <f t="shared" si="50"/>
        <v>#REF!</v>
      </c>
      <c r="L444" s="19" t="e">
        <f>VLOOKUP(B443,'Station List'!#REF!,9,0)</f>
        <v>#REF!</v>
      </c>
      <c r="M444" s="19" t="e">
        <v>#NAME?</v>
      </c>
      <c r="N444" s="17"/>
      <c r="O444" s="17" t="s">
        <v>3597</v>
      </c>
      <c r="P444" s="17">
        <f t="shared" ref="P444:P449" si="53">IF(B443=O444,0,1)</f>
        <v>0</v>
      </c>
      <c r="Q444" s="17"/>
      <c r="R444" s="17"/>
      <c r="S444" s="17"/>
      <c r="T444" s="17"/>
      <c r="U444" s="17"/>
      <c r="V444" s="17"/>
      <c r="W444" s="17" t="e">
        <f t="shared" ref="W444:W449" si="54">IF(I443=J443,0,1)</f>
        <v>#REF!</v>
      </c>
      <c r="X444" s="17" t="e">
        <f t="shared" ref="X444:X579" si="55">IF(L444=M444,0,1)</f>
        <v>#REF!</v>
      </c>
    </row>
    <row r="445" spans="1:24" ht="12.75" customHeight="1" x14ac:dyDescent="0.2">
      <c r="A445" s="19">
        <f t="shared" si="49"/>
        <v>34</v>
      </c>
      <c r="B445" s="19" t="s">
        <v>3599</v>
      </c>
      <c r="C445" s="19" t="e">
        <f t="shared" si="37"/>
        <v>#REF!</v>
      </c>
      <c r="D445" s="19" t="e">
        <f t="shared" si="38"/>
        <v>#REF!</v>
      </c>
      <c r="E445" s="19" t="e">
        <f t="shared" si="39"/>
        <v>#REF!</v>
      </c>
      <c r="F445" s="19" t="e">
        <f>VLOOKUP(B445,'Station List'!#REF!,2,0)</f>
        <v>#REF!</v>
      </c>
      <c r="G445" s="19" t="e">
        <v>#NAME?</v>
      </c>
      <c r="H445" s="19" t="e">
        <f t="shared" si="48"/>
        <v>#REF!</v>
      </c>
      <c r="I445" s="19" t="e">
        <f>VLOOKUP(B445,'Station List'!#REF!,4,0)</f>
        <v>#REF!</v>
      </c>
      <c r="J445" s="19" t="e">
        <v>#NAME?</v>
      </c>
      <c r="K445" s="19" t="e">
        <f t="shared" si="50"/>
        <v>#REF!</v>
      </c>
      <c r="L445" s="19" t="e">
        <f>VLOOKUP(B444,'Station List'!#REF!,9,0)</f>
        <v>#REF!</v>
      </c>
      <c r="M445" s="19" t="e">
        <v>#NAME?</v>
      </c>
      <c r="N445" s="17"/>
      <c r="O445" s="17" t="s">
        <v>3598</v>
      </c>
      <c r="P445" s="17">
        <f t="shared" si="53"/>
        <v>0</v>
      </c>
      <c r="Q445" s="17"/>
      <c r="R445" s="17"/>
      <c r="S445" s="17"/>
      <c r="T445" s="17"/>
      <c r="U445" s="17"/>
      <c r="V445" s="17"/>
      <c r="W445" s="17" t="e">
        <f t="shared" si="54"/>
        <v>#REF!</v>
      </c>
      <c r="X445" s="17" t="e">
        <f t="shared" si="55"/>
        <v>#REF!</v>
      </c>
    </row>
    <row r="446" spans="1:24" ht="12.75" customHeight="1" x14ac:dyDescent="0.2">
      <c r="A446" s="19">
        <f t="shared" si="49"/>
        <v>35</v>
      </c>
      <c r="B446" s="19" t="s">
        <v>3600</v>
      </c>
      <c r="C446" s="19" t="e">
        <f t="shared" si="37"/>
        <v>#REF!</v>
      </c>
      <c r="D446" s="19" t="e">
        <f t="shared" si="38"/>
        <v>#REF!</v>
      </c>
      <c r="E446" s="19" t="e">
        <f t="shared" si="39"/>
        <v>#REF!</v>
      </c>
      <c r="F446" s="19" t="e">
        <f>VLOOKUP(B446,'Station List'!#REF!,2,0)</f>
        <v>#REF!</v>
      </c>
      <c r="G446" s="19" t="e">
        <v>#NAME?</v>
      </c>
      <c r="H446" s="19" t="e">
        <f t="shared" si="48"/>
        <v>#REF!</v>
      </c>
      <c r="I446" s="19" t="e">
        <f>VLOOKUP(B446,'Station List'!#REF!,4,0)</f>
        <v>#REF!</v>
      </c>
      <c r="J446" s="19" t="e">
        <v>#NAME?</v>
      </c>
      <c r="K446" s="19" t="e">
        <f t="shared" si="50"/>
        <v>#REF!</v>
      </c>
      <c r="L446" s="19" t="e">
        <f>VLOOKUP(B445,'Station List'!#REF!,9,0)</f>
        <v>#REF!</v>
      </c>
      <c r="M446" s="19" t="e">
        <v>#NAME?</v>
      </c>
      <c r="N446" s="17"/>
      <c r="O446" s="17" t="s">
        <v>3599</v>
      </c>
      <c r="P446" s="17">
        <f t="shared" si="53"/>
        <v>0</v>
      </c>
      <c r="Q446" s="17"/>
      <c r="R446" s="17"/>
      <c r="S446" s="17"/>
      <c r="T446" s="17"/>
      <c r="U446" s="17"/>
      <c r="V446" s="17"/>
      <c r="W446" s="17" t="e">
        <f t="shared" si="54"/>
        <v>#REF!</v>
      </c>
      <c r="X446" s="17" t="e">
        <f t="shared" si="55"/>
        <v>#REF!</v>
      </c>
    </row>
    <row r="447" spans="1:24" ht="12.75" customHeight="1" x14ac:dyDescent="0.2">
      <c r="A447" s="19">
        <f t="shared" si="49"/>
        <v>36</v>
      </c>
      <c r="B447" s="19" t="s">
        <v>3601</v>
      </c>
      <c r="C447" s="19" t="e">
        <f t="shared" si="37"/>
        <v>#REF!</v>
      </c>
      <c r="D447" s="19" t="e">
        <f t="shared" si="38"/>
        <v>#REF!</v>
      </c>
      <c r="E447" s="19" t="e">
        <f t="shared" si="39"/>
        <v>#REF!</v>
      </c>
      <c r="F447" s="19" t="e">
        <f>VLOOKUP(B447,'Station List'!#REF!,2,0)</f>
        <v>#REF!</v>
      </c>
      <c r="G447" s="19" t="e">
        <v>#NAME?</v>
      </c>
      <c r="H447" s="19" t="e">
        <f t="shared" si="48"/>
        <v>#REF!</v>
      </c>
      <c r="I447" s="19" t="e">
        <f>VLOOKUP(B447,'Station List'!#REF!,4,0)</f>
        <v>#REF!</v>
      </c>
      <c r="J447" s="19" t="e">
        <v>#NAME?</v>
      </c>
      <c r="K447" s="19" t="e">
        <f t="shared" si="50"/>
        <v>#REF!</v>
      </c>
      <c r="L447" s="19" t="e">
        <f>VLOOKUP(B446,'Station List'!#REF!,9,0)</f>
        <v>#REF!</v>
      </c>
      <c r="M447" s="19" t="e">
        <v>#NAME?</v>
      </c>
      <c r="N447" s="17"/>
      <c r="O447" s="17" t="s">
        <v>3600</v>
      </c>
      <c r="P447" s="17">
        <f t="shared" si="53"/>
        <v>0</v>
      </c>
      <c r="Q447" s="17"/>
      <c r="R447" s="17"/>
      <c r="S447" s="17"/>
      <c r="T447" s="17"/>
      <c r="U447" s="17"/>
      <c r="V447" s="17"/>
      <c r="W447" s="17" t="e">
        <f t="shared" si="54"/>
        <v>#REF!</v>
      </c>
      <c r="X447" s="17" t="e">
        <f t="shared" si="55"/>
        <v>#REF!</v>
      </c>
    </row>
    <row r="448" spans="1:24" ht="12.75" customHeight="1" x14ac:dyDescent="0.2">
      <c r="A448" s="19">
        <f t="shared" si="49"/>
        <v>37</v>
      </c>
      <c r="B448" s="19" t="s">
        <v>3602</v>
      </c>
      <c r="C448" s="19" t="e">
        <f t="shared" si="37"/>
        <v>#REF!</v>
      </c>
      <c r="D448" s="19" t="e">
        <f t="shared" si="38"/>
        <v>#REF!</v>
      </c>
      <c r="E448" s="19" t="e">
        <f t="shared" si="39"/>
        <v>#REF!</v>
      </c>
      <c r="F448" s="19" t="e">
        <f>VLOOKUP(B448,'Station List'!#REF!,2,0)</f>
        <v>#REF!</v>
      </c>
      <c r="G448" s="19" t="e">
        <v>#NAME?</v>
      </c>
      <c r="H448" s="19" t="e">
        <f t="shared" si="48"/>
        <v>#REF!</v>
      </c>
      <c r="I448" s="19" t="e">
        <f>VLOOKUP(B448,'Station List'!#REF!,4,0)</f>
        <v>#REF!</v>
      </c>
      <c r="J448" s="19" t="e">
        <v>#NAME?</v>
      </c>
      <c r="K448" s="19" t="e">
        <f t="shared" si="50"/>
        <v>#REF!</v>
      </c>
      <c r="L448" s="19" t="e">
        <f>VLOOKUP(B447,'Station List'!#REF!,9,0)</f>
        <v>#REF!</v>
      </c>
      <c r="M448" s="19" t="e">
        <v>#NAME?</v>
      </c>
      <c r="N448" s="17"/>
      <c r="O448" s="17" t="s">
        <v>3601</v>
      </c>
      <c r="P448" s="17">
        <f t="shared" si="53"/>
        <v>0</v>
      </c>
      <c r="Q448" s="17"/>
      <c r="R448" s="17"/>
      <c r="S448" s="17"/>
      <c r="T448" s="17"/>
      <c r="U448" s="17"/>
      <c r="V448" s="17"/>
      <c r="W448" s="17" t="e">
        <f t="shared" si="54"/>
        <v>#REF!</v>
      </c>
      <c r="X448" s="17" t="e">
        <f t="shared" si="55"/>
        <v>#REF!</v>
      </c>
    </row>
    <row r="449" spans="1:24" ht="12.75" customHeight="1" x14ac:dyDescent="0.2">
      <c r="A449" s="19">
        <f t="shared" si="49"/>
        <v>38</v>
      </c>
      <c r="B449" s="19" t="s">
        <v>3603</v>
      </c>
      <c r="C449" s="19" t="e">
        <f t="shared" si="37"/>
        <v>#REF!</v>
      </c>
      <c r="D449" s="19" t="e">
        <f t="shared" si="38"/>
        <v>#REF!</v>
      </c>
      <c r="E449" s="19" t="e">
        <f t="shared" si="39"/>
        <v>#REF!</v>
      </c>
      <c r="F449" s="19" t="e">
        <f>VLOOKUP(B449,'Station List'!#REF!,2,0)</f>
        <v>#REF!</v>
      </c>
      <c r="G449" s="19" t="e">
        <v>#NAME?</v>
      </c>
      <c r="H449" s="19" t="e">
        <f t="shared" si="48"/>
        <v>#REF!</v>
      </c>
      <c r="I449" s="19" t="e">
        <f>VLOOKUP(B449,'Station List'!#REF!,4,0)</f>
        <v>#REF!</v>
      </c>
      <c r="J449" s="19" t="e">
        <v>#NAME?</v>
      </c>
      <c r="K449" s="19" t="e">
        <f t="shared" si="50"/>
        <v>#REF!</v>
      </c>
      <c r="L449" s="19" t="e">
        <f>VLOOKUP(B448,'Station List'!#REF!,9,0)</f>
        <v>#REF!</v>
      </c>
      <c r="M449" s="19" t="e">
        <v>#NAME?</v>
      </c>
      <c r="N449" s="17"/>
      <c r="O449" s="17" t="s">
        <v>3602</v>
      </c>
      <c r="P449" s="17">
        <f t="shared" si="53"/>
        <v>0</v>
      </c>
      <c r="Q449" s="17"/>
      <c r="R449" s="17"/>
      <c r="S449" s="17"/>
      <c r="T449" s="17"/>
      <c r="U449" s="17"/>
      <c r="V449" s="17"/>
      <c r="W449" s="17" t="e">
        <f t="shared" si="54"/>
        <v>#REF!</v>
      </c>
      <c r="X449" s="17" t="e">
        <f t="shared" si="55"/>
        <v>#REF!</v>
      </c>
    </row>
    <row r="450" spans="1:24" ht="12.75" customHeight="1" x14ac:dyDescent="0.2">
      <c r="A450" s="19">
        <v>40</v>
      </c>
      <c r="B450" s="19" t="s">
        <v>3604</v>
      </c>
      <c r="C450" s="19" t="e">
        <f t="shared" si="37"/>
        <v>#REF!</v>
      </c>
      <c r="D450" s="19" t="e">
        <f t="shared" si="38"/>
        <v>#REF!</v>
      </c>
      <c r="E450" s="19" t="e">
        <f t="shared" si="39"/>
        <v>#REF!</v>
      </c>
      <c r="F450" s="19" t="e">
        <f>VLOOKUP(B450,'Station List'!#REF!,2,0)</f>
        <v>#REF!</v>
      </c>
      <c r="G450" s="19" t="e">
        <v>#NAME?</v>
      </c>
      <c r="H450" s="19" t="e">
        <f t="shared" si="48"/>
        <v>#REF!</v>
      </c>
      <c r="I450" s="19" t="e">
        <f>VLOOKUP(B450,'Station List'!#REF!,4,0)</f>
        <v>#REF!</v>
      </c>
      <c r="J450" s="19" t="e">
        <v>#NAME?</v>
      </c>
      <c r="K450" s="19" t="e">
        <f>VLOOKUP(#REF!,#REF!,4,0)</f>
        <v>#REF!</v>
      </c>
      <c r="L450" s="19" t="e">
        <f>VLOOKUP(#REF!,'Station List'!#REF!,9,0)</f>
        <v>#REF!</v>
      </c>
      <c r="M450" s="19" t="e">
        <v>#NAME?</v>
      </c>
      <c r="N450" s="17"/>
      <c r="O450" s="17" t="s">
        <v>3605</v>
      </c>
      <c r="P450" s="17" t="e">
        <f>IF(#REF!=O450,0,1)</f>
        <v>#REF!</v>
      </c>
      <c r="Q450" s="17"/>
      <c r="R450" s="17"/>
      <c r="S450" s="17"/>
      <c r="T450" s="17"/>
      <c r="U450" s="17"/>
      <c r="V450" s="17"/>
      <c r="W450" s="17" t="e">
        <f>IF(#REF!=#REF!,0,1)</f>
        <v>#REF!</v>
      </c>
      <c r="X450" s="17" t="e">
        <f t="shared" si="55"/>
        <v>#REF!</v>
      </c>
    </row>
    <row r="451" spans="1:24" ht="12.75" customHeight="1" x14ac:dyDescent="0.2">
      <c r="A451" s="19">
        <f t="shared" ref="A451:A578" si="56">A450+1</f>
        <v>41</v>
      </c>
      <c r="B451" s="19" t="s">
        <v>3606</v>
      </c>
      <c r="C451" s="19" t="e">
        <f t="shared" si="37"/>
        <v>#REF!</v>
      </c>
      <c r="D451" s="19" t="e">
        <f t="shared" si="38"/>
        <v>#REF!</v>
      </c>
      <c r="E451" s="19" t="e">
        <f t="shared" si="39"/>
        <v>#REF!</v>
      </c>
      <c r="F451" s="19" t="e">
        <f>VLOOKUP(B451,'Station List'!#REF!,2,0)</f>
        <v>#REF!</v>
      </c>
      <c r="G451" s="19" t="e">
        <v>#NAME?</v>
      </c>
      <c r="H451" s="19" t="e">
        <f t="shared" si="48"/>
        <v>#REF!</v>
      </c>
      <c r="I451" s="19" t="e">
        <f>VLOOKUP(B451,'Station List'!#REF!,4,0)</f>
        <v>#REF!</v>
      </c>
      <c r="J451" s="19" t="e">
        <v>#NAME?</v>
      </c>
      <c r="K451" s="19" t="e">
        <f t="shared" ref="K451:K563" si="57">VLOOKUP(B450,#REF!,4,0)</f>
        <v>#REF!</v>
      </c>
      <c r="L451" s="19" t="e">
        <f>VLOOKUP(B450,'Station List'!#REF!,9,0)</f>
        <v>#REF!</v>
      </c>
      <c r="M451" s="19" t="e">
        <v>#NAME?</v>
      </c>
      <c r="N451" s="17"/>
      <c r="O451" s="17" t="s">
        <v>3604</v>
      </c>
      <c r="P451" s="17">
        <f t="shared" ref="P451:P563" si="58">IF(B450=O451,0,1)</f>
        <v>0</v>
      </c>
      <c r="Q451" s="17"/>
      <c r="R451" s="17"/>
      <c r="S451" s="17"/>
      <c r="T451" s="17"/>
      <c r="U451" s="17"/>
      <c r="V451" s="17"/>
      <c r="W451" s="17" t="e">
        <f t="shared" ref="W451:W563" si="59">IF(I450=J450,0,1)</f>
        <v>#REF!</v>
      </c>
      <c r="X451" s="17" t="e">
        <f t="shared" si="55"/>
        <v>#REF!</v>
      </c>
    </row>
    <row r="452" spans="1:24" ht="12.75" customHeight="1" x14ac:dyDescent="0.2">
      <c r="A452" s="19">
        <f t="shared" si="56"/>
        <v>42</v>
      </c>
      <c r="B452" s="19" t="s">
        <v>3607</v>
      </c>
      <c r="C452" s="19" t="e">
        <f t="shared" si="37"/>
        <v>#REF!</v>
      </c>
      <c r="D452" s="19" t="e">
        <f t="shared" si="38"/>
        <v>#REF!</v>
      </c>
      <c r="E452" s="19" t="e">
        <f t="shared" si="39"/>
        <v>#REF!</v>
      </c>
      <c r="F452" s="19" t="e">
        <f>VLOOKUP(B452,'Station List'!#REF!,2,0)</f>
        <v>#REF!</v>
      </c>
      <c r="G452" s="19" t="e">
        <v>#NAME?</v>
      </c>
      <c r="H452" s="19" t="e">
        <f t="shared" si="48"/>
        <v>#REF!</v>
      </c>
      <c r="I452" s="19" t="e">
        <f>VLOOKUP(B452,'Station List'!#REF!,4,0)</f>
        <v>#REF!</v>
      </c>
      <c r="J452" s="19" t="e">
        <v>#NAME?</v>
      </c>
      <c r="K452" s="19" t="e">
        <f t="shared" si="57"/>
        <v>#REF!</v>
      </c>
      <c r="L452" s="19" t="e">
        <f>VLOOKUP(B451,'Station List'!#REF!,9,0)</f>
        <v>#REF!</v>
      </c>
      <c r="M452" s="19" t="e">
        <v>#NAME?</v>
      </c>
      <c r="N452" s="17"/>
      <c r="O452" s="17" t="s">
        <v>3608</v>
      </c>
      <c r="P452" s="17">
        <f t="shared" si="58"/>
        <v>1</v>
      </c>
      <c r="Q452" s="17"/>
      <c r="R452" s="17"/>
      <c r="S452" s="17"/>
      <c r="T452" s="17"/>
      <c r="U452" s="17"/>
      <c r="V452" s="17"/>
      <c r="W452" s="17" t="e">
        <f t="shared" si="59"/>
        <v>#REF!</v>
      </c>
      <c r="X452" s="17" t="e">
        <f t="shared" si="55"/>
        <v>#REF!</v>
      </c>
    </row>
    <row r="453" spans="1:24" ht="12.75" customHeight="1" x14ac:dyDescent="0.2">
      <c r="A453" s="19">
        <f t="shared" si="56"/>
        <v>43</v>
      </c>
      <c r="B453" s="19" t="s">
        <v>3609</v>
      </c>
      <c r="C453" s="19" t="e">
        <f t="shared" si="37"/>
        <v>#REF!</v>
      </c>
      <c r="D453" s="19" t="e">
        <f t="shared" si="38"/>
        <v>#REF!</v>
      </c>
      <c r="E453" s="19" t="e">
        <f t="shared" si="39"/>
        <v>#REF!</v>
      </c>
      <c r="F453" s="19" t="e">
        <f>VLOOKUP(B453,'Station List'!#REF!,2,0)</f>
        <v>#REF!</v>
      </c>
      <c r="G453" s="19" t="e">
        <v>#NAME?</v>
      </c>
      <c r="H453" s="19" t="e">
        <f t="shared" si="48"/>
        <v>#REF!</v>
      </c>
      <c r="I453" s="19" t="e">
        <f>VLOOKUP(B453,'Station List'!#REF!,4,0)</f>
        <v>#REF!</v>
      </c>
      <c r="J453" s="19" t="e">
        <v>#NAME?</v>
      </c>
      <c r="K453" s="19" t="e">
        <f t="shared" si="57"/>
        <v>#REF!</v>
      </c>
      <c r="L453" s="92" t="e">
        <f>VLOOKUP(B452,'Station List'!#REF!,9,0)</f>
        <v>#REF!</v>
      </c>
      <c r="M453" s="19" t="e">
        <v>#NAME?</v>
      </c>
      <c r="N453" s="17"/>
      <c r="O453" s="17" t="s">
        <v>3607</v>
      </c>
      <c r="P453" s="17">
        <f t="shared" si="58"/>
        <v>0</v>
      </c>
      <c r="Q453" s="17"/>
      <c r="R453" s="17"/>
      <c r="S453" s="17"/>
      <c r="T453" s="17"/>
      <c r="U453" s="17"/>
      <c r="V453" s="17"/>
      <c r="W453" s="17" t="e">
        <f t="shared" si="59"/>
        <v>#REF!</v>
      </c>
      <c r="X453" s="17" t="e">
        <f t="shared" si="55"/>
        <v>#REF!</v>
      </c>
    </row>
    <row r="454" spans="1:24" ht="12.75" customHeight="1" x14ac:dyDescent="0.2">
      <c r="A454" s="19">
        <f t="shared" si="56"/>
        <v>44</v>
      </c>
      <c r="B454" s="19" t="s">
        <v>3610</v>
      </c>
      <c r="C454" s="19" t="e">
        <f t="shared" si="37"/>
        <v>#REF!</v>
      </c>
      <c r="D454" s="19" t="e">
        <f t="shared" si="38"/>
        <v>#REF!</v>
      </c>
      <c r="E454" s="19" t="e">
        <f t="shared" si="39"/>
        <v>#REF!</v>
      </c>
      <c r="F454" s="19" t="e">
        <f>VLOOKUP(B454,'Station List'!#REF!,2,0)</f>
        <v>#REF!</v>
      </c>
      <c r="G454" s="19" t="e">
        <v>#NAME?</v>
      </c>
      <c r="H454" s="19" t="e">
        <f t="shared" si="48"/>
        <v>#REF!</v>
      </c>
      <c r="I454" s="19" t="e">
        <f>VLOOKUP(B454,'Station List'!#REF!,4,0)</f>
        <v>#REF!</v>
      </c>
      <c r="J454" s="19" t="e">
        <v>#NAME?</v>
      </c>
      <c r="K454" s="19" t="e">
        <f t="shared" si="57"/>
        <v>#REF!</v>
      </c>
      <c r="L454" s="19" t="e">
        <f>VLOOKUP(B453,'Station List'!#REF!,9,0)</f>
        <v>#REF!</v>
      </c>
      <c r="M454" s="19" t="e">
        <v>#NAME?</v>
      </c>
      <c r="N454" s="17"/>
      <c r="O454" s="17" t="s">
        <v>3609</v>
      </c>
      <c r="P454" s="17">
        <f t="shared" si="58"/>
        <v>0</v>
      </c>
      <c r="Q454" s="17"/>
      <c r="R454" s="17"/>
      <c r="S454" s="17"/>
      <c r="T454" s="17"/>
      <c r="U454" s="17"/>
      <c r="V454" s="17"/>
      <c r="W454" s="17" t="e">
        <f t="shared" si="59"/>
        <v>#REF!</v>
      </c>
      <c r="X454" s="17" t="e">
        <f t="shared" si="55"/>
        <v>#REF!</v>
      </c>
    </row>
    <row r="455" spans="1:24" ht="12.75" customHeight="1" x14ac:dyDescent="0.2">
      <c r="A455" s="19">
        <f t="shared" si="56"/>
        <v>45</v>
      </c>
      <c r="B455" s="19" t="s">
        <v>3611</v>
      </c>
      <c r="C455" s="19" t="e">
        <f t="shared" si="37"/>
        <v>#REF!</v>
      </c>
      <c r="D455" s="19" t="e">
        <f t="shared" si="38"/>
        <v>#REF!</v>
      </c>
      <c r="E455" s="19" t="e">
        <f t="shared" si="39"/>
        <v>#REF!</v>
      </c>
      <c r="F455" s="19" t="e">
        <f>VLOOKUP(B455,'Station List'!#REF!,2,0)</f>
        <v>#REF!</v>
      </c>
      <c r="G455" s="19" t="e">
        <v>#NAME?</v>
      </c>
      <c r="H455" s="19" t="e">
        <f t="shared" si="48"/>
        <v>#REF!</v>
      </c>
      <c r="I455" s="19" t="e">
        <f>VLOOKUP(B455,'Station List'!#REF!,4,0)</f>
        <v>#REF!</v>
      </c>
      <c r="J455" s="19" t="e">
        <v>#NAME?</v>
      </c>
      <c r="K455" s="19" t="e">
        <f t="shared" si="57"/>
        <v>#REF!</v>
      </c>
      <c r="L455" s="19" t="e">
        <f>VLOOKUP(B454,'Station List'!#REF!,9,0)</f>
        <v>#REF!</v>
      </c>
      <c r="M455" s="19" t="e">
        <v>#NAME?</v>
      </c>
      <c r="N455" s="17" t="s">
        <v>3472</v>
      </c>
      <c r="O455" s="17"/>
      <c r="P455" s="17">
        <f t="shared" si="58"/>
        <v>1</v>
      </c>
      <c r="Q455" s="17" t="s">
        <v>3612</v>
      </c>
      <c r="R455" s="17"/>
      <c r="S455" s="17"/>
      <c r="T455" s="17"/>
      <c r="U455" s="17"/>
      <c r="V455" s="17"/>
      <c r="W455" s="17" t="e">
        <f t="shared" si="59"/>
        <v>#REF!</v>
      </c>
      <c r="X455" s="17" t="e">
        <f t="shared" si="55"/>
        <v>#REF!</v>
      </c>
    </row>
    <row r="456" spans="1:24" ht="12.75" customHeight="1" x14ac:dyDescent="0.2">
      <c r="A456" s="19">
        <f t="shared" si="56"/>
        <v>46</v>
      </c>
      <c r="B456" s="19" t="s">
        <v>3613</v>
      </c>
      <c r="C456" s="19" t="e">
        <f t="shared" si="37"/>
        <v>#REF!</v>
      </c>
      <c r="D456" s="19" t="e">
        <f t="shared" si="38"/>
        <v>#REF!</v>
      </c>
      <c r="E456" s="19" t="e">
        <f t="shared" si="39"/>
        <v>#REF!</v>
      </c>
      <c r="F456" s="19" t="e">
        <f>VLOOKUP(B456,'Station List'!#REF!,2,0)</f>
        <v>#REF!</v>
      </c>
      <c r="G456" s="19" t="e">
        <v>#NAME?</v>
      </c>
      <c r="H456" s="19" t="e">
        <f t="shared" si="48"/>
        <v>#REF!</v>
      </c>
      <c r="I456" s="19" t="e">
        <f>VLOOKUP(B456,'Station List'!#REF!,4,0)</f>
        <v>#REF!</v>
      </c>
      <c r="J456" s="19" t="e">
        <v>#NAME?</v>
      </c>
      <c r="K456" s="19" t="e">
        <f t="shared" si="57"/>
        <v>#REF!</v>
      </c>
      <c r="L456" s="19" t="e">
        <f>VLOOKUP(B455,'Station List'!#REF!,9,0)</f>
        <v>#REF!</v>
      </c>
      <c r="M456" s="19" t="e">
        <v>#NAME?</v>
      </c>
      <c r="N456" s="17"/>
      <c r="O456" s="17"/>
      <c r="P456" s="17">
        <f t="shared" si="58"/>
        <v>1</v>
      </c>
      <c r="Q456" s="17"/>
      <c r="R456" s="17"/>
      <c r="S456" s="17"/>
      <c r="T456" s="17"/>
      <c r="U456" s="17"/>
      <c r="V456" s="17"/>
      <c r="W456" s="17" t="e">
        <f t="shared" si="59"/>
        <v>#REF!</v>
      </c>
      <c r="X456" s="17" t="e">
        <f t="shared" si="55"/>
        <v>#REF!</v>
      </c>
    </row>
    <row r="457" spans="1:24" ht="12.75" customHeight="1" x14ac:dyDescent="0.2">
      <c r="A457" s="19">
        <f t="shared" si="56"/>
        <v>47</v>
      </c>
      <c r="B457" s="19" t="s">
        <v>3614</v>
      </c>
      <c r="C457" s="19" t="e">
        <f t="shared" si="37"/>
        <v>#REF!</v>
      </c>
      <c r="D457" s="19" t="e">
        <f t="shared" si="38"/>
        <v>#REF!</v>
      </c>
      <c r="E457" s="19" t="e">
        <f t="shared" si="39"/>
        <v>#REF!</v>
      </c>
      <c r="F457" s="19" t="e">
        <f>VLOOKUP(B457,'Station List'!#REF!,2,0)</f>
        <v>#REF!</v>
      </c>
      <c r="G457" s="19" t="e">
        <v>#NAME?</v>
      </c>
      <c r="H457" s="19" t="e">
        <f t="shared" si="48"/>
        <v>#REF!</v>
      </c>
      <c r="I457" s="19" t="e">
        <f>VLOOKUP(B457,'Station List'!#REF!,4,0)</f>
        <v>#REF!</v>
      </c>
      <c r="J457" s="19" t="e">
        <v>#NAME?</v>
      </c>
      <c r="K457" s="19" t="e">
        <f t="shared" si="57"/>
        <v>#REF!</v>
      </c>
      <c r="L457" s="19" t="e">
        <f>VLOOKUP(B456,'Station List'!#REF!,9,0)</f>
        <v>#REF!</v>
      </c>
      <c r="M457" s="19" t="e">
        <v>#NAME?</v>
      </c>
      <c r="N457" s="17"/>
      <c r="O457" s="17" t="s">
        <v>3613</v>
      </c>
      <c r="P457" s="17">
        <f t="shared" si="58"/>
        <v>0</v>
      </c>
      <c r="Q457" s="17"/>
      <c r="R457" s="17"/>
      <c r="S457" s="17"/>
      <c r="T457" s="17"/>
      <c r="U457" s="17"/>
      <c r="V457" s="17"/>
      <c r="W457" s="17" t="e">
        <f t="shared" si="59"/>
        <v>#REF!</v>
      </c>
      <c r="X457" s="17" t="e">
        <f t="shared" si="55"/>
        <v>#REF!</v>
      </c>
    </row>
    <row r="458" spans="1:24" ht="12.75" customHeight="1" x14ac:dyDescent="0.2">
      <c r="A458" s="19">
        <f t="shared" si="56"/>
        <v>48</v>
      </c>
      <c r="B458" s="19" t="s">
        <v>3615</v>
      </c>
      <c r="C458" s="19" t="e">
        <f t="shared" si="37"/>
        <v>#REF!</v>
      </c>
      <c r="D458" s="19" t="e">
        <f t="shared" si="38"/>
        <v>#REF!</v>
      </c>
      <c r="E458" s="19" t="e">
        <f t="shared" si="39"/>
        <v>#REF!</v>
      </c>
      <c r="F458" s="19" t="e">
        <f>VLOOKUP(B458,'Station List'!#REF!,2,0)</f>
        <v>#REF!</v>
      </c>
      <c r="G458" s="19" t="e">
        <v>#NAME?</v>
      </c>
      <c r="H458" s="19" t="e">
        <f t="shared" si="48"/>
        <v>#REF!</v>
      </c>
      <c r="I458" s="19" t="e">
        <f>VLOOKUP(B458,'Station List'!#REF!,4,0)</f>
        <v>#REF!</v>
      </c>
      <c r="J458" s="19" t="e">
        <v>#NAME?</v>
      </c>
      <c r="K458" s="19" t="e">
        <f t="shared" si="57"/>
        <v>#REF!</v>
      </c>
      <c r="L458" s="19" t="e">
        <f>VLOOKUP(B457,'Station List'!#REF!,9,0)</f>
        <v>#REF!</v>
      </c>
      <c r="M458" s="19" t="e">
        <v>#NAME?</v>
      </c>
      <c r="N458" s="17"/>
      <c r="O458" s="17" t="s">
        <v>3614</v>
      </c>
      <c r="P458" s="17">
        <f t="shared" si="58"/>
        <v>0</v>
      </c>
      <c r="Q458" s="17"/>
      <c r="R458" s="17"/>
      <c r="S458" s="17"/>
      <c r="T458" s="17"/>
      <c r="U458" s="17"/>
      <c r="V458" s="17"/>
      <c r="W458" s="17" t="e">
        <f t="shared" si="59"/>
        <v>#REF!</v>
      </c>
      <c r="X458" s="17" t="e">
        <f t="shared" si="55"/>
        <v>#REF!</v>
      </c>
    </row>
    <row r="459" spans="1:24" ht="12.75" customHeight="1" x14ac:dyDescent="0.2">
      <c r="A459" s="19">
        <f t="shared" si="56"/>
        <v>49</v>
      </c>
      <c r="B459" s="19" t="s">
        <v>3616</v>
      </c>
      <c r="C459" s="19" t="e">
        <f t="shared" si="37"/>
        <v>#REF!</v>
      </c>
      <c r="D459" s="19" t="e">
        <f t="shared" si="38"/>
        <v>#REF!</v>
      </c>
      <c r="E459" s="19" t="e">
        <f t="shared" si="39"/>
        <v>#REF!</v>
      </c>
      <c r="F459" s="19" t="e">
        <f>VLOOKUP(B459,'Station List'!#REF!,2,0)</f>
        <v>#REF!</v>
      </c>
      <c r="G459" s="19" t="e">
        <v>#NAME?</v>
      </c>
      <c r="H459" s="19" t="e">
        <f t="shared" si="48"/>
        <v>#REF!</v>
      </c>
      <c r="I459" s="19" t="e">
        <f>VLOOKUP(B459,'Station List'!#REF!,4,0)</f>
        <v>#REF!</v>
      </c>
      <c r="J459" s="19" t="e">
        <v>#NAME?</v>
      </c>
      <c r="K459" s="19" t="e">
        <f t="shared" si="57"/>
        <v>#REF!</v>
      </c>
      <c r="L459" s="19" t="e">
        <f>VLOOKUP(B458,'Station List'!#REF!,9,0)</f>
        <v>#REF!</v>
      </c>
      <c r="M459" s="19" t="e">
        <v>#NAME?</v>
      </c>
      <c r="N459" s="17"/>
      <c r="O459" s="17" t="s">
        <v>3615</v>
      </c>
      <c r="P459" s="17">
        <f t="shared" si="58"/>
        <v>0</v>
      </c>
      <c r="Q459" s="17"/>
      <c r="R459" s="17"/>
      <c r="S459" s="17"/>
      <c r="T459" s="17"/>
      <c r="U459" s="17"/>
      <c r="V459" s="17"/>
      <c r="W459" s="17" t="e">
        <f t="shared" si="59"/>
        <v>#REF!</v>
      </c>
      <c r="X459" s="17" t="e">
        <f t="shared" si="55"/>
        <v>#REF!</v>
      </c>
    </row>
    <row r="460" spans="1:24" ht="12.75" customHeight="1" x14ac:dyDescent="0.2">
      <c r="A460" s="19">
        <f t="shared" si="56"/>
        <v>50</v>
      </c>
      <c r="B460" s="19" t="s">
        <v>3617</v>
      </c>
      <c r="C460" s="19" t="e">
        <f t="shared" si="37"/>
        <v>#REF!</v>
      </c>
      <c r="D460" s="19" t="e">
        <f t="shared" si="38"/>
        <v>#REF!</v>
      </c>
      <c r="E460" s="19" t="e">
        <f t="shared" si="39"/>
        <v>#REF!</v>
      </c>
      <c r="F460" s="19" t="e">
        <f>VLOOKUP(B460,'Station List'!#REF!,2,0)</f>
        <v>#REF!</v>
      </c>
      <c r="G460" s="19" t="e">
        <v>#NAME?</v>
      </c>
      <c r="H460" s="19" t="e">
        <f t="shared" si="48"/>
        <v>#REF!</v>
      </c>
      <c r="I460" s="19" t="e">
        <f>VLOOKUP(B460,'Station List'!#REF!,4,0)</f>
        <v>#REF!</v>
      </c>
      <c r="J460" s="19" t="e">
        <v>#NAME?</v>
      </c>
      <c r="K460" s="19" t="e">
        <f t="shared" si="57"/>
        <v>#REF!</v>
      </c>
      <c r="L460" s="19" t="e">
        <f>VLOOKUP(B459,'Station List'!#REF!,9,0)</f>
        <v>#REF!</v>
      </c>
      <c r="M460" s="19" t="e">
        <v>#NAME?</v>
      </c>
      <c r="N460" s="17"/>
      <c r="O460" s="17" t="s">
        <v>3616</v>
      </c>
      <c r="P460" s="17">
        <f t="shared" si="58"/>
        <v>0</v>
      </c>
      <c r="Q460" s="17"/>
      <c r="R460" s="17"/>
      <c r="S460" s="17"/>
      <c r="T460" s="17"/>
      <c r="U460" s="17"/>
      <c r="V460" s="17"/>
      <c r="W460" s="17" t="e">
        <f t="shared" si="59"/>
        <v>#REF!</v>
      </c>
      <c r="X460" s="17" t="e">
        <f t="shared" si="55"/>
        <v>#REF!</v>
      </c>
    </row>
    <row r="461" spans="1:24" ht="12.75" customHeight="1" x14ac:dyDescent="0.2">
      <c r="A461" s="19">
        <f t="shared" si="56"/>
        <v>51</v>
      </c>
      <c r="B461" s="19" t="s">
        <v>3618</v>
      </c>
      <c r="C461" s="19" t="e">
        <f t="shared" si="37"/>
        <v>#REF!</v>
      </c>
      <c r="D461" s="19" t="e">
        <f t="shared" si="38"/>
        <v>#REF!</v>
      </c>
      <c r="E461" s="19" t="e">
        <f t="shared" si="39"/>
        <v>#REF!</v>
      </c>
      <c r="F461" s="19" t="e">
        <f>VLOOKUP(B461,'Station List'!#REF!,2,0)</f>
        <v>#REF!</v>
      </c>
      <c r="G461" s="19" t="e">
        <v>#NAME?</v>
      </c>
      <c r="H461" s="19" t="e">
        <f t="shared" si="48"/>
        <v>#REF!</v>
      </c>
      <c r="I461" s="19" t="e">
        <f>VLOOKUP(B461,'Station List'!#REF!,4,0)</f>
        <v>#REF!</v>
      </c>
      <c r="J461" s="19" t="e">
        <v>#NAME?</v>
      </c>
      <c r="K461" s="19" t="e">
        <f t="shared" si="57"/>
        <v>#REF!</v>
      </c>
      <c r="L461" s="19" t="e">
        <f>VLOOKUP(B460,'Station List'!#REF!,9,0)</f>
        <v>#REF!</v>
      </c>
      <c r="M461" s="19" t="e">
        <v>#NAME?</v>
      </c>
      <c r="N461" s="17"/>
      <c r="O461" s="17" t="s">
        <v>3617</v>
      </c>
      <c r="P461" s="17">
        <f t="shared" si="58"/>
        <v>0</v>
      </c>
      <c r="Q461" s="17"/>
      <c r="R461" s="17"/>
      <c r="S461" s="17"/>
      <c r="T461" s="17"/>
      <c r="U461" s="17"/>
      <c r="V461" s="17"/>
      <c r="W461" s="17" t="e">
        <f t="shared" si="59"/>
        <v>#REF!</v>
      </c>
      <c r="X461" s="17" t="e">
        <f t="shared" si="55"/>
        <v>#REF!</v>
      </c>
    </row>
    <row r="462" spans="1:24" ht="12.75" customHeight="1" x14ac:dyDescent="0.2">
      <c r="A462" s="19">
        <f t="shared" si="56"/>
        <v>52</v>
      </c>
      <c r="B462" s="19" t="s">
        <v>3619</v>
      </c>
      <c r="C462" s="19" t="e">
        <f t="shared" si="37"/>
        <v>#REF!</v>
      </c>
      <c r="D462" s="19" t="e">
        <f t="shared" si="38"/>
        <v>#REF!</v>
      </c>
      <c r="E462" s="19" t="e">
        <f t="shared" si="39"/>
        <v>#REF!</v>
      </c>
      <c r="F462" s="19" t="e">
        <f>VLOOKUP(B462,'Station List'!#REF!,2,0)</f>
        <v>#REF!</v>
      </c>
      <c r="G462" s="19" t="e">
        <v>#NAME?</v>
      </c>
      <c r="H462" s="19" t="e">
        <f t="shared" si="48"/>
        <v>#REF!</v>
      </c>
      <c r="I462" s="19" t="e">
        <f>VLOOKUP(B462,'Station List'!#REF!,4,0)</f>
        <v>#REF!</v>
      </c>
      <c r="J462" s="19" t="e">
        <v>#NAME?</v>
      </c>
      <c r="K462" s="19" t="e">
        <f t="shared" si="57"/>
        <v>#REF!</v>
      </c>
      <c r="L462" s="19" t="e">
        <f>VLOOKUP(B461,'Station List'!#REF!,9,0)</f>
        <v>#REF!</v>
      </c>
      <c r="M462" s="19" t="e">
        <v>#NAME?</v>
      </c>
      <c r="N462" s="17"/>
      <c r="O462" s="17" t="s">
        <v>3618</v>
      </c>
      <c r="P462" s="17">
        <f t="shared" si="58"/>
        <v>0</v>
      </c>
      <c r="Q462" s="17"/>
      <c r="R462" s="17"/>
      <c r="S462" s="17"/>
      <c r="T462" s="17"/>
      <c r="U462" s="17"/>
      <c r="V462" s="17"/>
      <c r="W462" s="17" t="e">
        <f t="shared" si="59"/>
        <v>#REF!</v>
      </c>
      <c r="X462" s="17" t="e">
        <f t="shared" si="55"/>
        <v>#REF!</v>
      </c>
    </row>
    <row r="463" spans="1:24" ht="12.75" customHeight="1" x14ac:dyDescent="0.2">
      <c r="A463" s="19">
        <f t="shared" si="56"/>
        <v>53</v>
      </c>
      <c r="B463" s="19" t="s">
        <v>3620</v>
      </c>
      <c r="C463" s="19" t="e">
        <f t="shared" si="37"/>
        <v>#REF!</v>
      </c>
      <c r="D463" s="19" t="e">
        <f t="shared" si="38"/>
        <v>#REF!</v>
      </c>
      <c r="E463" s="19" t="e">
        <f t="shared" si="39"/>
        <v>#REF!</v>
      </c>
      <c r="F463" s="19" t="e">
        <f>VLOOKUP(B463,'Station List'!#REF!,2,0)</f>
        <v>#REF!</v>
      </c>
      <c r="G463" s="19" t="e">
        <v>#NAME?</v>
      </c>
      <c r="H463" s="19" t="e">
        <f t="shared" si="48"/>
        <v>#REF!</v>
      </c>
      <c r="I463" s="19" t="e">
        <f>VLOOKUP(B463,'Station List'!#REF!,4,0)</f>
        <v>#REF!</v>
      </c>
      <c r="J463" s="19" t="e">
        <v>#NAME?</v>
      </c>
      <c r="K463" s="19" t="e">
        <f t="shared" si="57"/>
        <v>#REF!</v>
      </c>
      <c r="L463" s="19" t="e">
        <f>VLOOKUP(B462,'Station List'!#REF!,9,0)</f>
        <v>#REF!</v>
      </c>
      <c r="M463" s="19" t="e">
        <v>#NAME?</v>
      </c>
      <c r="N463" s="17"/>
      <c r="O463" s="17" t="s">
        <v>3619</v>
      </c>
      <c r="P463" s="17">
        <f t="shared" si="58"/>
        <v>0</v>
      </c>
      <c r="Q463" s="17"/>
      <c r="R463" s="17"/>
      <c r="S463" s="17"/>
      <c r="T463" s="17"/>
      <c r="U463" s="17"/>
      <c r="V463" s="17"/>
      <c r="W463" s="17" t="e">
        <f t="shared" si="59"/>
        <v>#REF!</v>
      </c>
      <c r="X463" s="17" t="e">
        <f t="shared" si="55"/>
        <v>#REF!</v>
      </c>
    </row>
    <row r="464" spans="1:24" ht="12.75" customHeight="1" x14ac:dyDescent="0.2">
      <c r="A464" s="19">
        <f t="shared" si="56"/>
        <v>54</v>
      </c>
      <c r="B464" s="19" t="s">
        <v>3621</v>
      </c>
      <c r="C464" s="19" t="e">
        <f t="shared" si="37"/>
        <v>#REF!</v>
      </c>
      <c r="D464" s="19" t="e">
        <f t="shared" si="38"/>
        <v>#REF!</v>
      </c>
      <c r="E464" s="19" t="e">
        <f t="shared" si="39"/>
        <v>#REF!</v>
      </c>
      <c r="F464" s="19" t="e">
        <f>VLOOKUP(B464,'Station List'!#REF!,2,0)</f>
        <v>#REF!</v>
      </c>
      <c r="G464" s="19" t="e">
        <v>#NAME?</v>
      </c>
      <c r="H464" s="19" t="e">
        <f t="shared" si="48"/>
        <v>#REF!</v>
      </c>
      <c r="I464" s="19" t="e">
        <f>VLOOKUP(B464,'Station List'!#REF!,4,0)</f>
        <v>#REF!</v>
      </c>
      <c r="J464" s="19" t="e">
        <v>#NAME?</v>
      </c>
      <c r="K464" s="19" t="e">
        <f t="shared" si="57"/>
        <v>#REF!</v>
      </c>
      <c r="L464" s="19" t="e">
        <f>VLOOKUP(B463,'Station List'!#REF!,9,0)</f>
        <v>#REF!</v>
      </c>
      <c r="M464" s="19" t="e">
        <v>#NAME?</v>
      </c>
      <c r="N464" s="17"/>
      <c r="O464" s="17" t="s">
        <v>3620</v>
      </c>
      <c r="P464" s="17">
        <f t="shared" si="58"/>
        <v>0</v>
      </c>
      <c r="Q464" s="17"/>
      <c r="R464" s="17"/>
      <c r="S464" s="17"/>
      <c r="T464" s="17"/>
      <c r="U464" s="17"/>
      <c r="V464" s="17"/>
      <c r="W464" s="17" t="e">
        <f t="shared" si="59"/>
        <v>#REF!</v>
      </c>
      <c r="X464" s="17" t="e">
        <f t="shared" si="55"/>
        <v>#REF!</v>
      </c>
    </row>
    <row r="465" spans="1:24" ht="12.75" customHeight="1" x14ac:dyDescent="0.2">
      <c r="A465" s="19">
        <f t="shared" si="56"/>
        <v>55</v>
      </c>
      <c r="B465" s="19" t="s">
        <v>3622</v>
      </c>
      <c r="C465" s="19" t="e">
        <f t="shared" si="37"/>
        <v>#REF!</v>
      </c>
      <c r="D465" s="19" t="e">
        <f t="shared" si="38"/>
        <v>#REF!</v>
      </c>
      <c r="E465" s="19" t="e">
        <f t="shared" si="39"/>
        <v>#REF!</v>
      </c>
      <c r="F465" s="19" t="e">
        <f>VLOOKUP(B465,'Station List'!#REF!,2,0)</f>
        <v>#REF!</v>
      </c>
      <c r="G465" s="19" t="e">
        <v>#NAME?</v>
      </c>
      <c r="H465" s="19" t="e">
        <f t="shared" si="48"/>
        <v>#REF!</v>
      </c>
      <c r="I465" s="19" t="e">
        <f>VLOOKUP(B465,'Station List'!#REF!,4,0)</f>
        <v>#REF!</v>
      </c>
      <c r="J465" s="19" t="e">
        <v>#NAME?</v>
      </c>
      <c r="K465" s="19" t="e">
        <f t="shared" si="57"/>
        <v>#REF!</v>
      </c>
      <c r="L465" s="19" t="e">
        <f>VLOOKUP(B464,'Station List'!#REF!,9,0)</f>
        <v>#REF!</v>
      </c>
      <c r="M465" s="19" t="e">
        <v>#NAME?</v>
      </c>
      <c r="N465" s="17"/>
      <c r="O465" s="17" t="s">
        <v>3621</v>
      </c>
      <c r="P465" s="17">
        <f t="shared" si="58"/>
        <v>0</v>
      </c>
      <c r="Q465" s="17"/>
      <c r="R465" s="17"/>
      <c r="S465" s="17"/>
      <c r="T465" s="17"/>
      <c r="U465" s="17"/>
      <c r="V465" s="17"/>
      <c r="W465" s="17" t="e">
        <f t="shared" si="59"/>
        <v>#REF!</v>
      </c>
      <c r="X465" s="17" t="e">
        <f t="shared" si="55"/>
        <v>#REF!</v>
      </c>
    </row>
    <row r="466" spans="1:24" ht="12.75" customHeight="1" x14ac:dyDescent="0.2">
      <c r="A466" s="19">
        <f t="shared" si="56"/>
        <v>56</v>
      </c>
      <c r="B466" s="19" t="s">
        <v>3623</v>
      </c>
      <c r="C466" s="19" t="e">
        <f t="shared" si="37"/>
        <v>#REF!</v>
      </c>
      <c r="D466" s="19" t="e">
        <f t="shared" si="38"/>
        <v>#REF!</v>
      </c>
      <c r="E466" s="19" t="e">
        <f t="shared" si="39"/>
        <v>#REF!</v>
      </c>
      <c r="F466" s="19" t="e">
        <f>VLOOKUP(B466,'Station List'!#REF!,2,0)</f>
        <v>#REF!</v>
      </c>
      <c r="G466" s="19" t="e">
        <v>#NAME?</v>
      </c>
      <c r="H466" s="19" t="e">
        <f t="shared" si="48"/>
        <v>#REF!</v>
      </c>
      <c r="I466" s="19" t="e">
        <f>VLOOKUP(B466,'Station List'!#REF!,4,0)</f>
        <v>#REF!</v>
      </c>
      <c r="J466" s="19" t="e">
        <v>#NAME?</v>
      </c>
      <c r="K466" s="19" t="e">
        <f t="shared" si="57"/>
        <v>#REF!</v>
      </c>
      <c r="L466" s="19" t="e">
        <f>VLOOKUP(B465,'Station List'!#REF!,9,0)</f>
        <v>#REF!</v>
      </c>
      <c r="M466" s="19" t="e">
        <v>#NAME?</v>
      </c>
      <c r="N466" s="17"/>
      <c r="O466" s="17" t="s">
        <v>3622</v>
      </c>
      <c r="P466" s="17">
        <f t="shared" si="58"/>
        <v>0</v>
      </c>
      <c r="Q466" s="17"/>
      <c r="R466" s="17"/>
      <c r="S466" s="17"/>
      <c r="T466" s="17"/>
      <c r="U466" s="17"/>
      <c r="V466" s="17"/>
      <c r="W466" s="17" t="e">
        <f t="shared" si="59"/>
        <v>#REF!</v>
      </c>
      <c r="X466" s="17" t="e">
        <f t="shared" si="55"/>
        <v>#REF!</v>
      </c>
    </row>
    <row r="467" spans="1:24" ht="12.75" customHeight="1" x14ac:dyDescent="0.2">
      <c r="A467" s="19">
        <f t="shared" si="56"/>
        <v>57</v>
      </c>
      <c r="B467" s="19" t="s">
        <v>3624</v>
      </c>
      <c r="C467" s="19" t="e">
        <f t="shared" si="37"/>
        <v>#REF!</v>
      </c>
      <c r="D467" s="19" t="e">
        <f t="shared" si="38"/>
        <v>#REF!</v>
      </c>
      <c r="E467" s="19" t="e">
        <f t="shared" si="39"/>
        <v>#REF!</v>
      </c>
      <c r="F467" s="19" t="e">
        <f>VLOOKUP(B467,'Station List'!#REF!,2,0)</f>
        <v>#REF!</v>
      </c>
      <c r="G467" s="19" t="e">
        <v>#NAME?</v>
      </c>
      <c r="H467" s="19" t="e">
        <f t="shared" si="48"/>
        <v>#REF!</v>
      </c>
      <c r="I467" s="19" t="e">
        <f>VLOOKUP(B467,'Station List'!#REF!,4,0)</f>
        <v>#REF!</v>
      </c>
      <c r="J467" s="19" t="e">
        <v>#NAME?</v>
      </c>
      <c r="K467" s="19" t="e">
        <f t="shared" si="57"/>
        <v>#REF!</v>
      </c>
      <c r="L467" s="19" t="e">
        <f>VLOOKUP(B466,'Station List'!#REF!,9,0)</f>
        <v>#REF!</v>
      </c>
      <c r="M467" s="19" t="e">
        <v>#NAME?</v>
      </c>
      <c r="N467" s="17"/>
      <c r="O467" s="17" t="s">
        <v>3623</v>
      </c>
      <c r="P467" s="17">
        <f t="shared" si="58"/>
        <v>0</v>
      </c>
      <c r="Q467" s="17"/>
      <c r="R467" s="17"/>
      <c r="S467" s="17"/>
      <c r="T467" s="17"/>
      <c r="U467" s="17"/>
      <c r="V467" s="17"/>
      <c r="W467" s="17" t="e">
        <f t="shared" si="59"/>
        <v>#REF!</v>
      </c>
      <c r="X467" s="17" t="e">
        <f t="shared" si="55"/>
        <v>#REF!</v>
      </c>
    </row>
    <row r="468" spans="1:24" ht="12.75" customHeight="1" x14ac:dyDescent="0.2">
      <c r="A468" s="19">
        <f t="shared" si="56"/>
        <v>58</v>
      </c>
      <c r="B468" s="19" t="s">
        <v>3625</v>
      </c>
      <c r="C468" s="19" t="e">
        <f t="shared" si="37"/>
        <v>#REF!</v>
      </c>
      <c r="D468" s="19" t="e">
        <f t="shared" si="38"/>
        <v>#REF!</v>
      </c>
      <c r="E468" s="19" t="e">
        <f t="shared" si="39"/>
        <v>#REF!</v>
      </c>
      <c r="F468" s="19" t="e">
        <f>VLOOKUP(B468,'Station List'!#REF!,2,0)</f>
        <v>#REF!</v>
      </c>
      <c r="G468" s="19" t="e">
        <v>#NAME?</v>
      </c>
      <c r="H468" s="19" t="e">
        <f t="shared" si="48"/>
        <v>#REF!</v>
      </c>
      <c r="I468" s="19" t="e">
        <f>VLOOKUP(B468,'Station List'!#REF!,4,0)</f>
        <v>#REF!</v>
      </c>
      <c r="J468" s="19" t="e">
        <v>#NAME?</v>
      </c>
      <c r="K468" s="19" t="e">
        <f t="shared" si="57"/>
        <v>#REF!</v>
      </c>
      <c r="L468" s="19" t="e">
        <f>VLOOKUP(B467,'Station List'!#REF!,9,0)</f>
        <v>#REF!</v>
      </c>
      <c r="M468" s="19" t="e">
        <v>#NAME?</v>
      </c>
      <c r="N468" s="17"/>
      <c r="O468" s="17" t="s">
        <v>3626</v>
      </c>
      <c r="P468" s="17">
        <f t="shared" si="58"/>
        <v>1</v>
      </c>
      <c r="Q468" s="17"/>
      <c r="R468" s="17"/>
      <c r="S468" s="17"/>
      <c r="T468" s="17"/>
      <c r="U468" s="17"/>
      <c r="V468" s="17"/>
      <c r="W468" s="17" t="e">
        <f t="shared" si="59"/>
        <v>#REF!</v>
      </c>
      <c r="X468" s="17" t="e">
        <f t="shared" si="55"/>
        <v>#REF!</v>
      </c>
    </row>
    <row r="469" spans="1:24" ht="12.75" customHeight="1" x14ac:dyDescent="0.2">
      <c r="A469" s="19">
        <f t="shared" si="56"/>
        <v>59</v>
      </c>
      <c r="B469" s="19" t="s">
        <v>3627</v>
      </c>
      <c r="C469" s="19" t="e">
        <f t="shared" si="37"/>
        <v>#REF!</v>
      </c>
      <c r="D469" s="19" t="e">
        <f t="shared" si="38"/>
        <v>#REF!</v>
      </c>
      <c r="E469" s="19" t="e">
        <f t="shared" si="39"/>
        <v>#REF!</v>
      </c>
      <c r="F469" s="19" t="e">
        <f>VLOOKUP(B469,'Station List'!#REF!,2,0)</f>
        <v>#REF!</v>
      </c>
      <c r="G469" s="19" t="e">
        <v>#NAME?</v>
      </c>
      <c r="H469" s="19" t="e">
        <f t="shared" si="48"/>
        <v>#REF!</v>
      </c>
      <c r="I469" s="19" t="e">
        <f>VLOOKUP(B469,'Station List'!#REF!,4,0)</f>
        <v>#REF!</v>
      </c>
      <c r="J469" s="19" t="e">
        <v>#NAME?</v>
      </c>
      <c r="K469" s="19" t="e">
        <f t="shared" si="57"/>
        <v>#REF!</v>
      </c>
      <c r="L469" s="19" t="e">
        <f>VLOOKUP(B468,'Station List'!#REF!,9,0)</f>
        <v>#REF!</v>
      </c>
      <c r="M469" s="19" t="e">
        <v>#NAME?</v>
      </c>
      <c r="N469" s="17"/>
      <c r="O469" s="17" t="s">
        <v>3625</v>
      </c>
      <c r="P469" s="17">
        <f t="shared" si="58"/>
        <v>0</v>
      </c>
      <c r="Q469" s="17"/>
      <c r="R469" s="17"/>
      <c r="S469" s="17"/>
      <c r="T469" s="17"/>
      <c r="U469" s="17"/>
      <c r="V469" s="17"/>
      <c r="W469" s="17" t="e">
        <f t="shared" si="59"/>
        <v>#REF!</v>
      </c>
      <c r="X469" s="17" t="e">
        <f t="shared" si="55"/>
        <v>#REF!</v>
      </c>
    </row>
    <row r="470" spans="1:24" ht="12.75" customHeight="1" x14ac:dyDescent="0.2">
      <c r="A470" s="19">
        <f t="shared" si="56"/>
        <v>60</v>
      </c>
      <c r="B470" s="19" t="s">
        <v>3628</v>
      </c>
      <c r="C470" s="19" t="e">
        <f t="shared" si="37"/>
        <v>#REF!</v>
      </c>
      <c r="D470" s="19" t="e">
        <f t="shared" si="38"/>
        <v>#REF!</v>
      </c>
      <c r="E470" s="19" t="e">
        <f t="shared" si="39"/>
        <v>#REF!</v>
      </c>
      <c r="F470" s="19" t="e">
        <f>VLOOKUP(B470,'Station List'!#REF!,2,0)</f>
        <v>#REF!</v>
      </c>
      <c r="G470" s="19" t="e">
        <v>#NAME?</v>
      </c>
      <c r="H470" s="19" t="e">
        <f t="shared" si="48"/>
        <v>#REF!</v>
      </c>
      <c r="I470" s="19" t="e">
        <f>VLOOKUP(B470,'Station List'!#REF!,4,0)</f>
        <v>#REF!</v>
      </c>
      <c r="J470" s="19" t="e">
        <v>#NAME?</v>
      </c>
      <c r="K470" s="19" t="e">
        <f t="shared" si="57"/>
        <v>#REF!</v>
      </c>
      <c r="L470" s="19" t="e">
        <f>VLOOKUP(B469,'Station List'!#REF!,9,0)</f>
        <v>#REF!</v>
      </c>
      <c r="M470" s="19" t="e">
        <v>#NAME?</v>
      </c>
      <c r="N470" s="17"/>
      <c r="O470" s="17" t="s">
        <v>3627</v>
      </c>
      <c r="P470" s="17">
        <f t="shared" si="58"/>
        <v>0</v>
      </c>
      <c r="Q470" s="17"/>
      <c r="R470" s="17"/>
      <c r="S470" s="17"/>
      <c r="T470" s="17"/>
      <c r="U470" s="17"/>
      <c r="V470" s="17"/>
      <c r="W470" s="17" t="e">
        <f t="shared" si="59"/>
        <v>#REF!</v>
      </c>
      <c r="X470" s="17" t="e">
        <f t="shared" si="55"/>
        <v>#REF!</v>
      </c>
    </row>
    <row r="471" spans="1:24" ht="12.75" customHeight="1" x14ac:dyDescent="0.2">
      <c r="A471" s="19">
        <f t="shared" si="56"/>
        <v>61</v>
      </c>
      <c r="B471" s="19" t="s">
        <v>3629</v>
      </c>
      <c r="C471" s="19" t="e">
        <f t="shared" si="37"/>
        <v>#REF!</v>
      </c>
      <c r="D471" s="19" t="e">
        <f t="shared" si="38"/>
        <v>#REF!</v>
      </c>
      <c r="E471" s="19" t="e">
        <f t="shared" si="39"/>
        <v>#REF!</v>
      </c>
      <c r="F471" s="19" t="e">
        <f>VLOOKUP(B471,'Station List'!#REF!,2,0)</f>
        <v>#REF!</v>
      </c>
      <c r="G471" s="19" t="e">
        <v>#NAME?</v>
      </c>
      <c r="H471" s="19" t="e">
        <f t="shared" si="48"/>
        <v>#REF!</v>
      </c>
      <c r="I471" s="19" t="e">
        <f>VLOOKUP(B471,'Station List'!#REF!,4,0)</f>
        <v>#REF!</v>
      </c>
      <c r="J471" s="19" t="e">
        <v>#NAME?</v>
      </c>
      <c r="K471" s="19" t="e">
        <f t="shared" si="57"/>
        <v>#REF!</v>
      </c>
      <c r="L471" s="19" t="e">
        <f>VLOOKUP(B470,'Station List'!#REF!,9,0)</f>
        <v>#REF!</v>
      </c>
      <c r="M471" s="19" t="e">
        <v>#NAME?</v>
      </c>
      <c r="N471" s="17"/>
      <c r="O471" s="17" t="s">
        <v>3630</v>
      </c>
      <c r="P471" s="17">
        <f t="shared" si="58"/>
        <v>1</v>
      </c>
      <c r="Q471" s="17"/>
      <c r="R471" s="17"/>
      <c r="S471" s="17"/>
      <c r="T471" s="17"/>
      <c r="U471" s="17"/>
      <c r="V471" s="17"/>
      <c r="W471" s="17" t="e">
        <f t="shared" si="59"/>
        <v>#REF!</v>
      </c>
      <c r="X471" s="17" t="e">
        <f t="shared" si="55"/>
        <v>#REF!</v>
      </c>
    </row>
    <row r="472" spans="1:24" ht="12.75" customHeight="1" x14ac:dyDescent="0.2">
      <c r="A472" s="19">
        <f t="shared" si="56"/>
        <v>62</v>
      </c>
      <c r="B472" s="19" t="s">
        <v>3631</v>
      </c>
      <c r="C472" s="19" t="e">
        <f t="shared" si="37"/>
        <v>#REF!</v>
      </c>
      <c r="D472" s="19" t="e">
        <f t="shared" si="38"/>
        <v>#REF!</v>
      </c>
      <c r="E472" s="19" t="e">
        <f t="shared" si="39"/>
        <v>#REF!</v>
      </c>
      <c r="F472" s="19" t="e">
        <f>VLOOKUP(B472,'Station List'!#REF!,2,0)</f>
        <v>#REF!</v>
      </c>
      <c r="G472" s="19" t="e">
        <v>#NAME?</v>
      </c>
      <c r="H472" s="19" t="e">
        <f t="shared" si="48"/>
        <v>#REF!</v>
      </c>
      <c r="I472" s="19" t="e">
        <f>VLOOKUP(B472,'Station List'!#REF!,4,0)</f>
        <v>#REF!</v>
      </c>
      <c r="J472" s="19" t="e">
        <v>#NAME?</v>
      </c>
      <c r="K472" s="19" t="e">
        <f t="shared" si="57"/>
        <v>#REF!</v>
      </c>
      <c r="L472" s="19" t="e">
        <f>VLOOKUP(B471,'Station List'!#REF!,9,0)</f>
        <v>#REF!</v>
      </c>
      <c r="M472" s="19" t="e">
        <v>#NAME?</v>
      </c>
      <c r="N472" s="17"/>
      <c r="O472" s="17" t="s">
        <v>3629</v>
      </c>
      <c r="P472" s="17">
        <f t="shared" si="58"/>
        <v>0</v>
      </c>
      <c r="Q472" s="17"/>
      <c r="R472" s="17"/>
      <c r="S472" s="17"/>
      <c r="T472" s="17"/>
      <c r="U472" s="17"/>
      <c r="V472" s="17"/>
      <c r="W472" s="17" t="e">
        <f t="shared" si="59"/>
        <v>#REF!</v>
      </c>
      <c r="X472" s="17" t="e">
        <f t="shared" si="55"/>
        <v>#REF!</v>
      </c>
    </row>
    <row r="473" spans="1:24" ht="12.75" customHeight="1" x14ac:dyDescent="0.2">
      <c r="A473" s="19">
        <f t="shared" si="56"/>
        <v>63</v>
      </c>
      <c r="B473" s="19" t="s">
        <v>3632</v>
      </c>
      <c r="C473" s="19" t="e">
        <f t="shared" si="37"/>
        <v>#REF!</v>
      </c>
      <c r="D473" s="19" t="e">
        <f t="shared" si="38"/>
        <v>#REF!</v>
      </c>
      <c r="E473" s="19" t="e">
        <f t="shared" si="39"/>
        <v>#REF!</v>
      </c>
      <c r="F473" s="19" t="e">
        <f>VLOOKUP(B473,'Station List'!#REF!,2,0)</f>
        <v>#REF!</v>
      </c>
      <c r="G473" s="19" t="e">
        <v>#NAME?</v>
      </c>
      <c r="H473" s="19" t="e">
        <f t="shared" si="48"/>
        <v>#REF!</v>
      </c>
      <c r="I473" s="19" t="e">
        <f>VLOOKUP(B473,'Station List'!#REF!,4,0)</f>
        <v>#REF!</v>
      </c>
      <c r="J473" s="19" t="e">
        <v>#NAME?</v>
      </c>
      <c r="K473" s="19" t="e">
        <f t="shared" si="57"/>
        <v>#REF!</v>
      </c>
      <c r="L473" s="19" t="e">
        <f>VLOOKUP(B472,'Station List'!#REF!,9,0)</f>
        <v>#REF!</v>
      </c>
      <c r="M473" s="19" t="e">
        <v>#NAME?</v>
      </c>
      <c r="N473" s="17"/>
      <c r="O473" s="17" t="s">
        <v>3631</v>
      </c>
      <c r="P473" s="17">
        <f t="shared" si="58"/>
        <v>0</v>
      </c>
      <c r="Q473" s="17"/>
      <c r="R473" s="17"/>
      <c r="S473" s="17"/>
      <c r="T473" s="17"/>
      <c r="U473" s="17"/>
      <c r="V473" s="17"/>
      <c r="W473" s="17" t="e">
        <f t="shared" si="59"/>
        <v>#REF!</v>
      </c>
      <c r="X473" s="17" t="e">
        <f t="shared" si="55"/>
        <v>#REF!</v>
      </c>
    </row>
    <row r="474" spans="1:24" ht="12.75" customHeight="1" x14ac:dyDescent="0.2">
      <c r="A474" s="19">
        <f t="shared" si="56"/>
        <v>64</v>
      </c>
      <c r="B474" s="19" t="s">
        <v>3633</v>
      </c>
      <c r="C474" s="19" t="e">
        <f t="shared" si="37"/>
        <v>#REF!</v>
      </c>
      <c r="D474" s="19" t="e">
        <f t="shared" si="38"/>
        <v>#REF!</v>
      </c>
      <c r="E474" s="19" t="e">
        <f t="shared" si="39"/>
        <v>#REF!</v>
      </c>
      <c r="F474" s="19" t="e">
        <f>VLOOKUP(B474,'Station List'!#REF!,2,0)</f>
        <v>#REF!</v>
      </c>
      <c r="G474" s="19" t="e">
        <v>#NAME?</v>
      </c>
      <c r="H474" s="19" t="e">
        <f t="shared" si="48"/>
        <v>#REF!</v>
      </c>
      <c r="I474" s="19" t="e">
        <f>VLOOKUP(B474,'Station List'!#REF!,4,0)</f>
        <v>#REF!</v>
      </c>
      <c r="J474" s="19" t="e">
        <v>#NAME?</v>
      </c>
      <c r="K474" s="19" t="e">
        <f t="shared" si="57"/>
        <v>#REF!</v>
      </c>
      <c r="L474" s="19" t="e">
        <f>VLOOKUP(B473,'Station List'!#REF!,9,0)</f>
        <v>#REF!</v>
      </c>
      <c r="M474" s="19" t="e">
        <v>#NAME?</v>
      </c>
      <c r="N474" s="17"/>
      <c r="O474" s="17" t="s">
        <v>3632</v>
      </c>
      <c r="P474" s="17">
        <f t="shared" si="58"/>
        <v>0</v>
      </c>
      <c r="Q474" s="17"/>
      <c r="R474" s="17"/>
      <c r="S474" s="17"/>
      <c r="T474" s="17"/>
      <c r="U474" s="17"/>
      <c r="V474" s="17"/>
      <c r="W474" s="17" t="e">
        <f t="shared" si="59"/>
        <v>#REF!</v>
      </c>
      <c r="X474" s="17" t="e">
        <f t="shared" si="55"/>
        <v>#REF!</v>
      </c>
    </row>
    <row r="475" spans="1:24" ht="12.75" customHeight="1" x14ac:dyDescent="0.2">
      <c r="A475" s="19">
        <f t="shared" si="56"/>
        <v>65</v>
      </c>
      <c r="B475" s="19" t="s">
        <v>3634</v>
      </c>
      <c r="C475" s="19" t="e">
        <f t="shared" si="37"/>
        <v>#REF!</v>
      </c>
      <c r="D475" s="19" t="e">
        <f t="shared" si="38"/>
        <v>#REF!</v>
      </c>
      <c r="E475" s="19" t="e">
        <f t="shared" si="39"/>
        <v>#REF!</v>
      </c>
      <c r="F475" s="19" t="e">
        <f>VLOOKUP(B475,'Station List'!#REF!,2,0)</f>
        <v>#REF!</v>
      </c>
      <c r="G475" s="19" t="e">
        <v>#NAME?</v>
      </c>
      <c r="H475" s="19" t="e">
        <f t="shared" si="48"/>
        <v>#REF!</v>
      </c>
      <c r="I475" s="19" t="e">
        <f>VLOOKUP(B475,'Station List'!#REF!,4,0)</f>
        <v>#REF!</v>
      </c>
      <c r="J475" s="19" t="e">
        <v>#NAME?</v>
      </c>
      <c r="K475" s="19" t="e">
        <f t="shared" si="57"/>
        <v>#REF!</v>
      </c>
      <c r="L475" s="19" t="e">
        <f>VLOOKUP(B474,'Station List'!#REF!,9,0)</f>
        <v>#REF!</v>
      </c>
      <c r="M475" s="19" t="e">
        <v>#NAME?</v>
      </c>
      <c r="N475" s="17"/>
      <c r="O475" s="17" t="s">
        <v>3635</v>
      </c>
      <c r="P475" s="17">
        <f t="shared" si="58"/>
        <v>1</v>
      </c>
      <c r="Q475" s="17"/>
      <c r="R475" s="17"/>
      <c r="S475" s="17"/>
      <c r="T475" s="17"/>
      <c r="U475" s="17"/>
      <c r="V475" s="17"/>
      <c r="W475" s="17" t="e">
        <f t="shared" si="59"/>
        <v>#REF!</v>
      </c>
      <c r="X475" s="17" t="e">
        <f t="shared" si="55"/>
        <v>#REF!</v>
      </c>
    </row>
    <row r="476" spans="1:24" ht="12.75" customHeight="1" x14ac:dyDescent="0.2">
      <c r="A476" s="19">
        <f t="shared" si="56"/>
        <v>66</v>
      </c>
      <c r="B476" s="19" t="s">
        <v>3636</v>
      </c>
      <c r="C476" s="19" t="e">
        <f t="shared" si="37"/>
        <v>#REF!</v>
      </c>
      <c r="D476" s="19" t="e">
        <f t="shared" si="38"/>
        <v>#REF!</v>
      </c>
      <c r="E476" s="19" t="e">
        <f t="shared" si="39"/>
        <v>#REF!</v>
      </c>
      <c r="F476" s="19" t="e">
        <f>VLOOKUP(B476,'Station List'!#REF!,2,0)</f>
        <v>#REF!</v>
      </c>
      <c r="G476" s="19" t="e">
        <v>#NAME?</v>
      </c>
      <c r="H476" s="19" t="e">
        <f t="shared" si="48"/>
        <v>#REF!</v>
      </c>
      <c r="I476" s="19" t="e">
        <f>VLOOKUP(B476,'Station List'!#REF!,4,0)</f>
        <v>#REF!</v>
      </c>
      <c r="J476" s="19" t="e">
        <v>#NAME?</v>
      </c>
      <c r="K476" s="19" t="e">
        <f t="shared" si="57"/>
        <v>#REF!</v>
      </c>
      <c r="L476" s="19" t="e">
        <f>VLOOKUP(B475,'Station List'!#REF!,9,0)</f>
        <v>#REF!</v>
      </c>
      <c r="M476" s="19" t="e">
        <v>#NAME?</v>
      </c>
      <c r="N476" s="17"/>
      <c r="O476" s="17" t="s">
        <v>3634</v>
      </c>
      <c r="P476" s="17">
        <f t="shared" si="58"/>
        <v>0</v>
      </c>
      <c r="Q476" s="17"/>
      <c r="R476" s="17"/>
      <c r="S476" s="17"/>
      <c r="T476" s="17"/>
      <c r="U476" s="17"/>
      <c r="V476" s="17"/>
      <c r="W476" s="17" t="e">
        <f t="shared" si="59"/>
        <v>#REF!</v>
      </c>
      <c r="X476" s="17" t="e">
        <f t="shared" si="55"/>
        <v>#REF!</v>
      </c>
    </row>
    <row r="477" spans="1:24" ht="12.75" customHeight="1" x14ac:dyDescent="0.2">
      <c r="A477" s="19">
        <f t="shared" si="56"/>
        <v>67</v>
      </c>
      <c r="B477" s="19" t="s">
        <v>3637</v>
      </c>
      <c r="C477" s="19" t="e">
        <f t="shared" si="37"/>
        <v>#REF!</v>
      </c>
      <c r="D477" s="19" t="e">
        <f t="shared" si="38"/>
        <v>#REF!</v>
      </c>
      <c r="E477" s="19" t="e">
        <f t="shared" si="39"/>
        <v>#REF!</v>
      </c>
      <c r="F477" s="19" t="e">
        <f>VLOOKUP(B477,'Station List'!#REF!,2,0)</f>
        <v>#REF!</v>
      </c>
      <c r="G477" s="19" t="e">
        <v>#NAME?</v>
      </c>
      <c r="H477" s="19" t="e">
        <f t="shared" si="48"/>
        <v>#REF!</v>
      </c>
      <c r="I477" s="19" t="e">
        <f>VLOOKUP(B477,'Station List'!#REF!,4,0)</f>
        <v>#REF!</v>
      </c>
      <c r="J477" s="19" t="e">
        <v>#NAME?</v>
      </c>
      <c r="K477" s="19" t="e">
        <f t="shared" si="57"/>
        <v>#REF!</v>
      </c>
      <c r="L477" s="19" t="e">
        <f>VLOOKUP(B476,'Station List'!#REF!,9,0)</f>
        <v>#REF!</v>
      </c>
      <c r="M477" s="19" t="e">
        <v>#NAME?</v>
      </c>
      <c r="N477" s="17"/>
      <c r="O477" s="17" t="s">
        <v>3636</v>
      </c>
      <c r="P477" s="17">
        <f t="shared" si="58"/>
        <v>0</v>
      </c>
      <c r="Q477" s="17"/>
      <c r="R477" s="17"/>
      <c r="S477" s="17"/>
      <c r="T477" s="17"/>
      <c r="U477" s="17"/>
      <c r="V477" s="17"/>
      <c r="W477" s="17" t="e">
        <f t="shared" si="59"/>
        <v>#REF!</v>
      </c>
      <c r="X477" s="17" t="e">
        <f t="shared" si="55"/>
        <v>#REF!</v>
      </c>
    </row>
    <row r="478" spans="1:24" ht="12.75" customHeight="1" x14ac:dyDescent="0.2">
      <c r="A478" s="19">
        <f t="shared" si="56"/>
        <v>68</v>
      </c>
      <c r="B478" s="19" t="s">
        <v>3638</v>
      </c>
      <c r="C478" s="19" t="e">
        <f t="shared" si="37"/>
        <v>#REF!</v>
      </c>
      <c r="D478" s="19" t="e">
        <f t="shared" si="38"/>
        <v>#REF!</v>
      </c>
      <c r="E478" s="19" t="e">
        <f t="shared" si="39"/>
        <v>#REF!</v>
      </c>
      <c r="F478" s="19" t="e">
        <f>VLOOKUP(B478,'Station List'!#REF!,2,0)</f>
        <v>#REF!</v>
      </c>
      <c r="G478" s="19" t="e">
        <v>#NAME?</v>
      </c>
      <c r="H478" s="19" t="e">
        <f t="shared" si="48"/>
        <v>#REF!</v>
      </c>
      <c r="I478" s="19" t="e">
        <f>VLOOKUP(B478,'Station List'!#REF!,4,0)</f>
        <v>#REF!</v>
      </c>
      <c r="J478" s="19" t="e">
        <v>#NAME?</v>
      </c>
      <c r="K478" s="19" t="e">
        <f t="shared" si="57"/>
        <v>#REF!</v>
      </c>
      <c r="L478" s="19" t="e">
        <f>VLOOKUP(B477,'Station List'!#REF!,9,0)</f>
        <v>#REF!</v>
      </c>
      <c r="M478" s="19" t="e">
        <v>#NAME?</v>
      </c>
      <c r="N478" s="17"/>
      <c r="O478" s="17" t="s">
        <v>3637</v>
      </c>
      <c r="P478" s="17">
        <f t="shared" si="58"/>
        <v>0</v>
      </c>
      <c r="Q478" s="17"/>
      <c r="R478" s="17"/>
      <c r="S478" s="17"/>
      <c r="T478" s="17"/>
      <c r="U478" s="17"/>
      <c r="V478" s="17"/>
      <c r="W478" s="17" t="e">
        <f t="shared" si="59"/>
        <v>#REF!</v>
      </c>
      <c r="X478" s="17" t="e">
        <f t="shared" si="55"/>
        <v>#REF!</v>
      </c>
    </row>
    <row r="479" spans="1:24" ht="12.75" customHeight="1" x14ac:dyDescent="0.2">
      <c r="A479" s="19">
        <f t="shared" si="56"/>
        <v>69</v>
      </c>
      <c r="B479" s="19" t="s">
        <v>3639</v>
      </c>
      <c r="C479" s="19" t="e">
        <f t="shared" si="37"/>
        <v>#REF!</v>
      </c>
      <c r="D479" s="19" t="e">
        <f t="shared" si="38"/>
        <v>#REF!</v>
      </c>
      <c r="E479" s="19" t="e">
        <f t="shared" si="39"/>
        <v>#REF!</v>
      </c>
      <c r="F479" s="19" t="e">
        <f>VLOOKUP(B479,'Station List'!#REF!,2,0)</f>
        <v>#REF!</v>
      </c>
      <c r="G479" s="19" t="e">
        <v>#NAME?</v>
      </c>
      <c r="H479" s="19" t="e">
        <f t="shared" si="48"/>
        <v>#REF!</v>
      </c>
      <c r="I479" s="19" t="e">
        <f>VLOOKUP(B479,'Station List'!#REF!,4,0)</f>
        <v>#REF!</v>
      </c>
      <c r="J479" s="19" t="e">
        <v>#NAME?</v>
      </c>
      <c r="K479" s="19" t="e">
        <f t="shared" si="57"/>
        <v>#REF!</v>
      </c>
      <c r="L479" s="19" t="e">
        <f>VLOOKUP(B478,'Station List'!#REF!,9,0)</f>
        <v>#REF!</v>
      </c>
      <c r="M479" s="19" t="e">
        <v>#NAME?</v>
      </c>
      <c r="N479" s="17"/>
      <c r="O479" s="17" t="s">
        <v>3638</v>
      </c>
      <c r="P479" s="17">
        <f t="shared" si="58"/>
        <v>0</v>
      </c>
      <c r="Q479" s="17"/>
      <c r="R479" s="17"/>
      <c r="S479" s="17"/>
      <c r="T479" s="17"/>
      <c r="U479" s="17"/>
      <c r="V479" s="17"/>
      <c r="W479" s="17" t="e">
        <f t="shared" si="59"/>
        <v>#REF!</v>
      </c>
      <c r="X479" s="17" t="e">
        <f t="shared" si="55"/>
        <v>#REF!</v>
      </c>
    </row>
    <row r="480" spans="1:24" ht="12.75" customHeight="1" x14ac:dyDescent="0.2">
      <c r="A480" s="19">
        <f t="shared" si="56"/>
        <v>70</v>
      </c>
      <c r="B480" s="19" t="s">
        <v>3640</v>
      </c>
      <c r="C480" s="19" t="e">
        <f t="shared" si="37"/>
        <v>#REF!</v>
      </c>
      <c r="D480" s="19" t="e">
        <f t="shared" si="38"/>
        <v>#REF!</v>
      </c>
      <c r="E480" s="19" t="e">
        <f t="shared" si="39"/>
        <v>#REF!</v>
      </c>
      <c r="F480" s="19" t="e">
        <f>VLOOKUP(B480,'Station List'!#REF!,2,0)</f>
        <v>#REF!</v>
      </c>
      <c r="G480" s="19" t="e">
        <v>#NAME?</v>
      </c>
      <c r="H480" s="19" t="e">
        <f t="shared" si="48"/>
        <v>#REF!</v>
      </c>
      <c r="I480" s="19" t="e">
        <f>VLOOKUP(B480,'Station List'!#REF!,4,0)</f>
        <v>#REF!</v>
      </c>
      <c r="J480" s="19" t="e">
        <v>#NAME?</v>
      </c>
      <c r="K480" s="19" t="e">
        <f t="shared" si="57"/>
        <v>#REF!</v>
      </c>
      <c r="L480" s="19" t="e">
        <f>VLOOKUP(B479,'Station List'!#REF!,9,0)</f>
        <v>#REF!</v>
      </c>
      <c r="M480" s="19" t="e">
        <v>#NAME?</v>
      </c>
      <c r="N480" s="17"/>
      <c r="O480" s="17" t="s">
        <v>3639</v>
      </c>
      <c r="P480" s="17">
        <f t="shared" si="58"/>
        <v>0</v>
      </c>
      <c r="Q480" s="17"/>
      <c r="R480" s="17"/>
      <c r="S480" s="17"/>
      <c r="T480" s="17"/>
      <c r="U480" s="17"/>
      <c r="V480" s="17"/>
      <c r="W480" s="17" t="e">
        <f t="shared" si="59"/>
        <v>#REF!</v>
      </c>
      <c r="X480" s="17" t="e">
        <f t="shared" si="55"/>
        <v>#REF!</v>
      </c>
    </row>
    <row r="481" spans="1:24" ht="12.75" customHeight="1" x14ac:dyDescent="0.2">
      <c r="A481" s="19">
        <f t="shared" si="56"/>
        <v>71</v>
      </c>
      <c r="B481" s="19" t="s">
        <v>3641</v>
      </c>
      <c r="C481" s="19" t="e">
        <f t="shared" si="37"/>
        <v>#REF!</v>
      </c>
      <c r="D481" s="19" t="e">
        <f t="shared" si="38"/>
        <v>#REF!</v>
      </c>
      <c r="E481" s="19" t="e">
        <f t="shared" si="39"/>
        <v>#REF!</v>
      </c>
      <c r="F481" s="19" t="e">
        <f>VLOOKUP(B481,'Station List'!#REF!,2,0)</f>
        <v>#REF!</v>
      </c>
      <c r="G481" s="19" t="e">
        <v>#NAME?</v>
      </c>
      <c r="H481" s="19" t="e">
        <f t="shared" si="48"/>
        <v>#REF!</v>
      </c>
      <c r="I481" s="19" t="e">
        <f>VLOOKUP(B481,'Station List'!#REF!,4,0)</f>
        <v>#REF!</v>
      </c>
      <c r="J481" s="19" t="e">
        <v>#NAME?</v>
      </c>
      <c r="K481" s="19" t="e">
        <f t="shared" si="57"/>
        <v>#REF!</v>
      </c>
      <c r="L481" s="19" t="e">
        <f>VLOOKUP(B480,'Station List'!#REF!,9,0)</f>
        <v>#REF!</v>
      </c>
      <c r="M481" s="19" t="e">
        <v>#NAME?</v>
      </c>
      <c r="N481" s="17"/>
      <c r="O481" s="17" t="s">
        <v>3640</v>
      </c>
      <c r="P481" s="17">
        <f t="shared" si="58"/>
        <v>0</v>
      </c>
      <c r="Q481" s="17"/>
      <c r="R481" s="17"/>
      <c r="S481" s="17"/>
      <c r="T481" s="17"/>
      <c r="U481" s="17"/>
      <c r="V481" s="17"/>
      <c r="W481" s="17" t="e">
        <f t="shared" si="59"/>
        <v>#REF!</v>
      </c>
      <c r="X481" s="17" t="e">
        <f t="shared" si="55"/>
        <v>#REF!</v>
      </c>
    </row>
    <row r="482" spans="1:24" ht="12.75" customHeight="1" x14ac:dyDescent="0.2">
      <c r="A482" s="19">
        <f t="shared" si="56"/>
        <v>72</v>
      </c>
      <c r="B482" s="19" t="s">
        <v>3642</v>
      </c>
      <c r="C482" s="19" t="e">
        <f t="shared" si="37"/>
        <v>#REF!</v>
      </c>
      <c r="D482" s="19" t="e">
        <f t="shared" si="38"/>
        <v>#REF!</v>
      </c>
      <c r="E482" s="19" t="e">
        <f t="shared" si="39"/>
        <v>#REF!</v>
      </c>
      <c r="F482" s="19" t="e">
        <f>VLOOKUP(B482,'Station List'!#REF!,2,0)</f>
        <v>#REF!</v>
      </c>
      <c r="G482" s="19" t="e">
        <v>#NAME?</v>
      </c>
      <c r="H482" s="19" t="e">
        <f t="shared" si="48"/>
        <v>#REF!</v>
      </c>
      <c r="I482" s="19" t="e">
        <f>VLOOKUP(B482,'Station List'!#REF!,4,0)</f>
        <v>#REF!</v>
      </c>
      <c r="J482" s="19" t="e">
        <v>#NAME?</v>
      </c>
      <c r="K482" s="19" t="e">
        <f t="shared" si="57"/>
        <v>#REF!</v>
      </c>
      <c r="L482" s="19" t="e">
        <f>VLOOKUP(B481,'Station List'!#REF!,9,0)</f>
        <v>#REF!</v>
      </c>
      <c r="M482" s="19" t="e">
        <v>#NAME?</v>
      </c>
      <c r="N482" s="17"/>
      <c r="O482" s="17" t="s">
        <v>3641</v>
      </c>
      <c r="P482" s="17">
        <f t="shared" si="58"/>
        <v>0</v>
      </c>
      <c r="Q482" s="17"/>
      <c r="R482" s="17"/>
      <c r="S482" s="17"/>
      <c r="T482" s="17"/>
      <c r="U482" s="17"/>
      <c r="V482" s="17"/>
      <c r="W482" s="17" t="e">
        <f t="shared" si="59"/>
        <v>#REF!</v>
      </c>
      <c r="X482" s="17" t="e">
        <f t="shared" si="55"/>
        <v>#REF!</v>
      </c>
    </row>
    <row r="483" spans="1:24" ht="12.75" customHeight="1" x14ac:dyDescent="0.2">
      <c r="A483" s="19">
        <f t="shared" si="56"/>
        <v>73</v>
      </c>
      <c r="B483" s="19" t="s">
        <v>3643</v>
      </c>
      <c r="C483" s="19" t="e">
        <f t="shared" si="37"/>
        <v>#REF!</v>
      </c>
      <c r="D483" s="19" t="e">
        <f t="shared" si="38"/>
        <v>#REF!</v>
      </c>
      <c r="E483" s="19" t="e">
        <f t="shared" si="39"/>
        <v>#REF!</v>
      </c>
      <c r="F483" s="19" t="e">
        <f>VLOOKUP(B483,'Station List'!#REF!,2,0)</f>
        <v>#REF!</v>
      </c>
      <c r="G483" s="19" t="e">
        <v>#NAME?</v>
      </c>
      <c r="H483" s="19" t="e">
        <f t="shared" si="48"/>
        <v>#REF!</v>
      </c>
      <c r="I483" s="19" t="e">
        <f>VLOOKUP(B483,'Station List'!#REF!,4,0)</f>
        <v>#REF!</v>
      </c>
      <c r="J483" s="19" t="e">
        <v>#NAME?</v>
      </c>
      <c r="K483" s="19" t="e">
        <f t="shared" si="57"/>
        <v>#REF!</v>
      </c>
      <c r="L483" s="19" t="e">
        <f>VLOOKUP(B482,'Station List'!#REF!,9,0)</f>
        <v>#REF!</v>
      </c>
      <c r="M483" s="19" t="e">
        <v>#NAME?</v>
      </c>
      <c r="N483" s="17"/>
      <c r="O483" s="17" t="s">
        <v>3642</v>
      </c>
      <c r="P483" s="17">
        <f t="shared" si="58"/>
        <v>0</v>
      </c>
      <c r="Q483" s="17"/>
      <c r="R483" s="17"/>
      <c r="S483" s="17"/>
      <c r="T483" s="17"/>
      <c r="U483" s="17"/>
      <c r="V483" s="17"/>
      <c r="W483" s="17" t="e">
        <f t="shared" si="59"/>
        <v>#REF!</v>
      </c>
      <c r="X483" s="17" t="e">
        <f t="shared" si="55"/>
        <v>#REF!</v>
      </c>
    </row>
    <row r="484" spans="1:24" ht="12.75" customHeight="1" x14ac:dyDescent="0.2">
      <c r="A484" s="19">
        <f t="shared" si="56"/>
        <v>74</v>
      </c>
      <c r="B484" s="19" t="s">
        <v>3644</v>
      </c>
      <c r="C484" s="19" t="e">
        <f t="shared" si="37"/>
        <v>#REF!</v>
      </c>
      <c r="D484" s="19" t="e">
        <f t="shared" si="38"/>
        <v>#REF!</v>
      </c>
      <c r="E484" s="19" t="e">
        <f t="shared" si="39"/>
        <v>#REF!</v>
      </c>
      <c r="F484" s="19" t="e">
        <f>VLOOKUP(B484,'Station List'!#REF!,2,0)</f>
        <v>#REF!</v>
      </c>
      <c r="G484" s="19" t="e">
        <v>#NAME?</v>
      </c>
      <c r="H484" s="19" t="e">
        <f t="shared" si="48"/>
        <v>#REF!</v>
      </c>
      <c r="I484" s="19" t="e">
        <f>VLOOKUP(B484,'Station List'!#REF!,4,0)</f>
        <v>#REF!</v>
      </c>
      <c r="J484" s="19" t="e">
        <v>#NAME?</v>
      </c>
      <c r="K484" s="19" t="e">
        <f t="shared" si="57"/>
        <v>#REF!</v>
      </c>
      <c r="L484" s="19" t="e">
        <f>VLOOKUP(B483,'Station List'!#REF!,9,0)</f>
        <v>#REF!</v>
      </c>
      <c r="M484" s="19" t="e">
        <v>#NAME?</v>
      </c>
      <c r="N484" s="17"/>
      <c r="O484" s="17" t="s">
        <v>3643</v>
      </c>
      <c r="P484" s="17">
        <f t="shared" si="58"/>
        <v>0</v>
      </c>
      <c r="Q484" s="17"/>
      <c r="R484" s="17"/>
      <c r="S484" s="17"/>
      <c r="T484" s="17"/>
      <c r="U484" s="17"/>
      <c r="V484" s="17"/>
      <c r="W484" s="17" t="e">
        <f t="shared" si="59"/>
        <v>#REF!</v>
      </c>
      <c r="X484" s="17" t="e">
        <f t="shared" si="55"/>
        <v>#REF!</v>
      </c>
    </row>
    <row r="485" spans="1:24" ht="12.75" customHeight="1" x14ac:dyDescent="0.2">
      <c r="A485" s="19">
        <f t="shared" si="56"/>
        <v>75</v>
      </c>
      <c r="B485" s="19" t="s">
        <v>3645</v>
      </c>
      <c r="C485" s="19" t="e">
        <f t="shared" si="37"/>
        <v>#REF!</v>
      </c>
      <c r="D485" s="19" t="e">
        <f t="shared" si="38"/>
        <v>#REF!</v>
      </c>
      <c r="E485" s="19" t="e">
        <f t="shared" si="39"/>
        <v>#REF!</v>
      </c>
      <c r="F485" s="19" t="e">
        <f>VLOOKUP(B485,'Station List'!#REF!,2,0)</f>
        <v>#REF!</v>
      </c>
      <c r="G485" s="19" t="e">
        <v>#NAME?</v>
      </c>
      <c r="H485" s="19" t="e">
        <f t="shared" si="48"/>
        <v>#REF!</v>
      </c>
      <c r="I485" s="19" t="e">
        <f>VLOOKUP(B485,'Station List'!#REF!,4,0)</f>
        <v>#REF!</v>
      </c>
      <c r="J485" s="19" t="e">
        <v>#NAME?</v>
      </c>
      <c r="K485" s="19" t="e">
        <f t="shared" si="57"/>
        <v>#REF!</v>
      </c>
      <c r="L485" s="19" t="e">
        <f>VLOOKUP(B484,'Station List'!#REF!,9,0)</f>
        <v>#REF!</v>
      </c>
      <c r="M485" s="19" t="e">
        <v>#NAME?</v>
      </c>
      <c r="N485" s="17"/>
      <c r="O485" s="17" t="s">
        <v>3644</v>
      </c>
      <c r="P485" s="17">
        <f t="shared" si="58"/>
        <v>0</v>
      </c>
      <c r="Q485" s="17"/>
      <c r="R485" s="17"/>
      <c r="S485" s="17"/>
      <c r="T485" s="17"/>
      <c r="U485" s="17"/>
      <c r="V485" s="17"/>
      <c r="W485" s="17" t="e">
        <f t="shared" si="59"/>
        <v>#REF!</v>
      </c>
      <c r="X485" s="17" t="e">
        <f t="shared" si="55"/>
        <v>#REF!</v>
      </c>
    </row>
    <row r="486" spans="1:24" ht="12.75" customHeight="1" x14ac:dyDescent="0.2">
      <c r="A486" s="19">
        <f t="shared" si="56"/>
        <v>76</v>
      </c>
      <c r="B486" s="19" t="s">
        <v>3646</v>
      </c>
      <c r="C486" s="19" t="e">
        <f t="shared" si="37"/>
        <v>#REF!</v>
      </c>
      <c r="D486" s="19" t="e">
        <f t="shared" si="38"/>
        <v>#REF!</v>
      </c>
      <c r="E486" s="19" t="e">
        <f t="shared" si="39"/>
        <v>#REF!</v>
      </c>
      <c r="F486" s="19" t="e">
        <f>VLOOKUP(B486,'Station List'!#REF!,2,0)</f>
        <v>#REF!</v>
      </c>
      <c r="G486" s="19" t="e">
        <v>#NAME?</v>
      </c>
      <c r="H486" s="19" t="e">
        <f t="shared" si="48"/>
        <v>#REF!</v>
      </c>
      <c r="I486" s="19" t="e">
        <f>VLOOKUP(B486,'Station List'!#REF!,4,0)</f>
        <v>#REF!</v>
      </c>
      <c r="J486" s="19" t="e">
        <v>#NAME?</v>
      </c>
      <c r="K486" s="19" t="e">
        <f t="shared" si="57"/>
        <v>#REF!</v>
      </c>
      <c r="L486" s="19" t="e">
        <f>VLOOKUP(B485,'Station List'!#REF!,9,0)</f>
        <v>#REF!</v>
      </c>
      <c r="M486" s="19" t="e">
        <v>#NAME?</v>
      </c>
      <c r="N486" s="17"/>
      <c r="O486" s="17" t="s">
        <v>3645</v>
      </c>
      <c r="P486" s="17">
        <f t="shared" si="58"/>
        <v>0</v>
      </c>
      <c r="Q486" s="17"/>
      <c r="R486" s="17"/>
      <c r="S486" s="17"/>
      <c r="T486" s="17"/>
      <c r="U486" s="17"/>
      <c r="V486" s="17"/>
      <c r="W486" s="17" t="e">
        <f t="shared" si="59"/>
        <v>#REF!</v>
      </c>
      <c r="X486" s="17" t="e">
        <f t="shared" si="55"/>
        <v>#REF!</v>
      </c>
    </row>
    <row r="487" spans="1:24" ht="12.75" customHeight="1" x14ac:dyDescent="0.2">
      <c r="A487" s="19">
        <f t="shared" si="56"/>
        <v>77</v>
      </c>
      <c r="B487" s="19" t="s">
        <v>3647</v>
      </c>
      <c r="C487" s="19" t="e">
        <f t="shared" si="37"/>
        <v>#REF!</v>
      </c>
      <c r="D487" s="19" t="e">
        <f t="shared" si="38"/>
        <v>#REF!</v>
      </c>
      <c r="E487" s="19" t="e">
        <f t="shared" si="39"/>
        <v>#REF!</v>
      </c>
      <c r="F487" s="19" t="e">
        <f>VLOOKUP(B487,'Station List'!#REF!,2,0)</f>
        <v>#REF!</v>
      </c>
      <c r="G487" s="19" t="e">
        <v>#NAME?</v>
      </c>
      <c r="H487" s="19" t="e">
        <f t="shared" si="48"/>
        <v>#REF!</v>
      </c>
      <c r="I487" s="19" t="e">
        <f>VLOOKUP(B487,'Station List'!#REF!,4,0)</f>
        <v>#REF!</v>
      </c>
      <c r="J487" s="19" t="e">
        <v>#NAME?</v>
      </c>
      <c r="K487" s="19" t="e">
        <f t="shared" si="57"/>
        <v>#REF!</v>
      </c>
      <c r="L487" s="19" t="e">
        <f>VLOOKUP(B486,'Station List'!#REF!,9,0)</f>
        <v>#REF!</v>
      </c>
      <c r="M487" s="19" t="e">
        <v>#NAME?</v>
      </c>
      <c r="N487" s="17"/>
      <c r="O487" s="17" t="s">
        <v>3646</v>
      </c>
      <c r="P487" s="17">
        <f t="shared" si="58"/>
        <v>0</v>
      </c>
      <c r="Q487" s="17"/>
      <c r="R487" s="17"/>
      <c r="S487" s="17"/>
      <c r="T487" s="17"/>
      <c r="U487" s="17"/>
      <c r="V487" s="17"/>
      <c r="W487" s="17" t="e">
        <f t="shared" si="59"/>
        <v>#REF!</v>
      </c>
      <c r="X487" s="17" t="e">
        <f t="shared" si="55"/>
        <v>#REF!</v>
      </c>
    </row>
    <row r="488" spans="1:24" ht="12.75" customHeight="1" x14ac:dyDescent="0.2">
      <c r="A488" s="19">
        <f t="shared" si="56"/>
        <v>78</v>
      </c>
      <c r="B488" s="19" t="s">
        <v>3648</v>
      </c>
      <c r="C488" s="19" t="e">
        <f t="shared" si="37"/>
        <v>#REF!</v>
      </c>
      <c r="D488" s="19" t="e">
        <f t="shared" si="38"/>
        <v>#REF!</v>
      </c>
      <c r="E488" s="19" t="e">
        <f t="shared" si="39"/>
        <v>#REF!</v>
      </c>
      <c r="F488" s="19" t="e">
        <f>VLOOKUP(B488,'Station List'!#REF!,2,0)</f>
        <v>#REF!</v>
      </c>
      <c r="G488" s="19" t="e">
        <v>#NAME?</v>
      </c>
      <c r="H488" s="19" t="e">
        <f t="shared" si="48"/>
        <v>#REF!</v>
      </c>
      <c r="I488" s="19" t="e">
        <f>VLOOKUP(B488,'Station List'!#REF!,4,0)</f>
        <v>#REF!</v>
      </c>
      <c r="J488" s="19" t="e">
        <v>#NAME?</v>
      </c>
      <c r="K488" s="19" t="e">
        <f t="shared" si="57"/>
        <v>#REF!</v>
      </c>
      <c r="L488" s="19" t="e">
        <f>VLOOKUP(B487,'Station List'!#REF!,9,0)</f>
        <v>#REF!</v>
      </c>
      <c r="M488" s="19" t="e">
        <v>#NAME?</v>
      </c>
      <c r="N488" s="17"/>
      <c r="O488" s="17" t="s">
        <v>3647</v>
      </c>
      <c r="P488" s="17">
        <f t="shared" si="58"/>
        <v>0</v>
      </c>
      <c r="Q488" s="17"/>
      <c r="R488" s="17"/>
      <c r="S488" s="17"/>
      <c r="T488" s="17"/>
      <c r="U488" s="17"/>
      <c r="V488" s="17"/>
      <c r="W488" s="17" t="e">
        <f t="shared" si="59"/>
        <v>#REF!</v>
      </c>
      <c r="X488" s="17" t="e">
        <f t="shared" si="55"/>
        <v>#REF!</v>
      </c>
    </row>
    <row r="489" spans="1:24" ht="12.75" customHeight="1" x14ac:dyDescent="0.2">
      <c r="A489" s="19">
        <f t="shared" si="56"/>
        <v>79</v>
      </c>
      <c r="B489" s="19" t="s">
        <v>3649</v>
      </c>
      <c r="C489" s="19" t="e">
        <f t="shared" si="37"/>
        <v>#REF!</v>
      </c>
      <c r="D489" s="19" t="e">
        <f t="shared" si="38"/>
        <v>#REF!</v>
      </c>
      <c r="E489" s="19" t="e">
        <f t="shared" si="39"/>
        <v>#REF!</v>
      </c>
      <c r="F489" s="19" t="e">
        <f>VLOOKUP(B489,'Station List'!#REF!,2,0)</f>
        <v>#REF!</v>
      </c>
      <c r="G489" s="19" t="e">
        <v>#NAME?</v>
      </c>
      <c r="H489" s="19" t="e">
        <f t="shared" si="48"/>
        <v>#REF!</v>
      </c>
      <c r="I489" s="19" t="e">
        <f>VLOOKUP(B489,'Station List'!#REF!,4,0)</f>
        <v>#REF!</v>
      </c>
      <c r="J489" s="19" t="e">
        <v>#NAME?</v>
      </c>
      <c r="K489" s="19" t="e">
        <f t="shared" si="57"/>
        <v>#REF!</v>
      </c>
      <c r="L489" s="19" t="e">
        <f>VLOOKUP(B488,'Station List'!#REF!,9,0)</f>
        <v>#REF!</v>
      </c>
      <c r="M489" s="19" t="e">
        <v>#NAME?</v>
      </c>
      <c r="N489" s="17"/>
      <c r="O489" s="17" t="s">
        <v>3648</v>
      </c>
      <c r="P489" s="17">
        <f t="shared" si="58"/>
        <v>0</v>
      </c>
      <c r="Q489" s="17"/>
      <c r="R489" s="17"/>
      <c r="S489" s="17"/>
      <c r="T489" s="17"/>
      <c r="U489" s="17"/>
      <c r="V489" s="17"/>
      <c r="W489" s="17" t="e">
        <f t="shared" si="59"/>
        <v>#REF!</v>
      </c>
      <c r="X489" s="17" t="e">
        <f t="shared" si="55"/>
        <v>#REF!</v>
      </c>
    </row>
    <row r="490" spans="1:24" ht="12.75" customHeight="1" x14ac:dyDescent="0.2">
      <c r="A490" s="19">
        <f t="shared" si="56"/>
        <v>80</v>
      </c>
      <c r="B490" s="19" t="s">
        <v>3650</v>
      </c>
      <c r="C490" s="19" t="e">
        <f t="shared" si="37"/>
        <v>#REF!</v>
      </c>
      <c r="D490" s="19" t="e">
        <f t="shared" si="38"/>
        <v>#REF!</v>
      </c>
      <c r="E490" s="19" t="e">
        <f t="shared" si="39"/>
        <v>#REF!</v>
      </c>
      <c r="F490" s="19" t="e">
        <f>VLOOKUP(B490,'Station List'!#REF!,2,0)</f>
        <v>#REF!</v>
      </c>
      <c r="G490" s="19" t="e">
        <v>#NAME?</v>
      </c>
      <c r="H490" s="19" t="e">
        <f t="shared" si="48"/>
        <v>#REF!</v>
      </c>
      <c r="I490" s="19" t="e">
        <f>VLOOKUP(B490,'Station List'!#REF!,4,0)</f>
        <v>#REF!</v>
      </c>
      <c r="J490" s="19" t="e">
        <v>#NAME?</v>
      </c>
      <c r="K490" s="19" t="e">
        <f t="shared" si="57"/>
        <v>#REF!</v>
      </c>
      <c r="L490" s="19" t="e">
        <f>VLOOKUP(B489,'Station List'!#REF!,9,0)</f>
        <v>#REF!</v>
      </c>
      <c r="M490" s="19" t="e">
        <v>#NAME?</v>
      </c>
      <c r="N490" s="17"/>
      <c r="O490" s="17" t="s">
        <v>3649</v>
      </c>
      <c r="P490" s="17">
        <f t="shared" si="58"/>
        <v>0</v>
      </c>
      <c r="Q490" s="17"/>
      <c r="R490" s="17"/>
      <c r="S490" s="17"/>
      <c r="T490" s="17"/>
      <c r="U490" s="17"/>
      <c r="V490" s="17"/>
      <c r="W490" s="17" t="e">
        <f t="shared" si="59"/>
        <v>#REF!</v>
      </c>
      <c r="X490" s="17" t="e">
        <f t="shared" si="55"/>
        <v>#REF!</v>
      </c>
    </row>
    <row r="491" spans="1:24" ht="12.75" customHeight="1" x14ac:dyDescent="0.2">
      <c r="A491" s="19">
        <f t="shared" si="56"/>
        <v>81</v>
      </c>
      <c r="B491" s="19" t="s">
        <v>3651</v>
      </c>
      <c r="C491" s="19" t="e">
        <f t="shared" si="37"/>
        <v>#REF!</v>
      </c>
      <c r="D491" s="19" t="e">
        <f t="shared" si="38"/>
        <v>#REF!</v>
      </c>
      <c r="E491" s="19" t="e">
        <f t="shared" si="39"/>
        <v>#REF!</v>
      </c>
      <c r="F491" s="19" t="e">
        <f>VLOOKUP(B491,'Station List'!#REF!,2,0)</f>
        <v>#REF!</v>
      </c>
      <c r="G491" s="19" t="e">
        <v>#NAME?</v>
      </c>
      <c r="H491" s="19" t="e">
        <f t="shared" si="48"/>
        <v>#REF!</v>
      </c>
      <c r="I491" s="19" t="e">
        <f>VLOOKUP(B491,'Station List'!#REF!,4,0)</f>
        <v>#REF!</v>
      </c>
      <c r="J491" s="19" t="e">
        <v>#NAME?</v>
      </c>
      <c r="K491" s="19" t="e">
        <f t="shared" si="57"/>
        <v>#REF!</v>
      </c>
      <c r="L491" s="19" t="e">
        <f>VLOOKUP(B490,'Station List'!#REF!,9,0)</f>
        <v>#REF!</v>
      </c>
      <c r="M491" s="19" t="e">
        <v>#NAME?</v>
      </c>
      <c r="N491" s="17"/>
      <c r="O491" s="17" t="s">
        <v>3652</v>
      </c>
      <c r="P491" s="17">
        <f t="shared" si="58"/>
        <v>1</v>
      </c>
      <c r="Q491" s="17"/>
      <c r="R491" s="17"/>
      <c r="S491" s="17"/>
      <c r="T491" s="17"/>
      <c r="U491" s="17"/>
      <c r="V491" s="17"/>
      <c r="W491" s="17" t="e">
        <f t="shared" si="59"/>
        <v>#REF!</v>
      </c>
      <c r="X491" s="17" t="e">
        <f t="shared" si="55"/>
        <v>#REF!</v>
      </c>
    </row>
    <row r="492" spans="1:24" ht="12.75" customHeight="1" x14ac:dyDescent="0.2">
      <c r="A492" s="19">
        <f t="shared" si="56"/>
        <v>82</v>
      </c>
      <c r="B492" s="19" t="s">
        <v>3653</v>
      </c>
      <c r="C492" s="19" t="e">
        <f t="shared" si="37"/>
        <v>#REF!</v>
      </c>
      <c r="D492" s="19" t="e">
        <f t="shared" si="38"/>
        <v>#REF!</v>
      </c>
      <c r="E492" s="19" t="e">
        <f t="shared" si="39"/>
        <v>#REF!</v>
      </c>
      <c r="F492" s="19" t="e">
        <f>VLOOKUP(B492,'Station List'!#REF!,2,0)</f>
        <v>#REF!</v>
      </c>
      <c r="G492" s="19" t="e">
        <v>#NAME?</v>
      </c>
      <c r="H492" s="19" t="e">
        <f t="shared" si="48"/>
        <v>#REF!</v>
      </c>
      <c r="I492" s="19" t="e">
        <f>VLOOKUP(B492,'Station List'!#REF!,4,0)</f>
        <v>#REF!</v>
      </c>
      <c r="J492" s="19" t="e">
        <v>#NAME?</v>
      </c>
      <c r="K492" s="19" t="e">
        <f t="shared" si="57"/>
        <v>#REF!</v>
      </c>
      <c r="L492" s="19" t="e">
        <f>VLOOKUP(B491,'Station List'!#REF!,9,0)</f>
        <v>#REF!</v>
      </c>
      <c r="M492" s="19" t="e">
        <v>#NAME?</v>
      </c>
      <c r="N492" s="17"/>
      <c r="O492" s="17" t="s">
        <v>3651</v>
      </c>
      <c r="P492" s="17">
        <f t="shared" si="58"/>
        <v>0</v>
      </c>
      <c r="Q492" s="17"/>
      <c r="R492" s="17"/>
      <c r="S492" s="17"/>
      <c r="T492" s="17"/>
      <c r="U492" s="17"/>
      <c r="V492" s="17"/>
      <c r="W492" s="17" t="e">
        <f t="shared" si="59"/>
        <v>#REF!</v>
      </c>
      <c r="X492" s="17" t="e">
        <f t="shared" si="55"/>
        <v>#REF!</v>
      </c>
    </row>
    <row r="493" spans="1:24" ht="12.75" customHeight="1" x14ac:dyDescent="0.2">
      <c r="A493" s="19">
        <f t="shared" si="56"/>
        <v>83</v>
      </c>
      <c r="B493" s="19" t="s">
        <v>3654</v>
      </c>
      <c r="C493" s="19" t="e">
        <f t="shared" si="37"/>
        <v>#REF!</v>
      </c>
      <c r="D493" s="19" t="e">
        <f t="shared" si="38"/>
        <v>#REF!</v>
      </c>
      <c r="E493" s="19" t="e">
        <f t="shared" si="39"/>
        <v>#REF!</v>
      </c>
      <c r="F493" s="19" t="e">
        <f>VLOOKUP(B493,'Station List'!#REF!,2,0)</f>
        <v>#REF!</v>
      </c>
      <c r="G493" s="19" t="e">
        <v>#NAME?</v>
      </c>
      <c r="H493" s="19" t="e">
        <f t="shared" si="48"/>
        <v>#REF!</v>
      </c>
      <c r="I493" s="19" t="e">
        <f>VLOOKUP(B493,'Station List'!#REF!,4,0)</f>
        <v>#REF!</v>
      </c>
      <c r="J493" s="19" t="e">
        <v>#NAME?</v>
      </c>
      <c r="K493" s="19" t="e">
        <f t="shared" si="57"/>
        <v>#REF!</v>
      </c>
      <c r="L493" s="19" t="e">
        <f>VLOOKUP(B492,'Station List'!#REF!,9,0)</f>
        <v>#REF!</v>
      </c>
      <c r="M493" s="19" t="e">
        <v>#NAME?</v>
      </c>
      <c r="N493" s="17"/>
      <c r="O493" s="17" t="s">
        <v>3653</v>
      </c>
      <c r="P493" s="17">
        <f t="shared" si="58"/>
        <v>0</v>
      </c>
      <c r="Q493" s="17"/>
      <c r="R493" s="17"/>
      <c r="S493" s="17"/>
      <c r="T493" s="17"/>
      <c r="U493" s="17"/>
      <c r="V493" s="17"/>
      <c r="W493" s="17" t="e">
        <f t="shared" si="59"/>
        <v>#REF!</v>
      </c>
      <c r="X493" s="17" t="e">
        <f t="shared" si="55"/>
        <v>#REF!</v>
      </c>
    </row>
    <row r="494" spans="1:24" ht="12.75" customHeight="1" x14ac:dyDescent="0.2">
      <c r="A494" s="19">
        <f t="shared" si="56"/>
        <v>84</v>
      </c>
      <c r="B494" s="19" t="s">
        <v>3655</v>
      </c>
      <c r="C494" s="19" t="e">
        <f t="shared" si="37"/>
        <v>#REF!</v>
      </c>
      <c r="D494" s="19" t="e">
        <f t="shared" si="38"/>
        <v>#REF!</v>
      </c>
      <c r="E494" s="19" t="e">
        <f t="shared" si="39"/>
        <v>#REF!</v>
      </c>
      <c r="F494" s="19" t="e">
        <f>VLOOKUP(B494,'Station List'!#REF!,2,0)</f>
        <v>#REF!</v>
      </c>
      <c r="G494" s="19" t="e">
        <v>#NAME?</v>
      </c>
      <c r="H494" s="19" t="e">
        <f t="shared" si="48"/>
        <v>#REF!</v>
      </c>
      <c r="I494" s="19" t="e">
        <f>VLOOKUP(B494,'Station List'!#REF!,4,0)</f>
        <v>#REF!</v>
      </c>
      <c r="J494" s="19" t="e">
        <v>#NAME?</v>
      </c>
      <c r="K494" s="19" t="e">
        <f t="shared" si="57"/>
        <v>#REF!</v>
      </c>
      <c r="L494" s="19" t="e">
        <f>VLOOKUP(B493,'Station List'!#REF!,9,0)</f>
        <v>#REF!</v>
      </c>
      <c r="M494" s="19" t="e">
        <v>#NAME?</v>
      </c>
      <c r="N494" s="17"/>
      <c r="O494" s="17" t="s">
        <v>3654</v>
      </c>
      <c r="P494" s="17">
        <f t="shared" si="58"/>
        <v>0</v>
      </c>
      <c r="Q494" s="17"/>
      <c r="R494" s="17"/>
      <c r="S494" s="17"/>
      <c r="T494" s="17"/>
      <c r="U494" s="17"/>
      <c r="V494" s="17"/>
      <c r="W494" s="17" t="e">
        <f t="shared" si="59"/>
        <v>#REF!</v>
      </c>
      <c r="X494" s="17" t="e">
        <f t="shared" si="55"/>
        <v>#REF!</v>
      </c>
    </row>
    <row r="495" spans="1:24" ht="12.75" customHeight="1" x14ac:dyDescent="0.2">
      <c r="A495" s="19">
        <f t="shared" si="56"/>
        <v>85</v>
      </c>
      <c r="B495" s="19" t="s">
        <v>3656</v>
      </c>
      <c r="C495" s="19" t="e">
        <f t="shared" si="37"/>
        <v>#REF!</v>
      </c>
      <c r="D495" s="19" t="e">
        <f t="shared" si="38"/>
        <v>#REF!</v>
      </c>
      <c r="E495" s="19" t="e">
        <f t="shared" si="39"/>
        <v>#REF!</v>
      </c>
      <c r="F495" s="19" t="e">
        <f>VLOOKUP(B495,'Station List'!#REF!,2,0)</f>
        <v>#REF!</v>
      </c>
      <c r="G495" s="19" t="e">
        <v>#NAME?</v>
      </c>
      <c r="H495" s="19" t="e">
        <f t="shared" si="48"/>
        <v>#REF!</v>
      </c>
      <c r="I495" s="19" t="e">
        <f>VLOOKUP(B495,'Station List'!#REF!,4,0)</f>
        <v>#REF!</v>
      </c>
      <c r="J495" s="19" t="e">
        <v>#NAME?</v>
      </c>
      <c r="K495" s="19" t="e">
        <f t="shared" si="57"/>
        <v>#REF!</v>
      </c>
      <c r="L495" s="102" t="e">
        <f>VLOOKUP(B494,'Station List'!#REF!,9,0)</f>
        <v>#REF!</v>
      </c>
      <c r="M495" s="19" t="e">
        <v>#NAME?</v>
      </c>
      <c r="N495" s="17"/>
      <c r="O495" s="17" t="s">
        <v>3655</v>
      </c>
      <c r="P495" s="17">
        <f t="shared" si="58"/>
        <v>0</v>
      </c>
      <c r="Q495" s="17"/>
      <c r="R495" s="17"/>
      <c r="S495" s="17"/>
      <c r="T495" s="17"/>
      <c r="U495" s="17"/>
      <c r="V495" s="17"/>
      <c r="W495" s="17" t="e">
        <f t="shared" si="59"/>
        <v>#REF!</v>
      </c>
      <c r="X495" s="17" t="e">
        <f t="shared" si="55"/>
        <v>#REF!</v>
      </c>
    </row>
    <row r="496" spans="1:24" ht="12.75" customHeight="1" x14ac:dyDescent="0.2">
      <c r="A496" s="19">
        <f t="shared" si="56"/>
        <v>86</v>
      </c>
      <c r="B496" s="19" t="s">
        <v>3657</v>
      </c>
      <c r="C496" s="19" t="e">
        <f t="shared" si="37"/>
        <v>#REF!</v>
      </c>
      <c r="D496" s="19" t="e">
        <f t="shared" si="38"/>
        <v>#REF!</v>
      </c>
      <c r="E496" s="19" t="e">
        <f t="shared" si="39"/>
        <v>#REF!</v>
      </c>
      <c r="F496" s="19" t="e">
        <f>VLOOKUP(B496,'Station List'!#REF!,2,0)</f>
        <v>#REF!</v>
      </c>
      <c r="G496" s="19" t="e">
        <v>#NAME?</v>
      </c>
      <c r="H496" s="19" t="e">
        <f t="shared" si="48"/>
        <v>#REF!</v>
      </c>
      <c r="I496" s="19" t="e">
        <f>VLOOKUP(B496,'Station List'!#REF!,4,0)</f>
        <v>#REF!</v>
      </c>
      <c r="J496" s="19" t="e">
        <v>#NAME?</v>
      </c>
      <c r="K496" s="19" t="e">
        <f t="shared" si="57"/>
        <v>#REF!</v>
      </c>
      <c r="L496" s="19" t="e">
        <f>VLOOKUP(B495,'Station List'!#REF!,9,0)</f>
        <v>#REF!</v>
      </c>
      <c r="M496" s="19" t="e">
        <v>#NAME?</v>
      </c>
      <c r="N496" s="17"/>
      <c r="O496" s="17" t="s">
        <v>3656</v>
      </c>
      <c r="P496" s="17">
        <f t="shared" si="58"/>
        <v>0</v>
      </c>
      <c r="Q496" s="17"/>
      <c r="R496" s="17"/>
      <c r="S496" s="17"/>
      <c r="T496" s="17"/>
      <c r="U496" s="17"/>
      <c r="V496" s="17"/>
      <c r="W496" s="17" t="e">
        <f t="shared" si="59"/>
        <v>#REF!</v>
      </c>
      <c r="X496" s="17" t="e">
        <f t="shared" si="55"/>
        <v>#REF!</v>
      </c>
    </row>
    <row r="497" spans="1:24" ht="12.75" customHeight="1" x14ac:dyDescent="0.2">
      <c r="A497" s="19">
        <f t="shared" si="56"/>
        <v>87</v>
      </c>
      <c r="B497" s="19" t="s">
        <v>3658</v>
      </c>
      <c r="C497" s="19" t="e">
        <f t="shared" si="37"/>
        <v>#REF!</v>
      </c>
      <c r="D497" s="19" t="e">
        <f t="shared" si="38"/>
        <v>#REF!</v>
      </c>
      <c r="E497" s="19" t="e">
        <f t="shared" si="39"/>
        <v>#REF!</v>
      </c>
      <c r="F497" s="19" t="e">
        <f>VLOOKUP(B497,'Station List'!#REF!,2,0)</f>
        <v>#REF!</v>
      </c>
      <c r="G497" s="19" t="e">
        <v>#NAME?</v>
      </c>
      <c r="H497" s="19" t="e">
        <f t="shared" si="48"/>
        <v>#REF!</v>
      </c>
      <c r="I497" s="19" t="e">
        <f>VLOOKUP(B497,'Station List'!#REF!,4,0)</f>
        <v>#REF!</v>
      </c>
      <c r="J497" s="19" t="e">
        <v>#NAME?</v>
      </c>
      <c r="K497" s="19" t="e">
        <f t="shared" si="57"/>
        <v>#REF!</v>
      </c>
      <c r="L497" s="92" t="e">
        <f>VLOOKUP(B496,'Station List'!#REF!,9,0)</f>
        <v>#REF!</v>
      </c>
      <c r="M497" s="19" t="e">
        <v>#NAME?</v>
      </c>
      <c r="N497" s="17"/>
      <c r="O497" s="17" t="s">
        <v>3657</v>
      </c>
      <c r="P497" s="17">
        <f t="shared" si="58"/>
        <v>0</v>
      </c>
      <c r="Q497" s="17"/>
      <c r="R497" s="17"/>
      <c r="S497" s="17"/>
      <c r="T497" s="17"/>
      <c r="U497" s="17"/>
      <c r="V497" s="17"/>
      <c r="W497" s="17" t="e">
        <f t="shared" si="59"/>
        <v>#REF!</v>
      </c>
      <c r="X497" s="17" t="e">
        <f t="shared" si="55"/>
        <v>#REF!</v>
      </c>
    </row>
    <row r="498" spans="1:24" ht="12.75" customHeight="1" x14ac:dyDescent="0.2">
      <c r="A498" s="19">
        <f t="shared" si="56"/>
        <v>88</v>
      </c>
      <c r="B498" s="19" t="s">
        <v>3659</v>
      </c>
      <c r="C498" s="19" t="e">
        <f t="shared" si="37"/>
        <v>#REF!</v>
      </c>
      <c r="D498" s="19" t="e">
        <f t="shared" si="38"/>
        <v>#REF!</v>
      </c>
      <c r="E498" s="19" t="e">
        <f t="shared" si="39"/>
        <v>#REF!</v>
      </c>
      <c r="F498" s="19" t="e">
        <f>VLOOKUP(B498,'Station List'!#REF!,2,0)</f>
        <v>#REF!</v>
      </c>
      <c r="G498" s="19" t="e">
        <v>#NAME?</v>
      </c>
      <c r="H498" s="19" t="e">
        <f t="shared" si="48"/>
        <v>#REF!</v>
      </c>
      <c r="I498" s="19" t="e">
        <f>VLOOKUP(B498,'Station List'!#REF!,4,0)</f>
        <v>#REF!</v>
      </c>
      <c r="J498" s="19" t="e">
        <v>#NAME?</v>
      </c>
      <c r="K498" s="19" t="e">
        <f t="shared" si="57"/>
        <v>#REF!</v>
      </c>
      <c r="L498" s="19" t="e">
        <f>VLOOKUP(B497,'Station List'!#REF!,9,0)</f>
        <v>#REF!</v>
      </c>
      <c r="M498" s="19" t="e">
        <v>#NAME?</v>
      </c>
      <c r="N498" s="17"/>
      <c r="O498" s="17" t="s">
        <v>3658</v>
      </c>
      <c r="P498" s="17">
        <f t="shared" si="58"/>
        <v>0</v>
      </c>
      <c r="Q498" s="17"/>
      <c r="R498" s="17"/>
      <c r="S498" s="17"/>
      <c r="T498" s="17"/>
      <c r="U498" s="17"/>
      <c r="V498" s="17"/>
      <c r="W498" s="17" t="e">
        <f t="shared" si="59"/>
        <v>#REF!</v>
      </c>
      <c r="X498" s="17" t="e">
        <f t="shared" si="55"/>
        <v>#REF!</v>
      </c>
    </row>
    <row r="499" spans="1:24" ht="12.75" customHeight="1" x14ac:dyDescent="0.2">
      <c r="A499" s="19">
        <f t="shared" si="56"/>
        <v>89</v>
      </c>
      <c r="B499" s="19" t="s">
        <v>3660</v>
      </c>
      <c r="C499" s="19" t="e">
        <f t="shared" si="37"/>
        <v>#REF!</v>
      </c>
      <c r="D499" s="19" t="e">
        <f t="shared" si="38"/>
        <v>#REF!</v>
      </c>
      <c r="E499" s="19" t="e">
        <f t="shared" si="39"/>
        <v>#REF!</v>
      </c>
      <c r="F499" s="19" t="e">
        <f>VLOOKUP(B499,'Station List'!#REF!,2,0)</f>
        <v>#REF!</v>
      </c>
      <c r="G499" s="19" t="e">
        <v>#NAME?</v>
      </c>
      <c r="H499" s="19" t="e">
        <f t="shared" si="48"/>
        <v>#REF!</v>
      </c>
      <c r="I499" s="19" t="e">
        <f>VLOOKUP(B499,'Station List'!#REF!,4,0)</f>
        <v>#REF!</v>
      </c>
      <c r="J499" s="19" t="e">
        <v>#NAME?</v>
      </c>
      <c r="K499" s="19" t="e">
        <f t="shared" si="57"/>
        <v>#REF!</v>
      </c>
      <c r="L499" s="19" t="e">
        <f>VLOOKUP(B498,'Station List'!#REF!,9,0)</f>
        <v>#REF!</v>
      </c>
      <c r="M499" s="19" t="e">
        <v>#NAME?</v>
      </c>
      <c r="N499" s="17"/>
      <c r="O499" s="17" t="s">
        <v>3659</v>
      </c>
      <c r="P499" s="17">
        <f t="shared" si="58"/>
        <v>0</v>
      </c>
      <c r="Q499" s="17"/>
      <c r="R499" s="17"/>
      <c r="S499" s="17"/>
      <c r="T499" s="17"/>
      <c r="U499" s="17"/>
      <c r="V499" s="17"/>
      <c r="W499" s="17" t="e">
        <f t="shared" si="59"/>
        <v>#REF!</v>
      </c>
      <c r="X499" s="17" t="e">
        <f t="shared" si="55"/>
        <v>#REF!</v>
      </c>
    </row>
    <row r="500" spans="1:24" ht="12.75" customHeight="1" x14ac:dyDescent="0.2">
      <c r="A500" s="19">
        <f t="shared" si="56"/>
        <v>90</v>
      </c>
      <c r="B500" s="19" t="s">
        <v>3661</v>
      </c>
      <c r="C500" s="19" t="e">
        <f t="shared" si="37"/>
        <v>#REF!</v>
      </c>
      <c r="D500" s="19" t="e">
        <f t="shared" si="38"/>
        <v>#REF!</v>
      </c>
      <c r="E500" s="19" t="e">
        <f t="shared" si="39"/>
        <v>#REF!</v>
      </c>
      <c r="F500" s="19" t="e">
        <f>VLOOKUP(B500,'Station List'!#REF!,2,0)</f>
        <v>#REF!</v>
      </c>
      <c r="G500" s="19" t="e">
        <v>#NAME?</v>
      </c>
      <c r="H500" s="19" t="e">
        <f t="shared" si="48"/>
        <v>#REF!</v>
      </c>
      <c r="I500" s="19" t="e">
        <f>VLOOKUP(B500,'Station List'!#REF!,4,0)</f>
        <v>#REF!</v>
      </c>
      <c r="J500" s="19" t="e">
        <v>#NAME?</v>
      </c>
      <c r="K500" s="19" t="e">
        <f t="shared" si="57"/>
        <v>#REF!</v>
      </c>
      <c r="L500" s="19" t="e">
        <f>VLOOKUP(B499,'Station List'!#REF!,9,0)</f>
        <v>#REF!</v>
      </c>
      <c r="M500" s="19" t="e">
        <v>#NAME?</v>
      </c>
      <c r="N500" s="17"/>
      <c r="O500" s="17" t="s">
        <v>3660</v>
      </c>
      <c r="P500" s="17">
        <f t="shared" si="58"/>
        <v>0</v>
      </c>
      <c r="Q500" s="17"/>
      <c r="R500" s="17"/>
      <c r="S500" s="17"/>
      <c r="T500" s="17"/>
      <c r="U500" s="17"/>
      <c r="V500" s="17"/>
      <c r="W500" s="17" t="e">
        <f t="shared" si="59"/>
        <v>#REF!</v>
      </c>
      <c r="X500" s="17" t="e">
        <f t="shared" si="55"/>
        <v>#REF!</v>
      </c>
    </row>
    <row r="501" spans="1:24" ht="12.75" customHeight="1" x14ac:dyDescent="0.2">
      <c r="A501" s="19">
        <f t="shared" si="56"/>
        <v>91</v>
      </c>
      <c r="B501" s="19" t="s">
        <v>3662</v>
      </c>
      <c r="C501" s="19" t="e">
        <f t="shared" si="37"/>
        <v>#REF!</v>
      </c>
      <c r="D501" s="19" t="e">
        <f t="shared" si="38"/>
        <v>#REF!</v>
      </c>
      <c r="E501" s="19" t="e">
        <f t="shared" si="39"/>
        <v>#REF!</v>
      </c>
      <c r="F501" s="19" t="e">
        <f>VLOOKUP(B501,'Station List'!#REF!,2,0)</f>
        <v>#REF!</v>
      </c>
      <c r="G501" s="19" t="e">
        <v>#NAME?</v>
      </c>
      <c r="H501" s="19" t="e">
        <f t="shared" si="48"/>
        <v>#REF!</v>
      </c>
      <c r="I501" s="19" t="e">
        <f>VLOOKUP(B501,'Station List'!#REF!,4,0)</f>
        <v>#REF!</v>
      </c>
      <c r="J501" s="19" t="e">
        <v>#NAME?</v>
      </c>
      <c r="K501" s="19" t="e">
        <f t="shared" si="57"/>
        <v>#REF!</v>
      </c>
      <c r="L501" s="19" t="e">
        <f>VLOOKUP(B500,'Station List'!#REF!,9,0)</f>
        <v>#REF!</v>
      </c>
      <c r="M501" s="19" t="e">
        <v>#NAME?</v>
      </c>
      <c r="N501" s="17"/>
      <c r="O501" s="17" t="s">
        <v>3661</v>
      </c>
      <c r="P501" s="17">
        <f t="shared" si="58"/>
        <v>0</v>
      </c>
      <c r="Q501" s="17"/>
      <c r="R501" s="17"/>
      <c r="S501" s="17"/>
      <c r="T501" s="17"/>
      <c r="U501" s="17"/>
      <c r="V501" s="17"/>
      <c r="W501" s="17" t="e">
        <f t="shared" si="59"/>
        <v>#REF!</v>
      </c>
      <c r="X501" s="17" t="e">
        <f t="shared" si="55"/>
        <v>#REF!</v>
      </c>
    </row>
    <row r="502" spans="1:24" ht="12.75" customHeight="1" x14ac:dyDescent="0.2">
      <c r="A502" s="19">
        <f t="shared" si="56"/>
        <v>92</v>
      </c>
      <c r="B502" s="19" t="s">
        <v>3663</v>
      </c>
      <c r="C502" s="19" t="e">
        <f t="shared" si="37"/>
        <v>#REF!</v>
      </c>
      <c r="D502" s="19" t="e">
        <f t="shared" si="38"/>
        <v>#REF!</v>
      </c>
      <c r="E502" s="19" t="e">
        <f t="shared" si="39"/>
        <v>#REF!</v>
      </c>
      <c r="F502" s="19" t="e">
        <f>VLOOKUP(B502,'Station List'!#REF!,2,0)</f>
        <v>#REF!</v>
      </c>
      <c r="G502" s="19" t="e">
        <v>#NAME?</v>
      </c>
      <c r="H502" s="19" t="e">
        <f t="shared" si="48"/>
        <v>#REF!</v>
      </c>
      <c r="I502" s="19" t="e">
        <f>VLOOKUP(B502,'Station List'!#REF!,4,0)</f>
        <v>#REF!</v>
      </c>
      <c r="J502" s="19" t="e">
        <v>#NAME?</v>
      </c>
      <c r="K502" s="19" t="e">
        <f t="shared" si="57"/>
        <v>#REF!</v>
      </c>
      <c r="L502" s="19" t="e">
        <f>VLOOKUP(B501,'Station List'!#REF!,9,0)</f>
        <v>#REF!</v>
      </c>
      <c r="M502" s="19" t="e">
        <v>#NAME?</v>
      </c>
      <c r="N502" s="17"/>
      <c r="O502" s="17" t="s">
        <v>3662</v>
      </c>
      <c r="P502" s="17">
        <f t="shared" si="58"/>
        <v>0</v>
      </c>
      <c r="Q502" s="17"/>
      <c r="R502" s="17"/>
      <c r="S502" s="17"/>
      <c r="T502" s="17"/>
      <c r="U502" s="17"/>
      <c r="V502" s="17"/>
      <c r="W502" s="17" t="e">
        <f t="shared" si="59"/>
        <v>#REF!</v>
      </c>
      <c r="X502" s="17" t="e">
        <f t="shared" si="55"/>
        <v>#REF!</v>
      </c>
    </row>
    <row r="503" spans="1:24" ht="12.75" customHeight="1" x14ac:dyDescent="0.2">
      <c r="A503" s="19">
        <f t="shared" si="56"/>
        <v>93</v>
      </c>
      <c r="B503" s="19" t="s">
        <v>3664</v>
      </c>
      <c r="C503" s="19" t="e">
        <f t="shared" si="37"/>
        <v>#REF!</v>
      </c>
      <c r="D503" s="19" t="e">
        <f t="shared" si="38"/>
        <v>#REF!</v>
      </c>
      <c r="E503" s="19" t="e">
        <f t="shared" si="39"/>
        <v>#REF!</v>
      </c>
      <c r="F503" s="19" t="e">
        <f>VLOOKUP(B503,'Station List'!#REF!,2,0)</f>
        <v>#REF!</v>
      </c>
      <c r="G503" s="19" t="e">
        <v>#NAME?</v>
      </c>
      <c r="H503" s="19" t="e">
        <f t="shared" si="48"/>
        <v>#REF!</v>
      </c>
      <c r="I503" s="19" t="e">
        <f>VLOOKUP(B503,'Station List'!#REF!,4,0)</f>
        <v>#REF!</v>
      </c>
      <c r="J503" s="19" t="e">
        <v>#NAME?</v>
      </c>
      <c r="K503" s="19" t="e">
        <f t="shared" si="57"/>
        <v>#REF!</v>
      </c>
      <c r="L503" s="19" t="e">
        <f>VLOOKUP(B502,'Station List'!#REF!,9,0)</f>
        <v>#REF!</v>
      </c>
      <c r="M503" s="19" t="e">
        <v>#NAME?</v>
      </c>
      <c r="N503" s="17"/>
      <c r="O503" s="17" t="s">
        <v>3663</v>
      </c>
      <c r="P503" s="17">
        <f t="shared" si="58"/>
        <v>0</v>
      </c>
      <c r="Q503" s="17"/>
      <c r="R503" s="17"/>
      <c r="S503" s="17"/>
      <c r="T503" s="17"/>
      <c r="U503" s="17"/>
      <c r="V503" s="17"/>
      <c r="W503" s="17" t="e">
        <f t="shared" si="59"/>
        <v>#REF!</v>
      </c>
      <c r="X503" s="17" t="e">
        <f t="shared" si="55"/>
        <v>#REF!</v>
      </c>
    </row>
    <row r="504" spans="1:24" ht="12.75" customHeight="1" x14ac:dyDescent="0.2">
      <c r="A504" s="19">
        <f t="shared" si="56"/>
        <v>94</v>
      </c>
      <c r="B504" s="19" t="s">
        <v>3665</v>
      </c>
      <c r="C504" s="19" t="e">
        <f t="shared" si="37"/>
        <v>#REF!</v>
      </c>
      <c r="D504" s="19" t="e">
        <f t="shared" si="38"/>
        <v>#REF!</v>
      </c>
      <c r="E504" s="19" t="e">
        <f t="shared" si="39"/>
        <v>#REF!</v>
      </c>
      <c r="F504" s="19" t="e">
        <f>VLOOKUP(B504,'Station List'!#REF!,2,0)</f>
        <v>#REF!</v>
      </c>
      <c r="G504" s="19" t="e">
        <v>#NAME?</v>
      </c>
      <c r="H504" s="19" t="e">
        <f t="shared" si="48"/>
        <v>#REF!</v>
      </c>
      <c r="I504" s="19" t="e">
        <f>VLOOKUP(B504,'Station List'!#REF!,4,0)</f>
        <v>#REF!</v>
      </c>
      <c r="J504" s="19" t="e">
        <v>#NAME?</v>
      </c>
      <c r="K504" s="19" t="e">
        <f t="shared" si="57"/>
        <v>#REF!</v>
      </c>
      <c r="L504" s="19" t="e">
        <f>VLOOKUP(B503,'Station List'!#REF!,9,0)</f>
        <v>#REF!</v>
      </c>
      <c r="M504" s="19" t="e">
        <v>#NAME?</v>
      </c>
      <c r="N504" s="17"/>
      <c r="O504" s="17" t="s">
        <v>3664</v>
      </c>
      <c r="P504" s="17">
        <f t="shared" si="58"/>
        <v>0</v>
      </c>
      <c r="Q504" s="17"/>
      <c r="R504" s="17"/>
      <c r="S504" s="17"/>
      <c r="T504" s="17"/>
      <c r="U504" s="17"/>
      <c r="V504" s="17"/>
      <c r="W504" s="17" t="e">
        <f t="shared" si="59"/>
        <v>#REF!</v>
      </c>
      <c r="X504" s="17" t="e">
        <f t="shared" si="55"/>
        <v>#REF!</v>
      </c>
    </row>
    <row r="505" spans="1:24" ht="12.75" customHeight="1" x14ac:dyDescent="0.2">
      <c r="A505" s="19">
        <f t="shared" si="56"/>
        <v>95</v>
      </c>
      <c r="B505" s="19" t="s">
        <v>3666</v>
      </c>
      <c r="C505" s="19" t="e">
        <f t="shared" si="37"/>
        <v>#REF!</v>
      </c>
      <c r="D505" s="19" t="e">
        <f t="shared" si="38"/>
        <v>#REF!</v>
      </c>
      <c r="E505" s="19" t="e">
        <f t="shared" si="39"/>
        <v>#REF!</v>
      </c>
      <c r="F505" s="19" t="e">
        <f>VLOOKUP(B505,'Station List'!#REF!,2,0)</f>
        <v>#REF!</v>
      </c>
      <c r="G505" s="19" t="e">
        <v>#NAME?</v>
      </c>
      <c r="H505" s="19" t="e">
        <f t="shared" si="48"/>
        <v>#REF!</v>
      </c>
      <c r="I505" s="19" t="e">
        <f>VLOOKUP(B505,'Station List'!#REF!,4,0)</f>
        <v>#REF!</v>
      </c>
      <c r="J505" s="19" t="e">
        <v>#NAME?</v>
      </c>
      <c r="K505" s="19" t="e">
        <f t="shared" si="57"/>
        <v>#REF!</v>
      </c>
      <c r="L505" s="19" t="e">
        <f>VLOOKUP(B504,'Station List'!#REF!,9,0)</f>
        <v>#REF!</v>
      </c>
      <c r="M505" s="19" t="e">
        <v>#NAME?</v>
      </c>
      <c r="N505" s="17"/>
      <c r="O505" s="17" t="s">
        <v>3665</v>
      </c>
      <c r="P505" s="17">
        <f t="shared" si="58"/>
        <v>0</v>
      </c>
      <c r="Q505" s="17"/>
      <c r="R505" s="17"/>
      <c r="S505" s="17"/>
      <c r="T505" s="17"/>
      <c r="U505" s="17"/>
      <c r="V505" s="17"/>
      <c r="W505" s="17" t="e">
        <f t="shared" si="59"/>
        <v>#REF!</v>
      </c>
      <c r="X505" s="17" t="e">
        <f t="shared" si="55"/>
        <v>#REF!</v>
      </c>
    </row>
    <row r="506" spans="1:24" ht="12.75" customHeight="1" x14ac:dyDescent="0.2">
      <c r="A506" s="19">
        <f t="shared" si="56"/>
        <v>96</v>
      </c>
      <c r="B506" s="19" t="s">
        <v>3667</v>
      </c>
      <c r="C506" s="19" t="e">
        <f t="shared" si="37"/>
        <v>#REF!</v>
      </c>
      <c r="D506" s="19" t="e">
        <f t="shared" si="38"/>
        <v>#REF!</v>
      </c>
      <c r="E506" s="19" t="e">
        <f t="shared" si="39"/>
        <v>#REF!</v>
      </c>
      <c r="F506" s="19" t="e">
        <f>VLOOKUP(B506,'Station List'!#REF!,2,0)</f>
        <v>#REF!</v>
      </c>
      <c r="G506" s="19" t="e">
        <v>#NAME?</v>
      </c>
      <c r="H506" s="19" t="e">
        <f t="shared" si="48"/>
        <v>#REF!</v>
      </c>
      <c r="I506" s="19" t="e">
        <f>VLOOKUP(B506,'Station List'!#REF!,4,0)</f>
        <v>#REF!</v>
      </c>
      <c r="J506" s="19" t="e">
        <v>#NAME?</v>
      </c>
      <c r="K506" s="19" t="e">
        <f t="shared" si="57"/>
        <v>#REF!</v>
      </c>
      <c r="L506" s="19" t="e">
        <f>VLOOKUP(B505,'Station List'!#REF!,9,0)</f>
        <v>#REF!</v>
      </c>
      <c r="M506" s="19" t="e">
        <v>#NAME?</v>
      </c>
      <c r="N506" s="17"/>
      <c r="O506" s="17" t="s">
        <v>3666</v>
      </c>
      <c r="P506" s="17">
        <f t="shared" si="58"/>
        <v>0</v>
      </c>
      <c r="Q506" s="17"/>
      <c r="R506" s="17"/>
      <c r="S506" s="17"/>
      <c r="T506" s="17"/>
      <c r="U506" s="17"/>
      <c r="V506" s="17"/>
      <c r="W506" s="17" t="e">
        <f t="shared" si="59"/>
        <v>#REF!</v>
      </c>
      <c r="X506" s="17" t="e">
        <f t="shared" si="55"/>
        <v>#REF!</v>
      </c>
    </row>
    <row r="507" spans="1:24" ht="12.75" customHeight="1" x14ac:dyDescent="0.2">
      <c r="A507" s="19">
        <f t="shared" si="56"/>
        <v>97</v>
      </c>
      <c r="B507" s="19" t="s">
        <v>3668</v>
      </c>
      <c r="C507" s="19" t="e">
        <f t="shared" si="37"/>
        <v>#REF!</v>
      </c>
      <c r="D507" s="19" t="e">
        <f t="shared" si="38"/>
        <v>#REF!</v>
      </c>
      <c r="E507" s="19" t="e">
        <f t="shared" si="39"/>
        <v>#REF!</v>
      </c>
      <c r="F507" s="19" t="e">
        <f>VLOOKUP(B507,'Station List'!#REF!,2,0)</f>
        <v>#REF!</v>
      </c>
      <c r="G507" s="19" t="e">
        <v>#NAME?</v>
      </c>
      <c r="H507" s="19" t="e">
        <f t="shared" si="48"/>
        <v>#REF!</v>
      </c>
      <c r="I507" s="19" t="e">
        <f>VLOOKUP(B507,'Station List'!#REF!,4,0)</f>
        <v>#REF!</v>
      </c>
      <c r="J507" s="19" t="e">
        <v>#NAME?</v>
      </c>
      <c r="K507" s="19" t="e">
        <f t="shared" si="57"/>
        <v>#REF!</v>
      </c>
      <c r="L507" s="19" t="e">
        <f>VLOOKUP(B506,'Station List'!#REF!,9,0)</f>
        <v>#REF!</v>
      </c>
      <c r="M507" s="19" t="e">
        <v>#NAME?</v>
      </c>
      <c r="N507" s="17"/>
      <c r="O507" s="17" t="s">
        <v>3667</v>
      </c>
      <c r="P507" s="17">
        <f t="shared" si="58"/>
        <v>0</v>
      </c>
      <c r="Q507" s="17"/>
      <c r="R507" s="17"/>
      <c r="S507" s="17"/>
      <c r="T507" s="17"/>
      <c r="U507" s="17"/>
      <c r="V507" s="17"/>
      <c r="W507" s="17" t="e">
        <f t="shared" si="59"/>
        <v>#REF!</v>
      </c>
      <c r="X507" s="17" t="e">
        <f t="shared" si="55"/>
        <v>#REF!</v>
      </c>
    </row>
    <row r="508" spans="1:24" ht="12.75" customHeight="1" x14ac:dyDescent="0.2">
      <c r="A508" s="19">
        <f t="shared" si="56"/>
        <v>98</v>
      </c>
      <c r="B508" s="19" t="s">
        <v>3669</v>
      </c>
      <c r="C508" s="19" t="e">
        <f t="shared" si="37"/>
        <v>#REF!</v>
      </c>
      <c r="D508" s="19" t="e">
        <f t="shared" si="38"/>
        <v>#REF!</v>
      </c>
      <c r="E508" s="19" t="e">
        <f t="shared" si="39"/>
        <v>#REF!</v>
      </c>
      <c r="F508" s="19" t="e">
        <f>VLOOKUP(B508,'Station List'!#REF!,2,0)</f>
        <v>#REF!</v>
      </c>
      <c r="G508" s="19" t="e">
        <v>#NAME?</v>
      </c>
      <c r="H508" s="19" t="e">
        <f t="shared" si="48"/>
        <v>#REF!</v>
      </c>
      <c r="I508" s="19" t="e">
        <f>VLOOKUP(B508,'Station List'!#REF!,4,0)</f>
        <v>#REF!</v>
      </c>
      <c r="J508" s="19" t="e">
        <v>#NAME?</v>
      </c>
      <c r="K508" s="19" t="e">
        <f t="shared" si="57"/>
        <v>#REF!</v>
      </c>
      <c r="L508" s="19" t="e">
        <f>VLOOKUP(B507,'Station List'!#REF!,9,0)</f>
        <v>#REF!</v>
      </c>
      <c r="M508" s="19" t="e">
        <v>#NAME?</v>
      </c>
      <c r="N508" s="17"/>
      <c r="O508" s="17" t="s">
        <v>3668</v>
      </c>
      <c r="P508" s="17">
        <f t="shared" si="58"/>
        <v>0</v>
      </c>
      <c r="Q508" s="17"/>
      <c r="R508" s="17"/>
      <c r="S508" s="17"/>
      <c r="T508" s="17"/>
      <c r="U508" s="17"/>
      <c r="V508" s="17"/>
      <c r="W508" s="17" t="e">
        <f t="shared" si="59"/>
        <v>#REF!</v>
      </c>
      <c r="X508" s="17" t="e">
        <f t="shared" si="55"/>
        <v>#REF!</v>
      </c>
    </row>
    <row r="509" spans="1:24" ht="12.75" customHeight="1" x14ac:dyDescent="0.2">
      <c r="A509" s="19">
        <f t="shared" si="56"/>
        <v>99</v>
      </c>
      <c r="B509" s="19" t="s">
        <v>3670</v>
      </c>
      <c r="C509" s="19" t="e">
        <f t="shared" si="37"/>
        <v>#REF!</v>
      </c>
      <c r="D509" s="19" t="e">
        <f t="shared" si="38"/>
        <v>#REF!</v>
      </c>
      <c r="E509" s="19" t="e">
        <f t="shared" si="39"/>
        <v>#REF!</v>
      </c>
      <c r="F509" s="19" t="e">
        <f>VLOOKUP(B509,'Station List'!#REF!,2,0)</f>
        <v>#REF!</v>
      </c>
      <c r="G509" s="19" t="e">
        <v>#NAME?</v>
      </c>
      <c r="H509" s="19" t="e">
        <f t="shared" si="48"/>
        <v>#REF!</v>
      </c>
      <c r="I509" s="19" t="e">
        <f>VLOOKUP(B509,'Station List'!#REF!,4,0)</f>
        <v>#REF!</v>
      </c>
      <c r="J509" s="19" t="e">
        <v>#NAME?</v>
      </c>
      <c r="K509" s="19" t="e">
        <f t="shared" si="57"/>
        <v>#REF!</v>
      </c>
      <c r="L509" s="19" t="e">
        <f>VLOOKUP(B508,'Station List'!#REF!,9,0)</f>
        <v>#REF!</v>
      </c>
      <c r="M509" s="19" t="e">
        <v>#NAME?</v>
      </c>
      <c r="N509" s="17"/>
      <c r="O509" s="17" t="s">
        <v>3669</v>
      </c>
      <c r="P509" s="17">
        <f t="shared" si="58"/>
        <v>0</v>
      </c>
      <c r="Q509" s="17"/>
      <c r="R509" s="17"/>
      <c r="S509" s="17"/>
      <c r="T509" s="17"/>
      <c r="U509" s="17"/>
      <c r="V509" s="17"/>
      <c r="W509" s="17" t="e">
        <f t="shared" si="59"/>
        <v>#REF!</v>
      </c>
      <c r="X509" s="17" t="e">
        <f t="shared" si="55"/>
        <v>#REF!</v>
      </c>
    </row>
    <row r="510" spans="1:24" ht="12.75" customHeight="1" x14ac:dyDescent="0.2">
      <c r="A510" s="19">
        <f t="shared" si="56"/>
        <v>100</v>
      </c>
      <c r="B510" s="19" t="s">
        <v>3671</v>
      </c>
      <c r="C510" s="19" t="e">
        <f t="shared" si="37"/>
        <v>#REF!</v>
      </c>
      <c r="D510" s="19" t="e">
        <f t="shared" si="38"/>
        <v>#REF!</v>
      </c>
      <c r="E510" s="19" t="e">
        <f t="shared" si="39"/>
        <v>#REF!</v>
      </c>
      <c r="F510" s="19" t="e">
        <f>VLOOKUP(B510,'Station List'!#REF!,2,0)</f>
        <v>#REF!</v>
      </c>
      <c r="G510" s="19" t="e">
        <v>#NAME?</v>
      </c>
      <c r="H510" s="19" t="e">
        <f t="shared" si="48"/>
        <v>#REF!</v>
      </c>
      <c r="I510" s="19" t="e">
        <f>VLOOKUP(B510,'Station List'!#REF!,4,0)</f>
        <v>#REF!</v>
      </c>
      <c r="J510" s="19" t="e">
        <v>#NAME?</v>
      </c>
      <c r="K510" s="19" t="e">
        <f t="shared" si="57"/>
        <v>#REF!</v>
      </c>
      <c r="L510" s="19" t="e">
        <f>VLOOKUP(B509,'Station List'!#REF!,9,0)</f>
        <v>#REF!</v>
      </c>
      <c r="M510" s="19" t="e">
        <v>#NAME?</v>
      </c>
      <c r="N510" s="17"/>
      <c r="O510" s="17" t="s">
        <v>3670</v>
      </c>
      <c r="P510" s="17">
        <f t="shared" si="58"/>
        <v>0</v>
      </c>
      <c r="Q510" s="17"/>
      <c r="R510" s="17"/>
      <c r="S510" s="17"/>
      <c r="T510" s="17"/>
      <c r="U510" s="17"/>
      <c r="V510" s="17"/>
      <c r="W510" s="17" t="e">
        <f t="shared" si="59"/>
        <v>#REF!</v>
      </c>
      <c r="X510" s="17" t="e">
        <f t="shared" si="55"/>
        <v>#REF!</v>
      </c>
    </row>
    <row r="511" spans="1:24" ht="12.75" customHeight="1" x14ac:dyDescent="0.2">
      <c r="A511" s="19">
        <f t="shared" si="56"/>
        <v>101</v>
      </c>
      <c r="B511" s="19" t="s">
        <v>3672</v>
      </c>
      <c r="C511" s="19" t="e">
        <f t="shared" si="37"/>
        <v>#REF!</v>
      </c>
      <c r="D511" s="19" t="e">
        <f t="shared" si="38"/>
        <v>#REF!</v>
      </c>
      <c r="E511" s="19" t="e">
        <f t="shared" si="39"/>
        <v>#REF!</v>
      </c>
      <c r="F511" s="19" t="e">
        <f>VLOOKUP(B511,'Station List'!#REF!,2,0)</f>
        <v>#REF!</v>
      </c>
      <c r="G511" s="19" t="e">
        <v>#NAME?</v>
      </c>
      <c r="H511" s="19" t="e">
        <f t="shared" si="48"/>
        <v>#REF!</v>
      </c>
      <c r="I511" s="19" t="e">
        <f>VLOOKUP(B511,'Station List'!#REF!,4,0)</f>
        <v>#REF!</v>
      </c>
      <c r="J511" s="19" t="e">
        <v>#NAME?</v>
      </c>
      <c r="K511" s="19" t="e">
        <f t="shared" si="57"/>
        <v>#REF!</v>
      </c>
      <c r="L511" s="19" t="e">
        <f>VLOOKUP(B510,'Station List'!#REF!,9,0)</f>
        <v>#REF!</v>
      </c>
      <c r="M511" s="19" t="e">
        <v>#NAME?</v>
      </c>
      <c r="N511" s="17"/>
      <c r="O511" s="17" t="s">
        <v>3671</v>
      </c>
      <c r="P511" s="17">
        <f t="shared" si="58"/>
        <v>0</v>
      </c>
      <c r="Q511" s="17"/>
      <c r="R511" s="17"/>
      <c r="S511" s="17"/>
      <c r="T511" s="17"/>
      <c r="U511" s="17"/>
      <c r="V511" s="17"/>
      <c r="W511" s="17" t="e">
        <f t="shared" si="59"/>
        <v>#REF!</v>
      </c>
      <c r="X511" s="17" t="e">
        <f t="shared" si="55"/>
        <v>#REF!</v>
      </c>
    </row>
    <row r="512" spans="1:24" ht="12.75" customHeight="1" x14ac:dyDescent="0.2">
      <c r="A512" s="19">
        <f t="shared" si="56"/>
        <v>102</v>
      </c>
      <c r="B512" s="19" t="s">
        <v>3673</v>
      </c>
      <c r="C512" s="19" t="e">
        <f t="shared" si="37"/>
        <v>#REF!</v>
      </c>
      <c r="D512" s="19" t="e">
        <f t="shared" si="38"/>
        <v>#REF!</v>
      </c>
      <c r="E512" s="19" t="e">
        <f t="shared" si="39"/>
        <v>#REF!</v>
      </c>
      <c r="F512" s="19" t="e">
        <f>VLOOKUP(B512,'Station List'!#REF!,2,0)</f>
        <v>#REF!</v>
      </c>
      <c r="G512" s="19" t="e">
        <v>#NAME?</v>
      </c>
      <c r="H512" s="19" t="e">
        <f t="shared" si="48"/>
        <v>#REF!</v>
      </c>
      <c r="I512" s="19" t="e">
        <f>VLOOKUP(B512,'Station List'!#REF!,4,0)</f>
        <v>#REF!</v>
      </c>
      <c r="J512" s="19" t="e">
        <v>#NAME?</v>
      </c>
      <c r="K512" s="19" t="e">
        <f t="shared" si="57"/>
        <v>#REF!</v>
      </c>
      <c r="L512" s="19" t="e">
        <f>VLOOKUP(B511,'Station List'!#REF!,9,0)</f>
        <v>#REF!</v>
      </c>
      <c r="M512" s="19" t="e">
        <v>#NAME?</v>
      </c>
      <c r="N512" s="17"/>
      <c r="O512" s="17" t="s">
        <v>3672</v>
      </c>
      <c r="P512" s="17">
        <f t="shared" si="58"/>
        <v>0</v>
      </c>
      <c r="Q512" s="17"/>
      <c r="R512" s="17"/>
      <c r="S512" s="17"/>
      <c r="T512" s="17"/>
      <c r="U512" s="17"/>
      <c r="V512" s="17"/>
      <c r="W512" s="17" t="e">
        <f t="shared" si="59"/>
        <v>#REF!</v>
      </c>
      <c r="X512" s="17" t="e">
        <f t="shared" si="55"/>
        <v>#REF!</v>
      </c>
    </row>
    <row r="513" spans="1:24" ht="12.75" customHeight="1" x14ac:dyDescent="0.2">
      <c r="A513" s="19">
        <f t="shared" si="56"/>
        <v>103</v>
      </c>
      <c r="B513" s="19" t="s">
        <v>3674</v>
      </c>
      <c r="C513" s="19" t="e">
        <f t="shared" si="37"/>
        <v>#REF!</v>
      </c>
      <c r="D513" s="19" t="e">
        <f t="shared" si="38"/>
        <v>#REF!</v>
      </c>
      <c r="E513" s="19" t="e">
        <f t="shared" si="39"/>
        <v>#REF!</v>
      </c>
      <c r="F513" s="19" t="e">
        <f>VLOOKUP(B513,'Station List'!#REF!,2,0)</f>
        <v>#REF!</v>
      </c>
      <c r="G513" s="19" t="e">
        <v>#NAME?</v>
      </c>
      <c r="H513" s="19" t="e">
        <f t="shared" si="48"/>
        <v>#REF!</v>
      </c>
      <c r="I513" s="19" t="e">
        <f>VLOOKUP(B513,'Station List'!#REF!,4,0)</f>
        <v>#REF!</v>
      </c>
      <c r="J513" s="19" t="e">
        <v>#NAME?</v>
      </c>
      <c r="K513" s="19" t="e">
        <f t="shared" si="57"/>
        <v>#REF!</v>
      </c>
      <c r="L513" s="115" t="e">
        <f>VLOOKUP(B512,'Station List'!#REF!,9,0)</f>
        <v>#REF!</v>
      </c>
      <c r="M513" s="19" t="e">
        <v>#NAME?</v>
      </c>
      <c r="N513" s="17"/>
      <c r="O513" s="17" t="s">
        <v>3673</v>
      </c>
      <c r="P513" s="17">
        <f t="shared" si="58"/>
        <v>0</v>
      </c>
      <c r="Q513" s="17"/>
      <c r="R513" s="17"/>
      <c r="S513" s="17"/>
      <c r="T513" s="17"/>
      <c r="U513" s="17"/>
      <c r="V513" s="17"/>
      <c r="W513" s="17" t="e">
        <f t="shared" si="59"/>
        <v>#REF!</v>
      </c>
      <c r="X513" s="17" t="e">
        <f t="shared" si="55"/>
        <v>#REF!</v>
      </c>
    </row>
    <row r="514" spans="1:24" ht="12.75" customHeight="1" x14ac:dyDescent="0.2">
      <c r="A514" s="19">
        <f t="shared" si="56"/>
        <v>104</v>
      </c>
      <c r="B514" s="19" t="s">
        <v>3675</v>
      </c>
      <c r="C514" s="19" t="e">
        <f t="shared" si="37"/>
        <v>#REF!</v>
      </c>
      <c r="D514" s="19" t="e">
        <f t="shared" si="38"/>
        <v>#REF!</v>
      </c>
      <c r="E514" s="19" t="e">
        <f t="shared" si="39"/>
        <v>#REF!</v>
      </c>
      <c r="F514" s="19" t="e">
        <f>VLOOKUP(B514,'Station List'!#REF!,2,0)</f>
        <v>#REF!</v>
      </c>
      <c r="G514" s="19" t="e">
        <v>#NAME?</v>
      </c>
      <c r="H514" s="19" t="e">
        <f t="shared" si="48"/>
        <v>#REF!</v>
      </c>
      <c r="I514" s="19" t="e">
        <f>VLOOKUP(B514,'Station List'!#REF!,4,0)</f>
        <v>#REF!</v>
      </c>
      <c r="J514" s="19" t="e">
        <v>#NAME?</v>
      </c>
      <c r="K514" s="19" t="e">
        <f t="shared" si="57"/>
        <v>#REF!</v>
      </c>
      <c r="L514" s="19" t="e">
        <f>VLOOKUP(B513,'Station List'!#REF!,9,0)</f>
        <v>#REF!</v>
      </c>
      <c r="M514" s="19" t="e">
        <v>#NAME?</v>
      </c>
      <c r="N514" s="17"/>
      <c r="O514" s="17" t="s">
        <v>3674</v>
      </c>
      <c r="P514" s="17">
        <f t="shared" si="58"/>
        <v>0</v>
      </c>
      <c r="Q514" s="17"/>
      <c r="R514" s="17"/>
      <c r="S514" s="17"/>
      <c r="T514" s="17"/>
      <c r="U514" s="17"/>
      <c r="V514" s="17"/>
      <c r="W514" s="17" t="e">
        <f t="shared" si="59"/>
        <v>#REF!</v>
      </c>
      <c r="X514" s="17" t="e">
        <f t="shared" si="55"/>
        <v>#REF!</v>
      </c>
    </row>
    <row r="515" spans="1:24" ht="12.75" customHeight="1" x14ac:dyDescent="0.2">
      <c r="A515" s="19">
        <f t="shared" si="56"/>
        <v>105</v>
      </c>
      <c r="B515" s="19" t="s">
        <v>3676</v>
      </c>
      <c r="C515" s="19" t="e">
        <f t="shared" si="37"/>
        <v>#REF!</v>
      </c>
      <c r="D515" s="19" t="e">
        <f t="shared" si="38"/>
        <v>#REF!</v>
      </c>
      <c r="E515" s="19" t="e">
        <f t="shared" si="39"/>
        <v>#REF!</v>
      </c>
      <c r="F515" s="19" t="e">
        <f>VLOOKUP(B515,'Station List'!#REF!,2,0)</f>
        <v>#REF!</v>
      </c>
      <c r="G515" s="19" t="e">
        <v>#NAME?</v>
      </c>
      <c r="H515" s="19" t="e">
        <f t="shared" si="48"/>
        <v>#REF!</v>
      </c>
      <c r="I515" s="19" t="e">
        <f>VLOOKUP(B515,'Station List'!#REF!,4,0)</f>
        <v>#REF!</v>
      </c>
      <c r="J515" s="19" t="e">
        <v>#NAME?</v>
      </c>
      <c r="K515" s="19" t="e">
        <f t="shared" si="57"/>
        <v>#REF!</v>
      </c>
      <c r="L515" s="115" t="e">
        <f>VLOOKUP(B514,'Station List'!#REF!,9,0)</f>
        <v>#REF!</v>
      </c>
      <c r="M515" s="19" t="e">
        <v>#NAME?</v>
      </c>
      <c r="N515" s="17"/>
      <c r="O515" s="17" t="s">
        <v>3675</v>
      </c>
      <c r="P515" s="17">
        <f t="shared" si="58"/>
        <v>0</v>
      </c>
      <c r="Q515" s="17"/>
      <c r="R515" s="17"/>
      <c r="S515" s="17"/>
      <c r="T515" s="17"/>
      <c r="U515" s="17"/>
      <c r="V515" s="17"/>
      <c r="W515" s="17" t="e">
        <f t="shared" si="59"/>
        <v>#REF!</v>
      </c>
      <c r="X515" s="17" t="e">
        <f t="shared" si="55"/>
        <v>#REF!</v>
      </c>
    </row>
    <row r="516" spans="1:24" ht="12.75" customHeight="1" x14ac:dyDescent="0.2">
      <c r="A516" s="19">
        <f t="shared" si="56"/>
        <v>106</v>
      </c>
      <c r="B516" s="19" t="s">
        <v>3677</v>
      </c>
      <c r="C516" s="19" t="e">
        <f t="shared" si="37"/>
        <v>#REF!</v>
      </c>
      <c r="D516" s="19" t="e">
        <f t="shared" si="38"/>
        <v>#REF!</v>
      </c>
      <c r="E516" s="19" t="e">
        <f t="shared" si="39"/>
        <v>#REF!</v>
      </c>
      <c r="F516" s="19" t="e">
        <f>VLOOKUP(B516,'Station List'!#REF!,2,0)</f>
        <v>#REF!</v>
      </c>
      <c r="G516" s="19" t="e">
        <v>#NAME?</v>
      </c>
      <c r="H516" s="19" t="e">
        <f t="shared" si="48"/>
        <v>#REF!</v>
      </c>
      <c r="I516" s="19" t="e">
        <f>VLOOKUP(B516,'Station List'!#REF!,4,0)</f>
        <v>#REF!</v>
      </c>
      <c r="J516" s="19" t="e">
        <v>#NAME?</v>
      </c>
      <c r="K516" s="19" t="e">
        <f t="shared" si="57"/>
        <v>#REF!</v>
      </c>
      <c r="L516" s="19" t="e">
        <f>VLOOKUP(B515,'Station List'!#REF!,9,0)</f>
        <v>#REF!</v>
      </c>
      <c r="M516" s="19" t="e">
        <v>#NAME?</v>
      </c>
      <c r="N516" s="17"/>
      <c r="O516" s="17" t="s">
        <v>3676</v>
      </c>
      <c r="P516" s="17">
        <f t="shared" si="58"/>
        <v>0</v>
      </c>
      <c r="Q516" s="17"/>
      <c r="R516" s="17"/>
      <c r="S516" s="17"/>
      <c r="T516" s="17"/>
      <c r="U516" s="17"/>
      <c r="V516" s="17"/>
      <c r="W516" s="17" t="e">
        <f t="shared" si="59"/>
        <v>#REF!</v>
      </c>
      <c r="X516" s="17" t="e">
        <f t="shared" si="55"/>
        <v>#REF!</v>
      </c>
    </row>
    <row r="517" spans="1:24" ht="12.75" customHeight="1" x14ac:dyDescent="0.2">
      <c r="A517" s="19">
        <f t="shared" si="56"/>
        <v>107</v>
      </c>
      <c r="B517" s="19" t="s">
        <v>3678</v>
      </c>
      <c r="C517" s="19" t="e">
        <f t="shared" si="37"/>
        <v>#REF!</v>
      </c>
      <c r="D517" s="19" t="e">
        <f t="shared" si="38"/>
        <v>#REF!</v>
      </c>
      <c r="E517" s="19" t="e">
        <f t="shared" si="39"/>
        <v>#REF!</v>
      </c>
      <c r="F517" s="19" t="e">
        <f>VLOOKUP(B517,'Station List'!#REF!,2,0)</f>
        <v>#REF!</v>
      </c>
      <c r="G517" s="19" t="e">
        <v>#NAME?</v>
      </c>
      <c r="H517" s="19" t="e">
        <f t="shared" si="48"/>
        <v>#REF!</v>
      </c>
      <c r="I517" s="19" t="e">
        <f>VLOOKUP(B517,'Station List'!#REF!,4,0)</f>
        <v>#REF!</v>
      </c>
      <c r="J517" s="19" t="e">
        <v>#NAME?</v>
      </c>
      <c r="K517" s="19" t="e">
        <f t="shared" si="57"/>
        <v>#REF!</v>
      </c>
      <c r="L517" s="19" t="e">
        <f>VLOOKUP(B516,'Station List'!#REF!,9,0)</f>
        <v>#REF!</v>
      </c>
      <c r="M517" s="19" t="e">
        <v>#NAME?</v>
      </c>
      <c r="N517" s="17"/>
      <c r="O517" s="17" t="s">
        <v>3677</v>
      </c>
      <c r="P517" s="17">
        <f t="shared" si="58"/>
        <v>0</v>
      </c>
      <c r="Q517" s="17"/>
      <c r="R517" s="17"/>
      <c r="S517" s="17"/>
      <c r="T517" s="17"/>
      <c r="U517" s="17"/>
      <c r="V517" s="17"/>
      <c r="W517" s="17" t="e">
        <f t="shared" si="59"/>
        <v>#REF!</v>
      </c>
      <c r="X517" s="17" t="e">
        <f t="shared" si="55"/>
        <v>#REF!</v>
      </c>
    </row>
    <row r="518" spans="1:24" ht="12.75" customHeight="1" x14ac:dyDescent="0.2">
      <c r="A518" s="19">
        <f t="shared" si="56"/>
        <v>108</v>
      </c>
      <c r="B518" s="19" t="s">
        <v>3679</v>
      </c>
      <c r="C518" s="19" t="e">
        <f t="shared" si="37"/>
        <v>#REF!</v>
      </c>
      <c r="D518" s="19" t="e">
        <f t="shared" si="38"/>
        <v>#REF!</v>
      </c>
      <c r="E518" s="19" t="e">
        <f t="shared" si="39"/>
        <v>#REF!</v>
      </c>
      <c r="F518" s="19" t="e">
        <f>VLOOKUP(B518,'Station List'!#REF!,2,0)</f>
        <v>#REF!</v>
      </c>
      <c r="G518" s="19" t="e">
        <v>#NAME?</v>
      </c>
      <c r="H518" s="19" t="e">
        <f t="shared" si="48"/>
        <v>#REF!</v>
      </c>
      <c r="I518" s="19" t="e">
        <f>VLOOKUP(B518,'Station List'!#REF!,4,0)</f>
        <v>#REF!</v>
      </c>
      <c r="J518" s="19" t="e">
        <v>#NAME?</v>
      </c>
      <c r="K518" s="19" t="e">
        <f t="shared" si="57"/>
        <v>#REF!</v>
      </c>
      <c r="L518" s="19" t="e">
        <f>VLOOKUP(B517,'Station List'!#REF!,9,0)</f>
        <v>#REF!</v>
      </c>
      <c r="M518" s="19" t="e">
        <v>#NAME?</v>
      </c>
      <c r="N518" s="17"/>
      <c r="O518" s="17" t="s">
        <v>3678</v>
      </c>
      <c r="P518" s="17">
        <f t="shared" si="58"/>
        <v>0</v>
      </c>
      <c r="Q518" s="17"/>
      <c r="R518" s="17"/>
      <c r="S518" s="17"/>
      <c r="T518" s="17"/>
      <c r="U518" s="17"/>
      <c r="V518" s="17"/>
      <c r="W518" s="17" t="e">
        <f t="shared" si="59"/>
        <v>#REF!</v>
      </c>
      <c r="X518" s="17" t="e">
        <f t="shared" si="55"/>
        <v>#REF!</v>
      </c>
    </row>
    <row r="519" spans="1:24" ht="12.75" customHeight="1" x14ac:dyDescent="0.2">
      <c r="A519" s="19">
        <f t="shared" si="56"/>
        <v>109</v>
      </c>
      <c r="B519" s="19" t="s">
        <v>3680</v>
      </c>
      <c r="C519" s="19" t="e">
        <f t="shared" si="37"/>
        <v>#REF!</v>
      </c>
      <c r="D519" s="19" t="e">
        <f t="shared" si="38"/>
        <v>#REF!</v>
      </c>
      <c r="E519" s="19" t="e">
        <f t="shared" si="39"/>
        <v>#REF!</v>
      </c>
      <c r="F519" s="19" t="e">
        <f>VLOOKUP(B519,'Station List'!#REF!,2,0)</f>
        <v>#REF!</v>
      </c>
      <c r="G519" s="19" t="e">
        <v>#NAME?</v>
      </c>
      <c r="H519" s="19" t="e">
        <f t="shared" si="48"/>
        <v>#REF!</v>
      </c>
      <c r="I519" s="19" t="e">
        <f>VLOOKUP(B519,'Station List'!#REF!,4,0)</f>
        <v>#REF!</v>
      </c>
      <c r="J519" s="19" t="e">
        <v>#NAME?</v>
      </c>
      <c r="K519" s="19" t="e">
        <f t="shared" si="57"/>
        <v>#REF!</v>
      </c>
      <c r="L519" s="19" t="e">
        <f>VLOOKUP(B518,'Station List'!#REF!,9,0)</f>
        <v>#REF!</v>
      </c>
      <c r="M519" s="19" t="e">
        <v>#NAME?</v>
      </c>
      <c r="N519" s="17"/>
      <c r="O519" s="17" t="s">
        <v>3679</v>
      </c>
      <c r="P519" s="17">
        <f t="shared" si="58"/>
        <v>0</v>
      </c>
      <c r="Q519" s="17"/>
      <c r="R519" s="17"/>
      <c r="S519" s="17"/>
      <c r="T519" s="17"/>
      <c r="U519" s="17"/>
      <c r="V519" s="17"/>
      <c r="W519" s="17" t="e">
        <f t="shared" si="59"/>
        <v>#REF!</v>
      </c>
      <c r="X519" s="17" t="e">
        <f t="shared" si="55"/>
        <v>#REF!</v>
      </c>
    </row>
    <row r="520" spans="1:24" ht="12.75" customHeight="1" x14ac:dyDescent="0.2">
      <c r="A520" s="19">
        <f t="shared" si="56"/>
        <v>110</v>
      </c>
      <c r="B520" s="19" t="s">
        <v>3681</v>
      </c>
      <c r="C520" s="19" t="e">
        <f t="shared" si="37"/>
        <v>#REF!</v>
      </c>
      <c r="D520" s="19" t="e">
        <f t="shared" si="38"/>
        <v>#REF!</v>
      </c>
      <c r="E520" s="19" t="e">
        <f t="shared" si="39"/>
        <v>#REF!</v>
      </c>
      <c r="F520" s="19" t="e">
        <f>VLOOKUP(B520,'Station List'!#REF!,2,0)</f>
        <v>#REF!</v>
      </c>
      <c r="G520" s="19" t="e">
        <v>#NAME?</v>
      </c>
      <c r="H520" s="19" t="e">
        <f t="shared" si="48"/>
        <v>#REF!</v>
      </c>
      <c r="I520" s="19" t="e">
        <f>VLOOKUP(B520,'Station List'!#REF!,4,0)</f>
        <v>#REF!</v>
      </c>
      <c r="J520" s="19" t="e">
        <v>#NAME?</v>
      </c>
      <c r="K520" s="19" t="e">
        <f t="shared" si="57"/>
        <v>#REF!</v>
      </c>
      <c r="L520" s="19" t="e">
        <f>VLOOKUP(B519,'Station List'!#REF!,9,0)</f>
        <v>#REF!</v>
      </c>
      <c r="M520" s="19" t="e">
        <v>#NAME?</v>
      </c>
      <c r="N520" s="17"/>
      <c r="O520" s="17" t="s">
        <v>3680</v>
      </c>
      <c r="P520" s="17">
        <f t="shared" si="58"/>
        <v>0</v>
      </c>
      <c r="Q520" s="17"/>
      <c r="R520" s="17"/>
      <c r="S520" s="17"/>
      <c r="T520" s="17"/>
      <c r="U520" s="17"/>
      <c r="V520" s="17"/>
      <c r="W520" s="17" t="e">
        <f t="shared" si="59"/>
        <v>#REF!</v>
      </c>
      <c r="X520" s="17" t="e">
        <f t="shared" si="55"/>
        <v>#REF!</v>
      </c>
    </row>
    <row r="521" spans="1:24" ht="12.75" customHeight="1" x14ac:dyDescent="0.2">
      <c r="A521" s="19">
        <f t="shared" si="56"/>
        <v>111</v>
      </c>
      <c r="B521" s="19" t="s">
        <v>3682</v>
      </c>
      <c r="C521" s="19" t="e">
        <f t="shared" si="37"/>
        <v>#REF!</v>
      </c>
      <c r="D521" s="19" t="e">
        <f t="shared" si="38"/>
        <v>#REF!</v>
      </c>
      <c r="E521" s="19" t="e">
        <f t="shared" si="39"/>
        <v>#REF!</v>
      </c>
      <c r="F521" s="19" t="e">
        <f>VLOOKUP(B521,'Station List'!#REF!,2,0)</f>
        <v>#REF!</v>
      </c>
      <c r="G521" s="19" t="e">
        <v>#NAME?</v>
      </c>
      <c r="H521" s="19" t="e">
        <f t="shared" si="48"/>
        <v>#REF!</v>
      </c>
      <c r="I521" s="19" t="e">
        <f>VLOOKUP(B521,'Station List'!#REF!,4,0)</f>
        <v>#REF!</v>
      </c>
      <c r="J521" s="19" t="e">
        <v>#NAME?</v>
      </c>
      <c r="K521" s="19" t="e">
        <f t="shared" si="57"/>
        <v>#REF!</v>
      </c>
      <c r="L521" s="19" t="e">
        <f>VLOOKUP(B520,'Station List'!#REF!,9,0)</f>
        <v>#REF!</v>
      </c>
      <c r="M521" s="19" t="e">
        <v>#NAME?</v>
      </c>
      <c r="N521" s="17"/>
      <c r="O521" s="17" t="s">
        <v>3681</v>
      </c>
      <c r="P521" s="17">
        <f t="shared" si="58"/>
        <v>0</v>
      </c>
      <c r="Q521" s="17"/>
      <c r="R521" s="17"/>
      <c r="S521" s="17"/>
      <c r="T521" s="17"/>
      <c r="U521" s="17"/>
      <c r="V521" s="17"/>
      <c r="W521" s="17" t="e">
        <f t="shared" si="59"/>
        <v>#REF!</v>
      </c>
      <c r="X521" s="17" t="e">
        <f t="shared" si="55"/>
        <v>#REF!</v>
      </c>
    </row>
    <row r="522" spans="1:24" ht="12.75" customHeight="1" x14ac:dyDescent="0.2">
      <c r="A522" s="19">
        <f t="shared" si="56"/>
        <v>112</v>
      </c>
      <c r="B522" s="19" t="s">
        <v>3683</v>
      </c>
      <c r="C522" s="19" t="e">
        <f t="shared" si="37"/>
        <v>#REF!</v>
      </c>
      <c r="D522" s="19" t="e">
        <f t="shared" si="38"/>
        <v>#REF!</v>
      </c>
      <c r="E522" s="19" t="e">
        <f t="shared" si="39"/>
        <v>#REF!</v>
      </c>
      <c r="F522" s="19" t="e">
        <f>VLOOKUP(B522,'Station List'!#REF!,2,0)</f>
        <v>#REF!</v>
      </c>
      <c r="G522" s="19" t="e">
        <v>#NAME?</v>
      </c>
      <c r="H522" s="19" t="e">
        <f t="shared" si="48"/>
        <v>#REF!</v>
      </c>
      <c r="I522" s="19" t="e">
        <f>VLOOKUP(B522,'Station List'!#REF!,4,0)</f>
        <v>#REF!</v>
      </c>
      <c r="J522" s="19" t="e">
        <v>#NAME?</v>
      </c>
      <c r="K522" s="19" t="e">
        <f t="shared" si="57"/>
        <v>#REF!</v>
      </c>
      <c r="L522" s="19" t="e">
        <f>VLOOKUP(B521,'Station List'!#REF!,9,0)</f>
        <v>#REF!</v>
      </c>
      <c r="M522" s="19" t="e">
        <v>#NAME?</v>
      </c>
      <c r="N522" s="17"/>
      <c r="O522" s="17" t="s">
        <v>3682</v>
      </c>
      <c r="P522" s="17">
        <f t="shared" si="58"/>
        <v>0</v>
      </c>
      <c r="Q522" s="17"/>
      <c r="R522" s="17"/>
      <c r="S522" s="17"/>
      <c r="T522" s="17"/>
      <c r="U522" s="17"/>
      <c r="V522" s="17"/>
      <c r="W522" s="17" t="e">
        <f t="shared" si="59"/>
        <v>#REF!</v>
      </c>
      <c r="X522" s="17" t="e">
        <f t="shared" si="55"/>
        <v>#REF!</v>
      </c>
    </row>
    <row r="523" spans="1:24" ht="12.75" customHeight="1" x14ac:dyDescent="0.2">
      <c r="A523" s="19">
        <f t="shared" si="56"/>
        <v>113</v>
      </c>
      <c r="B523" s="19" t="s">
        <v>3684</v>
      </c>
      <c r="C523" s="19" t="e">
        <f t="shared" si="37"/>
        <v>#REF!</v>
      </c>
      <c r="D523" s="19" t="e">
        <f t="shared" si="38"/>
        <v>#REF!</v>
      </c>
      <c r="E523" s="19" t="e">
        <f t="shared" si="39"/>
        <v>#REF!</v>
      </c>
      <c r="F523" s="19" t="e">
        <f>VLOOKUP(B523,'Station List'!#REF!,2,0)</f>
        <v>#REF!</v>
      </c>
      <c r="G523" s="19" t="e">
        <v>#NAME?</v>
      </c>
      <c r="H523" s="19" t="e">
        <f t="shared" si="48"/>
        <v>#REF!</v>
      </c>
      <c r="I523" s="19" t="e">
        <f>VLOOKUP(B523,'Station List'!#REF!,4,0)</f>
        <v>#REF!</v>
      </c>
      <c r="J523" s="19" t="e">
        <v>#NAME?</v>
      </c>
      <c r="K523" s="19" t="e">
        <f t="shared" si="57"/>
        <v>#REF!</v>
      </c>
      <c r="L523" s="19" t="e">
        <f>VLOOKUP(B522,'Station List'!#REF!,9,0)</f>
        <v>#REF!</v>
      </c>
      <c r="M523" s="19" t="e">
        <v>#NAME?</v>
      </c>
      <c r="N523" s="17"/>
      <c r="O523" s="17" t="s">
        <v>3683</v>
      </c>
      <c r="P523" s="17">
        <f t="shared" si="58"/>
        <v>0</v>
      </c>
      <c r="Q523" s="17"/>
      <c r="R523" s="17"/>
      <c r="S523" s="17"/>
      <c r="T523" s="17"/>
      <c r="U523" s="17"/>
      <c r="V523" s="17"/>
      <c r="W523" s="17" t="e">
        <f t="shared" si="59"/>
        <v>#REF!</v>
      </c>
      <c r="X523" s="17" t="e">
        <f t="shared" si="55"/>
        <v>#REF!</v>
      </c>
    </row>
    <row r="524" spans="1:24" ht="12.75" customHeight="1" x14ac:dyDescent="0.2">
      <c r="A524" s="19">
        <f t="shared" si="56"/>
        <v>114</v>
      </c>
      <c r="B524" s="19" t="s">
        <v>3685</v>
      </c>
      <c r="C524" s="19" t="e">
        <f t="shared" si="37"/>
        <v>#REF!</v>
      </c>
      <c r="D524" s="19" t="e">
        <f t="shared" si="38"/>
        <v>#REF!</v>
      </c>
      <c r="E524" s="19" t="e">
        <f t="shared" si="39"/>
        <v>#REF!</v>
      </c>
      <c r="F524" s="19" t="e">
        <f>VLOOKUP(B524,'Station List'!#REF!,2,0)</f>
        <v>#REF!</v>
      </c>
      <c r="G524" s="19" t="e">
        <v>#NAME?</v>
      </c>
      <c r="H524" s="19" t="e">
        <f t="shared" si="48"/>
        <v>#REF!</v>
      </c>
      <c r="I524" s="19" t="e">
        <f>VLOOKUP(B524,'Station List'!#REF!,4,0)</f>
        <v>#REF!</v>
      </c>
      <c r="J524" s="19" t="e">
        <v>#NAME?</v>
      </c>
      <c r="K524" s="19" t="e">
        <f t="shared" si="57"/>
        <v>#REF!</v>
      </c>
      <c r="L524" s="19" t="e">
        <f>VLOOKUP(B523,'Station List'!#REF!,9,0)</f>
        <v>#REF!</v>
      </c>
      <c r="M524" s="19" t="e">
        <v>#NAME?</v>
      </c>
      <c r="N524" s="17"/>
      <c r="O524" s="17" t="s">
        <v>3684</v>
      </c>
      <c r="P524" s="17">
        <f t="shared" si="58"/>
        <v>0</v>
      </c>
      <c r="Q524" s="17"/>
      <c r="R524" s="17"/>
      <c r="S524" s="17"/>
      <c r="T524" s="17"/>
      <c r="U524" s="17"/>
      <c r="V524" s="17"/>
      <c r="W524" s="17" t="e">
        <f t="shared" si="59"/>
        <v>#REF!</v>
      </c>
      <c r="X524" s="17" t="e">
        <f t="shared" si="55"/>
        <v>#REF!</v>
      </c>
    </row>
    <row r="525" spans="1:24" ht="12.75" customHeight="1" x14ac:dyDescent="0.2">
      <c r="A525" s="19">
        <f t="shared" si="56"/>
        <v>115</v>
      </c>
      <c r="B525" s="19" t="s">
        <v>3686</v>
      </c>
      <c r="C525" s="19" t="e">
        <f t="shared" si="37"/>
        <v>#REF!</v>
      </c>
      <c r="D525" s="19" t="e">
        <f t="shared" si="38"/>
        <v>#REF!</v>
      </c>
      <c r="E525" s="19" t="e">
        <f t="shared" si="39"/>
        <v>#REF!</v>
      </c>
      <c r="F525" s="19" t="e">
        <f>VLOOKUP(B525,'Station List'!#REF!,2,0)</f>
        <v>#REF!</v>
      </c>
      <c r="G525" s="19" t="e">
        <v>#NAME?</v>
      </c>
      <c r="H525" s="19" t="e">
        <f t="shared" si="48"/>
        <v>#REF!</v>
      </c>
      <c r="I525" s="19" t="e">
        <f>VLOOKUP(B525,'Station List'!#REF!,4,0)</f>
        <v>#REF!</v>
      </c>
      <c r="J525" s="19" t="e">
        <v>#NAME?</v>
      </c>
      <c r="K525" s="19" t="e">
        <f t="shared" si="57"/>
        <v>#REF!</v>
      </c>
      <c r="L525" s="19" t="e">
        <f>VLOOKUP(B524,'Station List'!#REF!,9,0)</f>
        <v>#REF!</v>
      </c>
      <c r="M525" s="19" t="e">
        <v>#NAME?</v>
      </c>
      <c r="N525" s="17"/>
      <c r="O525" s="17" t="s">
        <v>3687</v>
      </c>
      <c r="P525" s="17">
        <f t="shared" si="58"/>
        <v>1</v>
      </c>
      <c r="Q525" s="17"/>
      <c r="R525" s="17"/>
      <c r="S525" s="17"/>
      <c r="T525" s="17"/>
      <c r="U525" s="17"/>
      <c r="V525" s="17"/>
      <c r="W525" s="17" t="e">
        <f t="shared" si="59"/>
        <v>#REF!</v>
      </c>
      <c r="X525" s="17" t="e">
        <f t="shared" si="55"/>
        <v>#REF!</v>
      </c>
    </row>
    <row r="526" spans="1:24" ht="12.75" customHeight="1" x14ac:dyDescent="0.2">
      <c r="A526" s="19">
        <f t="shared" si="56"/>
        <v>116</v>
      </c>
      <c r="B526" s="19" t="s">
        <v>3688</v>
      </c>
      <c r="C526" s="19" t="e">
        <f t="shared" si="37"/>
        <v>#REF!</v>
      </c>
      <c r="D526" s="19" t="e">
        <f t="shared" si="38"/>
        <v>#REF!</v>
      </c>
      <c r="E526" s="19" t="e">
        <f t="shared" si="39"/>
        <v>#REF!</v>
      </c>
      <c r="F526" s="19" t="e">
        <f>VLOOKUP(B526,'Station List'!#REF!,2,0)</f>
        <v>#REF!</v>
      </c>
      <c r="G526" s="19" t="e">
        <v>#NAME?</v>
      </c>
      <c r="H526" s="19" t="e">
        <f t="shared" si="48"/>
        <v>#REF!</v>
      </c>
      <c r="I526" s="19" t="e">
        <f>VLOOKUP(B526,'Station List'!#REF!,4,0)</f>
        <v>#REF!</v>
      </c>
      <c r="J526" s="19" t="e">
        <v>#NAME?</v>
      </c>
      <c r="K526" s="19" t="e">
        <f t="shared" si="57"/>
        <v>#REF!</v>
      </c>
      <c r="L526" s="19" t="e">
        <f>VLOOKUP(B525,'Station List'!#REF!,9,0)</f>
        <v>#REF!</v>
      </c>
      <c r="M526" s="19" t="e">
        <v>#NAME?</v>
      </c>
      <c r="N526" s="17"/>
      <c r="O526" s="17"/>
      <c r="P526" s="17">
        <f t="shared" si="58"/>
        <v>1</v>
      </c>
      <c r="Q526" s="17"/>
      <c r="R526" s="17"/>
      <c r="S526" s="17"/>
      <c r="T526" s="17"/>
      <c r="U526" s="17"/>
      <c r="V526" s="17"/>
      <c r="W526" s="17" t="e">
        <f t="shared" si="59"/>
        <v>#REF!</v>
      </c>
      <c r="X526" s="17" t="e">
        <f t="shared" si="55"/>
        <v>#REF!</v>
      </c>
    </row>
    <row r="527" spans="1:24" ht="12.75" customHeight="1" x14ac:dyDescent="0.2">
      <c r="A527" s="19">
        <f t="shared" si="56"/>
        <v>117</v>
      </c>
      <c r="B527" s="19" t="s">
        <v>3689</v>
      </c>
      <c r="C527" s="19" t="e">
        <f t="shared" si="37"/>
        <v>#REF!</v>
      </c>
      <c r="D527" s="19" t="e">
        <f t="shared" si="38"/>
        <v>#REF!</v>
      </c>
      <c r="E527" s="19" t="e">
        <f t="shared" si="39"/>
        <v>#REF!</v>
      </c>
      <c r="F527" s="19" t="e">
        <f>VLOOKUP(B527,'Station List'!#REF!,2,0)</f>
        <v>#REF!</v>
      </c>
      <c r="G527" s="19" t="e">
        <v>#NAME?</v>
      </c>
      <c r="H527" s="19" t="e">
        <f t="shared" si="48"/>
        <v>#REF!</v>
      </c>
      <c r="I527" s="19" t="e">
        <f>VLOOKUP(B527,'Station List'!#REF!,4,0)</f>
        <v>#REF!</v>
      </c>
      <c r="J527" s="19" t="e">
        <v>#NAME?</v>
      </c>
      <c r="K527" s="19" t="e">
        <f t="shared" si="57"/>
        <v>#REF!</v>
      </c>
      <c r="L527" s="19" t="e">
        <f>VLOOKUP(B526,'Station List'!#REF!,9,0)</f>
        <v>#REF!</v>
      </c>
      <c r="M527" s="19" t="e">
        <v>#NAME?</v>
      </c>
      <c r="N527" s="17"/>
      <c r="O527" s="17" t="s">
        <v>3688</v>
      </c>
      <c r="P527" s="17">
        <f t="shared" si="58"/>
        <v>0</v>
      </c>
      <c r="Q527" s="17"/>
      <c r="R527" s="17"/>
      <c r="S527" s="17"/>
      <c r="T527" s="17"/>
      <c r="U527" s="17"/>
      <c r="V527" s="17"/>
      <c r="W527" s="17" t="e">
        <f t="shared" si="59"/>
        <v>#REF!</v>
      </c>
      <c r="X527" s="17" t="e">
        <f t="shared" si="55"/>
        <v>#REF!</v>
      </c>
    </row>
    <row r="528" spans="1:24" ht="12.75" customHeight="1" x14ac:dyDescent="0.2">
      <c r="A528" s="19">
        <f t="shared" si="56"/>
        <v>118</v>
      </c>
      <c r="B528" s="19" t="s">
        <v>3690</v>
      </c>
      <c r="C528" s="19" t="e">
        <f t="shared" si="37"/>
        <v>#REF!</v>
      </c>
      <c r="D528" s="19" t="e">
        <f t="shared" si="38"/>
        <v>#REF!</v>
      </c>
      <c r="E528" s="19" t="e">
        <f t="shared" si="39"/>
        <v>#REF!</v>
      </c>
      <c r="F528" s="19" t="e">
        <f>VLOOKUP(B528,'Station List'!#REF!,2,0)</f>
        <v>#REF!</v>
      </c>
      <c r="G528" s="19" t="e">
        <v>#NAME?</v>
      </c>
      <c r="H528" s="19" t="e">
        <f t="shared" si="48"/>
        <v>#REF!</v>
      </c>
      <c r="I528" s="19" t="e">
        <f>VLOOKUP(B528,'Station List'!#REF!,4,0)</f>
        <v>#REF!</v>
      </c>
      <c r="J528" s="19" t="e">
        <v>#NAME?</v>
      </c>
      <c r="K528" s="19" t="e">
        <f t="shared" si="57"/>
        <v>#REF!</v>
      </c>
      <c r="L528" s="19" t="e">
        <f>VLOOKUP(B527,'Station List'!#REF!,9,0)</f>
        <v>#REF!</v>
      </c>
      <c r="M528" s="19" t="e">
        <v>#NAME?</v>
      </c>
      <c r="N528" s="17"/>
      <c r="O528" s="17" t="s">
        <v>3689</v>
      </c>
      <c r="P528" s="17">
        <f t="shared" si="58"/>
        <v>0</v>
      </c>
      <c r="Q528" s="17"/>
      <c r="R528" s="17"/>
      <c r="S528" s="17"/>
      <c r="T528" s="17"/>
      <c r="U528" s="17"/>
      <c r="V528" s="17"/>
      <c r="W528" s="17" t="e">
        <f t="shared" si="59"/>
        <v>#REF!</v>
      </c>
      <c r="X528" s="17" t="e">
        <f t="shared" si="55"/>
        <v>#REF!</v>
      </c>
    </row>
    <row r="529" spans="1:24" ht="12.75" customHeight="1" x14ac:dyDescent="0.2">
      <c r="A529" s="19">
        <f t="shared" si="56"/>
        <v>119</v>
      </c>
      <c r="B529" s="19" t="s">
        <v>3691</v>
      </c>
      <c r="C529" s="19" t="e">
        <f t="shared" si="37"/>
        <v>#REF!</v>
      </c>
      <c r="D529" s="19" t="e">
        <f t="shared" si="38"/>
        <v>#REF!</v>
      </c>
      <c r="E529" s="19" t="e">
        <f t="shared" si="39"/>
        <v>#REF!</v>
      </c>
      <c r="F529" s="19" t="e">
        <f>VLOOKUP(B529,'Station List'!#REF!,2,0)</f>
        <v>#REF!</v>
      </c>
      <c r="G529" s="19" t="e">
        <v>#NAME?</v>
      </c>
      <c r="H529" s="19" t="e">
        <f t="shared" si="48"/>
        <v>#REF!</v>
      </c>
      <c r="I529" s="19" t="e">
        <f>VLOOKUP(B529,'Station List'!#REF!,4,0)</f>
        <v>#REF!</v>
      </c>
      <c r="J529" s="19" t="e">
        <v>#NAME?</v>
      </c>
      <c r="K529" s="19" t="e">
        <f t="shared" si="57"/>
        <v>#REF!</v>
      </c>
      <c r="L529" s="19" t="e">
        <f>VLOOKUP(B528,'Station List'!#REF!,9,0)</f>
        <v>#REF!</v>
      </c>
      <c r="M529" s="19" t="e">
        <v>#NAME?</v>
      </c>
      <c r="N529" s="17"/>
      <c r="O529" s="17" t="s">
        <v>3690</v>
      </c>
      <c r="P529" s="17">
        <f t="shared" si="58"/>
        <v>0</v>
      </c>
      <c r="Q529" s="17"/>
      <c r="R529" s="17"/>
      <c r="S529" s="17"/>
      <c r="T529" s="17"/>
      <c r="U529" s="17"/>
      <c r="V529" s="17"/>
      <c r="W529" s="17" t="e">
        <f t="shared" si="59"/>
        <v>#REF!</v>
      </c>
      <c r="X529" s="17" t="e">
        <f t="shared" si="55"/>
        <v>#REF!</v>
      </c>
    </row>
    <row r="530" spans="1:24" ht="12.75" customHeight="1" x14ac:dyDescent="0.2">
      <c r="A530" s="19">
        <f t="shared" si="56"/>
        <v>120</v>
      </c>
      <c r="B530" s="19" t="s">
        <v>3692</v>
      </c>
      <c r="C530" s="19" t="e">
        <f t="shared" si="37"/>
        <v>#REF!</v>
      </c>
      <c r="D530" s="19" t="e">
        <f t="shared" si="38"/>
        <v>#REF!</v>
      </c>
      <c r="E530" s="19" t="e">
        <f t="shared" si="39"/>
        <v>#REF!</v>
      </c>
      <c r="F530" s="19" t="e">
        <f>VLOOKUP(B530,'Station List'!#REF!,2,0)</f>
        <v>#REF!</v>
      </c>
      <c r="G530" s="19" t="e">
        <v>#NAME?</v>
      </c>
      <c r="H530" s="19" t="e">
        <f t="shared" si="48"/>
        <v>#REF!</v>
      </c>
      <c r="I530" s="19" t="e">
        <f>VLOOKUP(B530,'Station List'!#REF!,4,0)</f>
        <v>#REF!</v>
      </c>
      <c r="J530" s="19" t="e">
        <v>#NAME?</v>
      </c>
      <c r="K530" s="19" t="e">
        <f t="shared" si="57"/>
        <v>#REF!</v>
      </c>
      <c r="L530" s="19" t="e">
        <f>VLOOKUP(B529,'Station List'!#REF!,9,0)</f>
        <v>#REF!</v>
      </c>
      <c r="M530" s="19" t="e">
        <v>#NAME?</v>
      </c>
      <c r="N530" s="17"/>
      <c r="O530" s="17" t="s">
        <v>3691</v>
      </c>
      <c r="P530" s="17">
        <f t="shared" si="58"/>
        <v>0</v>
      </c>
      <c r="Q530" s="17"/>
      <c r="R530" s="17"/>
      <c r="S530" s="17"/>
      <c r="T530" s="17"/>
      <c r="U530" s="17"/>
      <c r="V530" s="17"/>
      <c r="W530" s="17" t="e">
        <f t="shared" si="59"/>
        <v>#REF!</v>
      </c>
      <c r="X530" s="17" t="e">
        <f t="shared" si="55"/>
        <v>#REF!</v>
      </c>
    </row>
    <row r="531" spans="1:24" ht="12.75" customHeight="1" x14ac:dyDescent="0.2">
      <c r="A531" s="19">
        <f t="shared" si="56"/>
        <v>121</v>
      </c>
      <c r="B531" s="19" t="s">
        <v>3693</v>
      </c>
      <c r="C531" s="19" t="e">
        <f t="shared" si="37"/>
        <v>#REF!</v>
      </c>
      <c r="D531" s="19" t="e">
        <f t="shared" si="38"/>
        <v>#REF!</v>
      </c>
      <c r="E531" s="19" t="e">
        <f t="shared" si="39"/>
        <v>#REF!</v>
      </c>
      <c r="F531" s="19" t="e">
        <f>VLOOKUP(B531,'Station List'!#REF!,2,0)</f>
        <v>#REF!</v>
      </c>
      <c r="G531" s="19" t="e">
        <v>#NAME?</v>
      </c>
      <c r="H531" s="19" t="e">
        <f t="shared" si="48"/>
        <v>#REF!</v>
      </c>
      <c r="I531" s="19" t="e">
        <f>VLOOKUP(B531,'Station List'!#REF!,4,0)</f>
        <v>#REF!</v>
      </c>
      <c r="J531" s="19" t="e">
        <v>#NAME?</v>
      </c>
      <c r="K531" s="19" t="e">
        <f t="shared" si="57"/>
        <v>#REF!</v>
      </c>
      <c r="L531" s="19" t="e">
        <f>VLOOKUP(B530,'Station List'!#REF!,9,0)</f>
        <v>#REF!</v>
      </c>
      <c r="M531" s="19" t="e">
        <v>#NAME?</v>
      </c>
      <c r="N531" s="17"/>
      <c r="O531" s="17" t="s">
        <v>3692</v>
      </c>
      <c r="P531" s="17">
        <f t="shared" si="58"/>
        <v>0</v>
      </c>
      <c r="Q531" s="17"/>
      <c r="R531" s="17"/>
      <c r="S531" s="17"/>
      <c r="T531" s="17"/>
      <c r="U531" s="17"/>
      <c r="V531" s="17"/>
      <c r="W531" s="17" t="e">
        <f t="shared" si="59"/>
        <v>#REF!</v>
      </c>
      <c r="X531" s="17" t="e">
        <f t="shared" si="55"/>
        <v>#REF!</v>
      </c>
    </row>
    <row r="532" spans="1:24" ht="12.75" customHeight="1" x14ac:dyDescent="0.2">
      <c r="A532" s="19">
        <f t="shared" si="56"/>
        <v>122</v>
      </c>
      <c r="B532" s="19" t="s">
        <v>3694</v>
      </c>
      <c r="C532" s="19" t="e">
        <f t="shared" si="37"/>
        <v>#REF!</v>
      </c>
      <c r="D532" s="19" t="e">
        <f t="shared" si="38"/>
        <v>#REF!</v>
      </c>
      <c r="E532" s="19" t="e">
        <f t="shared" si="39"/>
        <v>#REF!</v>
      </c>
      <c r="F532" s="19" t="e">
        <f>VLOOKUP(B532,'Station List'!#REF!,2,0)</f>
        <v>#REF!</v>
      </c>
      <c r="G532" s="19" t="e">
        <v>#NAME?</v>
      </c>
      <c r="H532" s="19" t="e">
        <f t="shared" si="48"/>
        <v>#REF!</v>
      </c>
      <c r="I532" s="19" t="e">
        <f>VLOOKUP(B532,'Station List'!#REF!,4,0)</f>
        <v>#REF!</v>
      </c>
      <c r="J532" s="19" t="e">
        <v>#NAME?</v>
      </c>
      <c r="K532" s="19" t="e">
        <f t="shared" si="57"/>
        <v>#REF!</v>
      </c>
      <c r="L532" s="19" t="e">
        <f>VLOOKUP(B531,'Station List'!#REF!,9,0)</f>
        <v>#REF!</v>
      </c>
      <c r="M532" s="19" t="e">
        <v>#NAME?</v>
      </c>
      <c r="N532" s="17"/>
      <c r="O532" s="17" t="s">
        <v>3693</v>
      </c>
      <c r="P532" s="17">
        <f t="shared" si="58"/>
        <v>0</v>
      </c>
      <c r="Q532" s="17"/>
      <c r="R532" s="17"/>
      <c r="S532" s="17"/>
      <c r="T532" s="17"/>
      <c r="U532" s="17"/>
      <c r="V532" s="17"/>
      <c r="W532" s="17" t="e">
        <f t="shared" si="59"/>
        <v>#REF!</v>
      </c>
      <c r="X532" s="17" t="e">
        <f t="shared" si="55"/>
        <v>#REF!</v>
      </c>
    </row>
    <row r="533" spans="1:24" ht="12.75" customHeight="1" x14ac:dyDescent="0.2">
      <c r="A533" s="19">
        <f t="shared" si="56"/>
        <v>123</v>
      </c>
      <c r="B533" s="19" t="s">
        <v>3695</v>
      </c>
      <c r="C533" s="19" t="e">
        <f t="shared" si="37"/>
        <v>#REF!</v>
      </c>
      <c r="D533" s="19" t="e">
        <f t="shared" si="38"/>
        <v>#REF!</v>
      </c>
      <c r="E533" s="19" t="e">
        <f t="shared" si="39"/>
        <v>#REF!</v>
      </c>
      <c r="F533" s="19" t="e">
        <f>VLOOKUP(B533,'Station List'!#REF!,2,0)</f>
        <v>#REF!</v>
      </c>
      <c r="G533" s="19" t="e">
        <v>#NAME?</v>
      </c>
      <c r="H533" s="19" t="e">
        <f t="shared" si="48"/>
        <v>#REF!</v>
      </c>
      <c r="I533" s="19" t="e">
        <f>VLOOKUP(B533,'Station List'!#REF!,4,0)</f>
        <v>#REF!</v>
      </c>
      <c r="J533" s="19" t="e">
        <v>#NAME?</v>
      </c>
      <c r="K533" s="19" t="e">
        <f t="shared" si="57"/>
        <v>#REF!</v>
      </c>
      <c r="L533" s="19" t="e">
        <f>VLOOKUP(B532,'Station List'!#REF!,9,0)</f>
        <v>#REF!</v>
      </c>
      <c r="M533" s="19" t="e">
        <v>#NAME?</v>
      </c>
      <c r="N533" s="17"/>
      <c r="O533" s="17" t="s">
        <v>3694</v>
      </c>
      <c r="P533" s="17">
        <f t="shared" si="58"/>
        <v>0</v>
      </c>
      <c r="Q533" s="17"/>
      <c r="R533" s="17"/>
      <c r="S533" s="17"/>
      <c r="T533" s="17"/>
      <c r="U533" s="17"/>
      <c r="V533" s="17"/>
      <c r="W533" s="17" t="e">
        <f t="shared" si="59"/>
        <v>#REF!</v>
      </c>
      <c r="X533" s="17" t="e">
        <f t="shared" si="55"/>
        <v>#REF!</v>
      </c>
    </row>
    <row r="534" spans="1:24" ht="12.75" customHeight="1" x14ac:dyDescent="0.2">
      <c r="A534" s="19">
        <f t="shared" si="56"/>
        <v>124</v>
      </c>
      <c r="B534" s="19" t="s">
        <v>3696</v>
      </c>
      <c r="C534" s="19" t="e">
        <f t="shared" si="37"/>
        <v>#REF!</v>
      </c>
      <c r="D534" s="19" t="e">
        <f t="shared" si="38"/>
        <v>#REF!</v>
      </c>
      <c r="E534" s="19" t="e">
        <f t="shared" si="39"/>
        <v>#REF!</v>
      </c>
      <c r="F534" s="19" t="e">
        <f>VLOOKUP(B534,'Station List'!#REF!,2,0)</f>
        <v>#REF!</v>
      </c>
      <c r="G534" s="19" t="e">
        <v>#NAME?</v>
      </c>
      <c r="H534" s="19" t="e">
        <f t="shared" si="48"/>
        <v>#REF!</v>
      </c>
      <c r="I534" s="19" t="e">
        <f>VLOOKUP(B534,'Station List'!#REF!,4,0)</f>
        <v>#REF!</v>
      </c>
      <c r="J534" s="19" t="e">
        <v>#NAME?</v>
      </c>
      <c r="K534" s="19" t="e">
        <f t="shared" si="57"/>
        <v>#REF!</v>
      </c>
      <c r="L534" s="19" t="e">
        <f>VLOOKUP(B533,'Station List'!#REF!,9,0)</f>
        <v>#REF!</v>
      </c>
      <c r="M534" s="19" t="e">
        <v>#NAME?</v>
      </c>
      <c r="N534" s="17"/>
      <c r="O534" s="17" t="s">
        <v>3695</v>
      </c>
      <c r="P534" s="17">
        <f t="shared" si="58"/>
        <v>0</v>
      </c>
      <c r="Q534" s="17"/>
      <c r="R534" s="17"/>
      <c r="S534" s="17"/>
      <c r="T534" s="17"/>
      <c r="U534" s="17"/>
      <c r="V534" s="17"/>
      <c r="W534" s="17" t="e">
        <f t="shared" si="59"/>
        <v>#REF!</v>
      </c>
      <c r="X534" s="17" t="e">
        <f t="shared" si="55"/>
        <v>#REF!</v>
      </c>
    </row>
    <row r="535" spans="1:24" ht="12.75" customHeight="1" x14ac:dyDescent="0.2">
      <c r="A535" s="19">
        <f t="shared" si="56"/>
        <v>125</v>
      </c>
      <c r="B535" s="19" t="s">
        <v>3697</v>
      </c>
      <c r="C535" s="19" t="e">
        <f t="shared" si="37"/>
        <v>#REF!</v>
      </c>
      <c r="D535" s="19" t="e">
        <f t="shared" si="38"/>
        <v>#REF!</v>
      </c>
      <c r="E535" s="19" t="e">
        <f t="shared" si="39"/>
        <v>#REF!</v>
      </c>
      <c r="F535" s="19" t="e">
        <f>VLOOKUP(B535,'Station List'!#REF!,2,0)</f>
        <v>#REF!</v>
      </c>
      <c r="G535" s="19" t="e">
        <v>#NAME?</v>
      </c>
      <c r="H535" s="19" t="e">
        <f t="shared" si="48"/>
        <v>#REF!</v>
      </c>
      <c r="I535" s="19" t="e">
        <f>VLOOKUP(B535,'Station List'!#REF!,4,0)</f>
        <v>#REF!</v>
      </c>
      <c r="J535" s="19" t="e">
        <v>#NAME?</v>
      </c>
      <c r="K535" s="19" t="e">
        <f t="shared" si="57"/>
        <v>#REF!</v>
      </c>
      <c r="L535" s="19" t="e">
        <f>VLOOKUP(B534,'Station List'!#REF!,9,0)</f>
        <v>#REF!</v>
      </c>
      <c r="M535" s="19" t="e">
        <v>#NAME?</v>
      </c>
      <c r="N535" s="17"/>
      <c r="O535" s="17" t="s">
        <v>3696</v>
      </c>
      <c r="P535" s="17">
        <f t="shared" si="58"/>
        <v>0</v>
      </c>
      <c r="Q535" s="17"/>
      <c r="R535" s="17"/>
      <c r="S535" s="17"/>
      <c r="T535" s="17"/>
      <c r="U535" s="17"/>
      <c r="V535" s="17"/>
      <c r="W535" s="17" t="e">
        <f t="shared" si="59"/>
        <v>#REF!</v>
      </c>
      <c r="X535" s="17" t="e">
        <f t="shared" si="55"/>
        <v>#REF!</v>
      </c>
    </row>
    <row r="536" spans="1:24" ht="12.75" customHeight="1" x14ac:dyDescent="0.2">
      <c r="A536" s="19">
        <f t="shared" si="56"/>
        <v>126</v>
      </c>
      <c r="B536" s="19" t="s">
        <v>3698</v>
      </c>
      <c r="C536" s="19" t="e">
        <f t="shared" si="37"/>
        <v>#REF!</v>
      </c>
      <c r="D536" s="19" t="e">
        <f t="shared" si="38"/>
        <v>#REF!</v>
      </c>
      <c r="E536" s="19" t="e">
        <f t="shared" si="39"/>
        <v>#REF!</v>
      </c>
      <c r="F536" s="19" t="e">
        <f>VLOOKUP(B536,'Station List'!#REF!,2,0)</f>
        <v>#REF!</v>
      </c>
      <c r="G536" s="19" t="e">
        <v>#NAME?</v>
      </c>
      <c r="H536" s="19" t="e">
        <f t="shared" si="48"/>
        <v>#REF!</v>
      </c>
      <c r="I536" s="19" t="e">
        <f>VLOOKUP(B536,'Station List'!#REF!,4,0)</f>
        <v>#REF!</v>
      </c>
      <c r="J536" s="19" t="e">
        <v>#NAME?</v>
      </c>
      <c r="K536" s="19" t="e">
        <f t="shared" si="57"/>
        <v>#REF!</v>
      </c>
      <c r="L536" s="19" t="e">
        <f>VLOOKUP(B535,'Station List'!#REF!,9,0)</f>
        <v>#REF!</v>
      </c>
      <c r="M536" s="19" t="e">
        <v>#NAME?</v>
      </c>
      <c r="N536" s="17"/>
      <c r="O536" s="17"/>
      <c r="P536" s="17">
        <f t="shared" si="58"/>
        <v>1</v>
      </c>
      <c r="Q536" s="17"/>
      <c r="R536" s="17"/>
      <c r="S536" s="17"/>
      <c r="T536" s="17"/>
      <c r="U536" s="17"/>
      <c r="V536" s="17"/>
      <c r="W536" s="17" t="e">
        <f t="shared" si="59"/>
        <v>#REF!</v>
      </c>
      <c r="X536" s="17" t="e">
        <f t="shared" si="55"/>
        <v>#REF!</v>
      </c>
    </row>
    <row r="537" spans="1:24" ht="12.75" customHeight="1" x14ac:dyDescent="0.2">
      <c r="A537" s="19">
        <f t="shared" si="56"/>
        <v>127</v>
      </c>
      <c r="B537" s="19" t="s">
        <v>3699</v>
      </c>
      <c r="C537" s="19" t="e">
        <f t="shared" si="37"/>
        <v>#REF!</v>
      </c>
      <c r="D537" s="19" t="e">
        <f t="shared" si="38"/>
        <v>#REF!</v>
      </c>
      <c r="E537" s="19" t="e">
        <f t="shared" si="39"/>
        <v>#REF!</v>
      </c>
      <c r="F537" s="19" t="e">
        <f>VLOOKUP(B537,'Station List'!#REF!,2,0)</f>
        <v>#REF!</v>
      </c>
      <c r="G537" s="19" t="e">
        <v>#NAME?</v>
      </c>
      <c r="H537" s="19" t="e">
        <f t="shared" si="48"/>
        <v>#REF!</v>
      </c>
      <c r="I537" s="19" t="e">
        <f>VLOOKUP(B537,'Station List'!#REF!,4,0)</f>
        <v>#REF!</v>
      </c>
      <c r="J537" s="19" t="e">
        <v>#NAME?</v>
      </c>
      <c r="K537" s="19" t="e">
        <f t="shared" si="57"/>
        <v>#REF!</v>
      </c>
      <c r="L537" s="19" t="e">
        <f>VLOOKUP(B536,'Station List'!#REF!,9,0)</f>
        <v>#REF!</v>
      </c>
      <c r="M537" s="19" t="e">
        <v>#NAME?</v>
      </c>
      <c r="N537" s="17"/>
      <c r="O537" s="17" t="s">
        <v>3698</v>
      </c>
      <c r="P537" s="17">
        <f t="shared" si="58"/>
        <v>0</v>
      </c>
      <c r="Q537" s="17"/>
      <c r="R537" s="17"/>
      <c r="S537" s="17"/>
      <c r="T537" s="17"/>
      <c r="U537" s="17"/>
      <c r="V537" s="17"/>
      <c r="W537" s="17" t="e">
        <f t="shared" si="59"/>
        <v>#REF!</v>
      </c>
      <c r="X537" s="17" t="e">
        <f t="shared" si="55"/>
        <v>#REF!</v>
      </c>
    </row>
    <row r="538" spans="1:24" ht="12.75" customHeight="1" x14ac:dyDescent="0.2">
      <c r="A538" s="19">
        <f t="shared" si="56"/>
        <v>128</v>
      </c>
      <c r="B538" s="19" t="s">
        <v>3700</v>
      </c>
      <c r="C538" s="19" t="e">
        <f t="shared" si="37"/>
        <v>#REF!</v>
      </c>
      <c r="D538" s="19" t="e">
        <f t="shared" si="38"/>
        <v>#REF!</v>
      </c>
      <c r="E538" s="19" t="e">
        <f t="shared" si="39"/>
        <v>#REF!</v>
      </c>
      <c r="F538" s="19" t="e">
        <f>VLOOKUP(B538,'Station List'!#REF!,2,0)</f>
        <v>#REF!</v>
      </c>
      <c r="G538" s="19" t="e">
        <v>#NAME?</v>
      </c>
      <c r="H538" s="19" t="e">
        <f t="shared" si="48"/>
        <v>#REF!</v>
      </c>
      <c r="I538" s="19" t="e">
        <f>VLOOKUP(B538,'Station List'!#REF!,4,0)</f>
        <v>#REF!</v>
      </c>
      <c r="J538" s="19" t="e">
        <v>#NAME?</v>
      </c>
      <c r="K538" s="19" t="e">
        <f t="shared" si="57"/>
        <v>#REF!</v>
      </c>
      <c r="L538" s="115" t="e">
        <f>VLOOKUP(B537,'Station List'!#REF!,9,0)</f>
        <v>#REF!</v>
      </c>
      <c r="M538" s="19" t="e">
        <v>#NAME?</v>
      </c>
      <c r="N538" s="17"/>
      <c r="O538" s="17" t="s">
        <v>3699</v>
      </c>
      <c r="P538" s="17">
        <f t="shared" si="58"/>
        <v>0</v>
      </c>
      <c r="Q538" s="17"/>
      <c r="R538" s="17"/>
      <c r="S538" s="17"/>
      <c r="T538" s="17"/>
      <c r="U538" s="17"/>
      <c r="V538" s="17"/>
      <c r="W538" s="17" t="e">
        <f t="shared" si="59"/>
        <v>#REF!</v>
      </c>
      <c r="X538" s="17" t="e">
        <f t="shared" si="55"/>
        <v>#REF!</v>
      </c>
    </row>
    <row r="539" spans="1:24" ht="12.75" customHeight="1" x14ac:dyDescent="0.2">
      <c r="A539" s="19">
        <f t="shared" si="56"/>
        <v>129</v>
      </c>
      <c r="B539" s="19" t="s">
        <v>3701</v>
      </c>
      <c r="C539" s="19" t="e">
        <f t="shared" si="37"/>
        <v>#REF!</v>
      </c>
      <c r="D539" s="19" t="e">
        <f t="shared" si="38"/>
        <v>#REF!</v>
      </c>
      <c r="E539" s="19" t="e">
        <f t="shared" si="39"/>
        <v>#REF!</v>
      </c>
      <c r="F539" s="19" t="e">
        <f>VLOOKUP(B539,'Station List'!#REF!,2,0)</f>
        <v>#REF!</v>
      </c>
      <c r="G539" s="19" t="e">
        <v>#NAME?</v>
      </c>
      <c r="H539" s="19" t="e">
        <f t="shared" si="48"/>
        <v>#REF!</v>
      </c>
      <c r="I539" s="19" t="e">
        <f>VLOOKUP(B539,'Station List'!#REF!,4,0)</f>
        <v>#REF!</v>
      </c>
      <c r="J539" s="19" t="e">
        <v>#NAME?</v>
      </c>
      <c r="K539" s="19" t="e">
        <f t="shared" si="57"/>
        <v>#REF!</v>
      </c>
      <c r="L539" s="19" t="e">
        <f>VLOOKUP(B538,'Station List'!#REF!,9,0)</f>
        <v>#REF!</v>
      </c>
      <c r="M539" s="19" t="e">
        <v>#NAME?</v>
      </c>
      <c r="N539" s="17"/>
      <c r="O539" s="17" t="s">
        <v>3702</v>
      </c>
      <c r="P539" s="17">
        <f t="shared" si="58"/>
        <v>1</v>
      </c>
      <c r="Q539" s="17"/>
      <c r="R539" s="17"/>
      <c r="S539" s="17"/>
      <c r="T539" s="17"/>
      <c r="U539" s="17"/>
      <c r="V539" s="17"/>
      <c r="W539" s="17" t="e">
        <f t="shared" si="59"/>
        <v>#REF!</v>
      </c>
      <c r="X539" s="17" t="e">
        <f t="shared" si="55"/>
        <v>#REF!</v>
      </c>
    </row>
    <row r="540" spans="1:24" ht="12.75" customHeight="1" x14ac:dyDescent="0.2">
      <c r="A540" s="19">
        <f t="shared" si="56"/>
        <v>130</v>
      </c>
      <c r="B540" s="19" t="s">
        <v>3703</v>
      </c>
      <c r="C540" s="19" t="e">
        <f t="shared" si="37"/>
        <v>#REF!</v>
      </c>
      <c r="D540" s="19" t="e">
        <f t="shared" si="38"/>
        <v>#REF!</v>
      </c>
      <c r="E540" s="19" t="e">
        <f t="shared" si="39"/>
        <v>#REF!</v>
      </c>
      <c r="F540" s="19" t="e">
        <f>VLOOKUP(B540,'Station List'!#REF!,2,0)</f>
        <v>#REF!</v>
      </c>
      <c r="G540" s="19" t="e">
        <v>#NAME?</v>
      </c>
      <c r="H540" s="19" t="e">
        <f t="shared" si="48"/>
        <v>#REF!</v>
      </c>
      <c r="I540" s="19" t="e">
        <f>VLOOKUP(B540,'Station List'!#REF!,4,0)</f>
        <v>#REF!</v>
      </c>
      <c r="J540" s="19" t="e">
        <v>#NAME?</v>
      </c>
      <c r="K540" s="19" t="e">
        <f t="shared" si="57"/>
        <v>#REF!</v>
      </c>
      <c r="L540" s="19" t="e">
        <f>VLOOKUP(B539,'Station List'!#REF!,9,0)</f>
        <v>#REF!</v>
      </c>
      <c r="M540" s="19" t="e">
        <v>#NAME?</v>
      </c>
      <c r="N540" s="17"/>
      <c r="O540" s="17" t="s">
        <v>3701</v>
      </c>
      <c r="P540" s="17">
        <f t="shared" si="58"/>
        <v>0</v>
      </c>
      <c r="Q540" s="17"/>
      <c r="R540" s="17"/>
      <c r="S540" s="17"/>
      <c r="T540" s="17"/>
      <c r="U540" s="17"/>
      <c r="V540" s="17"/>
      <c r="W540" s="17" t="e">
        <f t="shared" si="59"/>
        <v>#REF!</v>
      </c>
      <c r="X540" s="17" t="e">
        <f t="shared" si="55"/>
        <v>#REF!</v>
      </c>
    </row>
    <row r="541" spans="1:24" ht="12.75" customHeight="1" x14ac:dyDescent="0.2">
      <c r="A541" s="19">
        <f t="shared" si="56"/>
        <v>131</v>
      </c>
      <c r="B541" s="19" t="s">
        <v>3704</v>
      </c>
      <c r="C541" s="19" t="e">
        <f t="shared" si="37"/>
        <v>#REF!</v>
      </c>
      <c r="D541" s="19" t="e">
        <f t="shared" si="38"/>
        <v>#REF!</v>
      </c>
      <c r="E541" s="19" t="e">
        <f t="shared" si="39"/>
        <v>#REF!</v>
      </c>
      <c r="F541" s="19" t="e">
        <f>VLOOKUP(B541,'Station List'!#REF!,2,0)</f>
        <v>#REF!</v>
      </c>
      <c r="G541" s="19" t="e">
        <v>#NAME?</v>
      </c>
      <c r="H541" s="19" t="e">
        <f t="shared" si="48"/>
        <v>#REF!</v>
      </c>
      <c r="I541" s="19" t="e">
        <f>VLOOKUP(B541,'Station List'!#REF!,4,0)</f>
        <v>#REF!</v>
      </c>
      <c r="J541" s="19" t="e">
        <v>#NAME?</v>
      </c>
      <c r="K541" s="19" t="e">
        <f t="shared" si="57"/>
        <v>#REF!</v>
      </c>
      <c r="L541" s="19" t="e">
        <f>VLOOKUP(B540,'Station List'!#REF!,9,0)</f>
        <v>#REF!</v>
      </c>
      <c r="M541" s="19" t="e">
        <v>#NAME?</v>
      </c>
      <c r="N541" s="17"/>
      <c r="O541" s="17" t="s">
        <v>3703</v>
      </c>
      <c r="P541" s="17">
        <f t="shared" si="58"/>
        <v>0</v>
      </c>
      <c r="Q541" s="17"/>
      <c r="R541" s="17"/>
      <c r="S541" s="17"/>
      <c r="T541" s="17"/>
      <c r="U541" s="17"/>
      <c r="V541" s="17"/>
      <c r="W541" s="17" t="e">
        <f t="shared" si="59"/>
        <v>#REF!</v>
      </c>
      <c r="X541" s="17" t="e">
        <f t="shared" si="55"/>
        <v>#REF!</v>
      </c>
    </row>
    <row r="542" spans="1:24" ht="12.75" customHeight="1" x14ac:dyDescent="0.2">
      <c r="A542" s="19">
        <f t="shared" si="56"/>
        <v>132</v>
      </c>
      <c r="B542" s="19" t="s">
        <v>3705</v>
      </c>
      <c r="C542" s="19" t="e">
        <f t="shared" si="37"/>
        <v>#REF!</v>
      </c>
      <c r="D542" s="19" t="e">
        <f t="shared" si="38"/>
        <v>#REF!</v>
      </c>
      <c r="E542" s="19" t="e">
        <f t="shared" si="39"/>
        <v>#REF!</v>
      </c>
      <c r="F542" s="19" t="e">
        <f>VLOOKUP(B542,'Station List'!#REF!,2,0)</f>
        <v>#REF!</v>
      </c>
      <c r="G542" s="19" t="e">
        <v>#NAME?</v>
      </c>
      <c r="H542" s="19" t="e">
        <f t="shared" si="48"/>
        <v>#REF!</v>
      </c>
      <c r="I542" s="19" t="e">
        <f>VLOOKUP(B542,'Station List'!#REF!,4,0)</f>
        <v>#REF!</v>
      </c>
      <c r="J542" s="19" t="e">
        <v>#NAME?</v>
      </c>
      <c r="K542" s="19" t="e">
        <f t="shared" si="57"/>
        <v>#REF!</v>
      </c>
      <c r="L542" s="19" t="e">
        <f>VLOOKUP(B541,'Station List'!#REF!,9,0)</f>
        <v>#REF!</v>
      </c>
      <c r="M542" s="19" t="e">
        <v>#NAME?</v>
      </c>
      <c r="N542" s="17"/>
      <c r="O542" s="17" t="s">
        <v>3704</v>
      </c>
      <c r="P542" s="17">
        <f t="shared" si="58"/>
        <v>0</v>
      </c>
      <c r="Q542" s="17"/>
      <c r="R542" s="17"/>
      <c r="S542" s="17"/>
      <c r="T542" s="17"/>
      <c r="U542" s="17"/>
      <c r="V542" s="17"/>
      <c r="W542" s="17" t="e">
        <f t="shared" si="59"/>
        <v>#REF!</v>
      </c>
      <c r="X542" s="17" t="e">
        <f t="shared" si="55"/>
        <v>#REF!</v>
      </c>
    </row>
    <row r="543" spans="1:24" ht="12.75" customHeight="1" x14ac:dyDescent="0.2">
      <c r="A543" s="19">
        <f t="shared" si="56"/>
        <v>133</v>
      </c>
      <c r="B543" s="19" t="s">
        <v>3706</v>
      </c>
      <c r="C543" s="19" t="e">
        <f t="shared" si="37"/>
        <v>#REF!</v>
      </c>
      <c r="D543" s="19" t="e">
        <f t="shared" si="38"/>
        <v>#REF!</v>
      </c>
      <c r="E543" s="19" t="e">
        <f t="shared" si="39"/>
        <v>#REF!</v>
      </c>
      <c r="F543" s="19" t="e">
        <f>VLOOKUP(B543,'Station List'!#REF!,2,0)</f>
        <v>#REF!</v>
      </c>
      <c r="G543" s="19" t="e">
        <v>#NAME?</v>
      </c>
      <c r="H543" s="19" t="e">
        <f t="shared" si="48"/>
        <v>#REF!</v>
      </c>
      <c r="I543" s="19" t="e">
        <f>VLOOKUP(B543,'Station List'!#REF!,4,0)</f>
        <v>#REF!</v>
      </c>
      <c r="J543" s="19" t="e">
        <v>#NAME?</v>
      </c>
      <c r="K543" s="19" t="e">
        <f t="shared" si="57"/>
        <v>#REF!</v>
      </c>
      <c r="L543" s="19" t="e">
        <f>VLOOKUP(B542,'Station List'!#REF!,9,0)</f>
        <v>#REF!</v>
      </c>
      <c r="M543" s="19" t="e">
        <v>#NAME?</v>
      </c>
      <c r="N543" s="17"/>
      <c r="O543" s="17" t="s">
        <v>3705</v>
      </c>
      <c r="P543" s="17">
        <f t="shared" si="58"/>
        <v>0</v>
      </c>
      <c r="Q543" s="17"/>
      <c r="R543" s="17"/>
      <c r="S543" s="17"/>
      <c r="T543" s="17"/>
      <c r="U543" s="17"/>
      <c r="V543" s="17"/>
      <c r="W543" s="17" t="e">
        <f t="shared" si="59"/>
        <v>#REF!</v>
      </c>
      <c r="X543" s="17" t="e">
        <f t="shared" si="55"/>
        <v>#REF!</v>
      </c>
    </row>
    <row r="544" spans="1:24" ht="12.75" customHeight="1" x14ac:dyDescent="0.2">
      <c r="A544" s="19">
        <f t="shared" si="56"/>
        <v>134</v>
      </c>
      <c r="B544" s="19" t="s">
        <v>3707</v>
      </c>
      <c r="C544" s="19" t="e">
        <f t="shared" si="37"/>
        <v>#REF!</v>
      </c>
      <c r="D544" s="19" t="e">
        <f t="shared" si="38"/>
        <v>#REF!</v>
      </c>
      <c r="E544" s="19" t="e">
        <f t="shared" si="39"/>
        <v>#REF!</v>
      </c>
      <c r="F544" s="19" t="e">
        <f>VLOOKUP(B544,'Station List'!#REF!,2,0)</f>
        <v>#REF!</v>
      </c>
      <c r="G544" s="19" t="e">
        <v>#NAME?</v>
      </c>
      <c r="H544" s="19" t="e">
        <f t="shared" si="48"/>
        <v>#REF!</v>
      </c>
      <c r="I544" s="19" t="e">
        <f>VLOOKUP(B544,'Station List'!#REF!,4,0)</f>
        <v>#REF!</v>
      </c>
      <c r="J544" s="19" t="e">
        <v>#NAME?</v>
      </c>
      <c r="K544" s="19" t="e">
        <f t="shared" si="57"/>
        <v>#REF!</v>
      </c>
      <c r="L544" s="19" t="e">
        <f>VLOOKUP(B543,'Station List'!#REF!,9,0)</f>
        <v>#REF!</v>
      </c>
      <c r="M544" s="19" t="e">
        <v>#NAME?</v>
      </c>
      <c r="N544" s="17"/>
      <c r="O544" s="17" t="s">
        <v>3706</v>
      </c>
      <c r="P544" s="17">
        <f t="shared" si="58"/>
        <v>0</v>
      </c>
      <c r="Q544" s="17"/>
      <c r="R544" s="17"/>
      <c r="S544" s="17"/>
      <c r="T544" s="17"/>
      <c r="U544" s="17"/>
      <c r="V544" s="17"/>
      <c r="W544" s="17" t="e">
        <f t="shared" si="59"/>
        <v>#REF!</v>
      </c>
      <c r="X544" s="17" t="e">
        <f t="shared" si="55"/>
        <v>#REF!</v>
      </c>
    </row>
    <row r="545" spans="1:24" ht="12.75" customHeight="1" x14ac:dyDescent="0.2">
      <c r="A545" s="19">
        <f t="shared" si="56"/>
        <v>135</v>
      </c>
      <c r="B545" s="19" t="s">
        <v>3708</v>
      </c>
      <c r="C545" s="19" t="e">
        <f t="shared" si="37"/>
        <v>#REF!</v>
      </c>
      <c r="D545" s="19" t="e">
        <f t="shared" si="38"/>
        <v>#REF!</v>
      </c>
      <c r="E545" s="19" t="e">
        <f t="shared" si="39"/>
        <v>#REF!</v>
      </c>
      <c r="F545" s="19" t="e">
        <f>VLOOKUP(B545,'Station List'!#REF!,2,0)</f>
        <v>#REF!</v>
      </c>
      <c r="G545" s="19" t="e">
        <v>#NAME?</v>
      </c>
      <c r="H545" s="19" t="e">
        <f t="shared" si="48"/>
        <v>#REF!</v>
      </c>
      <c r="I545" s="19" t="e">
        <f>VLOOKUP(B545,'Station List'!#REF!,4,0)</f>
        <v>#REF!</v>
      </c>
      <c r="J545" s="19" t="e">
        <v>#NAME?</v>
      </c>
      <c r="K545" s="19" t="e">
        <f t="shared" si="57"/>
        <v>#REF!</v>
      </c>
      <c r="L545" s="19" t="e">
        <f>VLOOKUP(B544,'Station List'!#REF!,9,0)</f>
        <v>#REF!</v>
      </c>
      <c r="M545" s="19" t="e">
        <v>#NAME?</v>
      </c>
      <c r="N545" s="17"/>
      <c r="O545" s="17" t="s">
        <v>3707</v>
      </c>
      <c r="P545" s="17">
        <f t="shared" si="58"/>
        <v>0</v>
      </c>
      <c r="Q545" s="17"/>
      <c r="R545" s="17"/>
      <c r="S545" s="17"/>
      <c r="T545" s="17"/>
      <c r="U545" s="17"/>
      <c r="V545" s="17"/>
      <c r="W545" s="17" t="e">
        <f t="shared" si="59"/>
        <v>#REF!</v>
      </c>
      <c r="X545" s="17" t="e">
        <f t="shared" si="55"/>
        <v>#REF!</v>
      </c>
    </row>
    <row r="546" spans="1:24" ht="12.75" customHeight="1" x14ac:dyDescent="0.2">
      <c r="A546" s="19">
        <f t="shared" si="56"/>
        <v>136</v>
      </c>
      <c r="B546" s="19" t="s">
        <v>3709</v>
      </c>
      <c r="C546" s="19" t="e">
        <f t="shared" si="37"/>
        <v>#REF!</v>
      </c>
      <c r="D546" s="19" t="e">
        <f t="shared" si="38"/>
        <v>#REF!</v>
      </c>
      <c r="E546" s="19" t="e">
        <f t="shared" si="39"/>
        <v>#REF!</v>
      </c>
      <c r="F546" s="19" t="e">
        <f>VLOOKUP(B546,'Station List'!#REF!,2,0)</f>
        <v>#REF!</v>
      </c>
      <c r="G546" s="19" t="e">
        <v>#NAME?</v>
      </c>
      <c r="H546" s="19" t="e">
        <f t="shared" si="48"/>
        <v>#REF!</v>
      </c>
      <c r="I546" s="19" t="e">
        <f>VLOOKUP(B546,'Station List'!#REF!,4,0)</f>
        <v>#REF!</v>
      </c>
      <c r="J546" s="19" t="e">
        <v>#NAME?</v>
      </c>
      <c r="K546" s="19" t="e">
        <f t="shared" si="57"/>
        <v>#REF!</v>
      </c>
      <c r="L546" s="19" t="e">
        <f>VLOOKUP(B545,'Station List'!#REF!,9,0)</f>
        <v>#REF!</v>
      </c>
      <c r="M546" s="19" t="e">
        <v>#NAME?</v>
      </c>
      <c r="N546" s="17"/>
      <c r="O546" s="17" t="s">
        <v>3708</v>
      </c>
      <c r="P546" s="17">
        <f t="shared" si="58"/>
        <v>0</v>
      </c>
      <c r="Q546" s="17"/>
      <c r="R546" s="17"/>
      <c r="S546" s="17"/>
      <c r="T546" s="17"/>
      <c r="U546" s="17"/>
      <c r="V546" s="17"/>
      <c r="W546" s="17" t="e">
        <f t="shared" si="59"/>
        <v>#REF!</v>
      </c>
      <c r="X546" s="17" t="e">
        <f t="shared" si="55"/>
        <v>#REF!</v>
      </c>
    </row>
    <row r="547" spans="1:24" ht="12.75" customHeight="1" x14ac:dyDescent="0.2">
      <c r="A547" s="19">
        <f t="shared" si="56"/>
        <v>137</v>
      </c>
      <c r="B547" s="19" t="s">
        <v>3710</v>
      </c>
      <c r="C547" s="19" t="e">
        <f t="shared" si="37"/>
        <v>#REF!</v>
      </c>
      <c r="D547" s="19" t="e">
        <f t="shared" si="38"/>
        <v>#REF!</v>
      </c>
      <c r="E547" s="19" t="e">
        <f t="shared" si="39"/>
        <v>#REF!</v>
      </c>
      <c r="F547" s="19" t="e">
        <f>VLOOKUP(B547,'Station List'!#REF!,2,0)</f>
        <v>#REF!</v>
      </c>
      <c r="G547" s="19" t="e">
        <v>#NAME?</v>
      </c>
      <c r="H547" s="19" t="e">
        <f t="shared" si="48"/>
        <v>#REF!</v>
      </c>
      <c r="I547" s="19" t="e">
        <f>VLOOKUP(B547,'Station List'!#REF!,4,0)</f>
        <v>#REF!</v>
      </c>
      <c r="J547" s="19" t="e">
        <v>#NAME?</v>
      </c>
      <c r="K547" s="19" t="e">
        <f t="shared" si="57"/>
        <v>#REF!</v>
      </c>
      <c r="L547" s="19" t="e">
        <f>VLOOKUP(B546,'Station List'!#REF!,9,0)</f>
        <v>#REF!</v>
      </c>
      <c r="M547" s="19" t="e">
        <v>#NAME?</v>
      </c>
      <c r="N547" s="17"/>
      <c r="O547" s="17" t="s">
        <v>3709</v>
      </c>
      <c r="P547" s="17">
        <f t="shared" si="58"/>
        <v>0</v>
      </c>
      <c r="Q547" s="17"/>
      <c r="R547" s="17"/>
      <c r="S547" s="17"/>
      <c r="T547" s="17"/>
      <c r="U547" s="17"/>
      <c r="V547" s="17"/>
      <c r="W547" s="17" t="e">
        <f t="shared" si="59"/>
        <v>#REF!</v>
      </c>
      <c r="X547" s="17" t="e">
        <f t="shared" si="55"/>
        <v>#REF!</v>
      </c>
    </row>
    <row r="548" spans="1:24" ht="12.75" customHeight="1" x14ac:dyDescent="0.2">
      <c r="A548" s="19">
        <f t="shared" si="56"/>
        <v>138</v>
      </c>
      <c r="B548" s="19" t="s">
        <v>3711</v>
      </c>
      <c r="C548" s="19" t="e">
        <f t="shared" si="37"/>
        <v>#REF!</v>
      </c>
      <c r="D548" s="19" t="e">
        <f t="shared" si="38"/>
        <v>#REF!</v>
      </c>
      <c r="E548" s="19" t="e">
        <f t="shared" si="39"/>
        <v>#REF!</v>
      </c>
      <c r="F548" s="19" t="e">
        <f>VLOOKUP(B548,'Station List'!#REF!,2,0)</f>
        <v>#REF!</v>
      </c>
      <c r="G548" s="19" t="e">
        <v>#NAME?</v>
      </c>
      <c r="H548" s="19" t="e">
        <f t="shared" si="48"/>
        <v>#REF!</v>
      </c>
      <c r="I548" s="19" t="e">
        <f>VLOOKUP(B548,'Station List'!#REF!,4,0)</f>
        <v>#REF!</v>
      </c>
      <c r="J548" s="19" t="e">
        <v>#NAME?</v>
      </c>
      <c r="K548" s="19" t="e">
        <f t="shared" si="57"/>
        <v>#REF!</v>
      </c>
      <c r="L548" s="19" t="e">
        <f>VLOOKUP(B547,'Station List'!#REF!,9,0)</f>
        <v>#REF!</v>
      </c>
      <c r="M548" s="19" t="e">
        <v>#NAME?</v>
      </c>
      <c r="N548" s="17"/>
      <c r="O548" s="17" t="s">
        <v>3710</v>
      </c>
      <c r="P548" s="17">
        <f t="shared" si="58"/>
        <v>0</v>
      </c>
      <c r="Q548" s="17"/>
      <c r="R548" s="17"/>
      <c r="S548" s="17"/>
      <c r="T548" s="17"/>
      <c r="U548" s="17"/>
      <c r="V548" s="17"/>
      <c r="W548" s="17" t="e">
        <f t="shared" si="59"/>
        <v>#REF!</v>
      </c>
      <c r="X548" s="17" t="e">
        <f t="shared" si="55"/>
        <v>#REF!</v>
      </c>
    </row>
    <row r="549" spans="1:24" ht="12.75" customHeight="1" x14ac:dyDescent="0.2">
      <c r="A549" s="19">
        <f t="shared" si="56"/>
        <v>139</v>
      </c>
      <c r="B549" s="19" t="s">
        <v>3712</v>
      </c>
      <c r="C549" s="19" t="e">
        <f t="shared" si="37"/>
        <v>#REF!</v>
      </c>
      <c r="D549" s="19" t="e">
        <f t="shared" si="38"/>
        <v>#REF!</v>
      </c>
      <c r="E549" s="19" t="e">
        <f t="shared" si="39"/>
        <v>#REF!</v>
      </c>
      <c r="F549" s="19" t="e">
        <f>VLOOKUP(B549,'Station List'!#REF!,2,0)</f>
        <v>#REF!</v>
      </c>
      <c r="G549" s="19" t="e">
        <v>#NAME?</v>
      </c>
      <c r="H549" s="19" t="e">
        <f t="shared" si="48"/>
        <v>#REF!</v>
      </c>
      <c r="I549" s="19" t="e">
        <f>VLOOKUP(B549,'Station List'!#REF!,4,0)</f>
        <v>#REF!</v>
      </c>
      <c r="J549" s="19" t="e">
        <v>#NAME?</v>
      </c>
      <c r="K549" s="19" t="e">
        <f t="shared" si="57"/>
        <v>#REF!</v>
      </c>
      <c r="L549" s="19" t="e">
        <f>VLOOKUP(B548,'Station List'!#REF!,9,0)</f>
        <v>#REF!</v>
      </c>
      <c r="M549" s="19" t="e">
        <v>#NAME?</v>
      </c>
      <c r="N549" s="17"/>
      <c r="O549" s="17" t="s">
        <v>3711</v>
      </c>
      <c r="P549" s="17">
        <f t="shared" si="58"/>
        <v>0</v>
      </c>
      <c r="Q549" s="17"/>
      <c r="R549" s="17"/>
      <c r="S549" s="17"/>
      <c r="T549" s="17"/>
      <c r="U549" s="17"/>
      <c r="V549" s="17"/>
      <c r="W549" s="17" t="e">
        <f t="shared" si="59"/>
        <v>#REF!</v>
      </c>
      <c r="X549" s="17" t="e">
        <f t="shared" si="55"/>
        <v>#REF!</v>
      </c>
    </row>
    <row r="550" spans="1:24" ht="12.75" customHeight="1" x14ac:dyDescent="0.2">
      <c r="A550" s="19">
        <f t="shared" si="56"/>
        <v>140</v>
      </c>
      <c r="B550" s="19" t="s">
        <v>3713</v>
      </c>
      <c r="C550" s="19" t="e">
        <f t="shared" si="37"/>
        <v>#REF!</v>
      </c>
      <c r="D550" s="19" t="e">
        <f t="shared" si="38"/>
        <v>#REF!</v>
      </c>
      <c r="E550" s="19" t="e">
        <f t="shared" si="39"/>
        <v>#REF!</v>
      </c>
      <c r="F550" s="19" t="e">
        <f>VLOOKUP(B550,'Station List'!#REF!,2,0)</f>
        <v>#REF!</v>
      </c>
      <c r="G550" s="19" t="e">
        <v>#NAME?</v>
      </c>
      <c r="H550" s="19" t="e">
        <f t="shared" si="48"/>
        <v>#REF!</v>
      </c>
      <c r="I550" s="19" t="e">
        <f>VLOOKUP(B550,'Station List'!#REF!,4,0)</f>
        <v>#REF!</v>
      </c>
      <c r="J550" s="19" t="e">
        <v>#NAME?</v>
      </c>
      <c r="K550" s="19" t="e">
        <f t="shared" si="57"/>
        <v>#REF!</v>
      </c>
      <c r="L550" s="19" t="e">
        <f>VLOOKUP(B549,'Station List'!#REF!,9,0)</f>
        <v>#REF!</v>
      </c>
      <c r="M550" s="19" t="e">
        <v>#NAME?</v>
      </c>
      <c r="N550" s="17"/>
      <c r="O550" s="17" t="s">
        <v>3712</v>
      </c>
      <c r="P550" s="17">
        <f t="shared" si="58"/>
        <v>0</v>
      </c>
      <c r="Q550" s="17"/>
      <c r="R550" s="17"/>
      <c r="S550" s="17"/>
      <c r="T550" s="17"/>
      <c r="U550" s="17"/>
      <c r="V550" s="17"/>
      <c r="W550" s="17" t="e">
        <f t="shared" si="59"/>
        <v>#REF!</v>
      </c>
      <c r="X550" s="17" t="e">
        <f t="shared" si="55"/>
        <v>#REF!</v>
      </c>
    </row>
    <row r="551" spans="1:24" ht="12.75" customHeight="1" x14ac:dyDescent="0.2">
      <c r="A551" s="19">
        <f t="shared" si="56"/>
        <v>141</v>
      </c>
      <c r="B551" s="19" t="s">
        <v>3714</v>
      </c>
      <c r="C551" s="19" t="e">
        <f t="shared" si="37"/>
        <v>#REF!</v>
      </c>
      <c r="D551" s="19" t="e">
        <f t="shared" si="38"/>
        <v>#REF!</v>
      </c>
      <c r="E551" s="19" t="e">
        <f t="shared" si="39"/>
        <v>#REF!</v>
      </c>
      <c r="F551" s="19" t="e">
        <f>VLOOKUP(B551,'Station List'!#REF!,2,0)</f>
        <v>#REF!</v>
      </c>
      <c r="G551" s="19" t="e">
        <v>#NAME?</v>
      </c>
      <c r="H551" s="19" t="e">
        <f t="shared" si="48"/>
        <v>#REF!</v>
      </c>
      <c r="I551" s="19" t="e">
        <f>VLOOKUP(B551,'Station List'!#REF!,4,0)</f>
        <v>#REF!</v>
      </c>
      <c r="J551" s="19" t="e">
        <v>#NAME?</v>
      </c>
      <c r="K551" s="19" t="e">
        <f t="shared" si="57"/>
        <v>#REF!</v>
      </c>
      <c r="L551" s="19" t="e">
        <f>VLOOKUP(B550,'Station List'!#REF!,9,0)</f>
        <v>#REF!</v>
      </c>
      <c r="M551" s="19" t="e">
        <v>#NAME?</v>
      </c>
      <c r="N551" s="17"/>
      <c r="O551" s="17" t="s">
        <v>3713</v>
      </c>
      <c r="P551" s="17">
        <f t="shared" si="58"/>
        <v>0</v>
      </c>
      <c r="Q551" s="17"/>
      <c r="R551" s="17"/>
      <c r="S551" s="17"/>
      <c r="T551" s="17"/>
      <c r="U551" s="17"/>
      <c r="V551" s="17"/>
      <c r="W551" s="17" t="e">
        <f t="shared" si="59"/>
        <v>#REF!</v>
      </c>
      <c r="X551" s="17" t="e">
        <f t="shared" si="55"/>
        <v>#REF!</v>
      </c>
    </row>
    <row r="552" spans="1:24" ht="12.75" customHeight="1" x14ac:dyDescent="0.2">
      <c r="A552" s="19">
        <f t="shared" si="56"/>
        <v>142</v>
      </c>
      <c r="B552" s="19" t="s">
        <v>3715</v>
      </c>
      <c r="C552" s="19" t="e">
        <f t="shared" si="37"/>
        <v>#REF!</v>
      </c>
      <c r="D552" s="19" t="e">
        <f t="shared" si="38"/>
        <v>#REF!</v>
      </c>
      <c r="E552" s="19" t="e">
        <f t="shared" si="39"/>
        <v>#REF!</v>
      </c>
      <c r="F552" s="19" t="e">
        <f>VLOOKUP(B552,'Station List'!#REF!,2,0)</f>
        <v>#REF!</v>
      </c>
      <c r="G552" s="19" t="e">
        <v>#NAME?</v>
      </c>
      <c r="H552" s="19" t="e">
        <f t="shared" si="48"/>
        <v>#REF!</v>
      </c>
      <c r="I552" s="19" t="e">
        <f>VLOOKUP(B552,'Station List'!#REF!,4,0)</f>
        <v>#REF!</v>
      </c>
      <c r="J552" s="19" t="e">
        <v>#NAME?</v>
      </c>
      <c r="K552" s="19" t="e">
        <f t="shared" si="57"/>
        <v>#REF!</v>
      </c>
      <c r="L552" s="19" t="e">
        <f>VLOOKUP(B551,'Station List'!#REF!,9,0)</f>
        <v>#REF!</v>
      </c>
      <c r="M552" s="19" t="e">
        <v>#NAME?</v>
      </c>
      <c r="N552" s="17"/>
      <c r="O552" s="17" t="s">
        <v>3714</v>
      </c>
      <c r="P552" s="17">
        <f t="shared" si="58"/>
        <v>0</v>
      </c>
      <c r="Q552" s="17"/>
      <c r="R552" s="17"/>
      <c r="S552" s="17"/>
      <c r="T552" s="17"/>
      <c r="U552" s="17"/>
      <c r="V552" s="17"/>
      <c r="W552" s="17" t="e">
        <f t="shared" si="59"/>
        <v>#REF!</v>
      </c>
      <c r="X552" s="17" t="e">
        <f t="shared" si="55"/>
        <v>#REF!</v>
      </c>
    </row>
    <row r="553" spans="1:24" ht="12.75" customHeight="1" x14ac:dyDescent="0.2">
      <c r="A553" s="19">
        <f t="shared" si="56"/>
        <v>143</v>
      </c>
      <c r="B553" s="19" t="s">
        <v>3716</v>
      </c>
      <c r="C553" s="19" t="e">
        <f t="shared" si="37"/>
        <v>#REF!</v>
      </c>
      <c r="D553" s="19" t="e">
        <f t="shared" si="38"/>
        <v>#REF!</v>
      </c>
      <c r="E553" s="19" t="e">
        <f t="shared" si="39"/>
        <v>#REF!</v>
      </c>
      <c r="F553" s="19" t="e">
        <f>VLOOKUP(B553,'Station List'!#REF!,2,0)</f>
        <v>#REF!</v>
      </c>
      <c r="G553" s="19" t="e">
        <v>#NAME?</v>
      </c>
      <c r="H553" s="19" t="e">
        <f t="shared" si="48"/>
        <v>#REF!</v>
      </c>
      <c r="I553" s="19" t="e">
        <f>VLOOKUP(B553,'Station List'!#REF!,4,0)</f>
        <v>#REF!</v>
      </c>
      <c r="J553" s="19" t="e">
        <v>#NAME?</v>
      </c>
      <c r="K553" s="19" t="e">
        <f t="shared" si="57"/>
        <v>#REF!</v>
      </c>
      <c r="L553" s="19" t="e">
        <f>VLOOKUP(B552,'Station List'!#REF!,9,0)</f>
        <v>#REF!</v>
      </c>
      <c r="M553" s="19" t="e">
        <v>#NAME?</v>
      </c>
      <c r="N553" s="17"/>
      <c r="O553" s="17" t="s">
        <v>3715</v>
      </c>
      <c r="P553" s="17">
        <f t="shared" si="58"/>
        <v>0</v>
      </c>
      <c r="Q553" s="17"/>
      <c r="R553" s="17"/>
      <c r="S553" s="17"/>
      <c r="T553" s="17"/>
      <c r="U553" s="17"/>
      <c r="V553" s="17"/>
      <c r="W553" s="17" t="e">
        <f t="shared" si="59"/>
        <v>#REF!</v>
      </c>
      <c r="X553" s="17" t="e">
        <f t="shared" si="55"/>
        <v>#REF!</v>
      </c>
    </row>
    <row r="554" spans="1:24" ht="12.75" customHeight="1" x14ac:dyDescent="0.2">
      <c r="A554" s="19">
        <f t="shared" si="56"/>
        <v>144</v>
      </c>
      <c r="B554" s="19" t="s">
        <v>3717</v>
      </c>
      <c r="C554" s="19" t="e">
        <f t="shared" si="37"/>
        <v>#REF!</v>
      </c>
      <c r="D554" s="19" t="e">
        <f t="shared" si="38"/>
        <v>#REF!</v>
      </c>
      <c r="E554" s="19" t="e">
        <f t="shared" si="39"/>
        <v>#REF!</v>
      </c>
      <c r="F554" s="19" t="e">
        <f>VLOOKUP(B554,'Station List'!#REF!,2,0)</f>
        <v>#REF!</v>
      </c>
      <c r="G554" s="19" t="e">
        <v>#NAME?</v>
      </c>
      <c r="H554" s="19" t="e">
        <f t="shared" si="48"/>
        <v>#REF!</v>
      </c>
      <c r="I554" s="19" t="e">
        <f>VLOOKUP(B554,'Station List'!#REF!,4,0)</f>
        <v>#REF!</v>
      </c>
      <c r="J554" s="19" t="e">
        <v>#NAME?</v>
      </c>
      <c r="K554" s="19" t="e">
        <f t="shared" si="57"/>
        <v>#REF!</v>
      </c>
      <c r="L554" s="19" t="e">
        <f>VLOOKUP(B553,'Station List'!#REF!,9,0)</f>
        <v>#REF!</v>
      </c>
      <c r="M554" s="19" t="e">
        <v>#NAME?</v>
      </c>
      <c r="N554" s="17"/>
      <c r="O554" s="17" t="s">
        <v>3716</v>
      </c>
      <c r="P554" s="17">
        <f t="shared" si="58"/>
        <v>0</v>
      </c>
      <c r="Q554" s="17"/>
      <c r="R554" s="17"/>
      <c r="S554" s="17"/>
      <c r="T554" s="17"/>
      <c r="U554" s="17"/>
      <c r="V554" s="17"/>
      <c r="W554" s="17" t="e">
        <f t="shared" si="59"/>
        <v>#REF!</v>
      </c>
      <c r="X554" s="17" t="e">
        <f t="shared" si="55"/>
        <v>#REF!</v>
      </c>
    </row>
    <row r="555" spans="1:24" ht="12.75" customHeight="1" x14ac:dyDescent="0.2">
      <c r="A555" s="19">
        <f t="shared" si="56"/>
        <v>145</v>
      </c>
      <c r="B555" s="19" t="s">
        <v>3718</v>
      </c>
      <c r="C555" s="19" t="e">
        <f t="shared" si="37"/>
        <v>#REF!</v>
      </c>
      <c r="D555" s="19" t="e">
        <f t="shared" si="38"/>
        <v>#REF!</v>
      </c>
      <c r="E555" s="19" t="e">
        <f t="shared" si="39"/>
        <v>#REF!</v>
      </c>
      <c r="F555" s="19" t="e">
        <f>VLOOKUP(B555,'Station List'!#REF!,2,0)</f>
        <v>#REF!</v>
      </c>
      <c r="G555" s="19" t="e">
        <v>#NAME?</v>
      </c>
      <c r="H555" s="19" t="e">
        <f t="shared" si="48"/>
        <v>#REF!</v>
      </c>
      <c r="I555" s="19" t="e">
        <f>VLOOKUP(B555,'Station List'!#REF!,4,0)</f>
        <v>#REF!</v>
      </c>
      <c r="J555" s="19" t="e">
        <v>#NAME?</v>
      </c>
      <c r="K555" s="19" t="e">
        <f t="shared" si="57"/>
        <v>#REF!</v>
      </c>
      <c r="L555" s="19" t="e">
        <f>VLOOKUP(B554,'Station List'!#REF!,9,0)</f>
        <v>#REF!</v>
      </c>
      <c r="M555" s="19" t="e">
        <v>#NAME?</v>
      </c>
      <c r="N555" s="17"/>
      <c r="O555" s="17" t="s">
        <v>3717</v>
      </c>
      <c r="P555" s="17">
        <f t="shared" si="58"/>
        <v>0</v>
      </c>
      <c r="Q555" s="17"/>
      <c r="R555" s="17"/>
      <c r="S555" s="17"/>
      <c r="T555" s="17"/>
      <c r="U555" s="17"/>
      <c r="V555" s="17"/>
      <c r="W555" s="17" t="e">
        <f t="shared" si="59"/>
        <v>#REF!</v>
      </c>
      <c r="X555" s="17" t="e">
        <f t="shared" si="55"/>
        <v>#REF!</v>
      </c>
    </row>
    <row r="556" spans="1:24" ht="12.75" customHeight="1" x14ac:dyDescent="0.2">
      <c r="A556" s="19">
        <f t="shared" si="56"/>
        <v>146</v>
      </c>
      <c r="B556" s="19" t="s">
        <v>3719</v>
      </c>
      <c r="C556" s="19" t="e">
        <f t="shared" si="37"/>
        <v>#REF!</v>
      </c>
      <c r="D556" s="19" t="e">
        <f t="shared" si="38"/>
        <v>#REF!</v>
      </c>
      <c r="E556" s="19" t="e">
        <f t="shared" si="39"/>
        <v>#REF!</v>
      </c>
      <c r="F556" s="19" t="e">
        <f>VLOOKUP(B556,'Station List'!#REF!,2,0)</f>
        <v>#REF!</v>
      </c>
      <c r="G556" s="19" t="e">
        <v>#NAME?</v>
      </c>
      <c r="H556" s="19" t="e">
        <f t="shared" si="48"/>
        <v>#REF!</v>
      </c>
      <c r="I556" s="19" t="e">
        <f>VLOOKUP(B556,'Station List'!#REF!,4,0)</f>
        <v>#REF!</v>
      </c>
      <c r="J556" s="19" t="e">
        <v>#NAME?</v>
      </c>
      <c r="K556" s="19" t="e">
        <f t="shared" si="57"/>
        <v>#REF!</v>
      </c>
      <c r="L556" s="19" t="e">
        <f>VLOOKUP(B555,'Station List'!#REF!,9,0)</f>
        <v>#REF!</v>
      </c>
      <c r="M556" s="19" t="e">
        <v>#NAME?</v>
      </c>
      <c r="N556" s="17"/>
      <c r="O556" s="17" t="s">
        <v>3718</v>
      </c>
      <c r="P556" s="17">
        <f t="shared" si="58"/>
        <v>0</v>
      </c>
      <c r="Q556" s="17"/>
      <c r="R556" s="17"/>
      <c r="S556" s="17"/>
      <c r="T556" s="17"/>
      <c r="U556" s="17"/>
      <c r="V556" s="17"/>
      <c r="W556" s="17" t="e">
        <f t="shared" si="59"/>
        <v>#REF!</v>
      </c>
      <c r="X556" s="17" t="e">
        <f t="shared" si="55"/>
        <v>#REF!</v>
      </c>
    </row>
    <row r="557" spans="1:24" ht="12.75" customHeight="1" x14ac:dyDescent="0.2">
      <c r="A557" s="19">
        <f t="shared" si="56"/>
        <v>147</v>
      </c>
      <c r="B557" s="19" t="s">
        <v>3720</v>
      </c>
      <c r="C557" s="19" t="e">
        <f t="shared" si="37"/>
        <v>#REF!</v>
      </c>
      <c r="D557" s="19" t="e">
        <f t="shared" si="38"/>
        <v>#REF!</v>
      </c>
      <c r="E557" s="19" t="e">
        <f t="shared" si="39"/>
        <v>#REF!</v>
      </c>
      <c r="F557" s="19" t="e">
        <f>VLOOKUP(B557,'Station List'!#REF!,2,0)</f>
        <v>#REF!</v>
      </c>
      <c r="G557" s="19" t="e">
        <v>#NAME?</v>
      </c>
      <c r="H557" s="19" t="e">
        <f t="shared" si="48"/>
        <v>#REF!</v>
      </c>
      <c r="I557" s="19" t="e">
        <f>VLOOKUP(B557,'Station List'!#REF!,4,0)</f>
        <v>#REF!</v>
      </c>
      <c r="J557" s="19" t="e">
        <v>#NAME?</v>
      </c>
      <c r="K557" s="19" t="e">
        <f t="shared" si="57"/>
        <v>#REF!</v>
      </c>
      <c r="L557" s="19" t="e">
        <f>VLOOKUP(B556,'Station List'!#REF!,9,0)</f>
        <v>#REF!</v>
      </c>
      <c r="M557" s="19" t="e">
        <v>#NAME?</v>
      </c>
      <c r="N557" s="17"/>
      <c r="O557" s="17" t="s">
        <v>3718</v>
      </c>
      <c r="P557" s="17">
        <f t="shared" si="58"/>
        <v>1</v>
      </c>
      <c r="Q557" s="17"/>
      <c r="R557" s="17"/>
      <c r="S557" s="17"/>
      <c r="T557" s="17"/>
      <c r="U557" s="17"/>
      <c r="V557" s="17"/>
      <c r="W557" s="17" t="e">
        <f t="shared" si="59"/>
        <v>#REF!</v>
      </c>
      <c r="X557" s="17" t="e">
        <f t="shared" si="55"/>
        <v>#REF!</v>
      </c>
    </row>
    <row r="558" spans="1:24" ht="12.75" customHeight="1" x14ac:dyDescent="0.2">
      <c r="A558" s="19">
        <f t="shared" si="56"/>
        <v>148</v>
      </c>
      <c r="B558" s="19" t="s">
        <v>3721</v>
      </c>
      <c r="C558" s="19" t="e">
        <f t="shared" si="37"/>
        <v>#REF!</v>
      </c>
      <c r="D558" s="19" t="e">
        <f t="shared" si="38"/>
        <v>#REF!</v>
      </c>
      <c r="E558" s="19" t="e">
        <f t="shared" si="39"/>
        <v>#REF!</v>
      </c>
      <c r="F558" s="19" t="e">
        <f>VLOOKUP(B558,'Station List'!#REF!,2,0)</f>
        <v>#REF!</v>
      </c>
      <c r="G558" s="19" t="e">
        <v>#NAME?</v>
      </c>
      <c r="H558" s="19" t="e">
        <f t="shared" si="48"/>
        <v>#REF!</v>
      </c>
      <c r="I558" s="19" t="e">
        <f>VLOOKUP(B558,'Station List'!#REF!,4,0)</f>
        <v>#REF!</v>
      </c>
      <c r="J558" s="19" t="e">
        <v>#NAME?</v>
      </c>
      <c r="K558" s="19" t="e">
        <f t="shared" si="57"/>
        <v>#REF!</v>
      </c>
      <c r="L558" s="19" t="e">
        <f>VLOOKUP(B557,'Station List'!#REF!,9,0)</f>
        <v>#REF!</v>
      </c>
      <c r="M558" s="19" t="e">
        <v>#NAME?</v>
      </c>
      <c r="N558" s="17"/>
      <c r="O558" s="17" t="s">
        <v>3720</v>
      </c>
      <c r="P558" s="17">
        <f t="shared" si="58"/>
        <v>0</v>
      </c>
      <c r="Q558" s="17"/>
      <c r="R558" s="17"/>
      <c r="S558" s="17"/>
      <c r="T558" s="17"/>
      <c r="U558" s="17"/>
      <c r="V558" s="17"/>
      <c r="W558" s="17" t="e">
        <f t="shared" si="59"/>
        <v>#REF!</v>
      </c>
      <c r="X558" s="17" t="e">
        <f t="shared" si="55"/>
        <v>#REF!</v>
      </c>
    </row>
    <row r="559" spans="1:24" ht="12.75" customHeight="1" x14ac:dyDescent="0.2">
      <c r="A559" s="19">
        <f t="shared" si="56"/>
        <v>149</v>
      </c>
      <c r="B559" s="19" t="s">
        <v>3722</v>
      </c>
      <c r="C559" s="19" t="e">
        <f t="shared" si="37"/>
        <v>#REF!</v>
      </c>
      <c r="D559" s="19" t="e">
        <f t="shared" si="38"/>
        <v>#REF!</v>
      </c>
      <c r="E559" s="19" t="e">
        <f t="shared" si="39"/>
        <v>#REF!</v>
      </c>
      <c r="F559" s="19" t="e">
        <f>VLOOKUP(B559,'Station List'!#REF!,2,0)</f>
        <v>#REF!</v>
      </c>
      <c r="G559" s="19" t="e">
        <v>#NAME?</v>
      </c>
      <c r="H559" s="19" t="e">
        <f t="shared" si="48"/>
        <v>#REF!</v>
      </c>
      <c r="I559" s="19" t="e">
        <f>VLOOKUP(B559,'Station List'!#REF!,4,0)</f>
        <v>#REF!</v>
      </c>
      <c r="J559" s="19" t="e">
        <v>#NAME?</v>
      </c>
      <c r="K559" s="19" t="e">
        <f t="shared" si="57"/>
        <v>#REF!</v>
      </c>
      <c r="L559" s="19" t="e">
        <f>VLOOKUP(B558,'Station List'!#REF!,9,0)</f>
        <v>#REF!</v>
      </c>
      <c r="M559" s="19" t="e">
        <v>#NAME?</v>
      </c>
      <c r="N559" s="17"/>
      <c r="O559" s="17" t="s">
        <v>3721</v>
      </c>
      <c r="P559" s="17">
        <f t="shared" si="58"/>
        <v>0</v>
      </c>
      <c r="Q559" s="17"/>
      <c r="R559" s="17"/>
      <c r="S559" s="17"/>
      <c r="T559" s="17"/>
      <c r="U559" s="17"/>
      <c r="V559" s="17"/>
      <c r="W559" s="17" t="e">
        <f t="shared" si="59"/>
        <v>#REF!</v>
      </c>
      <c r="X559" s="17" t="e">
        <f t="shared" si="55"/>
        <v>#REF!</v>
      </c>
    </row>
    <row r="560" spans="1:24" ht="12.75" customHeight="1" x14ac:dyDescent="0.2">
      <c r="A560" s="19">
        <f t="shared" si="56"/>
        <v>150</v>
      </c>
      <c r="B560" s="19" t="s">
        <v>3723</v>
      </c>
      <c r="C560" s="19" t="e">
        <f t="shared" si="37"/>
        <v>#REF!</v>
      </c>
      <c r="D560" s="19" t="e">
        <f t="shared" si="38"/>
        <v>#REF!</v>
      </c>
      <c r="E560" s="19" t="e">
        <f t="shared" si="39"/>
        <v>#REF!</v>
      </c>
      <c r="F560" s="19" t="e">
        <f>VLOOKUP(B560,'Station List'!#REF!,2,0)</f>
        <v>#REF!</v>
      </c>
      <c r="G560" s="19" t="e">
        <v>#NAME?</v>
      </c>
      <c r="H560" s="19" t="e">
        <f t="shared" si="48"/>
        <v>#REF!</v>
      </c>
      <c r="I560" s="19" t="e">
        <f>VLOOKUP(B560,'Station List'!#REF!,4,0)</f>
        <v>#REF!</v>
      </c>
      <c r="J560" s="19" t="e">
        <v>#NAME?</v>
      </c>
      <c r="K560" s="19" t="e">
        <f t="shared" si="57"/>
        <v>#REF!</v>
      </c>
      <c r="L560" s="19" t="e">
        <f>VLOOKUP(B559,'Station List'!#REF!,9,0)</f>
        <v>#REF!</v>
      </c>
      <c r="M560" s="19" t="e">
        <v>#NAME?</v>
      </c>
      <c r="N560" s="17"/>
      <c r="O560" s="17" t="s">
        <v>3722</v>
      </c>
      <c r="P560" s="17">
        <f t="shared" si="58"/>
        <v>0</v>
      </c>
      <c r="Q560" s="17"/>
      <c r="R560" s="17"/>
      <c r="S560" s="17"/>
      <c r="T560" s="17"/>
      <c r="U560" s="17"/>
      <c r="V560" s="17"/>
      <c r="W560" s="17" t="e">
        <f t="shared" si="59"/>
        <v>#REF!</v>
      </c>
      <c r="X560" s="17" t="e">
        <f t="shared" si="55"/>
        <v>#REF!</v>
      </c>
    </row>
    <row r="561" spans="1:24" ht="12.75" customHeight="1" x14ac:dyDescent="0.2">
      <c r="A561" s="19">
        <f t="shared" si="56"/>
        <v>151</v>
      </c>
      <c r="B561" s="19" t="s">
        <v>3724</v>
      </c>
      <c r="C561" s="19" t="e">
        <f t="shared" si="37"/>
        <v>#REF!</v>
      </c>
      <c r="D561" s="19" t="e">
        <f t="shared" si="38"/>
        <v>#REF!</v>
      </c>
      <c r="E561" s="19" t="e">
        <f t="shared" si="39"/>
        <v>#REF!</v>
      </c>
      <c r="F561" s="19" t="e">
        <f>VLOOKUP(B561,'Station List'!#REF!,2,0)</f>
        <v>#REF!</v>
      </c>
      <c r="G561" s="19" t="e">
        <v>#NAME?</v>
      </c>
      <c r="H561" s="19" t="e">
        <f t="shared" si="48"/>
        <v>#REF!</v>
      </c>
      <c r="I561" s="19" t="e">
        <f>VLOOKUP(B561,'Station List'!#REF!,4,0)</f>
        <v>#REF!</v>
      </c>
      <c r="J561" s="19" t="e">
        <v>#NAME?</v>
      </c>
      <c r="K561" s="19" t="e">
        <f t="shared" si="57"/>
        <v>#REF!</v>
      </c>
      <c r="L561" s="19" t="e">
        <f>VLOOKUP(B560,'Station List'!#REF!,9,0)</f>
        <v>#REF!</v>
      </c>
      <c r="M561" s="19" t="e">
        <v>#NAME?</v>
      </c>
      <c r="N561" s="17"/>
      <c r="O561" s="17" t="s">
        <v>3723</v>
      </c>
      <c r="P561" s="17">
        <f t="shared" si="58"/>
        <v>0</v>
      </c>
      <c r="Q561" s="17"/>
      <c r="R561" s="17"/>
      <c r="S561" s="17"/>
      <c r="T561" s="17"/>
      <c r="U561" s="17"/>
      <c r="V561" s="17"/>
      <c r="W561" s="17" t="e">
        <f t="shared" si="59"/>
        <v>#REF!</v>
      </c>
      <c r="X561" s="17" t="e">
        <f t="shared" si="55"/>
        <v>#REF!</v>
      </c>
    </row>
    <row r="562" spans="1:24" ht="12.75" customHeight="1" x14ac:dyDescent="0.2">
      <c r="A562" s="19">
        <f t="shared" si="56"/>
        <v>152</v>
      </c>
      <c r="B562" s="19" t="s">
        <v>3725</v>
      </c>
      <c r="C562" s="19" t="e">
        <f t="shared" si="37"/>
        <v>#REF!</v>
      </c>
      <c r="D562" s="19" t="e">
        <f t="shared" si="38"/>
        <v>#REF!</v>
      </c>
      <c r="E562" s="19" t="e">
        <f t="shared" si="39"/>
        <v>#REF!</v>
      </c>
      <c r="F562" s="19" t="e">
        <f>VLOOKUP(B562,'Station List'!#REF!,2,0)</f>
        <v>#REF!</v>
      </c>
      <c r="G562" s="19" t="e">
        <v>#NAME?</v>
      </c>
      <c r="H562" s="19" t="e">
        <f t="shared" si="48"/>
        <v>#REF!</v>
      </c>
      <c r="I562" s="19" t="e">
        <f>VLOOKUP(B562,'Station List'!#REF!,4,0)</f>
        <v>#REF!</v>
      </c>
      <c r="J562" s="19" t="e">
        <v>#NAME?</v>
      </c>
      <c r="K562" s="19" t="e">
        <f t="shared" si="57"/>
        <v>#REF!</v>
      </c>
      <c r="L562" s="19" t="e">
        <f>VLOOKUP(B561,'Station List'!#REF!,9,0)</f>
        <v>#REF!</v>
      </c>
      <c r="M562" s="19" t="e">
        <v>#NAME?</v>
      </c>
      <c r="N562" s="17"/>
      <c r="O562" s="17" t="s">
        <v>3724</v>
      </c>
      <c r="P562" s="17">
        <f t="shared" si="58"/>
        <v>0</v>
      </c>
      <c r="Q562" s="17"/>
      <c r="R562" s="17"/>
      <c r="S562" s="17"/>
      <c r="T562" s="17"/>
      <c r="U562" s="17"/>
      <c r="V562" s="17"/>
      <c r="W562" s="17" t="e">
        <f t="shared" si="59"/>
        <v>#REF!</v>
      </c>
      <c r="X562" s="17" t="e">
        <f t="shared" si="55"/>
        <v>#REF!</v>
      </c>
    </row>
    <row r="563" spans="1:24" ht="12.75" customHeight="1" x14ac:dyDescent="0.2">
      <c r="A563" s="19">
        <f t="shared" si="56"/>
        <v>153</v>
      </c>
      <c r="B563" s="19" t="s">
        <v>3726</v>
      </c>
      <c r="C563" s="19" t="e">
        <f t="shared" si="37"/>
        <v>#REF!</v>
      </c>
      <c r="D563" s="19" t="e">
        <f t="shared" si="38"/>
        <v>#REF!</v>
      </c>
      <c r="E563" s="19" t="e">
        <f t="shared" si="39"/>
        <v>#REF!</v>
      </c>
      <c r="F563" s="19" t="e">
        <f>VLOOKUP(B563,'Station List'!#REF!,2,0)</f>
        <v>#REF!</v>
      </c>
      <c r="G563" s="19" t="e">
        <v>#NAME?</v>
      </c>
      <c r="H563" s="19" t="e">
        <f t="shared" si="48"/>
        <v>#REF!</v>
      </c>
      <c r="I563" s="19" t="e">
        <f>VLOOKUP(B563,'Station List'!#REF!,4,0)</f>
        <v>#REF!</v>
      </c>
      <c r="J563" s="19" t="e">
        <v>#NAME?</v>
      </c>
      <c r="K563" s="19" t="e">
        <f t="shared" si="57"/>
        <v>#REF!</v>
      </c>
      <c r="L563" s="19" t="e">
        <f>VLOOKUP(B562,'Station List'!#REF!,9,0)</f>
        <v>#REF!</v>
      </c>
      <c r="M563" s="19" t="e">
        <v>#NAME?</v>
      </c>
      <c r="N563" s="17"/>
      <c r="O563" s="17"/>
      <c r="P563" s="17">
        <f t="shared" si="58"/>
        <v>1</v>
      </c>
      <c r="Q563" s="17"/>
      <c r="R563" s="17"/>
      <c r="S563" s="17"/>
      <c r="T563" s="17"/>
      <c r="U563" s="17"/>
      <c r="V563" s="17"/>
      <c r="W563" s="17" t="e">
        <f t="shared" si="59"/>
        <v>#REF!</v>
      </c>
      <c r="X563" s="17" t="e">
        <f t="shared" si="55"/>
        <v>#REF!</v>
      </c>
    </row>
    <row r="564" spans="1:24" ht="12.75" customHeight="1" x14ac:dyDescent="0.2">
      <c r="A564" s="19">
        <f t="shared" si="56"/>
        <v>154</v>
      </c>
      <c r="B564" s="19" t="s">
        <v>3727</v>
      </c>
      <c r="C564" s="19" t="e">
        <f t="shared" si="37"/>
        <v>#REF!</v>
      </c>
      <c r="D564" s="19" t="e">
        <f t="shared" si="38"/>
        <v>#REF!</v>
      </c>
      <c r="E564" s="19" t="e">
        <f t="shared" si="39"/>
        <v>#REF!</v>
      </c>
      <c r="F564" s="19" t="e">
        <f>VLOOKUP(B564,'Station List'!#REF!,2,0)</f>
        <v>#REF!</v>
      </c>
      <c r="G564" s="19" t="e">
        <v>#NAME?</v>
      </c>
      <c r="H564" s="19" t="e">
        <f t="shared" si="48"/>
        <v>#REF!</v>
      </c>
      <c r="I564" s="19" t="e">
        <f>VLOOKUP(B564,'Station List'!#REF!,4,0)</f>
        <v>#REF!</v>
      </c>
      <c r="J564" s="19" t="e">
        <v>#NAME?</v>
      </c>
      <c r="K564" s="19" t="e">
        <f>VLOOKUP(#REF!,#REF!,4,0)</f>
        <v>#REF!</v>
      </c>
      <c r="L564" s="19" t="e">
        <f>VLOOKUP(#REF!,'Station List'!#REF!,9,0)</f>
        <v>#REF!</v>
      </c>
      <c r="M564" s="19" t="e">
        <v>#NAME?</v>
      </c>
      <c r="N564" s="17"/>
      <c r="O564" s="17" t="s">
        <v>3728</v>
      </c>
      <c r="P564" s="17" t="e">
        <f>IF(#REF!=O564,0,1)</f>
        <v>#REF!</v>
      </c>
      <c r="Q564" s="17"/>
      <c r="R564" s="17"/>
      <c r="S564" s="17"/>
      <c r="T564" s="17"/>
      <c r="U564" s="17"/>
      <c r="V564" s="17"/>
      <c r="W564" s="17" t="e">
        <f>IF(#REF!=#REF!,0,1)</f>
        <v>#REF!</v>
      </c>
      <c r="X564" s="17" t="e">
        <f t="shared" si="55"/>
        <v>#REF!</v>
      </c>
    </row>
    <row r="565" spans="1:24" ht="12.75" customHeight="1" x14ac:dyDescent="0.2">
      <c r="A565" s="19">
        <f t="shared" si="56"/>
        <v>155</v>
      </c>
      <c r="B565" s="19" t="s">
        <v>3729</v>
      </c>
      <c r="C565" s="19" t="e">
        <f t="shared" si="37"/>
        <v>#REF!</v>
      </c>
      <c r="D565" s="19" t="e">
        <f t="shared" si="38"/>
        <v>#REF!</v>
      </c>
      <c r="E565" s="19" t="e">
        <f t="shared" si="39"/>
        <v>#REF!</v>
      </c>
      <c r="F565" s="19" t="e">
        <f>VLOOKUP(B565,'Station List'!#REF!,2,0)</f>
        <v>#REF!</v>
      </c>
      <c r="G565" s="19" t="e">
        <v>#NAME?</v>
      </c>
      <c r="H565" s="19" t="e">
        <f t="shared" si="48"/>
        <v>#REF!</v>
      </c>
      <c r="I565" s="19" t="e">
        <f>VLOOKUP(B565,'Station List'!#REF!,4,0)</f>
        <v>#REF!</v>
      </c>
      <c r="J565" s="19" t="e">
        <v>#NAME?</v>
      </c>
      <c r="K565" s="19" t="e">
        <f t="shared" ref="K565:K579" si="60">VLOOKUP(B564,#REF!,4,0)</f>
        <v>#REF!</v>
      </c>
      <c r="L565" s="19" t="e">
        <f>VLOOKUP(B564,'Station List'!#REF!,9,0)</f>
        <v>#REF!</v>
      </c>
      <c r="M565" s="19" t="e">
        <v>#NAME?</v>
      </c>
      <c r="N565" s="17"/>
      <c r="O565" s="17" t="s">
        <v>3727</v>
      </c>
      <c r="P565" s="17">
        <f t="shared" ref="P565:P579" si="61">IF(B564=O565,0,1)</f>
        <v>0</v>
      </c>
      <c r="Q565" s="17"/>
      <c r="R565" s="17"/>
      <c r="S565" s="17"/>
      <c r="T565" s="17"/>
      <c r="U565" s="17"/>
      <c r="V565" s="17"/>
      <c r="W565" s="17" t="e">
        <f t="shared" ref="W565:W579" si="62">IF(I564=J564,0,1)</f>
        <v>#REF!</v>
      </c>
      <c r="X565" s="17" t="e">
        <f t="shared" si="55"/>
        <v>#REF!</v>
      </c>
    </row>
    <row r="566" spans="1:24" ht="12.75" customHeight="1" x14ac:dyDescent="0.2">
      <c r="A566" s="19">
        <f t="shared" si="56"/>
        <v>156</v>
      </c>
      <c r="B566" s="19" t="s">
        <v>3730</v>
      </c>
      <c r="C566" s="19" t="e">
        <f t="shared" si="37"/>
        <v>#REF!</v>
      </c>
      <c r="D566" s="19" t="e">
        <f t="shared" si="38"/>
        <v>#REF!</v>
      </c>
      <c r="E566" s="19" t="e">
        <f t="shared" si="39"/>
        <v>#REF!</v>
      </c>
      <c r="F566" s="19" t="e">
        <f>VLOOKUP(B566,'Station List'!#REF!,2,0)</f>
        <v>#REF!</v>
      </c>
      <c r="G566" s="19" t="e">
        <v>#NAME?</v>
      </c>
      <c r="H566" s="19" t="e">
        <f t="shared" si="48"/>
        <v>#REF!</v>
      </c>
      <c r="I566" s="19" t="e">
        <f>VLOOKUP(B566,'Station List'!#REF!,4,0)</f>
        <v>#REF!</v>
      </c>
      <c r="J566" s="19" t="e">
        <v>#NAME?</v>
      </c>
      <c r="K566" s="19" t="e">
        <f t="shared" si="60"/>
        <v>#REF!</v>
      </c>
      <c r="L566" s="19" t="e">
        <f>VLOOKUP(B565,'Station List'!#REF!,9,0)</f>
        <v>#REF!</v>
      </c>
      <c r="M566" s="19" t="e">
        <v>#NAME?</v>
      </c>
      <c r="N566" s="17"/>
      <c r="O566" s="17" t="s">
        <v>3729</v>
      </c>
      <c r="P566" s="17">
        <f t="shared" si="61"/>
        <v>0</v>
      </c>
      <c r="Q566" s="17"/>
      <c r="R566" s="17"/>
      <c r="S566" s="17"/>
      <c r="T566" s="17"/>
      <c r="U566" s="17"/>
      <c r="V566" s="17"/>
      <c r="W566" s="17" t="e">
        <f t="shared" si="62"/>
        <v>#REF!</v>
      </c>
      <c r="X566" s="17" t="e">
        <f t="shared" si="55"/>
        <v>#REF!</v>
      </c>
    </row>
    <row r="567" spans="1:24" ht="12.75" customHeight="1" x14ac:dyDescent="0.2">
      <c r="A567" s="19">
        <f t="shared" si="56"/>
        <v>157</v>
      </c>
      <c r="B567" s="19" t="s">
        <v>3731</v>
      </c>
      <c r="C567" s="19" t="e">
        <f t="shared" si="37"/>
        <v>#REF!</v>
      </c>
      <c r="D567" s="19" t="e">
        <f t="shared" si="38"/>
        <v>#REF!</v>
      </c>
      <c r="E567" s="19" t="e">
        <f t="shared" si="39"/>
        <v>#REF!</v>
      </c>
      <c r="F567" s="19" t="e">
        <f>VLOOKUP(B567,'Station List'!#REF!,2,0)</f>
        <v>#REF!</v>
      </c>
      <c r="G567" s="19" t="e">
        <v>#NAME?</v>
      </c>
      <c r="H567" s="19" t="e">
        <f t="shared" si="48"/>
        <v>#REF!</v>
      </c>
      <c r="I567" s="19" t="e">
        <f>VLOOKUP(B567,'Station List'!#REF!,4,0)</f>
        <v>#REF!</v>
      </c>
      <c r="J567" s="19" t="e">
        <v>#NAME?</v>
      </c>
      <c r="K567" s="19" t="e">
        <f t="shared" si="60"/>
        <v>#REF!</v>
      </c>
      <c r="L567" s="19" t="e">
        <f>VLOOKUP(B566,'Station List'!#REF!,9,0)</f>
        <v>#REF!</v>
      </c>
      <c r="M567" s="19" t="e">
        <v>#NAME?</v>
      </c>
      <c r="N567" s="17"/>
      <c r="O567" s="17" t="s">
        <v>3730</v>
      </c>
      <c r="P567" s="17">
        <f t="shared" si="61"/>
        <v>0</v>
      </c>
      <c r="Q567" s="17"/>
      <c r="R567" s="17"/>
      <c r="S567" s="17"/>
      <c r="T567" s="17"/>
      <c r="U567" s="17"/>
      <c r="V567" s="17"/>
      <c r="W567" s="17" t="e">
        <f t="shared" si="62"/>
        <v>#REF!</v>
      </c>
      <c r="X567" s="17" t="e">
        <f t="shared" si="55"/>
        <v>#REF!</v>
      </c>
    </row>
    <row r="568" spans="1:24" ht="12.75" customHeight="1" x14ac:dyDescent="0.2">
      <c r="A568" s="19">
        <f t="shared" si="56"/>
        <v>158</v>
      </c>
      <c r="B568" s="19" t="s">
        <v>3732</v>
      </c>
      <c r="C568" s="19" t="e">
        <f t="shared" si="37"/>
        <v>#REF!</v>
      </c>
      <c r="D568" s="19" t="e">
        <f t="shared" si="38"/>
        <v>#REF!</v>
      </c>
      <c r="E568" s="19" t="e">
        <f t="shared" si="39"/>
        <v>#REF!</v>
      </c>
      <c r="F568" s="19" t="e">
        <f>VLOOKUP(B568,'Station List'!#REF!,2,0)</f>
        <v>#REF!</v>
      </c>
      <c r="G568" s="19" t="e">
        <v>#NAME?</v>
      </c>
      <c r="H568" s="19" t="e">
        <f t="shared" si="48"/>
        <v>#REF!</v>
      </c>
      <c r="I568" s="19" t="e">
        <f>VLOOKUP(B568,'Station List'!#REF!,4,0)</f>
        <v>#REF!</v>
      </c>
      <c r="J568" s="19" t="e">
        <v>#NAME?</v>
      </c>
      <c r="K568" s="19" t="e">
        <f t="shared" si="60"/>
        <v>#REF!</v>
      </c>
      <c r="L568" s="19" t="e">
        <f>VLOOKUP(B567,'Station List'!#REF!,9,0)</f>
        <v>#REF!</v>
      </c>
      <c r="M568" s="19" t="e">
        <v>#NAME?</v>
      </c>
      <c r="N568" s="17"/>
      <c r="O568" s="17" t="s">
        <v>3731</v>
      </c>
      <c r="P568" s="17">
        <f t="shared" si="61"/>
        <v>0</v>
      </c>
      <c r="Q568" s="17"/>
      <c r="R568" s="17"/>
      <c r="S568" s="17"/>
      <c r="T568" s="17"/>
      <c r="U568" s="17"/>
      <c r="V568" s="17"/>
      <c r="W568" s="17" t="e">
        <f t="shared" si="62"/>
        <v>#REF!</v>
      </c>
      <c r="X568" s="17" t="e">
        <f t="shared" si="55"/>
        <v>#REF!</v>
      </c>
    </row>
    <row r="569" spans="1:24" ht="12.75" customHeight="1" x14ac:dyDescent="0.2">
      <c r="A569" s="19">
        <f t="shared" si="56"/>
        <v>159</v>
      </c>
      <c r="B569" s="19" t="s">
        <v>3733</v>
      </c>
      <c r="C569" s="19" t="e">
        <f t="shared" si="37"/>
        <v>#REF!</v>
      </c>
      <c r="D569" s="19" t="e">
        <f t="shared" si="38"/>
        <v>#REF!</v>
      </c>
      <c r="E569" s="19" t="e">
        <f t="shared" si="39"/>
        <v>#REF!</v>
      </c>
      <c r="F569" s="19" t="e">
        <f>VLOOKUP(B569,'Station List'!#REF!,2,0)</f>
        <v>#REF!</v>
      </c>
      <c r="G569" s="19" t="e">
        <v>#NAME?</v>
      </c>
      <c r="H569" s="19" t="e">
        <f t="shared" si="48"/>
        <v>#REF!</v>
      </c>
      <c r="I569" s="19" t="e">
        <f>VLOOKUP(B569,'Station List'!#REF!,4,0)</f>
        <v>#REF!</v>
      </c>
      <c r="J569" s="19" t="e">
        <v>#NAME?</v>
      </c>
      <c r="K569" s="19" t="e">
        <f t="shared" si="60"/>
        <v>#REF!</v>
      </c>
      <c r="L569" s="19" t="e">
        <f>VLOOKUP(B568,'Station List'!#REF!,9,0)</f>
        <v>#REF!</v>
      </c>
      <c r="M569" s="19" t="e">
        <v>#NAME?</v>
      </c>
      <c r="N569" s="17"/>
      <c r="O569" s="17" t="s">
        <v>3734</v>
      </c>
      <c r="P569" s="17">
        <f t="shared" si="61"/>
        <v>1</v>
      </c>
      <c r="Q569" s="17"/>
      <c r="R569" s="17"/>
      <c r="S569" s="17"/>
      <c r="T569" s="17"/>
      <c r="U569" s="17"/>
      <c r="V569" s="17"/>
      <c r="W569" s="17" t="e">
        <f t="shared" si="62"/>
        <v>#REF!</v>
      </c>
      <c r="X569" s="17" t="e">
        <f t="shared" si="55"/>
        <v>#REF!</v>
      </c>
    </row>
    <row r="570" spans="1:24" ht="12.75" customHeight="1" x14ac:dyDescent="0.2">
      <c r="A570" s="19">
        <f t="shared" si="56"/>
        <v>160</v>
      </c>
      <c r="B570" s="19" t="s">
        <v>3735</v>
      </c>
      <c r="C570" s="19" t="e">
        <f t="shared" si="37"/>
        <v>#REF!</v>
      </c>
      <c r="D570" s="19" t="e">
        <f t="shared" si="38"/>
        <v>#REF!</v>
      </c>
      <c r="E570" s="19" t="e">
        <f t="shared" si="39"/>
        <v>#REF!</v>
      </c>
      <c r="F570" s="19" t="e">
        <f>VLOOKUP(B570,'Station List'!#REF!,2,0)</f>
        <v>#REF!</v>
      </c>
      <c r="G570" s="19" t="e">
        <v>#NAME?</v>
      </c>
      <c r="H570" s="19" t="e">
        <f t="shared" si="48"/>
        <v>#REF!</v>
      </c>
      <c r="I570" s="19" t="e">
        <f>VLOOKUP(B570,'Station List'!#REF!,4,0)</f>
        <v>#REF!</v>
      </c>
      <c r="J570" s="19" t="e">
        <v>#NAME?</v>
      </c>
      <c r="K570" s="19" t="e">
        <f t="shared" si="60"/>
        <v>#REF!</v>
      </c>
      <c r="L570" s="92" t="e">
        <f>VLOOKUP(B569,'Station List'!#REF!,9,0)</f>
        <v>#REF!</v>
      </c>
      <c r="M570" s="19" t="e">
        <v>#NAME?</v>
      </c>
      <c r="N570" s="17"/>
      <c r="O570" s="17" t="s">
        <v>3733</v>
      </c>
      <c r="P570" s="17">
        <f t="shared" si="61"/>
        <v>0</v>
      </c>
      <c r="Q570" s="17"/>
      <c r="R570" s="17"/>
      <c r="S570" s="17"/>
      <c r="T570" s="17"/>
      <c r="U570" s="17"/>
      <c r="V570" s="17"/>
      <c r="W570" s="17" t="e">
        <f t="shared" si="62"/>
        <v>#REF!</v>
      </c>
      <c r="X570" s="17" t="e">
        <f t="shared" si="55"/>
        <v>#REF!</v>
      </c>
    </row>
    <row r="571" spans="1:24" ht="12.75" customHeight="1" x14ac:dyDescent="0.2">
      <c r="A571" s="19">
        <f t="shared" si="56"/>
        <v>161</v>
      </c>
      <c r="B571" s="19" t="s">
        <v>3736</v>
      </c>
      <c r="C571" s="19" t="e">
        <f t="shared" si="37"/>
        <v>#REF!</v>
      </c>
      <c r="D571" s="19" t="e">
        <f t="shared" si="38"/>
        <v>#REF!</v>
      </c>
      <c r="E571" s="19" t="e">
        <f t="shared" si="39"/>
        <v>#REF!</v>
      </c>
      <c r="F571" s="19" t="e">
        <f>VLOOKUP(B571,'Station List'!#REF!,2,0)</f>
        <v>#REF!</v>
      </c>
      <c r="G571" s="19" t="e">
        <v>#NAME?</v>
      </c>
      <c r="H571" s="19" t="e">
        <f t="shared" si="48"/>
        <v>#REF!</v>
      </c>
      <c r="I571" s="19" t="e">
        <f>VLOOKUP(B571,'Station List'!#REF!,4,0)</f>
        <v>#REF!</v>
      </c>
      <c r="J571" s="19" t="e">
        <v>#NAME?</v>
      </c>
      <c r="K571" s="19" t="e">
        <f t="shared" si="60"/>
        <v>#REF!</v>
      </c>
      <c r="L571" s="19" t="e">
        <f>VLOOKUP(B570,'Station List'!#REF!,9,0)</f>
        <v>#REF!</v>
      </c>
      <c r="M571" s="19" t="e">
        <v>#NAME?</v>
      </c>
      <c r="N571" s="17"/>
      <c r="O571" s="17" t="s">
        <v>3735</v>
      </c>
      <c r="P571" s="17">
        <f t="shared" si="61"/>
        <v>0</v>
      </c>
      <c r="Q571" s="17"/>
      <c r="R571" s="17"/>
      <c r="S571" s="17"/>
      <c r="T571" s="17"/>
      <c r="U571" s="17"/>
      <c r="V571" s="17"/>
      <c r="W571" s="17" t="e">
        <f t="shared" si="62"/>
        <v>#REF!</v>
      </c>
      <c r="X571" s="17" t="e">
        <f t="shared" si="55"/>
        <v>#REF!</v>
      </c>
    </row>
    <row r="572" spans="1:24" ht="12.75" customHeight="1" x14ac:dyDescent="0.2">
      <c r="A572" s="19">
        <f t="shared" si="56"/>
        <v>162</v>
      </c>
      <c r="B572" s="19" t="s">
        <v>3737</v>
      </c>
      <c r="C572" s="19" t="e">
        <f t="shared" si="37"/>
        <v>#REF!</v>
      </c>
      <c r="D572" s="19" t="e">
        <f t="shared" si="38"/>
        <v>#REF!</v>
      </c>
      <c r="E572" s="19" t="e">
        <f t="shared" si="39"/>
        <v>#REF!</v>
      </c>
      <c r="F572" s="19" t="e">
        <f>VLOOKUP(B572,'Station List'!#REF!,2,0)</f>
        <v>#REF!</v>
      </c>
      <c r="G572" s="19" t="e">
        <v>#NAME?</v>
      </c>
      <c r="H572" s="19" t="e">
        <f t="shared" si="48"/>
        <v>#REF!</v>
      </c>
      <c r="I572" s="19" t="e">
        <f>VLOOKUP(B572,'Station List'!#REF!,4,0)</f>
        <v>#REF!</v>
      </c>
      <c r="J572" s="19" t="e">
        <v>#NAME?</v>
      </c>
      <c r="K572" s="19" t="e">
        <f t="shared" si="60"/>
        <v>#REF!</v>
      </c>
      <c r="L572" s="19" t="e">
        <f>VLOOKUP(B571,'Station List'!#REF!,9,0)</f>
        <v>#REF!</v>
      </c>
      <c r="M572" s="19" t="e">
        <v>#NAME?</v>
      </c>
      <c r="N572" s="17"/>
      <c r="O572" s="17" t="s">
        <v>3736</v>
      </c>
      <c r="P572" s="17">
        <f t="shared" si="61"/>
        <v>0</v>
      </c>
      <c r="Q572" s="17"/>
      <c r="R572" s="17"/>
      <c r="S572" s="17"/>
      <c r="T572" s="17"/>
      <c r="U572" s="17"/>
      <c r="V572" s="17"/>
      <c r="W572" s="17" t="e">
        <f t="shared" si="62"/>
        <v>#REF!</v>
      </c>
      <c r="X572" s="17" t="e">
        <f t="shared" si="55"/>
        <v>#REF!</v>
      </c>
    </row>
    <row r="573" spans="1:24" ht="12.75" customHeight="1" x14ac:dyDescent="0.2">
      <c r="A573" s="19">
        <f t="shared" si="56"/>
        <v>163</v>
      </c>
      <c r="B573" s="19" t="s">
        <v>3738</v>
      </c>
      <c r="C573" s="19" t="e">
        <f t="shared" si="37"/>
        <v>#REF!</v>
      </c>
      <c r="D573" s="19" t="e">
        <f t="shared" si="38"/>
        <v>#REF!</v>
      </c>
      <c r="E573" s="19" t="e">
        <f t="shared" si="39"/>
        <v>#REF!</v>
      </c>
      <c r="F573" s="19" t="e">
        <f>VLOOKUP(B573,'Station List'!#REF!,2,0)</f>
        <v>#REF!</v>
      </c>
      <c r="G573" s="19" t="e">
        <v>#NAME?</v>
      </c>
      <c r="H573" s="19" t="e">
        <f t="shared" si="48"/>
        <v>#REF!</v>
      </c>
      <c r="I573" s="19" t="e">
        <f>VLOOKUP(B573,'Station List'!#REF!,4,0)</f>
        <v>#REF!</v>
      </c>
      <c r="J573" s="19" t="e">
        <v>#NAME?</v>
      </c>
      <c r="K573" s="19" t="e">
        <f t="shared" si="60"/>
        <v>#REF!</v>
      </c>
      <c r="L573" s="19" t="e">
        <f>VLOOKUP(B572,'Station List'!#REF!,9,0)</f>
        <v>#REF!</v>
      </c>
      <c r="M573" s="19" t="e">
        <v>#NAME?</v>
      </c>
      <c r="N573" s="17"/>
      <c r="O573" s="17" t="s">
        <v>3739</v>
      </c>
      <c r="P573" s="17">
        <f t="shared" si="61"/>
        <v>1</v>
      </c>
      <c r="Q573" s="17"/>
      <c r="R573" s="17"/>
      <c r="S573" s="17"/>
      <c r="T573" s="17"/>
      <c r="U573" s="17"/>
      <c r="V573" s="17"/>
      <c r="W573" s="17" t="e">
        <f t="shared" si="62"/>
        <v>#REF!</v>
      </c>
      <c r="X573" s="17" t="e">
        <f t="shared" si="55"/>
        <v>#REF!</v>
      </c>
    </row>
    <row r="574" spans="1:24" ht="12.75" customHeight="1" x14ac:dyDescent="0.2">
      <c r="A574" s="19">
        <f t="shared" si="56"/>
        <v>164</v>
      </c>
      <c r="B574" s="19" t="s">
        <v>3740</v>
      </c>
      <c r="C574" s="19" t="e">
        <f t="shared" si="37"/>
        <v>#REF!</v>
      </c>
      <c r="D574" s="19" t="e">
        <f t="shared" si="38"/>
        <v>#REF!</v>
      </c>
      <c r="E574" s="19" t="e">
        <f t="shared" si="39"/>
        <v>#REF!</v>
      </c>
      <c r="F574" s="19" t="e">
        <f>VLOOKUP(B574,'Station List'!#REF!,2,0)</f>
        <v>#REF!</v>
      </c>
      <c r="G574" s="19" t="e">
        <v>#NAME?</v>
      </c>
      <c r="H574" s="19" t="e">
        <f t="shared" si="48"/>
        <v>#REF!</v>
      </c>
      <c r="I574" s="19" t="e">
        <f>VLOOKUP(B574,'Station List'!#REF!,4,0)</f>
        <v>#REF!</v>
      </c>
      <c r="J574" s="19" t="e">
        <v>#NAME?</v>
      </c>
      <c r="K574" s="19" t="e">
        <f t="shared" si="60"/>
        <v>#REF!</v>
      </c>
      <c r="L574" s="19" t="e">
        <f>VLOOKUP(B573,'Station List'!#REF!,9,0)</f>
        <v>#REF!</v>
      </c>
      <c r="M574" s="19" t="e">
        <v>#NAME?</v>
      </c>
      <c r="N574" s="17"/>
      <c r="O574" s="17" t="s">
        <v>3738</v>
      </c>
      <c r="P574" s="17">
        <f t="shared" si="61"/>
        <v>0</v>
      </c>
      <c r="Q574" s="17"/>
      <c r="R574" s="17"/>
      <c r="S574" s="17"/>
      <c r="T574" s="17"/>
      <c r="U574" s="17"/>
      <c r="V574" s="17"/>
      <c r="W574" s="17" t="e">
        <f t="shared" si="62"/>
        <v>#REF!</v>
      </c>
      <c r="X574" s="17" t="e">
        <f t="shared" si="55"/>
        <v>#REF!</v>
      </c>
    </row>
    <row r="575" spans="1:24" ht="12.75" customHeight="1" x14ac:dyDescent="0.2">
      <c r="A575" s="19">
        <f t="shared" si="56"/>
        <v>165</v>
      </c>
      <c r="B575" s="19" t="s">
        <v>3741</v>
      </c>
      <c r="C575" s="19" t="e">
        <f t="shared" si="37"/>
        <v>#REF!</v>
      </c>
      <c r="D575" s="19" t="e">
        <f t="shared" si="38"/>
        <v>#REF!</v>
      </c>
      <c r="E575" s="19" t="e">
        <f t="shared" si="39"/>
        <v>#REF!</v>
      </c>
      <c r="F575" s="19" t="e">
        <f>VLOOKUP(B575,'Station List'!#REF!,2,0)</f>
        <v>#REF!</v>
      </c>
      <c r="G575" s="19" t="e">
        <v>#NAME?</v>
      </c>
      <c r="H575" s="19" t="e">
        <f t="shared" si="48"/>
        <v>#REF!</v>
      </c>
      <c r="I575" s="19" t="e">
        <f>VLOOKUP(B575,'Station List'!#REF!,4,0)</f>
        <v>#REF!</v>
      </c>
      <c r="J575" s="19" t="e">
        <v>#NAME?</v>
      </c>
      <c r="K575" s="19" t="e">
        <f t="shared" si="60"/>
        <v>#REF!</v>
      </c>
      <c r="L575" s="19" t="e">
        <f>VLOOKUP(B574,'Station List'!#REF!,9,0)</f>
        <v>#REF!</v>
      </c>
      <c r="M575" s="19" t="e">
        <v>#NAME?</v>
      </c>
      <c r="N575" s="17"/>
      <c r="O575" s="17" t="s">
        <v>3740</v>
      </c>
      <c r="P575" s="17">
        <f t="shared" si="61"/>
        <v>0</v>
      </c>
      <c r="Q575" s="17"/>
      <c r="R575" s="17"/>
      <c r="S575" s="17"/>
      <c r="T575" s="17"/>
      <c r="U575" s="17"/>
      <c r="V575" s="17"/>
      <c r="W575" s="17" t="e">
        <f t="shared" si="62"/>
        <v>#REF!</v>
      </c>
      <c r="X575" s="17" t="e">
        <f t="shared" si="55"/>
        <v>#REF!</v>
      </c>
    </row>
    <row r="576" spans="1:24" ht="12.75" customHeight="1" x14ac:dyDescent="0.2">
      <c r="A576" s="19">
        <f t="shared" si="56"/>
        <v>166</v>
      </c>
      <c r="B576" s="19" t="s">
        <v>3742</v>
      </c>
      <c r="C576" s="19" t="e">
        <f t="shared" si="37"/>
        <v>#REF!</v>
      </c>
      <c r="D576" s="19" t="e">
        <f t="shared" si="38"/>
        <v>#REF!</v>
      </c>
      <c r="E576" s="19" t="e">
        <f t="shared" si="39"/>
        <v>#REF!</v>
      </c>
      <c r="F576" s="19" t="e">
        <f>VLOOKUP(B576,'Station List'!#REF!,2,0)</f>
        <v>#REF!</v>
      </c>
      <c r="G576" s="19" t="e">
        <v>#NAME?</v>
      </c>
      <c r="H576" s="19" t="e">
        <f t="shared" si="48"/>
        <v>#REF!</v>
      </c>
      <c r="I576" s="19" t="e">
        <f>VLOOKUP(B576,'Station List'!#REF!,4,0)</f>
        <v>#REF!</v>
      </c>
      <c r="J576" s="19" t="e">
        <v>#NAME?</v>
      </c>
      <c r="K576" s="19" t="e">
        <f t="shared" si="60"/>
        <v>#REF!</v>
      </c>
      <c r="L576" s="19" t="e">
        <f>VLOOKUP(B575,'Station List'!#REF!,9,0)</f>
        <v>#REF!</v>
      </c>
      <c r="M576" s="19" t="e">
        <v>#NAME?</v>
      </c>
      <c r="N576" s="17"/>
      <c r="O576" s="17" t="s">
        <v>3741</v>
      </c>
      <c r="P576" s="17">
        <f t="shared" si="61"/>
        <v>0</v>
      </c>
      <c r="Q576" s="17"/>
      <c r="R576" s="17"/>
      <c r="S576" s="17"/>
      <c r="T576" s="17"/>
      <c r="U576" s="17"/>
      <c r="V576" s="17"/>
      <c r="W576" s="17" t="e">
        <f t="shared" si="62"/>
        <v>#REF!</v>
      </c>
      <c r="X576" s="17" t="e">
        <f t="shared" si="55"/>
        <v>#REF!</v>
      </c>
    </row>
    <row r="577" spans="1:24" ht="12.75" customHeight="1" x14ac:dyDescent="0.2">
      <c r="A577" s="19">
        <f t="shared" si="56"/>
        <v>167</v>
      </c>
      <c r="B577" s="19" t="s">
        <v>3743</v>
      </c>
      <c r="C577" s="19" t="e">
        <f t="shared" si="37"/>
        <v>#REF!</v>
      </c>
      <c r="D577" s="19" t="e">
        <f t="shared" si="38"/>
        <v>#REF!</v>
      </c>
      <c r="E577" s="19" t="e">
        <f t="shared" si="39"/>
        <v>#REF!</v>
      </c>
      <c r="F577" s="19" t="e">
        <f>VLOOKUP(B577,'Station List'!#REF!,2,0)</f>
        <v>#REF!</v>
      </c>
      <c r="G577" s="19" t="e">
        <v>#NAME?</v>
      </c>
      <c r="H577" s="19" t="e">
        <f t="shared" si="48"/>
        <v>#REF!</v>
      </c>
      <c r="I577" s="19" t="e">
        <f>VLOOKUP(B577,'Station List'!#REF!,4,0)</f>
        <v>#REF!</v>
      </c>
      <c r="J577" s="19" t="e">
        <v>#NAME?</v>
      </c>
      <c r="K577" s="19" t="e">
        <f t="shared" si="60"/>
        <v>#REF!</v>
      </c>
      <c r="L577" s="19" t="e">
        <f>VLOOKUP(B576,'Station List'!#REF!,9,0)</f>
        <v>#REF!</v>
      </c>
      <c r="M577" s="19" t="e">
        <v>#NAME?</v>
      </c>
      <c r="N577" s="17"/>
      <c r="O577" s="17" t="s">
        <v>3742</v>
      </c>
      <c r="P577" s="17">
        <f t="shared" si="61"/>
        <v>0</v>
      </c>
      <c r="Q577" s="17"/>
      <c r="R577" s="17"/>
      <c r="S577" s="17"/>
      <c r="T577" s="17"/>
      <c r="U577" s="17"/>
      <c r="V577" s="17"/>
      <c r="W577" s="17" t="e">
        <f t="shared" si="62"/>
        <v>#REF!</v>
      </c>
      <c r="X577" s="17" t="e">
        <f t="shared" si="55"/>
        <v>#REF!</v>
      </c>
    </row>
    <row r="578" spans="1:24" ht="12.75" customHeight="1" x14ac:dyDescent="0.2">
      <c r="A578" s="19">
        <f t="shared" si="56"/>
        <v>168</v>
      </c>
      <c r="B578" s="19" t="s">
        <v>3744</v>
      </c>
      <c r="C578" s="19" t="e">
        <f t="shared" si="37"/>
        <v>#REF!</v>
      </c>
      <c r="D578" s="19" t="e">
        <f t="shared" si="38"/>
        <v>#REF!</v>
      </c>
      <c r="E578" s="19" t="e">
        <f t="shared" si="39"/>
        <v>#REF!</v>
      </c>
      <c r="F578" s="19" t="e">
        <f>VLOOKUP(B578,'Station List'!#REF!,2,0)</f>
        <v>#REF!</v>
      </c>
      <c r="G578" s="19" t="e">
        <v>#NAME?</v>
      </c>
      <c r="H578" s="19" t="e">
        <f t="shared" si="48"/>
        <v>#REF!</v>
      </c>
      <c r="I578" s="19" t="e">
        <f>VLOOKUP(B578,'Station List'!#REF!,4,0)</f>
        <v>#REF!</v>
      </c>
      <c r="J578" s="19" t="e">
        <v>#NAME?</v>
      </c>
      <c r="K578" s="19" t="e">
        <f t="shared" si="60"/>
        <v>#REF!</v>
      </c>
      <c r="L578" s="19" t="e">
        <f>VLOOKUP(B577,'Station List'!#REF!,9,0)</f>
        <v>#REF!</v>
      </c>
      <c r="M578" s="19" t="e">
        <v>#NAME?</v>
      </c>
      <c r="N578" s="17"/>
      <c r="O578" s="17" t="s">
        <v>3743</v>
      </c>
      <c r="P578" s="17">
        <f t="shared" si="61"/>
        <v>0</v>
      </c>
      <c r="Q578" s="17"/>
      <c r="R578" s="17"/>
      <c r="S578" s="17"/>
      <c r="T578" s="17"/>
      <c r="U578" s="17"/>
      <c r="V578" s="17"/>
      <c r="W578" s="17" t="e">
        <f t="shared" si="62"/>
        <v>#REF!</v>
      </c>
      <c r="X578" s="17" t="e">
        <f t="shared" si="55"/>
        <v>#REF!</v>
      </c>
    </row>
    <row r="579" spans="1:24" ht="12.75" customHeight="1" x14ac:dyDescent="0.2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 t="e">
        <f t="shared" si="60"/>
        <v>#REF!</v>
      </c>
      <c r="L579" s="19" t="e">
        <f>VLOOKUP(B578,'Station List'!#REF!,9,0)</f>
        <v>#REF!</v>
      </c>
      <c r="M579" s="19" t="e">
        <v>#NAME?</v>
      </c>
      <c r="N579" s="17"/>
      <c r="O579" s="17" t="s">
        <v>3744</v>
      </c>
      <c r="P579" s="17">
        <f t="shared" si="61"/>
        <v>0</v>
      </c>
      <c r="Q579" s="17"/>
      <c r="R579" s="17"/>
      <c r="S579" s="17"/>
      <c r="T579" s="17"/>
      <c r="U579" s="17"/>
      <c r="V579" s="17"/>
      <c r="W579" s="17" t="e">
        <f t="shared" si="62"/>
        <v>#REF!</v>
      </c>
      <c r="X579" s="17" t="e">
        <f t="shared" si="55"/>
        <v>#REF!</v>
      </c>
    </row>
    <row r="580" spans="1:24" ht="12.75" customHeight="1" x14ac:dyDescent="0.2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</row>
    <row r="581" spans="1:24" ht="12.75" customHeight="1" x14ac:dyDescent="0.2">
      <c r="A581" s="19"/>
      <c r="B581" s="88"/>
      <c r="C581" s="88"/>
      <c r="D581" s="88"/>
      <c r="E581" s="19"/>
      <c r="F581" s="19"/>
      <c r="G581" s="19"/>
      <c r="H581" s="19"/>
      <c r="I581" s="19"/>
      <c r="J581" s="19"/>
      <c r="K581" s="19"/>
      <c r="L581" s="19"/>
      <c r="M581" s="19"/>
    </row>
    <row r="582" spans="1:24" ht="12.75" customHeight="1" x14ac:dyDescent="0.2">
      <c r="A582" s="116"/>
      <c r="B582" s="117" t="s">
        <v>3745</v>
      </c>
      <c r="C582" s="118">
        <f>COUNTIF(C2:C578,"P N C O")</f>
        <v>0</v>
      </c>
      <c r="D582" s="119"/>
      <c r="E582" s="120"/>
      <c r="F582" s="19"/>
      <c r="G582" s="19"/>
      <c r="H582" s="19"/>
      <c r="I582" s="19"/>
      <c r="J582" s="19"/>
      <c r="K582" s="19"/>
      <c r="L582" s="19"/>
      <c r="M582" s="19"/>
    </row>
    <row r="583" spans="1:24" ht="12.75" customHeight="1" x14ac:dyDescent="0.2">
      <c r="A583" s="116"/>
      <c r="B583" s="121" t="s">
        <v>3746</v>
      </c>
      <c r="C583" s="122">
        <f>COUNTIF(C2:C578,"P C O")</f>
        <v>0</v>
      </c>
      <c r="D583" s="123"/>
      <c r="E583" s="120"/>
      <c r="F583" s="19"/>
      <c r="G583" s="19"/>
      <c r="H583" s="19"/>
      <c r="I583" s="19"/>
      <c r="J583" s="19"/>
      <c r="K583" s="19"/>
      <c r="L583" s="19"/>
      <c r="M583" s="19"/>
    </row>
    <row r="584" spans="1:24" ht="12.75" customHeight="1" x14ac:dyDescent="0.2">
      <c r="A584" s="116"/>
      <c r="B584" s="121" t="s">
        <v>42</v>
      </c>
      <c r="C584" s="122">
        <f>COUNTIF(C2:C578,"N U P")</f>
        <v>0</v>
      </c>
      <c r="D584" s="123"/>
      <c r="E584" s="120"/>
      <c r="F584" s="19"/>
      <c r="G584" s="19"/>
      <c r="H584" s="19"/>
      <c r="I584" s="19"/>
      <c r="J584" s="19"/>
      <c r="K584" s="19"/>
      <c r="L584" s="19"/>
      <c r="M584" s="19"/>
    </row>
    <row r="585" spans="1:24" ht="12.75" customHeight="1" x14ac:dyDescent="0.2">
      <c r="A585" s="116"/>
      <c r="B585" s="124" t="s">
        <v>3023</v>
      </c>
      <c r="C585" s="125">
        <f>SUM(C582:C584)</f>
        <v>0</v>
      </c>
      <c r="D585" s="126"/>
      <c r="E585" s="120"/>
      <c r="F585" s="19"/>
      <c r="G585" s="19"/>
      <c r="H585" s="19"/>
      <c r="I585" s="19"/>
      <c r="J585" s="19"/>
      <c r="K585" s="19"/>
      <c r="L585" s="19"/>
      <c r="M585" s="19"/>
    </row>
    <row r="586" spans="1:24" ht="12.75" customHeight="1" x14ac:dyDescent="0.2">
      <c r="A586" s="19"/>
      <c r="B586" s="127"/>
      <c r="C586" s="127"/>
      <c r="D586" s="127"/>
      <c r="E586" s="19"/>
      <c r="F586" s="19"/>
      <c r="G586" s="19"/>
      <c r="H586" s="19"/>
      <c r="I586" s="19"/>
      <c r="J586" s="19"/>
      <c r="K586" s="19"/>
      <c r="L586" s="19"/>
      <c r="M586" s="19"/>
    </row>
    <row r="587" spans="1:24" ht="15.75" customHeight="1" x14ac:dyDescent="0.2"/>
    <row r="588" spans="1:24" ht="15.75" customHeight="1" x14ac:dyDescent="0.2"/>
    <row r="589" spans="1:24" ht="15.75" customHeight="1" x14ac:dyDescent="0.2"/>
    <row r="590" spans="1:24" ht="15.75" customHeight="1" x14ac:dyDescent="0.2"/>
    <row r="591" spans="1:24" ht="15.75" customHeight="1" x14ac:dyDescent="0.2"/>
    <row r="592" spans="1:24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2:X579" xr:uid="{00000000-0009-0000-0000-000008000000}"/>
  <mergeCells count="3">
    <mergeCell ref="E1:G1"/>
    <mergeCell ref="H1:J1"/>
    <mergeCell ref="K1:M1"/>
  </mergeCells>
  <pageMargins left="0.25" right="0.25" top="0.75" bottom="0.75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00"/>
  <sheetViews>
    <sheetView workbookViewId="0"/>
  </sheetViews>
  <sheetFormatPr defaultColWidth="12.5703125" defaultRowHeight="15" customHeight="1" x14ac:dyDescent="0.2"/>
  <cols>
    <col min="1" max="1" width="69.85546875" customWidth="1"/>
    <col min="2" max="2" width="11.7109375" customWidth="1"/>
    <col min="3" max="6" width="9" customWidth="1"/>
    <col min="7" max="26" width="14.42578125" customWidth="1"/>
  </cols>
  <sheetData>
    <row r="1" spans="1:2" ht="24.75" customHeight="1" x14ac:dyDescent="0.2">
      <c r="B1" s="45"/>
    </row>
    <row r="2" spans="1:2" ht="12.75" customHeight="1" x14ac:dyDescent="0.4">
      <c r="A2" s="185" t="s">
        <v>3086</v>
      </c>
      <c r="B2" s="172"/>
    </row>
    <row r="3" spans="1:2" ht="12.75" customHeight="1" x14ac:dyDescent="0.4">
      <c r="A3" s="91"/>
      <c r="B3" s="91"/>
    </row>
    <row r="4" spans="1:2" ht="12.75" customHeight="1" x14ac:dyDescent="0.35">
      <c r="A4" s="90"/>
      <c r="B4" s="94" t="s">
        <v>3087</v>
      </c>
    </row>
    <row r="5" spans="1:2" ht="9.75" customHeight="1" x14ac:dyDescent="0.35">
      <c r="A5" s="90"/>
      <c r="B5" s="94"/>
    </row>
    <row r="6" spans="1:2" ht="16.5" customHeight="1" x14ac:dyDescent="0.35">
      <c r="B6" s="89"/>
    </row>
    <row r="7" spans="1:2" ht="12.75" customHeight="1" x14ac:dyDescent="0.35">
      <c r="A7" s="96" t="s">
        <v>3291</v>
      </c>
      <c r="B7" s="186" t="s">
        <v>3088</v>
      </c>
    </row>
    <row r="8" spans="1:2" ht="25.5" customHeight="1" x14ac:dyDescent="0.35">
      <c r="A8" s="96"/>
      <c r="B8" s="172"/>
    </row>
    <row r="9" spans="1:2" ht="14.25" customHeight="1" x14ac:dyDescent="0.35">
      <c r="A9" s="96"/>
      <c r="B9" s="97"/>
    </row>
    <row r="10" spans="1:2" ht="27.75" customHeight="1" x14ac:dyDescent="0.35">
      <c r="A10" s="96" t="s">
        <v>3292</v>
      </c>
      <c r="B10" s="186" t="s">
        <v>3092</v>
      </c>
    </row>
    <row r="11" spans="1:2" ht="47.25" customHeight="1" x14ac:dyDescent="0.35">
      <c r="A11" s="110" t="s">
        <v>3293</v>
      </c>
      <c r="B11" s="172"/>
    </row>
    <row r="12" spans="1:2" ht="23.25" customHeight="1" x14ac:dyDescent="0.35">
      <c r="A12" s="96"/>
      <c r="B12" s="97"/>
    </row>
    <row r="13" spans="1:2" ht="23.25" customHeight="1" x14ac:dyDescent="0.35">
      <c r="A13" s="96" t="s">
        <v>3294</v>
      </c>
      <c r="B13" s="98" t="s">
        <v>3093</v>
      </c>
    </row>
    <row r="14" spans="1:2" ht="23.25" customHeight="1" x14ac:dyDescent="0.35">
      <c r="A14" s="96"/>
      <c r="B14" s="97"/>
    </row>
    <row r="15" spans="1:2" ht="12.75" customHeight="1" x14ac:dyDescent="0.35">
      <c r="A15" s="111" t="s">
        <v>3295</v>
      </c>
      <c r="B15" s="98" t="s">
        <v>3094</v>
      </c>
    </row>
    <row r="16" spans="1:2" ht="26.25" customHeight="1" x14ac:dyDescent="0.35">
      <c r="B16" s="89"/>
    </row>
    <row r="17" spans="1:2" ht="23.25" customHeight="1" x14ac:dyDescent="0.35">
      <c r="A17" s="96" t="s">
        <v>3296</v>
      </c>
      <c r="B17" s="97" t="s">
        <v>3095</v>
      </c>
    </row>
    <row r="18" spans="1:2" ht="24.75" customHeight="1" x14ac:dyDescent="0.35">
      <c r="A18" s="96"/>
      <c r="B18" s="97"/>
    </row>
    <row r="19" spans="1:2" ht="23.25" customHeight="1" x14ac:dyDescent="0.35">
      <c r="A19" s="96" t="s">
        <v>3297</v>
      </c>
      <c r="B19" s="97" t="s">
        <v>3097</v>
      </c>
    </row>
    <row r="20" spans="1:2" ht="27.75" customHeight="1" x14ac:dyDescent="0.35">
      <c r="A20" s="95" t="s">
        <v>3298</v>
      </c>
      <c r="B20" s="97"/>
    </row>
    <row r="21" spans="1:2" ht="23.25" customHeight="1" x14ac:dyDescent="0.35">
      <c r="A21" s="95"/>
      <c r="B21" s="97"/>
    </row>
    <row r="22" spans="1:2" ht="23.25" customHeight="1" x14ac:dyDescent="0.35">
      <c r="A22" s="96" t="s">
        <v>3299</v>
      </c>
      <c r="B22" s="97" t="s">
        <v>3098</v>
      </c>
    </row>
    <row r="23" spans="1:2" ht="14.25" customHeight="1" x14ac:dyDescent="0.35">
      <c r="A23" s="96"/>
      <c r="B23" s="97"/>
    </row>
    <row r="24" spans="1:2" ht="23.25" customHeight="1" x14ac:dyDescent="0.35">
      <c r="A24" s="96" t="s">
        <v>3300</v>
      </c>
      <c r="B24" s="97" t="s">
        <v>3099</v>
      </c>
    </row>
    <row r="25" spans="1:2" ht="14.25" customHeight="1" x14ac:dyDescent="0.35">
      <c r="A25" s="96"/>
      <c r="B25" s="97"/>
    </row>
    <row r="26" spans="1:2" ht="12.75" customHeight="1" x14ac:dyDescent="0.2">
      <c r="B26" s="45"/>
    </row>
    <row r="27" spans="1:2" ht="12.75" customHeight="1" x14ac:dyDescent="0.2">
      <c r="B27" s="45"/>
    </row>
    <row r="28" spans="1:2" ht="12.75" customHeight="1" x14ac:dyDescent="0.2">
      <c r="B28" s="45"/>
    </row>
    <row r="29" spans="1:2" ht="12.75" customHeight="1" x14ac:dyDescent="0.2">
      <c r="B29" s="45"/>
    </row>
    <row r="30" spans="1:2" ht="12.75" customHeight="1" x14ac:dyDescent="0.2">
      <c r="B30" s="45"/>
    </row>
    <row r="31" spans="1:2" ht="12.75" customHeight="1" x14ac:dyDescent="0.2">
      <c r="B31" s="45"/>
    </row>
    <row r="32" spans="1:2" ht="12.75" customHeight="1" x14ac:dyDescent="0.2">
      <c r="B32" s="45"/>
    </row>
    <row r="33" spans="2:2" ht="12.75" customHeight="1" x14ac:dyDescent="0.2">
      <c r="B33" s="45"/>
    </row>
    <row r="34" spans="2:2" ht="12.75" customHeight="1" x14ac:dyDescent="0.2">
      <c r="B34" s="45"/>
    </row>
    <row r="35" spans="2:2" ht="12.75" customHeight="1" x14ac:dyDescent="0.2">
      <c r="B35" s="45"/>
    </row>
    <row r="36" spans="2:2" ht="12.75" customHeight="1" x14ac:dyDescent="0.2">
      <c r="B36" s="45"/>
    </row>
    <row r="37" spans="2:2" ht="12.75" customHeight="1" x14ac:dyDescent="0.2">
      <c r="B37" s="45"/>
    </row>
    <row r="38" spans="2:2" ht="12.75" customHeight="1" x14ac:dyDescent="0.2">
      <c r="B38" s="45"/>
    </row>
    <row r="39" spans="2:2" ht="12.75" customHeight="1" x14ac:dyDescent="0.2">
      <c r="B39" s="45"/>
    </row>
    <row r="40" spans="2:2" ht="12.75" customHeight="1" x14ac:dyDescent="0.2">
      <c r="B40" s="45"/>
    </row>
    <row r="41" spans="2:2" ht="12.75" customHeight="1" x14ac:dyDescent="0.2">
      <c r="B41" s="45"/>
    </row>
    <row r="42" spans="2:2" ht="12.75" customHeight="1" x14ac:dyDescent="0.2">
      <c r="B42" s="45"/>
    </row>
    <row r="43" spans="2:2" ht="12.75" customHeight="1" x14ac:dyDescent="0.2">
      <c r="B43" s="45"/>
    </row>
    <row r="44" spans="2:2" ht="12.75" customHeight="1" x14ac:dyDescent="0.2">
      <c r="B44" s="45"/>
    </row>
    <row r="45" spans="2:2" ht="12.75" customHeight="1" x14ac:dyDescent="0.2">
      <c r="B45" s="45"/>
    </row>
    <row r="46" spans="2:2" ht="12.75" customHeight="1" x14ac:dyDescent="0.2">
      <c r="B46" s="45"/>
    </row>
    <row r="47" spans="2:2" ht="12.75" customHeight="1" x14ac:dyDescent="0.2">
      <c r="B47" s="45"/>
    </row>
    <row r="48" spans="2:2" ht="12.75" customHeight="1" x14ac:dyDescent="0.2">
      <c r="B48" s="45"/>
    </row>
    <row r="49" spans="2:2" ht="12.75" customHeight="1" x14ac:dyDescent="0.2">
      <c r="B49" s="45"/>
    </row>
    <row r="50" spans="2:2" ht="12.75" customHeight="1" x14ac:dyDescent="0.2">
      <c r="B50" s="45"/>
    </row>
    <row r="51" spans="2:2" ht="12.75" customHeight="1" x14ac:dyDescent="0.2">
      <c r="B51" s="45"/>
    </row>
    <row r="52" spans="2:2" ht="12.75" customHeight="1" x14ac:dyDescent="0.2">
      <c r="B52" s="45"/>
    </row>
    <row r="53" spans="2:2" ht="12.75" customHeight="1" x14ac:dyDescent="0.2">
      <c r="B53" s="45"/>
    </row>
    <row r="54" spans="2:2" ht="12.75" customHeight="1" x14ac:dyDescent="0.2">
      <c r="B54" s="45"/>
    </row>
    <row r="55" spans="2:2" ht="12.75" customHeight="1" x14ac:dyDescent="0.2">
      <c r="B55" s="45"/>
    </row>
    <row r="56" spans="2:2" ht="12.75" customHeight="1" x14ac:dyDescent="0.2">
      <c r="B56" s="45"/>
    </row>
    <row r="57" spans="2:2" ht="12.75" customHeight="1" x14ac:dyDescent="0.2">
      <c r="B57" s="45"/>
    </row>
    <row r="58" spans="2:2" ht="12.75" customHeight="1" x14ac:dyDescent="0.2">
      <c r="B58" s="45"/>
    </row>
    <row r="59" spans="2:2" ht="12.75" customHeight="1" x14ac:dyDescent="0.2">
      <c r="B59" s="45"/>
    </row>
    <row r="60" spans="2:2" ht="12.75" customHeight="1" x14ac:dyDescent="0.2">
      <c r="B60" s="45"/>
    </row>
    <row r="61" spans="2:2" ht="12.75" customHeight="1" x14ac:dyDescent="0.2">
      <c r="B61" s="45"/>
    </row>
    <row r="62" spans="2:2" ht="12.75" customHeight="1" x14ac:dyDescent="0.2">
      <c r="B62" s="45"/>
    </row>
    <row r="63" spans="2:2" ht="12.75" customHeight="1" x14ac:dyDescent="0.2">
      <c r="B63" s="45"/>
    </row>
    <row r="64" spans="2:2" ht="12.75" customHeight="1" x14ac:dyDescent="0.2">
      <c r="B64" s="45"/>
    </row>
    <row r="65" spans="2:2" ht="12.75" customHeight="1" x14ac:dyDescent="0.2">
      <c r="B65" s="45"/>
    </row>
    <row r="66" spans="2:2" ht="12.75" customHeight="1" x14ac:dyDescent="0.2">
      <c r="B66" s="45"/>
    </row>
    <row r="67" spans="2:2" ht="12.75" customHeight="1" x14ac:dyDescent="0.2">
      <c r="B67" s="45"/>
    </row>
    <row r="68" spans="2:2" ht="12.75" customHeight="1" x14ac:dyDescent="0.2">
      <c r="B68" s="45"/>
    </row>
    <row r="69" spans="2:2" ht="12.75" customHeight="1" x14ac:dyDescent="0.2">
      <c r="B69" s="45"/>
    </row>
    <row r="70" spans="2:2" ht="12.75" customHeight="1" x14ac:dyDescent="0.2">
      <c r="B70" s="45"/>
    </row>
    <row r="71" spans="2:2" ht="12.75" customHeight="1" x14ac:dyDescent="0.2">
      <c r="B71" s="45"/>
    </row>
    <row r="72" spans="2:2" ht="12.75" customHeight="1" x14ac:dyDescent="0.2">
      <c r="B72" s="45"/>
    </row>
    <row r="73" spans="2:2" ht="12.75" customHeight="1" x14ac:dyDescent="0.2">
      <c r="B73" s="45"/>
    </row>
    <row r="74" spans="2:2" ht="12.75" customHeight="1" x14ac:dyDescent="0.2">
      <c r="B74" s="45"/>
    </row>
    <row r="75" spans="2:2" ht="12.75" customHeight="1" x14ac:dyDescent="0.2">
      <c r="B75" s="45"/>
    </row>
    <row r="76" spans="2:2" ht="12.75" customHeight="1" x14ac:dyDescent="0.2">
      <c r="B76" s="45"/>
    </row>
    <row r="77" spans="2:2" ht="12.75" customHeight="1" x14ac:dyDescent="0.2">
      <c r="B77" s="45"/>
    </row>
    <row r="78" spans="2:2" ht="12.75" customHeight="1" x14ac:dyDescent="0.2">
      <c r="B78" s="45"/>
    </row>
    <row r="79" spans="2:2" ht="12.75" customHeight="1" x14ac:dyDescent="0.2">
      <c r="B79" s="45"/>
    </row>
    <row r="80" spans="2:2" ht="12.75" customHeight="1" x14ac:dyDescent="0.2">
      <c r="B80" s="45"/>
    </row>
    <row r="81" spans="2:2" ht="12.75" customHeight="1" x14ac:dyDescent="0.2">
      <c r="B81" s="45"/>
    </row>
    <row r="82" spans="2:2" ht="12.75" customHeight="1" x14ac:dyDescent="0.2">
      <c r="B82" s="45"/>
    </row>
    <row r="83" spans="2:2" ht="12.75" customHeight="1" x14ac:dyDescent="0.2">
      <c r="B83" s="45"/>
    </row>
    <row r="84" spans="2:2" ht="12.75" customHeight="1" x14ac:dyDescent="0.2">
      <c r="B84" s="45"/>
    </row>
    <row r="85" spans="2:2" ht="12.75" customHeight="1" x14ac:dyDescent="0.2">
      <c r="B85" s="45"/>
    </row>
    <row r="86" spans="2:2" ht="12.75" customHeight="1" x14ac:dyDescent="0.2">
      <c r="B86" s="45"/>
    </row>
    <row r="87" spans="2:2" ht="12.75" customHeight="1" x14ac:dyDescent="0.2">
      <c r="B87" s="45"/>
    </row>
    <row r="88" spans="2:2" ht="12.75" customHeight="1" x14ac:dyDescent="0.2">
      <c r="B88" s="45"/>
    </row>
    <row r="89" spans="2:2" ht="12.75" customHeight="1" x14ac:dyDescent="0.2">
      <c r="B89" s="45"/>
    </row>
    <row r="90" spans="2:2" ht="12.75" customHeight="1" x14ac:dyDescent="0.2">
      <c r="B90" s="45"/>
    </row>
    <row r="91" spans="2:2" ht="12.75" customHeight="1" x14ac:dyDescent="0.2">
      <c r="B91" s="45"/>
    </row>
    <row r="92" spans="2:2" ht="12.75" customHeight="1" x14ac:dyDescent="0.2">
      <c r="B92" s="45"/>
    </row>
    <row r="93" spans="2:2" ht="12.75" customHeight="1" x14ac:dyDescent="0.2">
      <c r="B93" s="45"/>
    </row>
    <row r="94" spans="2:2" ht="12.75" customHeight="1" x14ac:dyDescent="0.2">
      <c r="B94" s="45"/>
    </row>
    <row r="95" spans="2:2" ht="12.75" customHeight="1" x14ac:dyDescent="0.2">
      <c r="B95" s="45"/>
    </row>
    <row r="96" spans="2:2" ht="12.75" customHeight="1" x14ac:dyDescent="0.2">
      <c r="B96" s="45"/>
    </row>
    <row r="97" spans="2:2" ht="12.75" customHeight="1" x14ac:dyDescent="0.2">
      <c r="B97" s="45"/>
    </row>
    <row r="98" spans="2:2" ht="12.75" customHeight="1" x14ac:dyDescent="0.2">
      <c r="B98" s="45"/>
    </row>
    <row r="99" spans="2:2" ht="12.75" customHeight="1" x14ac:dyDescent="0.2">
      <c r="B99" s="45"/>
    </row>
    <row r="100" spans="2:2" ht="12.75" customHeight="1" x14ac:dyDescent="0.2">
      <c r="B100" s="45"/>
    </row>
    <row r="101" spans="2:2" ht="15.75" customHeight="1" x14ac:dyDescent="0.2"/>
    <row r="102" spans="2:2" ht="15.75" customHeight="1" x14ac:dyDescent="0.2"/>
    <row r="103" spans="2:2" ht="15.75" customHeight="1" x14ac:dyDescent="0.2"/>
    <row r="104" spans="2:2" ht="15.75" customHeight="1" x14ac:dyDescent="0.2"/>
    <row r="105" spans="2:2" ht="15.75" customHeight="1" x14ac:dyDescent="0.2"/>
    <row r="106" spans="2:2" ht="15.75" customHeight="1" x14ac:dyDescent="0.2"/>
    <row r="107" spans="2:2" ht="15.75" customHeight="1" x14ac:dyDescent="0.2"/>
    <row r="108" spans="2:2" ht="15.75" customHeight="1" x14ac:dyDescent="0.2"/>
    <row r="109" spans="2:2" ht="15.75" customHeight="1" x14ac:dyDescent="0.2"/>
    <row r="110" spans="2:2" ht="15.75" customHeight="1" x14ac:dyDescent="0.2"/>
    <row r="111" spans="2:2" ht="15.75" customHeight="1" x14ac:dyDescent="0.2"/>
    <row r="112" spans="2: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2:B2"/>
    <mergeCell ref="B7:B8"/>
    <mergeCell ref="B10:B11"/>
  </mergeCells>
  <pageMargins left="0.75" right="0.75" top="1" bottom="1" header="0" footer="0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Station List</vt:lpstr>
      <vt:lpstr>Sheet2</vt:lpstr>
      <vt:lpstr>Sheet1</vt:lpstr>
      <vt:lpstr>Rank Profile</vt:lpstr>
      <vt:lpstr>EXTRA (2)</vt:lpstr>
      <vt:lpstr>CHECKING</vt:lpstr>
      <vt:lpstr>tablecontent (3)</vt:lpstr>
      <vt:lpstr>'Station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 SALES</dc:creator>
  <cp:lastModifiedBy>Acel Paris</cp:lastModifiedBy>
  <cp:lastPrinted>2026-10-07T03:00:43Z</cp:lastPrinted>
  <dcterms:created xsi:type="dcterms:W3CDTF">2006-01-31T10:22:00Z</dcterms:created>
  <dcterms:modified xsi:type="dcterms:W3CDTF">2026-10-19T07:08:51Z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1033-12.1.0.27455</vt:lpwstr>
  </property>
  <property fmtid="{D5CDD505-2E9C-101B-9397-08002B2CF9AE}" pid="3" name="ICV">
    <vt:lpwstr>2A847BC10300418E9CA8655482078773_13</vt:lpwstr>
  </property>
  <property fmtid="{D5CDD505-2E9C-101B-9397-08002B2CF9AE}" pid="4" name="CalculationRule">
    <vt:i4>0</vt:i4>
  </property>
</Properties>
</file>