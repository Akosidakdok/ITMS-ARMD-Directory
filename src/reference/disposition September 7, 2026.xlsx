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oparis\Documents\PARIS FILES\DISPOSITION\"/>
    </mc:Choice>
  </mc:AlternateContent>
  <xr:revisionPtr revIDLastSave="0" documentId="13_ncr:1_{6A3715DE-D399-4B2C-B652-1F6484293BFF}" xr6:coauthVersionLast="47" xr6:coauthVersionMax="47" xr10:uidLastSave="{00000000-0000-0000-0000-000000000000}"/>
  <bookViews>
    <workbookView xWindow="11385" yWindow="1785" windowWidth="15075" windowHeight="12360" firstSheet="4" activeTab="5" xr2:uid="{00000000-000D-0000-FFFF-FFFF00000000}"/>
  </bookViews>
  <sheets>
    <sheet name="DISPO Att (2)" sheetId="2" state="hidden" r:id="rId1"/>
    <sheet name="DISPO Att" sheetId="3" state="hidden" r:id="rId2"/>
    <sheet name="detail Crame based" sheetId="4" state="hidden" r:id="rId3"/>
    <sheet name="itmsHQ" sheetId="5" state="hidden" r:id="rId4"/>
    <sheet name="Disposition" sheetId="6" r:id="rId5"/>
    <sheet name="Alpha List" sheetId="7" r:id="rId6"/>
    <sheet name="15 YRS LENGTH OF SERVICE" sheetId="8" state="hidden" r:id="rId7"/>
    <sheet name="Crame-based PCOs" sheetId="9" state="hidden" r:id="rId8"/>
    <sheet name=" New Rank Profile" sheetId="10" state="hidden" r:id="rId9"/>
    <sheet name="New Ranked Profile (DPL)" sheetId="11" state="hidden" r:id="rId10"/>
    <sheet name="Rank Profile with OSSP" sheetId="12" r:id="rId11"/>
    <sheet name="Updates for ADMO" sheetId="13" r:id="rId12"/>
    <sheet name="ITMS HQ" sheetId="14" r:id="rId13"/>
  </sheets>
  <externalReferences>
    <externalReference r:id="rId14"/>
    <externalReference r:id="rId15"/>
  </externalReferences>
  <definedNames>
    <definedName name="_xlnm._FilterDatabase" localSheetId="5" hidden="1">'Alpha List'!$A$8:$Z$8</definedName>
    <definedName name="_xlnm._FilterDatabase" localSheetId="4" hidden="1">Disposition!$A$9:$AA$598</definedName>
    <definedName name="_xlnm.Print_Area" localSheetId="5">'Alpha List'!$A$1:$P$595</definedName>
    <definedName name="_xlnm.Print_Area" localSheetId="4">Disposition!$A$1:$I$628</definedName>
    <definedName name="_xlnm.Print_Area" localSheetId="12">'ITMS HQ'!$A$1:$E$45</definedName>
    <definedName name="_xlnm.Print_Titles" localSheetId="4">Disposition!$9:$9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5" i="7" l="1"/>
  <c r="I595" i="7"/>
  <c r="K594" i="7"/>
  <c r="I594" i="7"/>
  <c r="K593" i="7"/>
  <c r="I593" i="7"/>
  <c r="K592" i="7"/>
  <c r="I592" i="7"/>
  <c r="K591" i="7"/>
  <c r="I591" i="7"/>
  <c r="K590" i="7"/>
  <c r="I590" i="7"/>
  <c r="K589" i="7"/>
  <c r="I589" i="7"/>
  <c r="K588" i="7"/>
  <c r="I588" i="7"/>
  <c r="K587" i="7"/>
  <c r="I587" i="7"/>
  <c r="K586" i="7"/>
  <c r="I586" i="7"/>
  <c r="K585" i="7"/>
  <c r="I585" i="7"/>
  <c r="K584" i="7"/>
  <c r="I584" i="7"/>
  <c r="K583" i="7"/>
  <c r="I583" i="7"/>
  <c r="K582" i="7"/>
  <c r="I582" i="7"/>
  <c r="K581" i="7"/>
  <c r="I581" i="7"/>
  <c r="K580" i="7"/>
  <c r="I580" i="7"/>
  <c r="K579" i="7"/>
  <c r="I579" i="7"/>
  <c r="K578" i="7"/>
  <c r="I578" i="7"/>
  <c r="K577" i="7"/>
  <c r="I577" i="7"/>
  <c r="K576" i="7"/>
  <c r="I576" i="7"/>
  <c r="K575" i="7"/>
  <c r="I575" i="7"/>
  <c r="K574" i="7"/>
  <c r="I574" i="7"/>
  <c r="K573" i="7"/>
  <c r="I573" i="7"/>
  <c r="K572" i="7"/>
  <c r="I572" i="7"/>
  <c r="K571" i="7"/>
  <c r="I571" i="7"/>
  <c r="K570" i="7"/>
  <c r="I570" i="7"/>
  <c r="K569" i="7"/>
  <c r="I569" i="7"/>
  <c r="K568" i="7"/>
  <c r="I568" i="7"/>
  <c r="K567" i="7"/>
  <c r="I567" i="7"/>
  <c r="K566" i="7"/>
  <c r="I566" i="7"/>
  <c r="K565" i="7"/>
  <c r="I565" i="7"/>
  <c r="K564" i="7"/>
  <c r="I564" i="7"/>
  <c r="K563" i="7"/>
  <c r="I563" i="7"/>
  <c r="K562" i="7"/>
  <c r="I562" i="7"/>
  <c r="K561" i="7"/>
  <c r="I561" i="7"/>
  <c r="K560" i="7"/>
  <c r="I560" i="7"/>
  <c r="K559" i="7"/>
  <c r="I559" i="7"/>
  <c r="K558" i="7"/>
  <c r="I558" i="7"/>
  <c r="K557" i="7"/>
  <c r="I557" i="7"/>
  <c r="K556" i="7"/>
  <c r="I556" i="7"/>
  <c r="K555" i="7"/>
  <c r="I555" i="7"/>
  <c r="K554" i="7"/>
  <c r="I554" i="7"/>
  <c r="K553" i="7"/>
  <c r="I553" i="7"/>
  <c r="K552" i="7"/>
  <c r="I552" i="7"/>
  <c r="K551" i="7"/>
  <c r="I551" i="7"/>
  <c r="K550" i="7"/>
  <c r="I550" i="7"/>
  <c r="K549" i="7"/>
  <c r="I549" i="7"/>
  <c r="K548" i="7"/>
  <c r="I548" i="7"/>
  <c r="K547" i="7"/>
  <c r="I547" i="7"/>
  <c r="K546" i="7"/>
  <c r="I546" i="7"/>
  <c r="K545" i="7"/>
  <c r="I545" i="7"/>
  <c r="K544" i="7"/>
  <c r="I544" i="7"/>
  <c r="K543" i="7"/>
  <c r="I543" i="7"/>
  <c r="K542" i="7"/>
  <c r="I542" i="7"/>
  <c r="K541" i="7"/>
  <c r="I541" i="7"/>
  <c r="K540" i="7"/>
  <c r="I540" i="7"/>
  <c r="K539" i="7"/>
  <c r="I539" i="7"/>
  <c r="K538" i="7"/>
  <c r="I538" i="7"/>
  <c r="K537" i="7"/>
  <c r="I537" i="7"/>
  <c r="K536" i="7"/>
  <c r="I536" i="7"/>
  <c r="K535" i="7"/>
  <c r="I535" i="7"/>
  <c r="K534" i="7"/>
  <c r="I534" i="7"/>
  <c r="K533" i="7"/>
  <c r="I533" i="7"/>
  <c r="K532" i="7"/>
  <c r="I532" i="7"/>
  <c r="K531" i="7"/>
  <c r="I531" i="7"/>
  <c r="K530" i="7"/>
  <c r="I530" i="7"/>
  <c r="K529" i="7"/>
  <c r="I529" i="7"/>
  <c r="K528" i="7"/>
  <c r="I528" i="7"/>
  <c r="K527" i="7"/>
  <c r="I527" i="7"/>
  <c r="K526" i="7"/>
  <c r="I526" i="7"/>
  <c r="K525" i="7"/>
  <c r="I525" i="7"/>
  <c r="K524" i="7"/>
  <c r="I524" i="7"/>
  <c r="K523" i="7"/>
  <c r="I523" i="7"/>
  <c r="K522" i="7"/>
  <c r="I522" i="7"/>
  <c r="K521" i="7"/>
  <c r="I521" i="7"/>
  <c r="K520" i="7"/>
  <c r="I520" i="7"/>
  <c r="K519" i="7"/>
  <c r="I519" i="7"/>
  <c r="K518" i="7"/>
  <c r="I518" i="7"/>
  <c r="K517" i="7"/>
  <c r="I517" i="7"/>
  <c r="K516" i="7"/>
  <c r="I516" i="7"/>
  <c r="K515" i="7"/>
  <c r="I515" i="7"/>
  <c r="K514" i="7"/>
  <c r="I514" i="7"/>
  <c r="K513" i="7"/>
  <c r="I513" i="7"/>
  <c r="K512" i="7"/>
  <c r="I512" i="7"/>
  <c r="K511" i="7"/>
  <c r="I511" i="7"/>
  <c r="K510" i="7"/>
  <c r="I510" i="7"/>
  <c r="K509" i="7"/>
  <c r="I509" i="7"/>
  <c r="K508" i="7"/>
  <c r="I508" i="7"/>
  <c r="K507" i="7"/>
  <c r="I507" i="7"/>
  <c r="K506" i="7"/>
  <c r="I506" i="7"/>
  <c r="K505" i="7"/>
  <c r="I505" i="7"/>
  <c r="K504" i="7"/>
  <c r="I504" i="7"/>
  <c r="K503" i="7"/>
  <c r="I503" i="7"/>
  <c r="K502" i="7"/>
  <c r="I502" i="7"/>
  <c r="K501" i="7"/>
  <c r="I501" i="7"/>
  <c r="K500" i="7"/>
  <c r="I500" i="7"/>
  <c r="K499" i="7"/>
  <c r="I499" i="7"/>
  <c r="K498" i="7"/>
  <c r="I498" i="7"/>
  <c r="K497" i="7"/>
  <c r="I497" i="7"/>
  <c r="K496" i="7"/>
  <c r="I496" i="7"/>
  <c r="K495" i="7"/>
  <c r="I495" i="7"/>
  <c r="K494" i="7"/>
  <c r="I494" i="7"/>
  <c r="K493" i="7"/>
  <c r="I493" i="7"/>
  <c r="K492" i="7"/>
  <c r="I492" i="7"/>
  <c r="K491" i="7"/>
  <c r="I491" i="7"/>
  <c r="K490" i="7"/>
  <c r="I490" i="7"/>
  <c r="K489" i="7"/>
  <c r="I489" i="7"/>
  <c r="K488" i="7"/>
  <c r="I488" i="7"/>
  <c r="K487" i="7"/>
  <c r="I487" i="7"/>
  <c r="K486" i="7"/>
  <c r="I486" i="7"/>
  <c r="K485" i="7"/>
  <c r="I485" i="7"/>
  <c r="K484" i="7"/>
  <c r="I484" i="7"/>
  <c r="K483" i="7"/>
  <c r="I483" i="7"/>
  <c r="K482" i="7"/>
  <c r="I482" i="7"/>
  <c r="K481" i="7"/>
  <c r="I481" i="7"/>
  <c r="K480" i="7"/>
  <c r="I480" i="7"/>
  <c r="K479" i="7"/>
  <c r="I479" i="7"/>
  <c r="K478" i="7"/>
  <c r="I478" i="7"/>
  <c r="K477" i="7"/>
  <c r="I477" i="7"/>
  <c r="K476" i="7"/>
  <c r="I476" i="7"/>
  <c r="K475" i="7"/>
  <c r="I475" i="7"/>
  <c r="K474" i="7"/>
  <c r="I474" i="7"/>
  <c r="K473" i="7"/>
  <c r="I473" i="7"/>
  <c r="K472" i="7"/>
  <c r="I472" i="7"/>
  <c r="K471" i="7"/>
  <c r="I471" i="7"/>
  <c r="K470" i="7"/>
  <c r="I470" i="7"/>
  <c r="K469" i="7"/>
  <c r="I469" i="7"/>
  <c r="K468" i="7"/>
  <c r="I468" i="7"/>
  <c r="K467" i="7"/>
  <c r="I467" i="7"/>
  <c r="K466" i="7"/>
  <c r="I466" i="7"/>
  <c r="K465" i="7"/>
  <c r="I465" i="7"/>
  <c r="K464" i="7"/>
  <c r="I464" i="7"/>
  <c r="K463" i="7"/>
  <c r="I463" i="7"/>
  <c r="K462" i="7"/>
  <c r="I462" i="7"/>
  <c r="K461" i="7"/>
  <c r="I461" i="7"/>
  <c r="K460" i="7"/>
  <c r="I460" i="7"/>
  <c r="K459" i="7"/>
  <c r="I459" i="7"/>
  <c r="K458" i="7"/>
  <c r="I458" i="7"/>
  <c r="K457" i="7"/>
  <c r="I457" i="7"/>
  <c r="K456" i="7"/>
  <c r="I456" i="7"/>
  <c r="K455" i="7"/>
  <c r="I455" i="7"/>
  <c r="K454" i="7"/>
  <c r="I454" i="7"/>
  <c r="K453" i="7"/>
  <c r="I453" i="7"/>
  <c r="K452" i="7"/>
  <c r="I452" i="7"/>
  <c r="K451" i="7"/>
  <c r="I451" i="7"/>
  <c r="K450" i="7"/>
  <c r="I450" i="7"/>
  <c r="K449" i="7"/>
  <c r="I449" i="7"/>
  <c r="K448" i="7"/>
  <c r="I448" i="7"/>
  <c r="K447" i="7"/>
  <c r="I447" i="7"/>
  <c r="K446" i="7"/>
  <c r="I446" i="7"/>
  <c r="K445" i="7"/>
  <c r="I445" i="7"/>
  <c r="K444" i="7"/>
  <c r="I444" i="7"/>
  <c r="K443" i="7"/>
  <c r="I443" i="7"/>
  <c r="K442" i="7"/>
  <c r="I442" i="7"/>
  <c r="K441" i="7"/>
  <c r="I441" i="7"/>
  <c r="K440" i="7"/>
  <c r="I440" i="7"/>
  <c r="K439" i="7"/>
  <c r="I439" i="7"/>
  <c r="K438" i="7"/>
  <c r="I438" i="7"/>
  <c r="K437" i="7"/>
  <c r="I437" i="7"/>
  <c r="K436" i="7"/>
  <c r="I436" i="7"/>
  <c r="K435" i="7"/>
  <c r="I435" i="7"/>
  <c r="K434" i="7"/>
  <c r="I434" i="7"/>
  <c r="K433" i="7"/>
  <c r="I433" i="7"/>
  <c r="K432" i="7"/>
  <c r="I432" i="7"/>
  <c r="K431" i="7"/>
  <c r="I431" i="7"/>
  <c r="K430" i="7"/>
  <c r="I430" i="7"/>
  <c r="K429" i="7"/>
  <c r="I429" i="7"/>
  <c r="K428" i="7"/>
  <c r="I428" i="7"/>
  <c r="K427" i="7"/>
  <c r="I427" i="7"/>
  <c r="K426" i="7"/>
  <c r="I426" i="7"/>
  <c r="K425" i="7"/>
  <c r="I425" i="7"/>
  <c r="K424" i="7"/>
  <c r="I424" i="7"/>
  <c r="K423" i="7"/>
  <c r="I423" i="7"/>
  <c r="K422" i="7"/>
  <c r="I422" i="7"/>
  <c r="K421" i="7"/>
  <c r="I421" i="7"/>
  <c r="K420" i="7"/>
  <c r="I420" i="7"/>
  <c r="K419" i="7"/>
  <c r="I419" i="7"/>
  <c r="K418" i="7"/>
  <c r="I418" i="7"/>
  <c r="K417" i="7"/>
  <c r="I417" i="7"/>
  <c r="K416" i="7"/>
  <c r="I416" i="7"/>
  <c r="K415" i="7"/>
  <c r="I415" i="7"/>
  <c r="K414" i="7"/>
  <c r="I414" i="7"/>
  <c r="K413" i="7"/>
  <c r="I413" i="7"/>
  <c r="K412" i="7"/>
  <c r="I412" i="7"/>
  <c r="K411" i="7"/>
  <c r="I411" i="7"/>
  <c r="K410" i="7"/>
  <c r="I410" i="7"/>
  <c r="K409" i="7"/>
  <c r="I409" i="7"/>
  <c r="K408" i="7"/>
  <c r="I408" i="7"/>
  <c r="K407" i="7"/>
  <c r="I407" i="7"/>
  <c r="K406" i="7"/>
  <c r="I406" i="7"/>
  <c r="K405" i="7"/>
  <c r="I405" i="7"/>
  <c r="K404" i="7"/>
  <c r="I404" i="7"/>
  <c r="K403" i="7"/>
  <c r="I403" i="7"/>
  <c r="K402" i="7"/>
  <c r="I402" i="7"/>
  <c r="K401" i="7"/>
  <c r="I401" i="7"/>
  <c r="K400" i="7"/>
  <c r="I400" i="7"/>
  <c r="K399" i="7"/>
  <c r="I399" i="7"/>
  <c r="K398" i="7"/>
  <c r="I398" i="7"/>
  <c r="K397" i="7"/>
  <c r="I397" i="7"/>
  <c r="K396" i="7"/>
  <c r="I396" i="7"/>
  <c r="K395" i="7"/>
  <c r="I395" i="7"/>
  <c r="K394" i="7"/>
  <c r="I394" i="7"/>
  <c r="K393" i="7"/>
  <c r="I393" i="7"/>
  <c r="K392" i="7"/>
  <c r="I392" i="7"/>
  <c r="K391" i="7"/>
  <c r="I391" i="7"/>
  <c r="K390" i="7"/>
  <c r="I390" i="7"/>
  <c r="K389" i="7"/>
  <c r="I389" i="7"/>
  <c r="K388" i="7"/>
  <c r="I388" i="7"/>
  <c r="K387" i="7"/>
  <c r="I387" i="7"/>
  <c r="K386" i="7"/>
  <c r="I386" i="7"/>
  <c r="K385" i="7"/>
  <c r="I385" i="7"/>
  <c r="K384" i="7"/>
  <c r="I384" i="7"/>
  <c r="K383" i="7"/>
  <c r="I383" i="7"/>
  <c r="K382" i="7"/>
  <c r="I382" i="7"/>
  <c r="K381" i="7"/>
  <c r="I381" i="7"/>
  <c r="K380" i="7"/>
  <c r="I380" i="7"/>
  <c r="K379" i="7"/>
  <c r="I379" i="7"/>
  <c r="K378" i="7"/>
  <c r="I378" i="7"/>
  <c r="K377" i="7"/>
  <c r="I377" i="7"/>
  <c r="K376" i="7"/>
  <c r="I376" i="7"/>
  <c r="K375" i="7"/>
  <c r="I375" i="7"/>
  <c r="K374" i="7"/>
  <c r="I374" i="7"/>
  <c r="K373" i="7"/>
  <c r="I373" i="7"/>
  <c r="K372" i="7"/>
  <c r="I372" i="7"/>
  <c r="K371" i="7"/>
  <c r="I371" i="7"/>
  <c r="K370" i="7"/>
  <c r="I370" i="7"/>
  <c r="K369" i="7"/>
  <c r="I369" i="7"/>
  <c r="K368" i="7"/>
  <c r="I368" i="7"/>
  <c r="K367" i="7"/>
  <c r="I367" i="7"/>
  <c r="K366" i="7"/>
  <c r="I366" i="7"/>
  <c r="K365" i="7"/>
  <c r="I365" i="7"/>
  <c r="K364" i="7"/>
  <c r="I364" i="7"/>
  <c r="K363" i="7"/>
  <c r="I363" i="7"/>
  <c r="K362" i="7"/>
  <c r="I362" i="7"/>
  <c r="K361" i="7"/>
  <c r="I361" i="7"/>
  <c r="K360" i="7"/>
  <c r="I360" i="7"/>
  <c r="K359" i="7"/>
  <c r="I359" i="7"/>
  <c r="K358" i="7"/>
  <c r="I358" i="7"/>
  <c r="K357" i="7"/>
  <c r="I357" i="7"/>
  <c r="K356" i="7"/>
  <c r="I356" i="7"/>
  <c r="K355" i="7"/>
  <c r="I355" i="7"/>
  <c r="K354" i="7"/>
  <c r="I354" i="7"/>
  <c r="K353" i="7"/>
  <c r="I353" i="7"/>
  <c r="K352" i="7"/>
  <c r="I352" i="7"/>
  <c r="K351" i="7"/>
  <c r="I351" i="7"/>
  <c r="K350" i="7"/>
  <c r="I350" i="7"/>
  <c r="K349" i="7"/>
  <c r="I349" i="7"/>
  <c r="K348" i="7"/>
  <c r="I348" i="7"/>
  <c r="K347" i="7"/>
  <c r="I347" i="7"/>
  <c r="K346" i="7"/>
  <c r="I346" i="7"/>
  <c r="K345" i="7"/>
  <c r="I345" i="7"/>
  <c r="K344" i="7"/>
  <c r="I344" i="7"/>
  <c r="K343" i="7"/>
  <c r="I343" i="7"/>
  <c r="K342" i="7"/>
  <c r="I342" i="7"/>
  <c r="K341" i="7"/>
  <c r="I341" i="7"/>
  <c r="K340" i="7"/>
  <c r="I340" i="7"/>
  <c r="K339" i="7"/>
  <c r="I339" i="7"/>
  <c r="K338" i="7"/>
  <c r="I338" i="7"/>
  <c r="K337" i="7"/>
  <c r="I337" i="7"/>
  <c r="K336" i="7"/>
  <c r="I336" i="7"/>
  <c r="K335" i="7"/>
  <c r="I335" i="7"/>
  <c r="K334" i="7"/>
  <c r="I334" i="7"/>
  <c r="K333" i="7"/>
  <c r="I333" i="7"/>
  <c r="K332" i="7"/>
  <c r="I332" i="7"/>
  <c r="K331" i="7"/>
  <c r="I331" i="7"/>
  <c r="K330" i="7"/>
  <c r="I330" i="7"/>
  <c r="K329" i="7"/>
  <c r="I329" i="7"/>
  <c r="K328" i="7"/>
  <c r="I328" i="7"/>
  <c r="K327" i="7"/>
  <c r="I327" i="7"/>
  <c r="K326" i="7"/>
  <c r="I326" i="7"/>
  <c r="K325" i="7"/>
  <c r="I325" i="7"/>
  <c r="K324" i="7"/>
  <c r="I324" i="7"/>
  <c r="K323" i="7"/>
  <c r="I323" i="7"/>
  <c r="K322" i="7"/>
  <c r="I322" i="7"/>
  <c r="K321" i="7"/>
  <c r="I321" i="7"/>
  <c r="K320" i="7"/>
  <c r="I320" i="7"/>
  <c r="K319" i="7"/>
  <c r="I319" i="7"/>
  <c r="K318" i="7"/>
  <c r="I318" i="7"/>
  <c r="K317" i="7"/>
  <c r="I317" i="7"/>
  <c r="K316" i="7"/>
  <c r="I316" i="7"/>
  <c r="K315" i="7"/>
  <c r="I315" i="7"/>
  <c r="K314" i="7"/>
  <c r="I314" i="7"/>
  <c r="K313" i="7"/>
  <c r="I313" i="7"/>
  <c r="K312" i="7"/>
  <c r="I312" i="7"/>
  <c r="K311" i="7"/>
  <c r="I311" i="7"/>
  <c r="K310" i="7"/>
  <c r="I310" i="7"/>
  <c r="K309" i="7"/>
  <c r="I309" i="7"/>
  <c r="K308" i="7"/>
  <c r="I308" i="7"/>
  <c r="K307" i="7"/>
  <c r="I307" i="7"/>
  <c r="K306" i="7"/>
  <c r="I306" i="7"/>
  <c r="K305" i="7"/>
  <c r="I305" i="7"/>
  <c r="K304" i="7"/>
  <c r="I304" i="7"/>
  <c r="K303" i="7"/>
  <c r="I303" i="7"/>
  <c r="K302" i="7"/>
  <c r="I302" i="7"/>
  <c r="K301" i="7"/>
  <c r="I301" i="7"/>
  <c r="K300" i="7"/>
  <c r="I300" i="7"/>
  <c r="K299" i="7"/>
  <c r="I299" i="7"/>
  <c r="K298" i="7"/>
  <c r="I298" i="7"/>
  <c r="K297" i="7"/>
  <c r="I297" i="7"/>
  <c r="K296" i="7"/>
  <c r="I296" i="7"/>
  <c r="K295" i="7"/>
  <c r="I295" i="7"/>
  <c r="K294" i="7"/>
  <c r="I294" i="7"/>
  <c r="K293" i="7"/>
  <c r="I293" i="7"/>
  <c r="K292" i="7"/>
  <c r="I292" i="7"/>
  <c r="K291" i="7"/>
  <c r="I291" i="7"/>
  <c r="K290" i="7"/>
  <c r="I290" i="7"/>
  <c r="K289" i="7"/>
  <c r="I289" i="7"/>
  <c r="K288" i="7"/>
  <c r="I288" i="7"/>
  <c r="K287" i="7"/>
  <c r="I287" i="7"/>
  <c r="K286" i="7"/>
  <c r="I286" i="7"/>
  <c r="K285" i="7"/>
  <c r="I285" i="7"/>
  <c r="K284" i="7"/>
  <c r="I284" i="7"/>
  <c r="K283" i="7"/>
  <c r="I283" i="7"/>
  <c r="K282" i="7"/>
  <c r="I282" i="7"/>
  <c r="K281" i="7"/>
  <c r="I281" i="7"/>
  <c r="K280" i="7"/>
  <c r="I280" i="7"/>
  <c r="K279" i="7"/>
  <c r="I279" i="7"/>
  <c r="K278" i="7"/>
  <c r="I278" i="7"/>
  <c r="K277" i="7"/>
  <c r="I277" i="7"/>
  <c r="K276" i="7"/>
  <c r="I276" i="7"/>
  <c r="K275" i="7"/>
  <c r="I275" i="7"/>
  <c r="K274" i="7"/>
  <c r="I274" i="7"/>
  <c r="K273" i="7"/>
  <c r="I273" i="7"/>
  <c r="K272" i="7"/>
  <c r="I272" i="7"/>
  <c r="K271" i="7"/>
  <c r="I271" i="7"/>
  <c r="K270" i="7"/>
  <c r="I270" i="7"/>
  <c r="K269" i="7"/>
  <c r="I269" i="7"/>
  <c r="K268" i="7"/>
  <c r="I268" i="7"/>
  <c r="K267" i="7"/>
  <c r="I267" i="7"/>
  <c r="K266" i="7"/>
  <c r="I266" i="7"/>
  <c r="K265" i="7"/>
  <c r="I265" i="7"/>
  <c r="K264" i="7"/>
  <c r="I264" i="7"/>
  <c r="K263" i="7"/>
  <c r="I263" i="7"/>
  <c r="K262" i="7"/>
  <c r="I262" i="7"/>
  <c r="K261" i="7"/>
  <c r="I261" i="7"/>
  <c r="K260" i="7"/>
  <c r="I260" i="7"/>
  <c r="K259" i="7"/>
  <c r="I259" i="7"/>
  <c r="K258" i="7"/>
  <c r="I258" i="7"/>
  <c r="K257" i="7"/>
  <c r="I257" i="7"/>
  <c r="K256" i="7"/>
  <c r="I256" i="7"/>
  <c r="K255" i="7"/>
  <c r="I255" i="7"/>
  <c r="K254" i="7"/>
  <c r="I254" i="7"/>
  <c r="K253" i="7"/>
  <c r="I253" i="7"/>
  <c r="K252" i="7"/>
  <c r="I252" i="7"/>
  <c r="K251" i="7"/>
  <c r="I251" i="7"/>
  <c r="K250" i="7"/>
  <c r="I250" i="7"/>
  <c r="K249" i="7"/>
  <c r="I249" i="7"/>
  <c r="K248" i="7"/>
  <c r="I248" i="7"/>
  <c r="K247" i="7"/>
  <c r="I247" i="7"/>
  <c r="K246" i="7"/>
  <c r="I246" i="7"/>
  <c r="K245" i="7"/>
  <c r="I245" i="7"/>
  <c r="K244" i="7"/>
  <c r="I244" i="7"/>
  <c r="K243" i="7"/>
  <c r="I243" i="7"/>
  <c r="K242" i="7"/>
  <c r="I242" i="7"/>
  <c r="K241" i="7"/>
  <c r="I241" i="7"/>
  <c r="K240" i="7"/>
  <c r="I240" i="7"/>
  <c r="K239" i="7"/>
  <c r="I239" i="7"/>
  <c r="K238" i="7"/>
  <c r="I238" i="7"/>
  <c r="K237" i="7"/>
  <c r="I237" i="7"/>
  <c r="K236" i="7"/>
  <c r="I236" i="7"/>
  <c r="K235" i="7"/>
  <c r="I235" i="7"/>
  <c r="K234" i="7"/>
  <c r="I234" i="7"/>
  <c r="K233" i="7"/>
  <c r="I233" i="7"/>
  <c r="K232" i="7"/>
  <c r="I232" i="7"/>
  <c r="K231" i="7"/>
  <c r="I231" i="7"/>
  <c r="K230" i="7"/>
  <c r="I230" i="7"/>
  <c r="K229" i="7"/>
  <c r="I229" i="7"/>
  <c r="K228" i="7"/>
  <c r="I228" i="7"/>
  <c r="K227" i="7"/>
  <c r="I227" i="7"/>
  <c r="K226" i="7"/>
  <c r="I226" i="7"/>
  <c r="K225" i="7"/>
  <c r="I225" i="7"/>
  <c r="K224" i="7"/>
  <c r="I224" i="7"/>
  <c r="K223" i="7"/>
  <c r="I223" i="7"/>
  <c r="K222" i="7"/>
  <c r="I222" i="7"/>
  <c r="K221" i="7"/>
  <c r="I221" i="7"/>
  <c r="K220" i="7"/>
  <c r="I220" i="7"/>
  <c r="K219" i="7"/>
  <c r="I219" i="7"/>
  <c r="K218" i="7"/>
  <c r="I218" i="7"/>
  <c r="K217" i="7"/>
  <c r="I217" i="7"/>
  <c r="K216" i="7"/>
  <c r="I216" i="7"/>
  <c r="K215" i="7"/>
  <c r="I215" i="7"/>
  <c r="K214" i="7"/>
  <c r="I214" i="7"/>
  <c r="K213" i="7"/>
  <c r="I213" i="7"/>
  <c r="K212" i="7"/>
  <c r="I212" i="7"/>
  <c r="K211" i="7"/>
  <c r="I211" i="7"/>
  <c r="K210" i="7"/>
  <c r="I210" i="7"/>
  <c r="K209" i="7"/>
  <c r="I209" i="7"/>
  <c r="K208" i="7"/>
  <c r="I208" i="7"/>
  <c r="K207" i="7"/>
  <c r="I207" i="7"/>
  <c r="K206" i="7"/>
  <c r="I206" i="7"/>
  <c r="K205" i="7"/>
  <c r="I205" i="7"/>
  <c r="K204" i="7"/>
  <c r="I204" i="7"/>
  <c r="K203" i="7"/>
  <c r="I203" i="7"/>
  <c r="K202" i="7"/>
  <c r="I202" i="7"/>
  <c r="K201" i="7"/>
  <c r="I201" i="7"/>
  <c r="K200" i="7"/>
  <c r="I200" i="7"/>
  <c r="K199" i="7"/>
  <c r="I199" i="7"/>
  <c r="K198" i="7"/>
  <c r="I198" i="7"/>
  <c r="K197" i="7"/>
  <c r="I197" i="7"/>
  <c r="K196" i="7"/>
  <c r="I196" i="7"/>
  <c r="K195" i="7"/>
  <c r="I195" i="7"/>
  <c r="K194" i="7"/>
  <c r="I194" i="7"/>
  <c r="K193" i="7"/>
  <c r="I193" i="7"/>
  <c r="K192" i="7"/>
  <c r="I192" i="7"/>
  <c r="K191" i="7"/>
  <c r="I191" i="7"/>
  <c r="K190" i="7"/>
  <c r="I190" i="7"/>
  <c r="K189" i="7"/>
  <c r="I189" i="7"/>
  <c r="K188" i="7"/>
  <c r="I188" i="7"/>
  <c r="K187" i="7"/>
  <c r="I187" i="7"/>
  <c r="K186" i="7"/>
  <c r="I186" i="7"/>
  <c r="K185" i="7"/>
  <c r="I185" i="7"/>
  <c r="K184" i="7"/>
  <c r="I184" i="7"/>
  <c r="K183" i="7"/>
  <c r="I183" i="7"/>
  <c r="K182" i="7"/>
  <c r="I182" i="7"/>
  <c r="K181" i="7"/>
  <c r="I181" i="7"/>
  <c r="K180" i="7"/>
  <c r="I180" i="7"/>
  <c r="K179" i="7"/>
  <c r="I179" i="7"/>
  <c r="K178" i="7"/>
  <c r="I178" i="7"/>
  <c r="K177" i="7"/>
  <c r="I177" i="7"/>
  <c r="K176" i="7"/>
  <c r="I176" i="7"/>
  <c r="K175" i="7"/>
  <c r="I175" i="7"/>
  <c r="K174" i="7"/>
  <c r="I174" i="7"/>
  <c r="K173" i="7"/>
  <c r="I173" i="7"/>
  <c r="K172" i="7"/>
  <c r="I172" i="7"/>
  <c r="K171" i="7"/>
  <c r="I171" i="7"/>
  <c r="K170" i="7"/>
  <c r="I170" i="7"/>
  <c r="K169" i="7"/>
  <c r="I169" i="7"/>
  <c r="K168" i="7"/>
  <c r="I168" i="7"/>
  <c r="K167" i="7"/>
  <c r="I167" i="7"/>
  <c r="K166" i="7"/>
  <c r="I166" i="7"/>
  <c r="K165" i="7"/>
  <c r="I165" i="7"/>
  <c r="K164" i="7"/>
  <c r="I164" i="7"/>
  <c r="K163" i="7"/>
  <c r="I163" i="7"/>
  <c r="K162" i="7"/>
  <c r="I162" i="7"/>
  <c r="K161" i="7"/>
  <c r="I161" i="7"/>
  <c r="K160" i="7"/>
  <c r="I160" i="7"/>
  <c r="K159" i="7"/>
  <c r="I159" i="7"/>
  <c r="K158" i="7"/>
  <c r="I158" i="7"/>
  <c r="K157" i="7"/>
  <c r="I157" i="7"/>
  <c r="K156" i="7"/>
  <c r="I156" i="7"/>
  <c r="K155" i="7"/>
  <c r="I155" i="7"/>
  <c r="K154" i="7"/>
  <c r="I154" i="7"/>
  <c r="K153" i="7"/>
  <c r="I153" i="7"/>
  <c r="K152" i="7"/>
  <c r="I152" i="7"/>
  <c r="K151" i="7"/>
  <c r="I151" i="7"/>
  <c r="K150" i="7"/>
  <c r="I150" i="7"/>
  <c r="K149" i="7"/>
  <c r="I149" i="7"/>
  <c r="K148" i="7"/>
  <c r="I148" i="7"/>
  <c r="K147" i="7"/>
  <c r="I147" i="7"/>
  <c r="K146" i="7"/>
  <c r="I146" i="7"/>
  <c r="K145" i="7"/>
  <c r="I145" i="7"/>
  <c r="K144" i="7"/>
  <c r="I144" i="7"/>
  <c r="K143" i="7"/>
  <c r="I143" i="7"/>
  <c r="K142" i="7"/>
  <c r="I142" i="7"/>
  <c r="K141" i="7"/>
  <c r="I141" i="7"/>
  <c r="K140" i="7"/>
  <c r="I140" i="7"/>
  <c r="K139" i="7"/>
  <c r="I139" i="7"/>
  <c r="K138" i="7"/>
  <c r="I138" i="7"/>
  <c r="K137" i="7"/>
  <c r="I137" i="7"/>
  <c r="K136" i="7"/>
  <c r="I136" i="7"/>
  <c r="K135" i="7"/>
  <c r="I135" i="7"/>
  <c r="K134" i="7"/>
  <c r="I134" i="7"/>
  <c r="K133" i="7"/>
  <c r="I133" i="7"/>
  <c r="K132" i="7"/>
  <c r="I132" i="7"/>
  <c r="K131" i="7"/>
  <c r="I131" i="7"/>
  <c r="K130" i="7"/>
  <c r="I130" i="7"/>
  <c r="K129" i="7"/>
  <c r="I129" i="7"/>
  <c r="K128" i="7"/>
  <c r="I128" i="7"/>
  <c r="K127" i="7"/>
  <c r="I127" i="7"/>
  <c r="K126" i="7"/>
  <c r="I126" i="7"/>
  <c r="K125" i="7"/>
  <c r="I125" i="7"/>
  <c r="K124" i="7"/>
  <c r="I124" i="7"/>
  <c r="K123" i="7"/>
  <c r="I123" i="7"/>
  <c r="K122" i="7"/>
  <c r="I122" i="7"/>
  <c r="K121" i="7"/>
  <c r="I121" i="7"/>
  <c r="K120" i="7"/>
  <c r="I120" i="7"/>
  <c r="K119" i="7"/>
  <c r="I119" i="7"/>
  <c r="K118" i="7"/>
  <c r="I118" i="7"/>
  <c r="K117" i="7"/>
  <c r="I117" i="7"/>
  <c r="K116" i="7"/>
  <c r="I116" i="7"/>
  <c r="K115" i="7"/>
  <c r="I115" i="7"/>
  <c r="K114" i="7"/>
  <c r="I114" i="7"/>
  <c r="K113" i="7"/>
  <c r="I113" i="7"/>
  <c r="K112" i="7"/>
  <c r="I112" i="7"/>
  <c r="K111" i="7"/>
  <c r="I111" i="7"/>
  <c r="K110" i="7"/>
  <c r="I110" i="7"/>
  <c r="K109" i="7"/>
  <c r="I109" i="7"/>
  <c r="K108" i="7"/>
  <c r="I108" i="7"/>
  <c r="K107" i="7"/>
  <c r="I107" i="7"/>
  <c r="K106" i="7"/>
  <c r="I106" i="7"/>
  <c r="K105" i="7"/>
  <c r="I105" i="7"/>
  <c r="K104" i="7"/>
  <c r="I104" i="7"/>
  <c r="K103" i="7"/>
  <c r="I103" i="7"/>
  <c r="K102" i="7"/>
  <c r="I102" i="7"/>
  <c r="K101" i="7"/>
  <c r="I101" i="7"/>
  <c r="K100" i="7"/>
  <c r="I100" i="7"/>
  <c r="K99" i="7"/>
  <c r="I99" i="7"/>
  <c r="K98" i="7"/>
  <c r="I98" i="7"/>
  <c r="K97" i="7"/>
  <c r="I97" i="7"/>
  <c r="K96" i="7"/>
  <c r="I96" i="7"/>
  <c r="K95" i="7"/>
  <c r="I95" i="7"/>
  <c r="K94" i="7"/>
  <c r="I94" i="7"/>
  <c r="K93" i="7"/>
  <c r="I93" i="7"/>
  <c r="K92" i="7"/>
  <c r="I92" i="7"/>
  <c r="K91" i="7"/>
  <c r="I91" i="7"/>
  <c r="K90" i="7"/>
  <c r="I90" i="7"/>
  <c r="K89" i="7"/>
  <c r="I89" i="7"/>
  <c r="K88" i="7"/>
  <c r="I88" i="7"/>
  <c r="K87" i="7"/>
  <c r="I87" i="7"/>
  <c r="K86" i="7"/>
  <c r="I86" i="7"/>
  <c r="K85" i="7"/>
  <c r="I85" i="7"/>
  <c r="K84" i="7"/>
  <c r="I84" i="7"/>
  <c r="K83" i="7"/>
  <c r="I83" i="7"/>
  <c r="K82" i="7"/>
  <c r="I82" i="7"/>
  <c r="K81" i="7"/>
  <c r="I81" i="7"/>
  <c r="K80" i="7"/>
  <c r="I80" i="7"/>
  <c r="K79" i="7"/>
  <c r="I79" i="7"/>
  <c r="K78" i="7"/>
  <c r="I78" i="7"/>
  <c r="K77" i="7"/>
  <c r="I77" i="7"/>
  <c r="K76" i="7"/>
  <c r="I76" i="7"/>
  <c r="K75" i="7"/>
  <c r="I75" i="7"/>
  <c r="K74" i="7"/>
  <c r="I74" i="7"/>
  <c r="K73" i="7"/>
  <c r="I73" i="7"/>
  <c r="K72" i="7"/>
  <c r="I72" i="7"/>
  <c r="K71" i="7"/>
  <c r="I71" i="7"/>
  <c r="K70" i="7"/>
  <c r="I70" i="7"/>
  <c r="K69" i="7"/>
  <c r="I69" i="7"/>
  <c r="K68" i="7"/>
  <c r="I68" i="7"/>
  <c r="K67" i="7"/>
  <c r="I67" i="7"/>
  <c r="K66" i="7"/>
  <c r="I66" i="7"/>
  <c r="K65" i="7"/>
  <c r="I65" i="7"/>
  <c r="K64" i="7"/>
  <c r="I64" i="7"/>
  <c r="K63" i="7"/>
  <c r="I63" i="7"/>
  <c r="K62" i="7"/>
  <c r="I62" i="7"/>
  <c r="K61" i="7"/>
  <c r="I61" i="7"/>
  <c r="K60" i="7"/>
  <c r="I60" i="7"/>
  <c r="K59" i="7"/>
  <c r="I59" i="7"/>
  <c r="K58" i="7"/>
  <c r="I58" i="7"/>
  <c r="K57" i="7"/>
  <c r="I57" i="7"/>
  <c r="K56" i="7"/>
  <c r="I56" i="7"/>
  <c r="K55" i="7"/>
  <c r="I55" i="7"/>
  <c r="K54" i="7"/>
  <c r="I54" i="7"/>
  <c r="K53" i="7"/>
  <c r="I53" i="7"/>
  <c r="K52" i="7"/>
  <c r="I52" i="7"/>
  <c r="K51" i="7"/>
  <c r="I51" i="7"/>
  <c r="K50" i="7"/>
  <c r="I50" i="7"/>
  <c r="K49" i="7"/>
  <c r="I49" i="7"/>
  <c r="K48" i="7"/>
  <c r="I48" i="7"/>
  <c r="K47" i="7"/>
  <c r="I47" i="7"/>
  <c r="K46" i="7"/>
  <c r="I46" i="7"/>
  <c r="K45" i="7"/>
  <c r="I45" i="7"/>
  <c r="K44" i="7"/>
  <c r="I44" i="7"/>
  <c r="K43" i="7"/>
  <c r="I43" i="7"/>
  <c r="K42" i="7"/>
  <c r="I42" i="7"/>
  <c r="K41" i="7"/>
  <c r="I41" i="7"/>
  <c r="K40" i="7"/>
  <c r="I40" i="7"/>
  <c r="K39" i="7"/>
  <c r="I39" i="7"/>
  <c r="K38" i="7"/>
  <c r="I38" i="7"/>
  <c r="K37" i="7"/>
  <c r="I37" i="7"/>
  <c r="K36" i="7"/>
  <c r="I36" i="7"/>
  <c r="K35" i="7"/>
  <c r="I35" i="7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K24" i="7"/>
  <c r="I24" i="7"/>
  <c r="K23" i="7"/>
  <c r="I23" i="7"/>
  <c r="K22" i="7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5" i="7"/>
  <c r="I15" i="7"/>
  <c r="K14" i="7"/>
  <c r="I14" i="7"/>
  <c r="K13" i="7"/>
  <c r="I13" i="7"/>
  <c r="K12" i="7"/>
  <c r="I12" i="7"/>
  <c r="K11" i="7"/>
  <c r="I11" i="7"/>
  <c r="K10" i="7"/>
  <c r="I10" i="7"/>
  <c r="K9" i="7"/>
  <c r="I9" i="7"/>
  <c r="X628" i="6"/>
  <c r="W628" i="6"/>
  <c r="V628" i="6"/>
  <c r="U628" i="6"/>
  <c r="S628" i="6"/>
  <c r="R628" i="6"/>
  <c r="Q628" i="6"/>
  <c r="Z627" i="6"/>
  <c r="AA627" i="6" s="1"/>
  <c r="T627" i="6"/>
  <c r="Z626" i="6"/>
  <c r="T626" i="6"/>
  <c r="Z625" i="6"/>
  <c r="Z628" i="6" s="1"/>
  <c r="T625" i="6"/>
  <c r="G605" i="6"/>
  <c r="F605" i="6"/>
  <c r="E605" i="6"/>
  <c r="D605" i="6"/>
  <c r="I604" i="6"/>
  <c r="I603" i="6"/>
  <c r="I602" i="6"/>
  <c r="P596" i="6"/>
  <c r="Q596" i="6" s="1"/>
  <c r="P595" i="6"/>
  <c r="P594" i="6"/>
  <c r="Q594" i="6" s="1"/>
  <c r="P593" i="6"/>
  <c r="Q593" i="6" s="1"/>
  <c r="P592" i="6"/>
  <c r="Q592" i="6" s="1"/>
  <c r="P591" i="6"/>
  <c r="Q591" i="6" s="1"/>
  <c r="P590" i="6"/>
  <c r="Q590" i="6" s="1"/>
  <c r="P589" i="6"/>
  <c r="Q589" i="6" s="1"/>
  <c r="P588" i="6"/>
  <c r="Q588" i="6" s="1"/>
  <c r="P587" i="6"/>
  <c r="P586" i="6"/>
  <c r="Q586" i="6" s="1"/>
  <c r="P585" i="6"/>
  <c r="P584" i="6"/>
  <c r="P583" i="6"/>
  <c r="Q583" i="6" s="1"/>
  <c r="P582" i="6"/>
  <c r="P581" i="6"/>
  <c r="P580" i="6"/>
  <c r="Q580" i="6" s="1"/>
  <c r="P579" i="6"/>
  <c r="P578" i="6"/>
  <c r="P577" i="6"/>
  <c r="P573" i="6"/>
  <c r="P572" i="6"/>
  <c r="Q572" i="6" s="1"/>
  <c r="P569" i="6"/>
  <c r="Q569" i="6" s="1"/>
  <c r="P568" i="6"/>
  <c r="P567" i="6"/>
  <c r="P566" i="6"/>
  <c r="Q566" i="6" s="1"/>
  <c r="P565" i="6"/>
  <c r="Q565" i="6" s="1"/>
  <c r="P564" i="6"/>
  <c r="Q564" i="6" s="1"/>
  <c r="Q563" i="6"/>
  <c r="P563" i="6"/>
  <c r="P562" i="6"/>
  <c r="P561" i="6"/>
  <c r="P560" i="6"/>
  <c r="Q560" i="6" s="1"/>
  <c r="P559" i="6"/>
  <c r="Q559" i="6" s="1"/>
  <c r="P558" i="6"/>
  <c r="Q558" i="6" s="1"/>
  <c r="P557" i="6"/>
  <c r="Q557" i="6" s="1"/>
  <c r="P555" i="6"/>
  <c r="Q555" i="6" s="1"/>
  <c r="P554" i="6"/>
  <c r="Q554" i="6" s="1"/>
  <c r="P553" i="6"/>
  <c r="Q553" i="6" s="1"/>
  <c r="P552" i="6"/>
  <c r="P551" i="6"/>
  <c r="P550" i="6"/>
  <c r="Q550" i="6" s="1"/>
  <c r="P549" i="6"/>
  <c r="P548" i="6"/>
  <c r="Q548" i="6" s="1"/>
  <c r="P547" i="6"/>
  <c r="P546" i="6"/>
  <c r="Q546" i="6" s="1"/>
  <c r="P545" i="6"/>
  <c r="Q545" i="6" s="1"/>
  <c r="P544" i="6"/>
  <c r="Q544" i="6" s="1"/>
  <c r="P543" i="6"/>
  <c r="Q543" i="6" s="1"/>
  <c r="P542" i="6"/>
  <c r="Q542" i="6" s="1"/>
  <c r="P541" i="6"/>
  <c r="Q541" i="6" s="1"/>
  <c r="P539" i="6"/>
  <c r="P538" i="6"/>
  <c r="Q538" i="6" s="1"/>
  <c r="P537" i="6"/>
  <c r="P536" i="6"/>
  <c r="P535" i="6"/>
  <c r="Q535" i="6" s="1"/>
  <c r="P534" i="6"/>
  <c r="Q534" i="6" s="1"/>
  <c r="P532" i="6"/>
  <c r="P531" i="6"/>
  <c r="P530" i="6"/>
  <c r="Q530" i="6" s="1"/>
  <c r="P529" i="6"/>
  <c r="Q529" i="6" s="1"/>
  <c r="P528" i="6"/>
  <c r="Q165" i="6" s="1"/>
  <c r="P527" i="6"/>
  <c r="P526" i="6"/>
  <c r="Q526" i="6" s="1"/>
  <c r="P525" i="6"/>
  <c r="P524" i="6"/>
  <c r="Q524" i="6" s="1"/>
  <c r="P523" i="6"/>
  <c r="Q523" i="6" s="1"/>
  <c r="P522" i="6"/>
  <c r="Q522" i="6" s="1"/>
  <c r="P521" i="6"/>
  <c r="Q521" i="6" s="1"/>
  <c r="P520" i="6"/>
  <c r="Q520" i="6" s="1"/>
  <c r="P519" i="6"/>
  <c r="Q519" i="6" s="1"/>
  <c r="P518" i="6"/>
  <c r="Q518" i="6" s="1"/>
  <c r="P517" i="6"/>
  <c r="Q517" i="6" s="1"/>
  <c r="P516" i="6"/>
  <c r="Q516" i="6" s="1"/>
  <c r="P515" i="6"/>
  <c r="Q515" i="6" s="1"/>
  <c r="P514" i="6"/>
  <c r="Q514" i="6" s="1"/>
  <c r="P513" i="6"/>
  <c r="Q513" i="6" s="1"/>
  <c r="P512" i="6"/>
  <c r="Q512" i="6" s="1"/>
  <c r="P511" i="6"/>
  <c r="Q511" i="6" s="1"/>
  <c r="P510" i="6"/>
  <c r="Q510" i="6" s="1"/>
  <c r="P509" i="6"/>
  <c r="P508" i="6"/>
  <c r="Q508" i="6" s="1"/>
  <c r="P507" i="6"/>
  <c r="Q507" i="6" s="1"/>
  <c r="P506" i="6"/>
  <c r="Q506" i="6" s="1"/>
  <c r="P505" i="6"/>
  <c r="Q505" i="6" s="1"/>
  <c r="P504" i="6"/>
  <c r="Q504" i="6" s="1"/>
  <c r="P503" i="6"/>
  <c r="Q503" i="6" s="1"/>
  <c r="P502" i="6"/>
  <c r="P501" i="6"/>
  <c r="Q502" i="6" s="1"/>
  <c r="P500" i="6"/>
  <c r="Q501" i="6" s="1"/>
  <c r="P499" i="6"/>
  <c r="P498" i="6"/>
  <c r="Q500" i="6" s="1"/>
  <c r="P493" i="6"/>
  <c r="P492" i="6"/>
  <c r="P491" i="6"/>
  <c r="Q491" i="6" s="1"/>
  <c r="P490" i="6"/>
  <c r="P489" i="6"/>
  <c r="Q489" i="6" s="1"/>
  <c r="P488" i="6"/>
  <c r="Q488" i="6" s="1"/>
  <c r="P486" i="6"/>
  <c r="Q486" i="6" s="1"/>
  <c r="P485" i="6"/>
  <c r="P484" i="6"/>
  <c r="Q484" i="6" s="1"/>
  <c r="P483" i="6"/>
  <c r="Q483" i="6" s="1"/>
  <c r="P482" i="6"/>
  <c r="Q482" i="6" s="1"/>
  <c r="P481" i="6"/>
  <c r="P480" i="6"/>
  <c r="Q480" i="6" s="1"/>
  <c r="P479" i="6"/>
  <c r="Q479" i="6" s="1"/>
  <c r="P478" i="6"/>
  <c r="Q478" i="6" s="1"/>
  <c r="P477" i="6"/>
  <c r="Q477" i="6" s="1"/>
  <c r="P476" i="6"/>
  <c r="P475" i="6"/>
  <c r="Q475" i="6" s="1"/>
  <c r="P474" i="6"/>
  <c r="Q474" i="6" s="1"/>
  <c r="P473" i="6"/>
  <c r="P472" i="6"/>
  <c r="Q472" i="6" s="1"/>
  <c r="P471" i="6"/>
  <c r="P470" i="6"/>
  <c r="Q470" i="6" s="1"/>
  <c r="Q469" i="6"/>
  <c r="P469" i="6"/>
  <c r="P468" i="6"/>
  <c r="Q468" i="6" s="1"/>
  <c r="P467" i="6"/>
  <c r="Q467" i="6" s="1"/>
  <c r="P466" i="6"/>
  <c r="Q466" i="6" s="1"/>
  <c r="P465" i="6"/>
  <c r="Q465" i="6" s="1"/>
  <c r="P464" i="6"/>
  <c r="P463" i="6"/>
  <c r="Q463" i="6" s="1"/>
  <c r="P462" i="6"/>
  <c r="Q462" i="6" s="1"/>
  <c r="P461" i="6"/>
  <c r="Q461" i="6" s="1"/>
  <c r="P460" i="6"/>
  <c r="Q460" i="6" s="1"/>
  <c r="P459" i="6"/>
  <c r="Q459" i="6" s="1"/>
  <c r="P458" i="6"/>
  <c r="Q458" i="6" s="1"/>
  <c r="P457" i="6"/>
  <c r="P456" i="6"/>
  <c r="Q456" i="6" s="1"/>
  <c r="P455" i="6"/>
  <c r="P454" i="6"/>
  <c r="Q454" i="6" s="1"/>
  <c r="P453" i="6"/>
  <c r="Q453" i="6" s="1"/>
  <c r="P451" i="6"/>
  <c r="P449" i="6"/>
  <c r="Q449" i="6" s="1"/>
  <c r="P448" i="6"/>
  <c r="Q448" i="6" s="1"/>
  <c r="P447" i="6"/>
  <c r="Q447" i="6" s="1"/>
  <c r="P446" i="6"/>
  <c r="Q446" i="6" s="1"/>
  <c r="P445" i="6"/>
  <c r="Q445" i="6" s="1"/>
  <c r="P444" i="6"/>
  <c r="Q444" i="6" s="1"/>
  <c r="P443" i="6"/>
  <c r="Q443" i="6" s="1"/>
  <c r="P442" i="6"/>
  <c r="Q442" i="6" s="1"/>
  <c r="P441" i="6"/>
  <c r="Q441" i="6" s="1"/>
  <c r="P440" i="6"/>
  <c r="Q440" i="6" s="1"/>
  <c r="P439" i="6"/>
  <c r="Q439" i="6" s="1"/>
  <c r="P438" i="6"/>
  <c r="Q438" i="6" s="1"/>
  <c r="P437" i="6"/>
  <c r="Q437" i="6" s="1"/>
  <c r="P436" i="6"/>
  <c r="Q436" i="6" s="1"/>
  <c r="P435" i="6"/>
  <c r="P434" i="6"/>
  <c r="Q434" i="6" s="1"/>
  <c r="P433" i="6"/>
  <c r="Q433" i="6" s="1"/>
  <c r="P432" i="6"/>
  <c r="Q49" i="6" s="1"/>
  <c r="P431" i="6"/>
  <c r="P430" i="6"/>
  <c r="Q428" i="6" s="1"/>
  <c r="Q429" i="6"/>
  <c r="P429" i="6"/>
  <c r="Q427" i="6" s="1"/>
  <c r="P428" i="6"/>
  <c r="P427" i="6"/>
  <c r="Q426" i="6" s="1"/>
  <c r="P426" i="6"/>
  <c r="Q425" i="6" s="1"/>
  <c r="P425" i="6"/>
  <c r="Q424" i="6" s="1"/>
  <c r="P424" i="6"/>
  <c r="Q423" i="6" s="1"/>
  <c r="P423" i="6"/>
  <c r="Q422" i="6" s="1"/>
  <c r="P422" i="6"/>
  <c r="P421" i="6"/>
  <c r="Q420" i="6"/>
  <c r="P420" i="6"/>
  <c r="Q419" i="6" s="1"/>
  <c r="P419" i="6"/>
  <c r="Q418" i="6" s="1"/>
  <c r="P418" i="6"/>
  <c r="Q417" i="6" s="1"/>
  <c r="P417" i="6"/>
  <c r="Q416" i="6" s="1"/>
  <c r="P416" i="6"/>
  <c r="Q414" i="6" s="1"/>
  <c r="P415" i="6"/>
  <c r="P414" i="6"/>
  <c r="P413" i="6"/>
  <c r="Q412" i="6" s="1"/>
  <c r="P412" i="6"/>
  <c r="Q411" i="6" s="1"/>
  <c r="P411" i="6"/>
  <c r="Q410" i="6" s="1"/>
  <c r="P410" i="6"/>
  <c r="Q409" i="6" s="1"/>
  <c r="P409" i="6"/>
  <c r="Q408" i="6" s="1"/>
  <c r="P408" i="6"/>
  <c r="Q407" i="6" s="1"/>
  <c r="P407" i="6"/>
  <c r="Q406" i="6" s="1"/>
  <c r="P406" i="6"/>
  <c r="Q405" i="6" s="1"/>
  <c r="P405" i="6"/>
  <c r="Q404" i="6" s="1"/>
  <c r="P404" i="6"/>
  <c r="P403" i="6"/>
  <c r="Q401" i="6"/>
  <c r="P401" i="6"/>
  <c r="Q400" i="6" s="1"/>
  <c r="P400" i="6"/>
  <c r="Q399" i="6" s="1"/>
  <c r="P399" i="6"/>
  <c r="Q398" i="6" s="1"/>
  <c r="P398" i="6"/>
  <c r="Q397" i="6" s="1"/>
  <c r="P397" i="6"/>
  <c r="Q396" i="6" s="1"/>
  <c r="P396" i="6"/>
  <c r="Q395" i="6" s="1"/>
  <c r="P395" i="6"/>
  <c r="Q394" i="6" s="1"/>
  <c r="P394" i="6"/>
  <c r="Q393" i="6" s="1"/>
  <c r="P393" i="6"/>
  <c r="Q392" i="6" s="1"/>
  <c r="P392" i="6"/>
  <c r="Q432" i="6" s="1"/>
  <c r="P391" i="6"/>
  <c r="P390" i="6"/>
  <c r="P389" i="6"/>
  <c r="P388" i="6"/>
  <c r="Q389" i="6" s="1"/>
  <c r="P387" i="6"/>
  <c r="Q388" i="6" s="1"/>
  <c r="P386" i="6"/>
  <c r="Q387" i="6" s="1"/>
  <c r="P385" i="6"/>
  <c r="Q386" i="6" s="1"/>
  <c r="P384" i="6"/>
  <c r="Q385" i="6" s="1"/>
  <c r="P383" i="6"/>
  <c r="Q384" i="6" s="1"/>
  <c r="Q382" i="6"/>
  <c r="P382" i="6"/>
  <c r="Q383" i="6" s="1"/>
  <c r="Q381" i="6"/>
  <c r="P381" i="6"/>
  <c r="P380" i="6"/>
  <c r="P379" i="6"/>
  <c r="Q302" i="6" s="1"/>
  <c r="P378" i="6"/>
  <c r="Q301" i="6" s="1"/>
  <c r="P377" i="6"/>
  <c r="Q380" i="6" s="1"/>
  <c r="P376" i="6"/>
  <c r="Q377" i="6" s="1"/>
  <c r="P375" i="6"/>
  <c r="Q376" i="6" s="1"/>
  <c r="P374" i="6"/>
  <c r="Q375" i="6" s="1"/>
  <c r="P373" i="6"/>
  <c r="Q374" i="6" s="1"/>
  <c r="P372" i="6"/>
  <c r="Q373" i="6" s="1"/>
  <c r="P371" i="6"/>
  <c r="P370" i="6"/>
  <c r="Q371" i="6" s="1"/>
  <c r="P369" i="6"/>
  <c r="Q370" i="6" s="1"/>
  <c r="P368" i="6"/>
  <c r="Q471" i="6" s="1"/>
  <c r="P367" i="6"/>
  <c r="Q369" i="6" s="1"/>
  <c r="P366" i="6"/>
  <c r="Q367" i="6" s="1"/>
  <c r="P365" i="6"/>
  <c r="Q366" i="6" s="1"/>
  <c r="P364" i="6"/>
  <c r="Q365" i="6" s="1"/>
  <c r="P363" i="6"/>
  <c r="Q364" i="6" s="1"/>
  <c r="P362" i="6"/>
  <c r="P361" i="6"/>
  <c r="Q362" i="6" s="1"/>
  <c r="P360" i="6"/>
  <c r="Q361" i="6" s="1"/>
  <c r="P359" i="6"/>
  <c r="P358" i="6"/>
  <c r="Q359" i="6" s="1"/>
  <c r="P357" i="6"/>
  <c r="Q358" i="6" s="1"/>
  <c r="P124" i="6"/>
  <c r="Q247" i="6" s="1"/>
  <c r="P356" i="6"/>
  <c r="Q215" i="6" s="1"/>
  <c r="P355" i="6"/>
  <c r="P354" i="6"/>
  <c r="Q104" i="6" s="1"/>
  <c r="Q353" i="6"/>
  <c r="P353" i="6"/>
  <c r="P352" i="6"/>
  <c r="Q124" i="6" s="1"/>
  <c r="P350" i="6"/>
  <c r="Q368" i="6" s="1"/>
  <c r="P349" i="6"/>
  <c r="P348" i="6"/>
  <c r="Q356" i="6" s="1"/>
  <c r="P347" i="6"/>
  <c r="Q355" i="6" s="1"/>
  <c r="P345" i="6"/>
  <c r="P344" i="6"/>
  <c r="Q350" i="6" s="1"/>
  <c r="P343" i="6"/>
  <c r="Q349" i="6" s="1"/>
  <c r="P342" i="6"/>
  <c r="Q348" i="6" s="1"/>
  <c r="P340" i="6"/>
  <c r="P339" i="6"/>
  <c r="P338" i="6"/>
  <c r="Q345" i="6" s="1"/>
  <c r="P337" i="6"/>
  <c r="P336" i="6"/>
  <c r="Q343" i="6" s="1"/>
  <c r="P335" i="6"/>
  <c r="Q342" i="6" s="1"/>
  <c r="P334" i="6"/>
  <c r="Q340" i="6" s="1"/>
  <c r="P333" i="6"/>
  <c r="P332" i="6"/>
  <c r="P331" i="6"/>
  <c r="Q337" i="6" s="1"/>
  <c r="P330" i="6"/>
  <c r="Q336" i="6" s="1"/>
  <c r="P329" i="6"/>
  <c r="Q335" i="6" s="1"/>
  <c r="P328" i="6"/>
  <c r="Q334" i="6" s="1"/>
  <c r="P327" i="6"/>
  <c r="Q333" i="6" s="1"/>
  <c r="P326" i="6"/>
  <c r="Q332" i="6" s="1"/>
  <c r="P325" i="6"/>
  <c r="P324" i="6"/>
  <c r="Q330" i="6" s="1"/>
  <c r="P323" i="6"/>
  <c r="Q329" i="6" s="1"/>
  <c r="P322" i="6"/>
  <c r="Q430" i="6" s="1"/>
  <c r="P321" i="6"/>
  <c r="Q328" i="6" s="1"/>
  <c r="P320" i="6"/>
  <c r="P319" i="6"/>
  <c r="Q326" i="6" s="1"/>
  <c r="P318" i="6"/>
  <c r="P317" i="6"/>
  <c r="Q324" i="6" s="1"/>
  <c r="P316" i="6"/>
  <c r="Q323" i="6" s="1"/>
  <c r="P315" i="6"/>
  <c r="Q322" i="6" s="1"/>
  <c r="P314" i="6"/>
  <c r="Q321" i="6" s="1"/>
  <c r="P313" i="6"/>
  <c r="Q320" i="6" s="1"/>
  <c r="P312" i="6"/>
  <c r="Q306" i="6" s="1"/>
  <c r="P311" i="6"/>
  <c r="P310" i="6"/>
  <c r="Q318" i="6" s="1"/>
  <c r="P309" i="6"/>
  <c r="Q317" i="6" s="1"/>
  <c r="P308" i="6"/>
  <c r="P307" i="6"/>
  <c r="P306" i="6"/>
  <c r="Q314" i="6" s="1"/>
  <c r="P305" i="6"/>
  <c r="P304" i="6"/>
  <c r="Q311" i="6" s="1"/>
  <c r="P303" i="6"/>
  <c r="Q310" i="6" s="1"/>
  <c r="P302" i="6"/>
  <c r="P301" i="6"/>
  <c r="Q308" i="6" s="1"/>
  <c r="P300" i="6"/>
  <c r="P299" i="6"/>
  <c r="Q305" i="6" s="1"/>
  <c r="P298" i="6"/>
  <c r="Q304" i="6" s="1"/>
  <c r="P297" i="6"/>
  <c r="Q303" i="6" s="1"/>
  <c r="P296" i="6"/>
  <c r="P295" i="6"/>
  <c r="Q298" i="6" s="1"/>
  <c r="P294" i="6"/>
  <c r="Q296" i="6" s="1"/>
  <c r="L294" i="6"/>
  <c r="P293" i="6"/>
  <c r="Q295" i="6" s="1"/>
  <c r="P292" i="6"/>
  <c r="P291" i="6"/>
  <c r="Q293" i="6" s="1"/>
  <c r="P290" i="6"/>
  <c r="Q292" i="6" s="1"/>
  <c r="P289" i="6"/>
  <c r="Q291" i="6" s="1"/>
  <c r="P288" i="6"/>
  <c r="Q276" i="6" s="1"/>
  <c r="P287" i="6"/>
  <c r="Q290" i="6" s="1"/>
  <c r="P286" i="6"/>
  <c r="Q289" i="6" s="1"/>
  <c r="P285" i="6"/>
  <c r="Q287" i="6" s="1"/>
  <c r="P284" i="6"/>
  <c r="Q286" i="6" s="1"/>
  <c r="P283" i="6"/>
  <c r="Q285" i="6" s="1"/>
  <c r="P282" i="6"/>
  <c r="Q284" i="6" s="1"/>
  <c r="Q281" i="6"/>
  <c r="P281" i="6"/>
  <c r="Q283" i="6" s="1"/>
  <c r="P280" i="6"/>
  <c r="Q282" i="6" s="1"/>
  <c r="P279" i="6"/>
  <c r="P278" i="6"/>
  <c r="Q280" i="6" s="1"/>
  <c r="P277" i="6"/>
  <c r="Q279" i="6" s="1"/>
  <c r="P276" i="6"/>
  <c r="P275" i="6"/>
  <c r="Q278" i="6" s="1"/>
  <c r="P274" i="6"/>
  <c r="Q277" i="6" s="1"/>
  <c r="P273" i="6"/>
  <c r="Q275" i="6" s="1"/>
  <c r="P272" i="6"/>
  <c r="Q274" i="6" s="1"/>
  <c r="P271" i="6"/>
  <c r="P270" i="6"/>
  <c r="Q272" i="6" s="1"/>
  <c r="P269" i="6"/>
  <c r="P268" i="6"/>
  <c r="Q270" i="6" s="1"/>
  <c r="P267" i="6"/>
  <c r="Q269" i="6" s="1"/>
  <c r="P266" i="6"/>
  <c r="Q268" i="6" s="1"/>
  <c r="P265" i="6"/>
  <c r="Q267" i="6" s="1"/>
  <c r="P264" i="6"/>
  <c r="Q266" i="6" s="1"/>
  <c r="P263" i="6"/>
  <c r="P262" i="6"/>
  <c r="Q264" i="6" s="1"/>
  <c r="P261" i="6"/>
  <c r="Q263" i="6" s="1"/>
  <c r="P260" i="6"/>
  <c r="Q262" i="6" s="1"/>
  <c r="P259" i="6"/>
  <c r="Q261" i="6" s="1"/>
  <c r="P258" i="6"/>
  <c r="P257" i="6"/>
  <c r="Q379" i="6" s="1"/>
  <c r="P256" i="6"/>
  <c r="Q259" i="6" s="1"/>
  <c r="P255" i="6"/>
  <c r="Q258" i="6" s="1"/>
  <c r="P254" i="6"/>
  <c r="Q256" i="6" s="1"/>
  <c r="P253" i="6"/>
  <c r="Q255" i="6" s="1"/>
  <c r="P252" i="6"/>
  <c r="Q254" i="6" s="1"/>
  <c r="P251" i="6"/>
  <c r="Q253" i="6" s="1"/>
  <c r="P250" i="6"/>
  <c r="Q252" i="6" s="1"/>
  <c r="P249" i="6"/>
  <c r="Q251" i="6" s="1"/>
  <c r="Q248" i="6"/>
  <c r="P248" i="6"/>
  <c r="Q250" i="6" s="1"/>
  <c r="P247" i="6"/>
  <c r="Q297" i="6" s="1"/>
  <c r="Q246" i="6"/>
  <c r="P246" i="6"/>
  <c r="Q249" i="6" s="1"/>
  <c r="P245" i="6"/>
  <c r="Q499" i="6" s="1"/>
  <c r="P243" i="6"/>
  <c r="Q245" i="6" s="1"/>
  <c r="P242" i="6"/>
  <c r="P241" i="6"/>
  <c r="Q243" i="6" s="1"/>
  <c r="P240" i="6"/>
  <c r="Q242" i="6" s="1"/>
  <c r="Q239" i="6"/>
  <c r="P239" i="6"/>
  <c r="Q241" i="6" s="1"/>
  <c r="Q238" i="6"/>
  <c r="P238" i="6"/>
  <c r="P237" i="6"/>
  <c r="P236" i="6"/>
  <c r="Q237" i="6" s="1"/>
  <c r="P235" i="6"/>
  <c r="Q415" i="6" s="1"/>
  <c r="P234" i="6"/>
  <c r="Q236" i="6" s="1"/>
  <c r="Q233" i="6"/>
  <c r="P233" i="6"/>
  <c r="Q235" i="6" s="1"/>
  <c r="P232" i="6"/>
  <c r="Q234" i="6" s="1"/>
  <c r="P231" i="6"/>
  <c r="P230" i="6"/>
  <c r="Q232" i="6" s="1"/>
  <c r="P229" i="6"/>
  <c r="Q231" i="6" s="1"/>
  <c r="P228" i="6"/>
  <c r="Q230" i="6" s="1"/>
  <c r="P227" i="6"/>
  <c r="Q229" i="6" s="1"/>
  <c r="P226" i="6"/>
  <c r="Q228" i="6" s="1"/>
  <c r="P225" i="6"/>
  <c r="P224" i="6"/>
  <c r="Q226" i="6" s="1"/>
  <c r="P223" i="6"/>
  <c r="Q225" i="6" s="1"/>
  <c r="P222" i="6"/>
  <c r="Q224" i="6" s="1"/>
  <c r="P221" i="6"/>
  <c r="Q223" i="6" s="1"/>
  <c r="P220" i="6"/>
  <c r="Q222" i="6" s="1"/>
  <c r="P219" i="6"/>
  <c r="Q221" i="6" s="1"/>
  <c r="P218" i="6"/>
  <c r="Q220" i="6" s="1"/>
  <c r="P217" i="6"/>
  <c r="Q219" i="6" s="1"/>
  <c r="P216" i="6"/>
  <c r="Q218" i="6" s="1"/>
  <c r="P215" i="6"/>
  <c r="Q156" i="6" s="1"/>
  <c r="P214" i="6"/>
  <c r="Q217" i="6" s="1"/>
  <c r="P213" i="6"/>
  <c r="Q216" i="6" s="1"/>
  <c r="P212" i="6"/>
  <c r="Q214" i="6" s="1"/>
  <c r="P211" i="6"/>
  <c r="Q213" i="6" s="1"/>
  <c r="P210" i="6"/>
  <c r="Q212" i="6" s="1"/>
  <c r="P209" i="6"/>
  <c r="Q211" i="6" s="1"/>
  <c r="P208" i="6"/>
  <c r="Q210" i="6" s="1"/>
  <c r="P207" i="6"/>
  <c r="Q209" i="6" s="1"/>
  <c r="P206" i="6"/>
  <c r="Q208" i="6" s="1"/>
  <c r="P205" i="6"/>
  <c r="Q207" i="6" s="1"/>
  <c r="P204" i="6"/>
  <c r="Q206" i="6" s="1"/>
  <c r="Q203" i="6"/>
  <c r="P203" i="6"/>
  <c r="Q205" i="6" s="1"/>
  <c r="P202" i="6"/>
  <c r="Q204" i="6" s="1"/>
  <c r="P200" i="6"/>
  <c r="Q202" i="6" s="1"/>
  <c r="P199" i="6"/>
  <c r="P198" i="6"/>
  <c r="Q200" i="6" s="1"/>
  <c r="P197" i="6"/>
  <c r="Q199" i="6" s="1"/>
  <c r="P196" i="6"/>
  <c r="Q198" i="6" s="1"/>
  <c r="P195" i="6"/>
  <c r="Q197" i="6" s="1"/>
  <c r="P194" i="6"/>
  <c r="Q196" i="6" s="1"/>
  <c r="P193" i="6"/>
  <c r="Q195" i="6" s="1"/>
  <c r="P192" i="6"/>
  <c r="Q194" i="6" s="1"/>
  <c r="P191" i="6"/>
  <c r="Q193" i="6" s="1"/>
  <c r="P190" i="6"/>
  <c r="Q192" i="6" s="1"/>
  <c r="P189" i="6"/>
  <c r="Q191" i="6" s="1"/>
  <c r="P188" i="6"/>
  <c r="Q190" i="6" s="1"/>
  <c r="P187" i="6"/>
  <c r="Q189" i="6" s="1"/>
  <c r="P186" i="6"/>
  <c r="Q188" i="6" s="1"/>
  <c r="P185" i="6"/>
  <c r="Q187" i="6" s="1"/>
  <c r="P184" i="6"/>
  <c r="Q186" i="6" s="1"/>
  <c r="P183" i="6"/>
  <c r="Q185" i="6" s="1"/>
  <c r="Q182" i="6"/>
  <c r="P182" i="6"/>
  <c r="Q184" i="6" s="1"/>
  <c r="P181" i="6"/>
  <c r="P180" i="6"/>
  <c r="Q179" i="6"/>
  <c r="P179" i="6"/>
  <c r="Q181" i="6" s="1"/>
  <c r="P178" i="6"/>
  <c r="Q257" i="6" s="1"/>
  <c r="P177" i="6"/>
  <c r="Q527" i="6" s="1"/>
  <c r="P176" i="6"/>
  <c r="Q178" i="6" s="1"/>
  <c r="P175" i="6"/>
  <c r="Q177" i="6" s="1"/>
  <c r="P174" i="6"/>
  <c r="Q176" i="6" s="1"/>
  <c r="P173" i="6"/>
  <c r="Q175" i="6" s="1"/>
  <c r="P172" i="6"/>
  <c r="Q174" i="6" s="1"/>
  <c r="P171" i="6"/>
  <c r="Q173" i="6" s="1"/>
  <c r="P170" i="6"/>
  <c r="Q172" i="6" s="1"/>
  <c r="P169" i="6"/>
  <c r="Q171" i="6" s="1"/>
  <c r="P168" i="6"/>
  <c r="Q170" i="6" s="1"/>
  <c r="P167" i="6"/>
  <c r="Q169" i="6" s="1"/>
  <c r="P166" i="6"/>
  <c r="Q168" i="6" s="1"/>
  <c r="P165" i="6"/>
  <c r="Q167" i="6" s="1"/>
  <c r="P164" i="6"/>
  <c r="Q166" i="6" s="1"/>
  <c r="P163" i="6"/>
  <c r="Q164" i="6" s="1"/>
  <c r="P162" i="6"/>
  <c r="Q528" i="6" s="1"/>
  <c r="Q161" i="6"/>
  <c r="P161" i="6"/>
  <c r="Q413" i="6" s="1"/>
  <c r="P160" i="6"/>
  <c r="Q163" i="6" s="1"/>
  <c r="P159" i="6"/>
  <c r="Q162" i="6" s="1"/>
  <c r="P158" i="6"/>
  <c r="Q160" i="6" s="1"/>
  <c r="P157" i="6"/>
  <c r="Q159" i="6" s="1"/>
  <c r="P156" i="6"/>
  <c r="Q158" i="6" s="1"/>
  <c r="P155" i="6"/>
  <c r="Q157" i="6" s="1"/>
  <c r="P154" i="6"/>
  <c r="Q299" i="6" s="1"/>
  <c r="P153" i="6"/>
  <c r="Q155" i="6" s="1"/>
  <c r="P152" i="6"/>
  <c r="Q154" i="6" s="1"/>
  <c r="P151" i="6"/>
  <c r="Q153" i="6" s="1"/>
  <c r="P150" i="6"/>
  <c r="Q152" i="6" s="1"/>
  <c r="P149" i="6"/>
  <c r="Q151" i="6" s="1"/>
  <c r="P148" i="6"/>
  <c r="Q150" i="6" s="1"/>
  <c r="P147" i="6"/>
  <c r="Q149" i="6" s="1"/>
  <c r="P146" i="6"/>
  <c r="Q148" i="6" s="1"/>
  <c r="P145" i="6"/>
  <c r="Q147" i="6" s="1"/>
  <c r="P144" i="6"/>
  <c r="Q146" i="6" s="1"/>
  <c r="Q143" i="6"/>
  <c r="P143" i="6"/>
  <c r="Q145" i="6" s="1"/>
  <c r="P142" i="6"/>
  <c r="Q144" i="6" s="1"/>
  <c r="P141" i="6"/>
  <c r="P140" i="6"/>
  <c r="Q142" i="6" s="1"/>
  <c r="P139" i="6"/>
  <c r="Q141" i="6" s="1"/>
  <c r="P138" i="6"/>
  <c r="Q140" i="6" s="1"/>
  <c r="P137" i="6"/>
  <c r="Q139" i="6" s="1"/>
  <c r="P136" i="6"/>
  <c r="Q138" i="6" s="1"/>
  <c r="P135" i="6"/>
  <c r="Q137" i="6" s="1"/>
  <c r="P134" i="6"/>
  <c r="Q136" i="6" s="1"/>
  <c r="P133" i="6"/>
  <c r="Q135" i="6" s="1"/>
  <c r="P132" i="6"/>
  <c r="Q134" i="6" s="1"/>
  <c r="Q131" i="6"/>
  <c r="P131" i="6"/>
  <c r="Q372" i="6" s="1"/>
  <c r="P130" i="6"/>
  <c r="Q133" i="6" s="1"/>
  <c r="P129" i="6"/>
  <c r="Q132" i="6" s="1"/>
  <c r="P128" i="6"/>
  <c r="Q130" i="6" s="1"/>
  <c r="P127" i="6"/>
  <c r="Q58" i="6" s="1"/>
  <c r="P126" i="6"/>
  <c r="Q123" i="6" s="1"/>
  <c r="P125" i="6"/>
  <c r="Q127" i="6" s="1"/>
  <c r="P123" i="6"/>
  <c r="Q126" i="6" s="1"/>
  <c r="P122" i="6"/>
  <c r="Q128" i="6" s="1"/>
  <c r="P121" i="6"/>
  <c r="Q125" i="6" s="1"/>
  <c r="P120" i="6"/>
  <c r="Q122" i="6" s="1"/>
  <c r="P119" i="6"/>
  <c r="Q121" i="6" s="1"/>
  <c r="P118" i="6"/>
  <c r="Q120" i="6" s="1"/>
  <c r="P117" i="6"/>
  <c r="Q119" i="6" s="1"/>
  <c r="P116" i="6"/>
  <c r="Q118" i="6" s="1"/>
  <c r="P115" i="6"/>
  <c r="Q117" i="6" s="1"/>
  <c r="P114" i="6"/>
  <c r="Q116" i="6" s="1"/>
  <c r="P113" i="6"/>
  <c r="Q115" i="6" s="1"/>
  <c r="P112" i="6"/>
  <c r="Q114" i="6" s="1"/>
  <c r="P111" i="6"/>
  <c r="Q113" i="6" s="1"/>
  <c r="P110" i="6"/>
  <c r="Q112" i="6" s="1"/>
  <c r="P109" i="6"/>
  <c r="Q111" i="6" s="1"/>
  <c r="P108" i="6"/>
  <c r="Q110" i="6" s="1"/>
  <c r="P107" i="6"/>
  <c r="Q109" i="6" s="1"/>
  <c r="Q106" i="6"/>
  <c r="P106" i="6"/>
  <c r="Q108" i="6" s="1"/>
  <c r="Q105" i="6"/>
  <c r="P105" i="6"/>
  <c r="Q378" i="6" s="1"/>
  <c r="P104" i="6"/>
  <c r="Q288" i="6" s="1"/>
  <c r="P103" i="6"/>
  <c r="Q107" i="6" s="1"/>
  <c r="P102" i="6"/>
  <c r="Q103" i="6" s="1"/>
  <c r="P101" i="6"/>
  <c r="P100" i="6"/>
  <c r="Q101" i="6" s="1"/>
  <c r="P99" i="6"/>
  <c r="Q100" i="6" s="1"/>
  <c r="P98" i="6"/>
  <c r="Q99" i="6" s="1"/>
  <c r="P97" i="6"/>
  <c r="Q98" i="6" s="1"/>
  <c r="Q96" i="6"/>
  <c r="P96" i="6"/>
  <c r="Q97" i="6" s="1"/>
  <c r="P95" i="6"/>
  <c r="Q357" i="6" s="1"/>
  <c r="P94" i="6"/>
  <c r="Q95" i="6" s="1"/>
  <c r="P93" i="6"/>
  <c r="P92" i="6"/>
  <c r="Q93" i="6" s="1"/>
  <c r="P91" i="6"/>
  <c r="Q92" i="6" s="1"/>
  <c r="P90" i="6"/>
  <c r="Q91" i="6" s="1"/>
  <c r="P89" i="6"/>
  <c r="Q88" i="6"/>
  <c r="P88" i="6"/>
  <c r="Q89" i="6" s="1"/>
  <c r="P87" i="6"/>
  <c r="Q431" i="6" s="1"/>
  <c r="P86" i="6"/>
  <c r="P85" i="6"/>
  <c r="Q86" i="6" s="1"/>
  <c r="P84" i="6"/>
  <c r="Q85" i="6" s="1"/>
  <c r="P83" i="6"/>
  <c r="Q84" i="6" s="1"/>
  <c r="P82" i="6"/>
  <c r="Q81" i="6"/>
  <c r="P81" i="6"/>
  <c r="Q82" i="6" s="1"/>
  <c r="P79" i="6"/>
  <c r="P78" i="6"/>
  <c r="Q79" i="6" s="1"/>
  <c r="P77" i="6"/>
  <c r="Q78" i="6" s="1"/>
  <c r="P76" i="6"/>
  <c r="Q77" i="6" s="1"/>
  <c r="P75" i="6"/>
  <c r="Q76" i="6" s="1"/>
  <c r="P74" i="6"/>
  <c r="Q75" i="6" s="1"/>
  <c r="P73" i="6"/>
  <c r="Q74" i="6" s="1"/>
  <c r="Q72" i="6"/>
  <c r="P72" i="6"/>
  <c r="Q73" i="6" s="1"/>
  <c r="P71" i="6"/>
  <c r="P70" i="6"/>
  <c r="Q71" i="6" s="1"/>
  <c r="P69" i="6"/>
  <c r="Q70" i="6" s="1"/>
  <c r="P68" i="6"/>
  <c r="Q69" i="6" s="1"/>
  <c r="P67" i="6"/>
  <c r="P66" i="6"/>
  <c r="Q67" i="6" s="1"/>
  <c r="P65" i="6"/>
  <c r="Q66" i="6" s="1"/>
  <c r="P64" i="6"/>
  <c r="Q65" i="6" s="1"/>
  <c r="P63" i="6"/>
  <c r="Q64" i="6" s="1"/>
  <c r="P62" i="6"/>
  <c r="Q63" i="6" s="1"/>
  <c r="P61" i="6"/>
  <c r="Q62" i="6" s="1"/>
  <c r="P60" i="6"/>
  <c r="Q61" i="6" s="1"/>
  <c r="P59" i="6"/>
  <c r="Q60" i="6" s="1"/>
  <c r="P58" i="6"/>
  <c r="Q59" i="6" s="1"/>
  <c r="P57" i="6"/>
  <c r="Q129" i="6" s="1"/>
  <c r="P56" i="6"/>
  <c r="Q57" i="6" s="1"/>
  <c r="P55" i="6"/>
  <c r="Q56" i="6" s="1"/>
  <c r="P54" i="6"/>
  <c r="Q55" i="6" s="1"/>
  <c r="P53" i="6"/>
  <c r="Q54" i="6" s="1"/>
  <c r="P52" i="6"/>
  <c r="P51" i="6"/>
  <c r="Q52" i="6" s="1"/>
  <c r="P50" i="6"/>
  <c r="Q51" i="6" s="1"/>
  <c r="P49" i="6"/>
  <c r="Q50" i="6" s="1"/>
  <c r="P48" i="6"/>
  <c r="Q48" i="6" s="1"/>
  <c r="P47" i="6"/>
  <c r="Q47" i="6" s="1"/>
  <c r="P46" i="6"/>
  <c r="Q46" i="6" s="1"/>
  <c r="P45" i="6"/>
  <c r="Q45" i="6" s="1"/>
  <c r="P44" i="6"/>
  <c r="Q44" i="6" s="1"/>
  <c r="Q351" i="6"/>
  <c r="P351" i="6"/>
  <c r="P42" i="6"/>
  <c r="P41" i="6"/>
  <c r="P40" i="6"/>
  <c r="P39" i="6"/>
  <c r="P38" i="6"/>
  <c r="Q38" i="6" s="1"/>
  <c r="P37" i="6"/>
  <c r="Q37" i="6" s="1"/>
  <c r="P36" i="6"/>
  <c r="Q36" i="6" s="1"/>
  <c r="P35" i="6"/>
  <c r="Q35" i="6" s="1"/>
  <c r="P34" i="6"/>
  <c r="Q34" i="6" s="1"/>
  <c r="P33" i="6"/>
  <c r="P32" i="6"/>
  <c r="Q32" i="6" s="1"/>
  <c r="P31" i="6"/>
  <c r="Q31" i="6" s="1"/>
  <c r="P30" i="6"/>
  <c r="Q30" i="6" s="1"/>
  <c r="P29" i="6"/>
  <c r="Q29" i="6" s="1"/>
  <c r="P28" i="6"/>
  <c r="Q28" i="6" s="1"/>
  <c r="P27" i="6"/>
  <c r="Q27" i="6" s="1"/>
  <c r="P26" i="6"/>
  <c r="Q26" i="6" s="1"/>
  <c r="P25" i="6"/>
  <c r="Q25" i="6" s="1"/>
  <c r="P23" i="6"/>
  <c r="Q23" i="6" s="1"/>
  <c r="P22" i="6"/>
  <c r="Q22" i="6" s="1"/>
  <c r="P21" i="6"/>
  <c r="P20" i="6"/>
  <c r="Q20" i="6" s="1"/>
  <c r="P19" i="6"/>
  <c r="P18" i="6"/>
  <c r="Q18" i="6" s="1"/>
  <c r="P16" i="6"/>
  <c r="Q16" i="6" s="1"/>
  <c r="P15" i="6"/>
  <c r="Q15" i="6" s="1"/>
  <c r="P14" i="6"/>
  <c r="Q14" i="6" s="1"/>
  <c r="P13" i="6"/>
  <c r="Q13" i="6" s="1"/>
  <c r="P12" i="6"/>
  <c r="Q12" i="6" s="1"/>
  <c r="J7" i="6"/>
  <c r="J25" i="12"/>
  <c r="J31" i="12" s="1"/>
  <c r="J33" i="12" s="1"/>
  <c r="C45" i="14"/>
  <c r="D44" i="14"/>
  <c r="E44" i="14" s="1"/>
  <c r="C44" i="14"/>
  <c r="D43" i="14"/>
  <c r="E43" i="14" s="1"/>
  <c r="C43" i="14"/>
  <c r="D42" i="14"/>
  <c r="E42" i="14" s="1"/>
  <c r="C42" i="14"/>
  <c r="D41" i="14"/>
  <c r="E41" i="14" s="1"/>
  <c r="C41" i="14"/>
  <c r="E40" i="14"/>
  <c r="E39" i="14"/>
  <c r="E38" i="14"/>
  <c r="E37" i="14"/>
  <c r="D37" i="14"/>
  <c r="C37" i="14"/>
  <c r="E36" i="14"/>
  <c r="E35" i="14"/>
  <c r="E34" i="14"/>
  <c r="E33" i="14"/>
  <c r="D33" i="14"/>
  <c r="C33" i="14"/>
  <c r="E32" i="14"/>
  <c r="E31" i="14"/>
  <c r="E30" i="14"/>
  <c r="E29" i="14"/>
  <c r="D29" i="14"/>
  <c r="C29" i="14"/>
  <c r="E28" i="14"/>
  <c r="E27" i="14"/>
  <c r="E26" i="14"/>
  <c r="D25" i="14"/>
  <c r="E25" i="14" s="1"/>
  <c r="C25" i="14"/>
  <c r="E24" i="14"/>
  <c r="E23" i="14"/>
  <c r="E22" i="14"/>
  <c r="D21" i="14"/>
  <c r="E21" i="14" s="1"/>
  <c r="C21" i="14"/>
  <c r="E20" i="14"/>
  <c r="E19" i="14"/>
  <c r="E18" i="14"/>
  <c r="E17" i="14"/>
  <c r="D17" i="14"/>
  <c r="C17" i="14"/>
  <c r="E16" i="14"/>
  <c r="E15" i="14"/>
  <c r="E14" i="14"/>
  <c r="D13" i="14"/>
  <c r="E13" i="14" s="1"/>
  <c r="C13" i="14"/>
  <c r="E12" i="14"/>
  <c r="E11" i="14"/>
  <c r="E10" i="14"/>
  <c r="B36" i="13"/>
  <c r="L21" i="13"/>
  <c r="K21" i="13"/>
  <c r="J21" i="13"/>
  <c r="I21" i="13"/>
  <c r="G21" i="13"/>
  <c r="E21" i="13"/>
  <c r="D21" i="13"/>
  <c r="C21" i="13"/>
  <c r="B21" i="13"/>
  <c r="N20" i="13"/>
  <c r="M20" i="13"/>
  <c r="F20" i="13"/>
  <c r="M19" i="13"/>
  <c r="N19" i="13" s="1"/>
  <c r="F19" i="13"/>
  <c r="M18" i="13"/>
  <c r="F18" i="13"/>
  <c r="L13" i="13"/>
  <c r="G25" i="13" s="1"/>
  <c r="J13" i="13"/>
  <c r="G13" i="13"/>
  <c r="C13" i="13"/>
  <c r="C25" i="13" s="1"/>
  <c r="N12" i="13"/>
  <c r="I12" i="13"/>
  <c r="G12" i="13"/>
  <c r="N11" i="13"/>
  <c r="I11" i="13"/>
  <c r="I10" i="13"/>
  <c r="N10" i="13" s="1"/>
  <c r="I33" i="12"/>
  <c r="H33" i="12"/>
  <c r="G33" i="12"/>
  <c r="F33" i="12"/>
  <c r="E33" i="12"/>
  <c r="D33" i="12"/>
  <c r="C33" i="12"/>
  <c r="B33" i="12"/>
  <c r="K32" i="12"/>
  <c r="I32" i="12"/>
  <c r="H32" i="12"/>
  <c r="G32" i="12"/>
  <c r="F32" i="12"/>
  <c r="E32" i="12"/>
  <c r="D32" i="12"/>
  <c r="C32" i="12"/>
  <c r="B32" i="12"/>
  <c r="I31" i="12"/>
  <c r="H31" i="12"/>
  <c r="G31" i="12"/>
  <c r="F31" i="12"/>
  <c r="E31" i="12"/>
  <c r="D31" i="12"/>
  <c r="C31" i="12"/>
  <c r="B31" i="12"/>
  <c r="J30" i="12"/>
  <c r="I30" i="12"/>
  <c r="H30" i="12"/>
  <c r="G30" i="12"/>
  <c r="F30" i="12"/>
  <c r="E30" i="12"/>
  <c r="D30" i="12"/>
  <c r="C30" i="12"/>
  <c r="B30" i="12"/>
  <c r="K27" i="12"/>
  <c r="I27" i="12"/>
  <c r="K25" i="12"/>
  <c r="K31" i="12" s="1"/>
  <c r="I25" i="12"/>
  <c r="H25" i="12"/>
  <c r="G25" i="12"/>
  <c r="F25" i="12"/>
  <c r="E25" i="12"/>
  <c r="D25" i="12"/>
  <c r="C25" i="12"/>
  <c r="B25" i="12"/>
  <c r="K24" i="12"/>
  <c r="I24" i="12"/>
  <c r="H24" i="12"/>
  <c r="K23" i="12"/>
  <c r="I23" i="12"/>
  <c r="H23" i="12"/>
  <c r="K22" i="12"/>
  <c r="I22" i="12"/>
  <c r="H22" i="12"/>
  <c r="K21" i="12"/>
  <c r="I21" i="12"/>
  <c r="H21" i="12"/>
  <c r="K20" i="12"/>
  <c r="I20" i="12"/>
  <c r="H20" i="12"/>
  <c r="K19" i="12"/>
  <c r="I19" i="12"/>
  <c r="H19" i="12"/>
  <c r="K18" i="12"/>
  <c r="I18" i="12"/>
  <c r="H18" i="12"/>
  <c r="K15" i="12"/>
  <c r="K30" i="12" s="1"/>
  <c r="J15" i="12"/>
  <c r="I15" i="12"/>
  <c r="H15" i="12"/>
  <c r="G15" i="12"/>
  <c r="F15" i="12"/>
  <c r="E15" i="12"/>
  <c r="D15" i="12"/>
  <c r="C15" i="12"/>
  <c r="B15" i="12"/>
  <c r="K14" i="12"/>
  <c r="I14" i="12"/>
  <c r="H14" i="12"/>
  <c r="K13" i="12"/>
  <c r="I13" i="12"/>
  <c r="H13" i="12"/>
  <c r="K12" i="12"/>
  <c r="I12" i="12"/>
  <c r="H12" i="12"/>
  <c r="K11" i="12"/>
  <c r="I11" i="12"/>
  <c r="H11" i="12"/>
  <c r="K10" i="12"/>
  <c r="I10" i="12"/>
  <c r="H10" i="12"/>
  <c r="K9" i="12"/>
  <c r="I9" i="12"/>
  <c r="H9" i="12"/>
  <c r="I36" i="11"/>
  <c r="H36" i="11"/>
  <c r="G36" i="11"/>
  <c r="F36" i="11"/>
  <c r="E36" i="11"/>
  <c r="D36" i="11"/>
  <c r="C36" i="11"/>
  <c r="B36" i="11"/>
  <c r="I35" i="11"/>
  <c r="H35" i="11"/>
  <c r="G35" i="11"/>
  <c r="F35" i="11"/>
  <c r="E35" i="11"/>
  <c r="D35" i="11"/>
  <c r="C35" i="11"/>
  <c r="I34" i="11"/>
  <c r="H34" i="11"/>
  <c r="G34" i="11"/>
  <c r="F34" i="11"/>
  <c r="E34" i="11"/>
  <c r="D34" i="11"/>
  <c r="C34" i="11"/>
  <c r="B34" i="11"/>
  <c r="I33" i="11"/>
  <c r="H33" i="11"/>
  <c r="G33" i="11"/>
  <c r="F33" i="11"/>
  <c r="E33" i="11"/>
  <c r="D33" i="11"/>
  <c r="C33" i="11"/>
  <c r="B33" i="11"/>
  <c r="I30" i="11"/>
  <c r="G30" i="11"/>
  <c r="I28" i="11"/>
  <c r="H28" i="11"/>
  <c r="G28" i="11"/>
  <c r="F28" i="11"/>
  <c r="D28" i="11"/>
  <c r="C28" i="11"/>
  <c r="B28" i="11"/>
  <c r="I27" i="11"/>
  <c r="G27" i="11"/>
  <c r="F27" i="11"/>
  <c r="I26" i="11"/>
  <c r="G26" i="11"/>
  <c r="F26" i="11"/>
  <c r="I25" i="11"/>
  <c r="G25" i="11"/>
  <c r="F25" i="11"/>
  <c r="I24" i="11"/>
  <c r="G24" i="11"/>
  <c r="F24" i="11"/>
  <c r="I23" i="11"/>
  <c r="F23" i="11"/>
  <c r="I22" i="11"/>
  <c r="G22" i="11"/>
  <c r="F22" i="11"/>
  <c r="I21" i="11"/>
  <c r="G21" i="11"/>
  <c r="F21" i="11"/>
  <c r="I18" i="11"/>
  <c r="H18" i="11"/>
  <c r="G18" i="11"/>
  <c r="F18" i="11"/>
  <c r="E18" i="11"/>
  <c r="D18" i="11"/>
  <c r="C18" i="11"/>
  <c r="B18" i="11"/>
  <c r="I17" i="11"/>
  <c r="G17" i="11"/>
  <c r="F17" i="11"/>
  <c r="I16" i="11"/>
  <c r="G16" i="11"/>
  <c r="F16" i="11"/>
  <c r="I15" i="11"/>
  <c r="G15" i="11"/>
  <c r="F15" i="11"/>
  <c r="I14" i="11"/>
  <c r="G14" i="11"/>
  <c r="F14" i="11"/>
  <c r="I13" i="11"/>
  <c r="F13" i="11"/>
  <c r="I12" i="11"/>
  <c r="F12" i="11"/>
  <c r="J36" i="10"/>
  <c r="I36" i="10"/>
  <c r="H36" i="10"/>
  <c r="G36" i="10"/>
  <c r="F36" i="10"/>
  <c r="E36" i="10"/>
  <c r="D36" i="10"/>
  <c r="C36" i="10"/>
  <c r="B36" i="10"/>
  <c r="J35" i="10"/>
  <c r="I35" i="10"/>
  <c r="H35" i="10"/>
  <c r="G35" i="10"/>
  <c r="F35" i="10"/>
  <c r="E35" i="10"/>
  <c r="D35" i="10"/>
  <c r="C35" i="10"/>
  <c r="J34" i="10"/>
  <c r="I34" i="10"/>
  <c r="H34" i="10"/>
  <c r="G34" i="10"/>
  <c r="F34" i="10"/>
  <c r="E34" i="10"/>
  <c r="D34" i="10"/>
  <c r="C34" i="10"/>
  <c r="B34" i="10"/>
  <c r="J33" i="10"/>
  <c r="I33" i="10"/>
  <c r="H33" i="10"/>
  <c r="G33" i="10"/>
  <c r="F33" i="10"/>
  <c r="E33" i="10"/>
  <c r="D33" i="10"/>
  <c r="C33" i="10"/>
  <c r="B33" i="10"/>
  <c r="J30" i="10"/>
  <c r="H30" i="10"/>
  <c r="J28" i="10"/>
  <c r="I28" i="10"/>
  <c r="H28" i="10"/>
  <c r="G28" i="10"/>
  <c r="F28" i="10"/>
  <c r="E28" i="10"/>
  <c r="D28" i="10"/>
  <c r="C28" i="10"/>
  <c r="B28" i="10"/>
  <c r="J27" i="10"/>
  <c r="H27" i="10"/>
  <c r="G27" i="10"/>
  <c r="J26" i="10"/>
  <c r="H26" i="10"/>
  <c r="G26" i="10"/>
  <c r="J25" i="10"/>
  <c r="H25" i="10"/>
  <c r="G25" i="10"/>
  <c r="J24" i="10"/>
  <c r="H24" i="10"/>
  <c r="G24" i="10"/>
  <c r="N23" i="10"/>
  <c r="J23" i="10"/>
  <c r="H23" i="10"/>
  <c r="G23" i="10"/>
  <c r="J22" i="10"/>
  <c r="H22" i="10"/>
  <c r="G22" i="10"/>
  <c r="J21" i="10"/>
  <c r="H21" i="10"/>
  <c r="G21" i="10"/>
  <c r="J18" i="10"/>
  <c r="I18" i="10"/>
  <c r="H18" i="10"/>
  <c r="G18" i="10"/>
  <c r="E18" i="10"/>
  <c r="D18" i="10"/>
  <c r="C18" i="10"/>
  <c r="B18" i="10"/>
  <c r="J17" i="10"/>
  <c r="H17" i="10"/>
  <c r="G17" i="10"/>
  <c r="J16" i="10"/>
  <c r="H16" i="10"/>
  <c r="G16" i="10"/>
  <c r="J15" i="10"/>
  <c r="H15" i="10"/>
  <c r="G15" i="10"/>
  <c r="J14" i="10"/>
  <c r="H14" i="10"/>
  <c r="G14" i="10"/>
  <c r="J13" i="10"/>
  <c r="H13" i="10"/>
  <c r="G13" i="10"/>
  <c r="J12" i="10"/>
  <c r="G12" i="10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I259" i="5"/>
  <c r="G259" i="5"/>
  <c r="F259" i="5"/>
  <c r="D259" i="5"/>
  <c r="I258" i="5"/>
  <c r="I257" i="5"/>
  <c r="I256" i="5"/>
  <c r="J196" i="4"/>
  <c r="I189" i="4"/>
  <c r="G189" i="4"/>
  <c r="F189" i="4"/>
  <c r="D189" i="4"/>
  <c r="I188" i="4"/>
  <c r="I187" i="4"/>
  <c r="I186" i="4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P143" i="4"/>
  <c r="Q142" i="4"/>
  <c r="P142" i="4"/>
  <c r="Q141" i="4"/>
  <c r="P141" i="4"/>
  <c r="Q140" i="4"/>
  <c r="P140" i="4"/>
  <c r="P139" i="4"/>
  <c r="Q138" i="4"/>
  <c r="P138" i="4"/>
  <c r="Q137" i="4"/>
  <c r="P137" i="4"/>
  <c r="Q136" i="4"/>
  <c r="P136" i="4"/>
  <c r="Q135" i="4"/>
  <c r="P135" i="4"/>
  <c r="Q134" i="4"/>
  <c r="P134" i="4"/>
  <c r="P133" i="4"/>
  <c r="Q132" i="4"/>
  <c r="P132" i="4"/>
  <c r="Q131" i="4"/>
  <c r="P131" i="4"/>
  <c r="Q130" i="4"/>
  <c r="P130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Q121" i="4"/>
  <c r="P121" i="4"/>
  <c r="Q120" i="4"/>
  <c r="P120" i="4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Q109" i="4"/>
  <c r="P109" i="4"/>
  <c r="P108" i="4"/>
  <c r="Q107" i="4"/>
  <c r="P107" i="4"/>
  <c r="Q106" i="4"/>
  <c r="P106" i="4"/>
  <c r="Q105" i="4"/>
  <c r="P105" i="4"/>
  <c r="P104" i="4"/>
  <c r="Q103" i="4"/>
  <c r="P103" i="4"/>
  <c r="Q102" i="4"/>
  <c r="P102" i="4"/>
  <c r="Q101" i="4"/>
  <c r="P101" i="4"/>
  <c r="Q99" i="4"/>
  <c r="P99" i="4"/>
  <c r="Q98" i="4"/>
  <c r="P98" i="4"/>
  <c r="P97" i="4"/>
  <c r="Q96" i="4"/>
  <c r="P96" i="4"/>
  <c r="Q95" i="4"/>
  <c r="P95" i="4"/>
  <c r="P94" i="4"/>
  <c r="Q93" i="4"/>
  <c r="P93" i="4"/>
  <c r="P92" i="4"/>
  <c r="Q91" i="4"/>
  <c r="P91" i="4"/>
  <c r="Q90" i="4"/>
  <c r="P90" i="4"/>
  <c r="Q89" i="4"/>
  <c r="P89" i="4"/>
  <c r="Q88" i="4"/>
  <c r="P88" i="4"/>
  <c r="Q87" i="4"/>
  <c r="P87" i="4"/>
  <c r="P85" i="4"/>
  <c r="Q84" i="4"/>
  <c r="P84" i="4"/>
  <c r="Q83" i="4"/>
  <c r="P83" i="4"/>
  <c r="Q82" i="4"/>
  <c r="P82" i="4"/>
  <c r="P81" i="4"/>
  <c r="Q80" i="4"/>
  <c r="P80" i="4"/>
  <c r="Q79" i="4"/>
  <c r="P79" i="4"/>
  <c r="P78" i="4"/>
  <c r="Q76" i="4"/>
  <c r="P76" i="4"/>
  <c r="Q75" i="4"/>
  <c r="P75" i="4"/>
  <c r="Q74" i="4"/>
  <c r="P74" i="4"/>
  <c r="Q73" i="4"/>
  <c r="P73" i="4"/>
  <c r="Q72" i="4"/>
  <c r="P72" i="4"/>
  <c r="Q71" i="4"/>
  <c r="P71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P63" i="4"/>
  <c r="P62" i="4"/>
  <c r="Q61" i="4"/>
  <c r="P61" i="4"/>
  <c r="Q60" i="4"/>
  <c r="P60" i="4"/>
  <c r="Q59" i="4"/>
  <c r="P59" i="4"/>
  <c r="Q58" i="4"/>
  <c r="P58" i="4"/>
  <c r="Q57" i="4"/>
  <c r="P57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P39" i="4"/>
  <c r="Q38" i="4"/>
  <c r="P38" i="4"/>
  <c r="Q37" i="4"/>
  <c r="P37" i="4"/>
  <c r="P36" i="4"/>
  <c r="Q35" i="4"/>
  <c r="P35" i="4"/>
  <c r="Q34" i="4"/>
  <c r="P34" i="4"/>
  <c r="Q33" i="4"/>
  <c r="P33" i="4"/>
  <c r="P31" i="4"/>
  <c r="P30" i="4"/>
  <c r="P29" i="4"/>
  <c r="P28" i="4"/>
  <c r="Q27" i="4"/>
  <c r="P27" i="4"/>
  <c r="Q26" i="4"/>
  <c r="P26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P13" i="4"/>
  <c r="Q12" i="4"/>
  <c r="P12" i="4"/>
  <c r="Q11" i="4"/>
  <c r="P11" i="4"/>
  <c r="J3" i="4"/>
  <c r="J2" i="4"/>
  <c r="J589" i="3"/>
  <c r="I582" i="3"/>
  <c r="G582" i="3"/>
  <c r="F582" i="3"/>
  <c r="E582" i="3"/>
  <c r="D582" i="3"/>
  <c r="I581" i="3"/>
  <c r="I580" i="3"/>
  <c r="I579" i="3"/>
  <c r="Q574" i="3"/>
  <c r="P574" i="3"/>
  <c r="P573" i="3"/>
  <c r="Q572" i="3"/>
  <c r="P572" i="3"/>
  <c r="P571" i="3"/>
  <c r="Q570" i="3"/>
  <c r="P570" i="3"/>
  <c r="Q569" i="3"/>
  <c r="P569" i="3"/>
  <c r="Q568" i="3"/>
  <c r="P568" i="3"/>
  <c r="Q566" i="3"/>
  <c r="P566" i="3"/>
  <c r="Q565" i="3"/>
  <c r="P565" i="3"/>
  <c r="Q564" i="3"/>
  <c r="P564" i="3"/>
  <c r="Q563" i="3"/>
  <c r="P563" i="3"/>
  <c r="Q562" i="3"/>
  <c r="P562" i="3"/>
  <c r="Q561" i="3"/>
  <c r="P561" i="3"/>
  <c r="P560" i="3"/>
  <c r="Q559" i="3"/>
  <c r="P559" i="3"/>
  <c r="P557" i="3"/>
  <c r="P556" i="3"/>
  <c r="Q555" i="3"/>
  <c r="P555" i="3"/>
  <c r="P554" i="3"/>
  <c r="P553" i="3"/>
  <c r="P552" i="3"/>
  <c r="P551" i="3"/>
  <c r="Q549" i="3"/>
  <c r="P549" i="3"/>
  <c r="Q548" i="3"/>
  <c r="P548" i="3"/>
  <c r="Q547" i="3"/>
  <c r="P547" i="3"/>
  <c r="Q546" i="3"/>
  <c r="P546" i="3"/>
  <c r="Q545" i="3"/>
  <c r="P545" i="3"/>
  <c r="Q544" i="3"/>
  <c r="P544" i="3"/>
  <c r="Q543" i="3"/>
  <c r="P543" i="3"/>
  <c r="P542" i="3"/>
  <c r="P541" i="3"/>
  <c r="Q540" i="3"/>
  <c r="P540" i="3"/>
  <c r="Q538" i="3"/>
  <c r="P538" i="3"/>
  <c r="Q537" i="3"/>
  <c r="P537" i="3"/>
  <c r="Q536" i="3"/>
  <c r="P536" i="3"/>
  <c r="Q534" i="3"/>
  <c r="P534" i="3"/>
  <c r="Q533" i="3"/>
  <c r="P533" i="3"/>
  <c r="Q532" i="3"/>
  <c r="P532" i="3"/>
  <c r="P531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P520" i="3"/>
  <c r="P519" i="3"/>
  <c r="Q518" i="3"/>
  <c r="P518" i="3"/>
  <c r="P517" i="3"/>
  <c r="P516" i="3"/>
  <c r="Q515" i="3"/>
  <c r="P515" i="3"/>
  <c r="Q514" i="3"/>
  <c r="P514" i="3"/>
  <c r="P513" i="3"/>
  <c r="Q512" i="3"/>
  <c r="P512" i="3"/>
  <c r="P511" i="3"/>
  <c r="Q510" i="3"/>
  <c r="P510" i="3"/>
  <c r="Q509" i="3"/>
  <c r="P509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P480" i="3"/>
  <c r="P479" i="3"/>
  <c r="Q478" i="3"/>
  <c r="P478" i="3"/>
  <c r="Q477" i="3"/>
  <c r="P477" i="3"/>
  <c r="P476" i="3"/>
  <c r="Q475" i="3"/>
  <c r="P475" i="3"/>
  <c r="Q474" i="3"/>
  <c r="P474" i="3"/>
  <c r="Q473" i="3"/>
  <c r="P473" i="3"/>
  <c r="P472" i="3"/>
  <c r="P471" i="3"/>
  <c r="Q470" i="3"/>
  <c r="P470" i="3"/>
  <c r="P469" i="3"/>
  <c r="P468" i="3"/>
  <c r="Q467" i="3"/>
  <c r="P467" i="3"/>
  <c r="Q466" i="3"/>
  <c r="P466" i="3"/>
  <c r="Q465" i="3"/>
  <c r="P465" i="3"/>
  <c r="Q464" i="3"/>
  <c r="P464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P456" i="3"/>
  <c r="Q455" i="3"/>
  <c r="P455" i="3"/>
  <c r="P454" i="3"/>
  <c r="Q453" i="3"/>
  <c r="P453" i="3"/>
  <c r="Q452" i="3"/>
  <c r="P452" i="3"/>
  <c r="Q451" i="3"/>
  <c r="P451" i="3"/>
  <c r="P450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P421" i="3"/>
  <c r="P420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P376" i="3"/>
  <c r="P375" i="3"/>
  <c r="Q374" i="3"/>
  <c r="P374" i="3"/>
  <c r="P373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P361" i="3"/>
  <c r="Q360" i="3"/>
  <c r="P360" i="3"/>
  <c r="Q359" i="3"/>
  <c r="P359" i="3"/>
  <c r="P358" i="3"/>
  <c r="Q357" i="3"/>
  <c r="P357" i="3"/>
  <c r="P356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P345" i="3"/>
  <c r="Q344" i="3"/>
  <c r="P344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P334" i="3"/>
  <c r="P333" i="3"/>
  <c r="Q332" i="3"/>
  <c r="P332" i="3"/>
  <c r="P331" i="3"/>
  <c r="Q330" i="3"/>
  <c r="P330" i="3"/>
  <c r="Q329" i="3"/>
  <c r="P329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P320" i="3"/>
  <c r="Q319" i="3"/>
  <c r="P319" i="3"/>
  <c r="Q318" i="3"/>
  <c r="P318" i="3"/>
  <c r="P317" i="3"/>
  <c r="Q316" i="3"/>
  <c r="P316" i="3"/>
  <c r="Q315" i="3"/>
  <c r="P315" i="3"/>
  <c r="Q314" i="3"/>
  <c r="P314" i="3"/>
  <c r="P313" i="3"/>
  <c r="L313" i="3"/>
  <c r="Q312" i="3"/>
  <c r="P312" i="3"/>
  <c r="Q311" i="3"/>
  <c r="P311" i="3"/>
  <c r="Q310" i="3"/>
  <c r="P310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Q277" i="3"/>
  <c r="P277" i="3"/>
  <c r="Q276" i="3"/>
  <c r="P276" i="3"/>
  <c r="Q275" i="3"/>
  <c r="P275" i="3"/>
  <c r="Q274" i="3"/>
  <c r="P274" i="3"/>
  <c r="Q273" i="3"/>
  <c r="P273" i="3"/>
  <c r="P272" i="3"/>
  <c r="Q271" i="3"/>
  <c r="P271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Q187" i="3"/>
  <c r="P187" i="3"/>
  <c r="Q186" i="3"/>
  <c r="P186" i="3"/>
  <c r="Q185" i="3"/>
  <c r="P185" i="3"/>
  <c r="Q184" i="3"/>
  <c r="P184" i="3"/>
  <c r="P183" i="3"/>
  <c r="Q182" i="3"/>
  <c r="P182" i="3"/>
  <c r="Q181" i="3"/>
  <c r="P181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P118" i="3"/>
  <c r="Q117" i="3"/>
  <c r="P117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N39" i="3"/>
  <c r="Q38" i="3"/>
  <c r="P38" i="3"/>
  <c r="Q37" i="3"/>
  <c r="P37" i="3"/>
  <c r="Q35" i="3"/>
  <c r="P35" i="3"/>
  <c r="Q34" i="3"/>
  <c r="P34" i="3"/>
  <c r="M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M27" i="3"/>
  <c r="Q26" i="3"/>
  <c r="P26" i="3"/>
  <c r="Q25" i="3"/>
  <c r="P25" i="3"/>
  <c r="M25" i="3"/>
  <c r="Q24" i="3"/>
  <c r="P24" i="3"/>
  <c r="Q23" i="3"/>
  <c r="P23" i="3"/>
  <c r="Q22" i="3"/>
  <c r="P22" i="3"/>
  <c r="Q21" i="3"/>
  <c r="P21" i="3"/>
  <c r="Q20" i="3"/>
  <c r="P20" i="3"/>
  <c r="P19" i="3"/>
  <c r="Q18" i="3"/>
  <c r="P18" i="3"/>
  <c r="Q17" i="3"/>
  <c r="P17" i="3"/>
  <c r="P16" i="3"/>
  <c r="Q15" i="3"/>
  <c r="P15" i="3"/>
  <c r="Q14" i="3"/>
  <c r="P14" i="3"/>
  <c r="Q13" i="3"/>
  <c r="P13" i="3"/>
  <c r="Q12" i="3"/>
  <c r="P12" i="3"/>
  <c r="J3" i="3"/>
  <c r="J2" i="3"/>
  <c r="J435" i="2"/>
  <c r="I428" i="2"/>
  <c r="G428" i="2"/>
  <c r="F428" i="2"/>
  <c r="E428" i="2"/>
  <c r="D428" i="2"/>
  <c r="I427" i="2"/>
  <c r="I426" i="2"/>
  <c r="J425" i="2"/>
  <c r="I425" i="2"/>
  <c r="Q420" i="2"/>
  <c r="P420" i="2"/>
  <c r="P419" i="2"/>
  <c r="Q418" i="2"/>
  <c r="P418" i="2"/>
  <c r="P417" i="2"/>
  <c r="Q416" i="2"/>
  <c r="P416" i="2"/>
  <c r="Q415" i="2"/>
  <c r="P415" i="2"/>
  <c r="Q414" i="2"/>
  <c r="P414" i="2"/>
  <c r="Q412" i="2"/>
  <c r="P412" i="2"/>
  <c r="Q411" i="2"/>
  <c r="P411" i="2"/>
  <c r="Q410" i="2"/>
  <c r="P410" i="2"/>
  <c r="Q409" i="2"/>
  <c r="P409" i="2"/>
  <c r="Q408" i="2"/>
  <c r="P408" i="2"/>
  <c r="Q407" i="2"/>
  <c r="P407" i="2"/>
  <c r="P406" i="2"/>
  <c r="Q405" i="2"/>
  <c r="P405" i="2"/>
  <c r="P403" i="2"/>
  <c r="P402" i="2"/>
  <c r="Q401" i="2"/>
  <c r="P401" i="2"/>
  <c r="P400" i="2"/>
  <c r="P399" i="2"/>
  <c r="P398" i="2"/>
  <c r="P397" i="2"/>
  <c r="Q395" i="2"/>
  <c r="P395" i="2"/>
  <c r="Q394" i="2"/>
  <c r="P394" i="2"/>
  <c r="Q393" i="2"/>
  <c r="P393" i="2"/>
  <c r="Q392" i="2"/>
  <c r="P392" i="2"/>
  <c r="Q391" i="2"/>
  <c r="P391" i="2"/>
  <c r="Q390" i="2"/>
  <c r="P390" i="2"/>
  <c r="Q389" i="2"/>
  <c r="P389" i="2"/>
  <c r="P388" i="2"/>
  <c r="P387" i="2"/>
  <c r="Q386" i="2"/>
  <c r="P386" i="2"/>
  <c r="Q384" i="2"/>
  <c r="P384" i="2"/>
  <c r="Q383" i="2"/>
  <c r="P383" i="2"/>
  <c r="Q382" i="2"/>
  <c r="P382" i="2"/>
  <c r="Q380" i="2"/>
  <c r="P380" i="2"/>
  <c r="Q379" i="2"/>
  <c r="P379" i="2"/>
  <c r="Q378" i="2"/>
  <c r="P378" i="2"/>
  <c r="P377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P366" i="2"/>
  <c r="P365" i="2"/>
  <c r="Q364" i="2"/>
  <c r="P364" i="2"/>
  <c r="P363" i="2"/>
  <c r="P362" i="2"/>
  <c r="Q361" i="2"/>
  <c r="P361" i="2"/>
  <c r="Q360" i="2"/>
  <c r="P360" i="2"/>
  <c r="P359" i="2"/>
  <c r="Q358" i="2"/>
  <c r="P358" i="2"/>
  <c r="P357" i="2"/>
  <c r="Q356" i="2"/>
  <c r="P356" i="2"/>
  <c r="Q355" i="2"/>
  <c r="P355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P326" i="2"/>
  <c r="P325" i="2"/>
  <c r="Q324" i="2"/>
  <c r="P324" i="2"/>
  <c r="Q323" i="2"/>
  <c r="P323" i="2"/>
  <c r="P322" i="2"/>
  <c r="Q321" i="2"/>
  <c r="P321" i="2"/>
  <c r="Q320" i="2"/>
  <c r="P320" i="2"/>
  <c r="Q319" i="2"/>
  <c r="P319" i="2"/>
  <c r="P318" i="2"/>
  <c r="P317" i="2"/>
  <c r="Q316" i="2"/>
  <c r="P316" i="2"/>
  <c r="P315" i="2"/>
  <c r="P314" i="2"/>
  <c r="Q313" i="2"/>
  <c r="P313" i="2"/>
  <c r="Q312" i="2"/>
  <c r="P312" i="2"/>
  <c r="Q311" i="2"/>
  <c r="P311" i="2"/>
  <c r="Q310" i="2"/>
  <c r="P310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P302" i="2"/>
  <c r="Q301" i="2"/>
  <c r="P301" i="2"/>
  <c r="P300" i="2"/>
  <c r="Q299" i="2"/>
  <c r="P299" i="2"/>
  <c r="Q298" i="2"/>
  <c r="P298" i="2"/>
  <c r="Q297" i="2"/>
  <c r="P297" i="2"/>
  <c r="P296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Q288" i="2"/>
  <c r="P288" i="2"/>
  <c r="Q287" i="2"/>
  <c r="P287" i="2"/>
  <c r="Q286" i="2"/>
  <c r="P286" i="2"/>
  <c r="Q285" i="2"/>
  <c r="P285" i="2"/>
  <c r="Q284" i="2"/>
  <c r="P284" i="2"/>
  <c r="Q283" i="2"/>
  <c r="P283" i="2"/>
  <c r="Q282" i="2"/>
  <c r="P282" i="2"/>
  <c r="Q281" i="2"/>
  <c r="P281" i="2"/>
  <c r="P280" i="2"/>
  <c r="Q279" i="2"/>
  <c r="P279" i="2"/>
  <c r="Q278" i="2"/>
  <c r="P278" i="2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P267" i="2"/>
  <c r="P266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7" i="2"/>
  <c r="P257" i="2"/>
  <c r="Q256" i="2"/>
  <c r="P256" i="2"/>
  <c r="Q255" i="2"/>
  <c r="P255" i="2"/>
  <c r="Q254" i="2"/>
  <c r="P254" i="2"/>
  <c r="Q253" i="2"/>
  <c r="P253" i="2"/>
  <c r="Q252" i="2"/>
  <c r="P252" i="2"/>
  <c r="P251" i="2"/>
  <c r="Q250" i="2"/>
  <c r="P250" i="2"/>
  <c r="Q249" i="2"/>
  <c r="P249" i="2"/>
  <c r="Q248" i="2"/>
  <c r="P248" i="2"/>
  <c r="Q247" i="2"/>
  <c r="P247" i="2"/>
  <c r="Q246" i="2"/>
  <c r="P246" i="2"/>
  <c r="Q245" i="2"/>
  <c r="P245" i="2"/>
  <c r="Q244" i="2"/>
  <c r="P244" i="2"/>
  <c r="Q243" i="2"/>
  <c r="P243" i="2"/>
  <c r="Q242" i="2"/>
  <c r="P242" i="2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Q230" i="2"/>
  <c r="P230" i="2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P222" i="2"/>
  <c r="P221" i="2"/>
  <c r="Q220" i="2"/>
  <c r="P220" i="2"/>
  <c r="P219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P207" i="2"/>
  <c r="Q206" i="2"/>
  <c r="P206" i="2"/>
  <c r="Q205" i="2"/>
  <c r="P205" i="2"/>
  <c r="P204" i="2"/>
  <c r="Q203" i="2"/>
  <c r="P203" i="2"/>
  <c r="P202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P191" i="2"/>
  <c r="Q190" i="2"/>
  <c r="P190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P180" i="2"/>
  <c r="P179" i="2"/>
  <c r="Q178" i="2"/>
  <c r="P178" i="2"/>
  <c r="P177" i="2"/>
  <c r="Q176" i="2"/>
  <c r="P176" i="2"/>
  <c r="Q175" i="2"/>
  <c r="P175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P166" i="2"/>
  <c r="Q165" i="2"/>
  <c r="P165" i="2"/>
  <c r="Q164" i="2"/>
  <c r="P164" i="2"/>
  <c r="P163" i="2"/>
  <c r="Q162" i="2"/>
  <c r="P162" i="2"/>
  <c r="Q161" i="2"/>
  <c r="P161" i="2"/>
  <c r="Q160" i="2"/>
  <c r="P160" i="2"/>
  <c r="P159" i="2"/>
  <c r="L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P118" i="2"/>
  <c r="Q117" i="2"/>
  <c r="P117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N39" i="2"/>
  <c r="Q38" i="2"/>
  <c r="P38" i="2"/>
  <c r="Q37" i="2"/>
  <c r="P37" i="2"/>
  <c r="Q35" i="2"/>
  <c r="P35" i="2"/>
  <c r="Q34" i="2"/>
  <c r="P34" i="2"/>
  <c r="M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M27" i="2"/>
  <c r="Q26" i="2"/>
  <c r="P26" i="2"/>
  <c r="Q25" i="2"/>
  <c r="P25" i="2"/>
  <c r="M25" i="2"/>
  <c r="Q24" i="2"/>
  <c r="P24" i="2"/>
  <c r="Q23" i="2"/>
  <c r="P23" i="2"/>
  <c r="Q22" i="2"/>
  <c r="P22" i="2"/>
  <c r="Q21" i="2"/>
  <c r="P21" i="2"/>
  <c r="Q20" i="2"/>
  <c r="P20" i="2"/>
  <c r="P19" i="2"/>
  <c r="Q18" i="2"/>
  <c r="P18" i="2"/>
  <c r="Q17" i="2"/>
  <c r="P17" i="2"/>
  <c r="P16" i="2"/>
  <c r="Q15" i="2"/>
  <c r="P15" i="2"/>
  <c r="Q14" i="2"/>
  <c r="P14" i="2"/>
  <c r="Q13" i="2"/>
  <c r="P13" i="2"/>
  <c r="Q12" i="2"/>
  <c r="P12" i="2"/>
  <c r="J3" i="2"/>
  <c r="J2" i="2"/>
  <c r="AA625" i="6" l="1"/>
  <c r="AA626" i="6"/>
  <c r="I605" i="6"/>
  <c r="T628" i="6"/>
  <c r="AA628" i="6" s="1"/>
  <c r="F21" i="13"/>
  <c r="E13" i="13" s="1"/>
  <c r="D45" i="14"/>
  <c r="E45" i="14" s="1"/>
  <c r="K33" i="12"/>
  <c r="M21" i="13"/>
  <c r="N18" i="13"/>
  <c r="I13" i="13"/>
  <c r="N21" i="13" l="1"/>
  <c r="E25" i="13"/>
  <c r="N13" i="13"/>
  <c r="I25" i="13" l="1"/>
  <c r="I26" i="13" l="1"/>
  <c r="G26" i="13"/>
  <c r="C26" i="13"/>
  <c r="E26" i="13"/>
</calcChain>
</file>

<file path=xl/sharedStrings.xml><?xml version="1.0" encoding="utf-8"?>
<sst xmlns="http://schemas.openxmlformats.org/spreadsheetml/2006/main" count="23663" uniqueCount="3663">
  <si>
    <t>Republic of the Philippines</t>
  </si>
  <si>
    <t>PHILIPPINE NATIONAL POLICE</t>
  </si>
  <si>
    <t>INFORMATION TECHNOLOGY MANAGEMENT SERVICE</t>
  </si>
  <si>
    <t>Camp Bgen Rafael T Crame, Quezon City</t>
  </si>
  <si>
    <t>Disposition of Personnel (Crame-Based Only)</t>
  </si>
  <si>
    <t>(As of  January 22, 2026)</t>
  </si>
  <si>
    <t>NO.</t>
  </si>
  <si>
    <t>OFFICE/DIVISION</t>
  </si>
  <si>
    <t>GENDER</t>
  </si>
  <si>
    <t>RANK</t>
  </si>
  <si>
    <t>LASTNAME</t>
  </si>
  <si>
    <t>FIRSTNAME</t>
  </si>
  <si>
    <t>MIDDLE NAME</t>
  </si>
  <si>
    <t>QUAL</t>
  </si>
  <si>
    <t>SIGNATURE</t>
  </si>
  <si>
    <t>ADDRESS</t>
  </si>
  <si>
    <t>CONTACT #</t>
  </si>
  <si>
    <t>NAME</t>
  </si>
  <si>
    <t>OD</t>
  </si>
  <si>
    <t>Male</t>
  </si>
  <si>
    <t>PCOL</t>
  </si>
  <si>
    <t>PALGUE</t>
  </si>
  <si>
    <t>ROMY</t>
  </si>
  <si>
    <t>INWAY</t>
  </si>
  <si>
    <t>PCpl</t>
  </si>
  <si>
    <t>CERIL</t>
  </si>
  <si>
    <t>PAUL KELVIN</t>
  </si>
  <si>
    <t>LAROZA</t>
  </si>
  <si>
    <t>Pat</t>
  </si>
  <si>
    <t>BEJARIN</t>
  </si>
  <si>
    <t>GERALD</t>
  </si>
  <si>
    <t>DADIRO</t>
  </si>
  <si>
    <t>Riang, Peñarrubia, Abra</t>
  </si>
  <si>
    <t>09368167960</t>
  </si>
  <si>
    <t>MORI</t>
  </si>
  <si>
    <t>LYNDON</t>
  </si>
  <si>
    <t>ACOSTA</t>
  </si>
  <si>
    <t>Caimito, Brgy. Buencag, Gerona, Tarlac</t>
  </si>
  <si>
    <t>09091819560</t>
  </si>
  <si>
    <t>Female</t>
  </si>
  <si>
    <t>NUP</t>
  </si>
  <si>
    <t>AVENDAÑO</t>
  </si>
  <si>
    <t>MA. FRELIE JOY</t>
  </si>
  <si>
    <t>(no middle name)</t>
  </si>
  <si>
    <t>#92 F Estrella St., San Juan, Malolos City, Bulacan</t>
  </si>
  <si>
    <t>09554289264</t>
  </si>
  <si>
    <t>LUZARA</t>
  </si>
  <si>
    <t>JEAN</t>
  </si>
  <si>
    <t>GRATUITO</t>
  </si>
  <si>
    <t>Blk 5 Lot 1 Orchid Extension, Capitol Park Homes Ii, Brgy 179 Zone 16, Caloocan City.</t>
  </si>
  <si>
    <t>09177037934</t>
  </si>
  <si>
    <t>ODDA/DI</t>
  </si>
  <si>
    <t>TANGO</t>
  </si>
  <si>
    <t>FROILAN GENN</t>
  </si>
  <si>
    <t>GELACIO</t>
  </si>
  <si>
    <t>II</t>
  </si>
  <si>
    <t>ODDA</t>
  </si>
  <si>
    <t>PMSg</t>
  </si>
  <si>
    <t>RESPICIO</t>
  </si>
  <si>
    <t>VIC BASKAR</t>
  </si>
  <si>
    <t>MADDARA</t>
  </si>
  <si>
    <t>Calamagui 2Nd, Isabela</t>
  </si>
  <si>
    <t>09268096361</t>
  </si>
  <si>
    <t>ERIBAL</t>
  </si>
  <si>
    <t>JOZEL JOY</t>
  </si>
  <si>
    <t>FALAGNE</t>
  </si>
  <si>
    <t>5A Diamond St., Jra Subd., Rosario, Pasug City</t>
  </si>
  <si>
    <t>09617215961</t>
  </si>
  <si>
    <t>SEMILLA</t>
  </si>
  <si>
    <t>FLORITES</t>
  </si>
  <si>
    <t>SARIO</t>
  </si>
  <si>
    <t xml:space="preserve">18 C Dungo St., Brgy, Isabelita, San Juan City </t>
  </si>
  <si>
    <t>09274390528</t>
  </si>
  <si>
    <t>DD for IT Matters</t>
  </si>
  <si>
    <t>MATILLANO</t>
  </si>
  <si>
    <t>MINA HAYDEE</t>
  </si>
  <si>
    <t>BECERA</t>
  </si>
  <si>
    <t>B2 L17 Rose St., Venice Homes Subd., Cainta, Rizal</t>
  </si>
  <si>
    <t>09266411836</t>
  </si>
  <si>
    <t>ODDIT</t>
  </si>
  <si>
    <t>PAPA</t>
  </si>
  <si>
    <t>MARIZ NICOLE</t>
  </si>
  <si>
    <t>ENGALAN</t>
  </si>
  <si>
    <t>8H Road 6, 1st West Crame, San Juan City</t>
  </si>
  <si>
    <t>09563393345</t>
  </si>
  <si>
    <t>BAGO</t>
  </si>
  <si>
    <t>REBECCA</t>
  </si>
  <si>
    <t>LLANEZA</t>
  </si>
  <si>
    <t>196 Guyam Malaki, Indang, Cavite</t>
  </si>
  <si>
    <t>09278398862</t>
  </si>
  <si>
    <t>OCS</t>
  </si>
  <si>
    <t>PATIÑO</t>
  </si>
  <si>
    <t>RANDI</t>
  </si>
  <si>
    <t>MANZANO</t>
  </si>
  <si>
    <t>Mddle Nivel Hills, Brgy Apas, Cebu City</t>
  </si>
  <si>
    <t>09057369133</t>
  </si>
  <si>
    <t>PCPT</t>
  </si>
  <si>
    <t>KARIM</t>
  </si>
  <si>
    <t>BENSAR ALI</t>
  </si>
  <si>
    <t>ABDULGANI</t>
  </si>
  <si>
    <t>21-B Maguindanao St, Culiat, Quezon City</t>
  </si>
  <si>
    <t>09267388655</t>
  </si>
  <si>
    <t>AGGARAO</t>
  </si>
  <si>
    <t>ALBERTO</t>
  </si>
  <si>
    <t>CALLANGAN</t>
  </si>
  <si>
    <t>215 D Guiho St., Cembo, Makati City</t>
  </si>
  <si>
    <t>09434383476</t>
  </si>
  <si>
    <t>SANG-AN</t>
  </si>
  <si>
    <t>CATHERINE</t>
  </si>
  <si>
    <t>VALDESTAMON</t>
  </si>
  <si>
    <t>Zone 1 Purok Maligaya, Tagburos, Puerto Princesa City, Palawan</t>
  </si>
  <si>
    <t>09279979400</t>
  </si>
  <si>
    <t>ESTEVES</t>
  </si>
  <si>
    <t xml:space="preserve">MARICEL </t>
  </si>
  <si>
    <t>FRESNOZA</t>
  </si>
  <si>
    <t>3310 Bataan St., Bacood, Sta.Mesa, Manila</t>
  </si>
  <si>
    <t>09293473925</t>
  </si>
  <si>
    <t>NADORA</t>
  </si>
  <si>
    <t>ADRIAN JOSE</t>
  </si>
  <si>
    <t>POSADAS</t>
  </si>
  <si>
    <t>16 Maligaya St., Rosario 6 Subd, Sta Lucia, Pasig City 1608</t>
  </si>
  <si>
    <t>09179713272</t>
  </si>
  <si>
    <t>PIO</t>
  </si>
  <si>
    <t>PEÑON</t>
  </si>
  <si>
    <t>JAYSON</t>
  </si>
  <si>
    <t>CABRAL</t>
  </si>
  <si>
    <t>1901 Interior, Zamora Street, Manila, NCR</t>
  </si>
  <si>
    <t>09608411365</t>
  </si>
  <si>
    <t>ALVAREZ</t>
  </si>
  <si>
    <t>PAMELA</t>
  </si>
  <si>
    <t>CEREZO</t>
  </si>
  <si>
    <t>Pao, Manaoag, Pangasinan</t>
  </si>
  <si>
    <t>09615765167</t>
  </si>
  <si>
    <t>RUIVIVAR</t>
  </si>
  <si>
    <t>JOSE SALVADOR</t>
  </si>
  <si>
    <t>DEL ROSARIO</t>
  </si>
  <si>
    <t>13 St. Joseph St., Milton Hills Subd, Diliman, Quezon City</t>
  </si>
  <si>
    <t>09770330570</t>
  </si>
  <si>
    <t xml:space="preserve"> SLO/OCI</t>
  </si>
  <si>
    <t>CUASAY</t>
  </si>
  <si>
    <t>ZAYRA JANE</t>
  </si>
  <si>
    <t>CEDENO</t>
  </si>
  <si>
    <t>29 P Dizon Circle, Hen. T. De Leon, Valenzuela City</t>
  </si>
  <si>
    <t>09953744137</t>
  </si>
  <si>
    <t>COSTALES</t>
  </si>
  <si>
    <t>MARY GRACE</t>
  </si>
  <si>
    <t>RODRIGUEZ</t>
  </si>
  <si>
    <t>7C 2Nd Ave., Bagong Lipunan Ng Crame, Quezon City</t>
  </si>
  <si>
    <t>09275492985</t>
  </si>
  <si>
    <t>VER</t>
  </si>
  <si>
    <t>MARIE LOUISE ROVIAN</t>
  </si>
  <si>
    <t>RAMOS</t>
  </si>
  <si>
    <t>Blk 43 Lot 16, Phase 7, Eastwood Residences, Brgy San Isidro, Montalban, Rizal</t>
  </si>
  <si>
    <t>09158167417</t>
  </si>
  <si>
    <t>ITPMD</t>
  </si>
  <si>
    <t>BORRES</t>
  </si>
  <si>
    <t xml:space="preserve">RUBEN </t>
  </si>
  <si>
    <t>BROSAS</t>
  </si>
  <si>
    <t>163-W 20Th Avenue, Rembo, Makati City</t>
  </si>
  <si>
    <t>09367450777</t>
  </si>
  <si>
    <t>PLTCOL</t>
  </si>
  <si>
    <t>FABRO</t>
  </si>
  <si>
    <t>JHOANA GRACIA</t>
  </si>
  <si>
    <t>MANLAPAZ</t>
  </si>
  <si>
    <t>GONZALES</t>
  </si>
  <si>
    <t>NECILDA</t>
  </si>
  <si>
    <t>JAVINIAR</t>
  </si>
  <si>
    <t>641 Blk 22 Kabisig Floodway, San Andres, Cainta, Rizal</t>
  </si>
  <si>
    <t>09187708759</t>
  </si>
  <si>
    <t>ITPMIS, ITPMD</t>
  </si>
  <si>
    <t>QUINTOS</t>
  </si>
  <si>
    <t>ANGELICA</t>
  </si>
  <si>
    <t>AGOR</t>
  </si>
  <si>
    <t>B1 L128 Phase 1F, Sub Urban Village, San Jose, Montalban, Rizal</t>
  </si>
  <si>
    <t>09458154169</t>
  </si>
  <si>
    <t>CELARIO</t>
  </si>
  <si>
    <t>RUBY ROSE</t>
  </si>
  <si>
    <t>BUEZA</t>
  </si>
  <si>
    <t>37 Tagumpay St. Marawi, Camiling, Tarlac</t>
  </si>
  <si>
    <t>09514992446</t>
  </si>
  <si>
    <t>MANAOG</t>
  </si>
  <si>
    <t>RODNIE</t>
  </si>
  <si>
    <t>CASTILLO</t>
  </si>
  <si>
    <t>Sitio Pongol., Brgy. Burabod, San Antonio, Northern Samar</t>
  </si>
  <si>
    <t>09452066435</t>
  </si>
  <si>
    <t>DAGTA</t>
  </si>
  <si>
    <t>MARY ANN</t>
  </si>
  <si>
    <t>YAP</t>
  </si>
  <si>
    <t>Blk 3, Lot 20, Amber St., Summit Viwe Subd., Brgy. San Rafael, Rodriguez, Rizal</t>
  </si>
  <si>
    <t>09568629227</t>
  </si>
  <si>
    <t>EMS, ITPMD</t>
  </si>
  <si>
    <t>PEÑAVERDE</t>
  </si>
  <si>
    <t>PHILIP JAMES</t>
  </si>
  <si>
    <t>Blk 1 Lot 128 P1-F Sub-Urban Village, Saan Jose, Rodriguez, Rizal</t>
  </si>
  <si>
    <t>09266167584</t>
  </si>
  <si>
    <t>MORTEL</t>
  </si>
  <si>
    <t>ALWYN</t>
  </si>
  <si>
    <t>ALBUFERA</t>
  </si>
  <si>
    <t>330 Ilaya, Butong, Taal, Batangas</t>
  </si>
  <si>
    <t>09652107608</t>
  </si>
  <si>
    <t>BERENGUEL</t>
  </si>
  <si>
    <t>LUCHIE</t>
  </si>
  <si>
    <t>RELOYA</t>
  </si>
  <si>
    <t>#2 Alley 15,  P. Rosales St., Sta. Ana Kaliwa, Pateros</t>
  </si>
  <si>
    <t>09662553586</t>
  </si>
  <si>
    <t>ITPMD (OCPNP)</t>
  </si>
  <si>
    <t>SOSA</t>
  </si>
  <si>
    <t>GIBSON JOHN</t>
  </si>
  <si>
    <t>ARAOS</t>
  </si>
  <si>
    <t>#10 Singapore, Bastulde, Fil-Inves, Cainta, Rizal</t>
  </si>
  <si>
    <t>09176229285</t>
  </si>
  <si>
    <t>TAN</t>
  </si>
  <si>
    <t>ACHILES</t>
  </si>
  <si>
    <t>YABUT</t>
  </si>
  <si>
    <t>Blk 1 Lot 33, Maunlad Homes Subd., Caingin, Malolos, Bulacan</t>
  </si>
  <si>
    <t>09985974254</t>
  </si>
  <si>
    <t>CLAOR</t>
  </si>
  <si>
    <t>MICHELLE</t>
  </si>
  <si>
    <t>DUGAM</t>
  </si>
  <si>
    <t>Toon, La Paz, Abra</t>
  </si>
  <si>
    <t>09556384560</t>
  </si>
  <si>
    <t>ITPMD (PIO)</t>
  </si>
  <si>
    <t>ALIMAMBO</t>
  </si>
  <si>
    <t>JICK</t>
  </si>
  <si>
    <t>BONUAN</t>
  </si>
  <si>
    <t>72  Pucay Village, Purok I, Bakakeng Norte, Baguio City</t>
  </si>
  <si>
    <t>09774274007</t>
  </si>
  <si>
    <t>ITPMD (CPSM)</t>
  </si>
  <si>
    <t>TUBELLEZA</t>
  </si>
  <si>
    <t>JOHN CARLO</t>
  </si>
  <si>
    <t>VILLARINO</t>
  </si>
  <si>
    <t>33 Family Ville Subdivision, Bucal, Tanza, Cavite</t>
  </si>
  <si>
    <t>09957230126</t>
  </si>
  <si>
    <t>ITPMD (CPSM/IAS)</t>
  </si>
  <si>
    <t>LUALHATI</t>
  </si>
  <si>
    <t>PAULO ANDREW</t>
  </si>
  <si>
    <t>PUNZALAN</t>
  </si>
  <si>
    <t>33 Jw Diokno St., Poblacion 13, Taal, Batangas</t>
  </si>
  <si>
    <t>09568569677</t>
  </si>
  <si>
    <t>ITPMD (HRAO)</t>
  </si>
  <si>
    <t>SALAS</t>
  </si>
  <si>
    <t>EUNILAINE</t>
  </si>
  <si>
    <t>SALVADOR</t>
  </si>
  <si>
    <t>131 Wwest Drive St., Narikina Heights, Marikina City</t>
  </si>
  <si>
    <t>09175518988</t>
  </si>
  <si>
    <t>ITPMD (IAS)</t>
  </si>
  <si>
    <t>PLT</t>
  </si>
  <si>
    <t>ECHANO</t>
  </si>
  <si>
    <t>KERWIN</t>
  </si>
  <si>
    <t>RUFON</t>
  </si>
  <si>
    <t>Lot 37-38 Blk.5 Catanauan St., Vanessa Homes, Bucal, Calamba, Laguna</t>
  </si>
  <si>
    <t>09760708892</t>
  </si>
  <si>
    <t>ITPMD (EOD/K9)</t>
  </si>
  <si>
    <t>PMAJ</t>
  </si>
  <si>
    <t>LAXAMANA</t>
  </si>
  <si>
    <t>JOSE</t>
  </si>
  <si>
    <t>DELA CRUZ</t>
  </si>
  <si>
    <t>191 Gen. Mascardo St., Bagong Barrio, Caloocan City</t>
  </si>
  <si>
    <t>09983998333</t>
  </si>
  <si>
    <t>AGUILANDO</t>
  </si>
  <si>
    <t>ADAMSON</t>
  </si>
  <si>
    <t>BANDONG</t>
  </si>
  <si>
    <t>189, Sitio Palsic, Naguilayan, San Carlos City, Pangasinan</t>
  </si>
  <si>
    <t>09275465069</t>
  </si>
  <si>
    <t>ITPMD (OTDCA)</t>
  </si>
  <si>
    <t>BACATAN</t>
  </si>
  <si>
    <t>FERDINAND</t>
  </si>
  <si>
    <t>JALOVA</t>
  </si>
  <si>
    <t>JR</t>
  </si>
  <si>
    <t>Blk 55b Lot 1 Sitio Panghulo, Floodway, San Juan, Taytay, Rizal</t>
  </si>
  <si>
    <t>09465348401</t>
  </si>
  <si>
    <t>ITPMD (OTDCO)</t>
  </si>
  <si>
    <t>MUÑOZ</t>
  </si>
  <si>
    <t>RANZ NIKKO</t>
  </si>
  <si>
    <t>BIEN</t>
  </si>
  <si>
    <t>Blk. 15 Lot 22, Viola St., Camella Sorrento, P.F. Espiritu Iv, Bacoor, Cavite</t>
  </si>
  <si>
    <t>09959045925</t>
  </si>
  <si>
    <t>PCMS</t>
  </si>
  <si>
    <t>MARAÑON</t>
  </si>
  <si>
    <t>CHRIS JOHN</t>
  </si>
  <si>
    <t>CATALOGO</t>
  </si>
  <si>
    <t xml:space="preserve">B18 L1 P-J Francisco Homes, Sjdm, Bulacan </t>
  </si>
  <si>
    <t>09217221646</t>
  </si>
  <si>
    <t>ITPMD (OTCDS)</t>
  </si>
  <si>
    <t>AMIT</t>
  </si>
  <si>
    <t>ARIEL</t>
  </si>
  <si>
    <t>DE GUZMAN</t>
  </si>
  <si>
    <t>Manila, Metro Manila</t>
  </si>
  <si>
    <t>09205682939</t>
  </si>
  <si>
    <t>ILACAD</t>
  </si>
  <si>
    <t>DIONELL</t>
  </si>
  <si>
    <t>TUGADE</t>
  </si>
  <si>
    <t>DULIN</t>
  </si>
  <si>
    <t>JOEY</t>
  </si>
  <si>
    <t>BINARAO</t>
  </si>
  <si>
    <t>155 19Th Avenue, East Pembo, Makati City</t>
  </si>
  <si>
    <t>09175073304</t>
  </si>
  <si>
    <t>DOCTOLERO</t>
  </si>
  <si>
    <t>JOHN NICK</t>
  </si>
  <si>
    <t>B25 L5 Ph. J, Brgy. Guijo, Francisco Homes, Sjdm, Bulacan</t>
  </si>
  <si>
    <t>09063610614</t>
  </si>
  <si>
    <t>ITPMD (DPRM)</t>
  </si>
  <si>
    <t>ALVIN</t>
  </si>
  <si>
    <t>ORUA</t>
  </si>
  <si>
    <t>#6087 Sto. Rosario St., Mapulang Lupa, Valenzuela City</t>
  </si>
  <si>
    <t>09178710735</t>
  </si>
  <si>
    <t>DESEO</t>
  </si>
  <si>
    <t>REYNANTE</t>
  </si>
  <si>
    <t>NUYDA</t>
  </si>
  <si>
    <t>Blk 4  L17 Arty In Subdivision, Karuhatan, Valenzueal City</t>
  </si>
  <si>
    <t>09974766710</t>
  </si>
  <si>
    <t>CASTRO</t>
  </si>
  <si>
    <t>MARYJANE</t>
  </si>
  <si>
    <t>DIZON</t>
  </si>
  <si>
    <t>Phase 1, Purok 5, Taugtog, Botolan, Zambales</t>
  </si>
  <si>
    <t>09501115804</t>
  </si>
  <si>
    <t>CORTEZ</t>
  </si>
  <si>
    <t>JERWIN</t>
  </si>
  <si>
    <t>AQUINO</t>
  </si>
  <si>
    <t>Purok Happy Valley 2, San Vicente, Santa Ignacia, Tarlac</t>
  </si>
  <si>
    <t>09101247667</t>
  </si>
  <si>
    <t>MANIQUIZ</t>
  </si>
  <si>
    <t>JEREMY</t>
  </si>
  <si>
    <t>BINUYA</t>
  </si>
  <si>
    <t>Quezon, Entablado, Cabiao, Nueva Ecija</t>
  </si>
  <si>
    <t>09096575574</t>
  </si>
  <si>
    <t>LUMABI</t>
  </si>
  <si>
    <t>GINA</t>
  </si>
  <si>
    <t>TINGALA</t>
  </si>
  <si>
    <t>Mb 15 Rm 109,  Diego Silang Village, Brgy Ususan, Taguig City</t>
  </si>
  <si>
    <t>09471754148</t>
  </si>
  <si>
    <t>UBANDO</t>
  </si>
  <si>
    <t>OBENA</t>
  </si>
  <si>
    <t>Blk 13 Lot 14 Phase M,  Francisco Homes, Brgy. Guijo, Sjdm, Bulacan</t>
  </si>
  <si>
    <t>09197265632</t>
  </si>
  <si>
    <t>ITPMD (DPRM-DLOD)</t>
  </si>
  <si>
    <t>CAGUITE</t>
  </si>
  <si>
    <t>JOHN REX</t>
  </si>
  <si>
    <t>ALIDO</t>
  </si>
  <si>
    <t>Diversion Road, Sitio Guinting, Lalig, Tiaong, Quezon</t>
  </si>
  <si>
    <t>09773618665</t>
  </si>
  <si>
    <t>TAGPAO</t>
  </si>
  <si>
    <t>RAFAEL</t>
  </si>
  <si>
    <t>ALUNDAY</t>
  </si>
  <si>
    <t>Purok 7, Sitio, Dat-Ayan, Minagbag, Quezon, Isabela</t>
  </si>
  <si>
    <t>09263606410</t>
  </si>
  <si>
    <t>ITPMD (DRD)</t>
  </si>
  <si>
    <t>VILLEGAS</t>
  </si>
  <si>
    <t>NAIF</t>
  </si>
  <si>
    <t>STA ANA</t>
  </si>
  <si>
    <t>#280 Gomez, Santa Rosa, Nueva Ecija</t>
  </si>
  <si>
    <t>09267230880</t>
  </si>
  <si>
    <t>ITPMD (DIDM)</t>
  </si>
  <si>
    <t>NOBRES</t>
  </si>
  <si>
    <t>ROY</t>
  </si>
  <si>
    <t>DANGSI</t>
  </si>
  <si>
    <t>Lot 4-Lot 5 Metro Royale Homes Burgos, Montalban, Rizal</t>
  </si>
  <si>
    <t>09178665305</t>
  </si>
  <si>
    <t>ABO</t>
  </si>
  <si>
    <t>MARK JESSIE</t>
  </si>
  <si>
    <t>MELITANTE</t>
  </si>
  <si>
    <t>Unit 909, Amaia Skies Cuibao, P. Tuazon Ave., Socorro, Quezon City</t>
  </si>
  <si>
    <t>09566570420</t>
  </si>
  <si>
    <t>GALAMGAM</t>
  </si>
  <si>
    <t>RAMON</t>
  </si>
  <si>
    <t>DIAZ</t>
  </si>
  <si>
    <t>PSMS</t>
  </si>
  <si>
    <t>TACTAY</t>
  </si>
  <si>
    <t>HENRY</t>
  </si>
  <si>
    <t>GOLINO</t>
  </si>
  <si>
    <t>41 Quimmarayan, Sto. Domingo, Ilocos Sur</t>
  </si>
  <si>
    <t>09950271798</t>
  </si>
  <si>
    <t>ABRIAM</t>
  </si>
  <si>
    <t>ANNETH VALERIE</t>
  </si>
  <si>
    <t>MALNAT</t>
  </si>
  <si>
    <t>13 P1 Villa Jose Ylanan, Maddela, Quirino</t>
  </si>
  <si>
    <t>09686456470</t>
  </si>
  <si>
    <t>SAET</t>
  </si>
  <si>
    <t>MITZI ANNE</t>
  </si>
  <si>
    <t>BESA</t>
  </si>
  <si>
    <t>Lambingan, Sunrise Viu Village, San Guillermo, Morong, Rizal</t>
  </si>
  <si>
    <t>09311126415</t>
  </si>
  <si>
    <t>SALES</t>
  </si>
  <si>
    <t>JAFET</t>
  </si>
  <si>
    <t>ANINAO</t>
  </si>
  <si>
    <t>164 J.P Rizal St., J.Rizal, Santa Maria, Laguna</t>
  </si>
  <si>
    <t>09167919991</t>
  </si>
  <si>
    <t>TACORDA</t>
  </si>
  <si>
    <t>JASON ABRAHAM</t>
  </si>
  <si>
    <t>ABION</t>
  </si>
  <si>
    <t>2315 T2 Amaia Skies, Cubao, 5The Ave. Cor P Tuazon Ave., Brgy. Socorro, Quezon City</t>
  </si>
  <si>
    <t>09150334133</t>
  </si>
  <si>
    <t>ITPMD (DIDM-WCPC)</t>
  </si>
  <si>
    <t>NICOLAS</t>
  </si>
  <si>
    <t>JAY-R</t>
  </si>
  <si>
    <t>TADEO</t>
  </si>
  <si>
    <t>#143 Asin West., Malasigue, Pangasinan</t>
  </si>
  <si>
    <t>09770935729</t>
  </si>
  <si>
    <t>ITPMD (DPL)</t>
  </si>
  <si>
    <t>SY</t>
  </si>
  <si>
    <t>CHRISTIAN</t>
  </si>
  <si>
    <t>ONG</t>
  </si>
  <si>
    <t>09176548452</t>
  </si>
  <si>
    <t>OBOG</t>
  </si>
  <si>
    <t>JOHN  MARLO</t>
  </si>
  <si>
    <t>MAGRAMO</t>
  </si>
  <si>
    <t>0550 Sanggumay, Looc, Calamba, Laguna</t>
  </si>
  <si>
    <t>09161978384</t>
  </si>
  <si>
    <t>BUENSUCESO</t>
  </si>
  <si>
    <t>NEIL PAUL</t>
  </si>
  <si>
    <t>BAUTISTA</t>
  </si>
  <si>
    <t>ITPMD (DL)</t>
  </si>
  <si>
    <t>DULA</t>
  </si>
  <si>
    <t>JOEL</t>
  </si>
  <si>
    <t>MANALANSAN</t>
  </si>
  <si>
    <t>407 Purok 7, New San Juan, Dinalupihan, Bataan</t>
  </si>
  <si>
    <t>09667058328</t>
  </si>
  <si>
    <t>DIMASANGKAY</t>
  </si>
  <si>
    <t>SORAIYA</t>
  </si>
  <si>
    <t>MUSAID</t>
  </si>
  <si>
    <t>Silver Homes Subdivision, Sadaan, Midsayap, Cotabato</t>
  </si>
  <si>
    <t>JEPOLLO</t>
  </si>
  <si>
    <t>JOCELYN</t>
  </si>
  <si>
    <t>TAMONDONG</t>
  </si>
  <si>
    <t>#7 4Th Avenue, Bagong Lipunan, Crame, Quezon City</t>
  </si>
  <si>
    <t>09977830520</t>
  </si>
  <si>
    <t>TODA</t>
  </si>
  <si>
    <t>MA CRISTINA</t>
  </si>
  <si>
    <t>19 A J Ocampo St., Project 4, Quezon City</t>
  </si>
  <si>
    <t>09175065455</t>
  </si>
  <si>
    <t>ITPMD (DC)</t>
  </si>
  <si>
    <t>BALLENAS</t>
  </si>
  <si>
    <t>ROBERTO</t>
  </si>
  <si>
    <t>ALPAS</t>
  </si>
  <si>
    <t>Purok Masipag, Buayan, M'Lang, Cotabato, North Cotabato</t>
  </si>
  <si>
    <t>09664625855</t>
  </si>
  <si>
    <t>GUAVINO</t>
  </si>
  <si>
    <t>CHE-YENNE</t>
  </si>
  <si>
    <t>LAZARITO</t>
  </si>
  <si>
    <t>Apartment 23, Emq Camp Crame, Bagong Lipunan Ng Crame, Qauezon City</t>
  </si>
  <si>
    <t>09179975888</t>
  </si>
  <si>
    <t>INALVEZ</t>
  </si>
  <si>
    <t>NEIL ADRIAN</t>
  </si>
  <si>
    <t>NUCOM</t>
  </si>
  <si>
    <t xml:space="preserve">676 Purok Kb3, Maugat, San Antonio, Nueva Ecija, </t>
  </si>
  <si>
    <t>09531143703</t>
  </si>
  <si>
    <t>ITPMD (DPCR)</t>
  </si>
  <si>
    <t>BUHAIN</t>
  </si>
  <si>
    <t>DOROTHY</t>
  </si>
  <si>
    <t>VILLALOBOS</t>
  </si>
  <si>
    <t>301 Masagana Subd., Gumamela St., San Francisco, Bulacan</t>
  </si>
  <si>
    <t>09567595065</t>
  </si>
  <si>
    <t>SIBAYAN</t>
  </si>
  <si>
    <t>REYGIE</t>
  </si>
  <si>
    <t>PIAGAN</t>
  </si>
  <si>
    <t>Giron St., Brgy No. 2, Santa Joaquina, Laoag City, Ilocos Norte</t>
  </si>
  <si>
    <t>09082302544</t>
  </si>
  <si>
    <t>CORDERO</t>
  </si>
  <si>
    <t>EARLBON</t>
  </si>
  <si>
    <t>JIMENEZ</t>
  </si>
  <si>
    <t>1362 R.A Reyes Street, Tondo, Manila</t>
  </si>
  <si>
    <t>09066901087</t>
  </si>
  <si>
    <t>ORLANDA</t>
  </si>
  <si>
    <t>BERNABE</t>
  </si>
  <si>
    <t>MACADANGDANG</t>
  </si>
  <si>
    <t>Sitio Malubec Curva, Pamplona, Cagayan</t>
  </si>
  <si>
    <t>09975442501</t>
  </si>
  <si>
    <t>ITPMD (DHRDD/PRO1)</t>
  </si>
  <si>
    <t>SEVILLA</t>
  </si>
  <si>
    <t>JERALD</t>
  </si>
  <si>
    <t>MANUZON</t>
  </si>
  <si>
    <t>B-38 L-20 Violeta St., Pembo, Makati City</t>
  </si>
  <si>
    <t>09176055075</t>
  </si>
  <si>
    <t>ITPMD (DHRDD)</t>
  </si>
  <si>
    <t>SUAYA</t>
  </si>
  <si>
    <t>RAFFY JANE</t>
  </si>
  <si>
    <t>ALIDAO</t>
  </si>
  <si>
    <t>#25 C Purok 1, Lower Liwanag, Liwanag-Loakan, Baguio City, Benguet</t>
  </si>
  <si>
    <t>09126980797</t>
  </si>
  <si>
    <t>ITPMD (DI)</t>
  </si>
  <si>
    <t>REVALE</t>
  </si>
  <si>
    <t>EDELLENE</t>
  </si>
  <si>
    <t>BABAGAY</t>
  </si>
  <si>
    <t>P3 Brgy. Ems Barrio, Legaspi City, Albay</t>
  </si>
  <si>
    <t>09994275134</t>
  </si>
  <si>
    <t>SOBREVILLA</t>
  </si>
  <si>
    <t>RAYMUND CHRISTOPHER</t>
  </si>
  <si>
    <t>DECIPULO</t>
  </si>
  <si>
    <t>15 F Int. Del Pilar St., Purok Bougambilla, Brgy. Bagja Mother, Cotabato City</t>
  </si>
  <si>
    <t>09262417598</t>
  </si>
  <si>
    <t>ESTRADA</t>
  </si>
  <si>
    <t>MICAELLA ALLYSSA</t>
  </si>
  <si>
    <t>MONTES</t>
  </si>
  <si>
    <t>15 Jonathan St., Brgy. 55, Tondo, Manila</t>
  </si>
  <si>
    <t>09156803437</t>
  </si>
  <si>
    <t>CODIMO</t>
  </si>
  <si>
    <t>SOLOMON</t>
  </si>
  <si>
    <t>MADLAENG</t>
  </si>
  <si>
    <t>Old Poblacion, Burgos, La Union</t>
  </si>
  <si>
    <t>09052120646</t>
  </si>
  <si>
    <t>MANGOBA</t>
  </si>
  <si>
    <t>ROMMEL</t>
  </si>
  <si>
    <t>JAZMIN</t>
  </si>
  <si>
    <t>Sitio Mangga, Pogon Lomboy, Mangatarem, Pangasinan</t>
  </si>
  <si>
    <t>09208467671</t>
  </si>
  <si>
    <t>ITPMD (DI)ODDA</t>
  </si>
  <si>
    <t>MARASIGAN</t>
  </si>
  <si>
    <t>MIA ANGELA</t>
  </si>
  <si>
    <t>CORNEJO</t>
  </si>
  <si>
    <t>121G 14Th Ave., Socorro, Quezon City</t>
  </si>
  <si>
    <t>09568570005</t>
  </si>
  <si>
    <t>RADA</t>
  </si>
  <si>
    <t>KRIZTELA FEY</t>
  </si>
  <si>
    <t>LIM</t>
  </si>
  <si>
    <t>Pili, San Fernando, Romblon</t>
  </si>
  <si>
    <t>09562658528</t>
  </si>
  <si>
    <t>VILLABRIGA</t>
  </si>
  <si>
    <t>TIMOTHY</t>
  </si>
  <si>
    <t>HORNOZ</t>
  </si>
  <si>
    <t>Purok Narra 2, Gen. M. Natividad, Nueva Ecija</t>
  </si>
  <si>
    <t>09569718672</t>
  </si>
  <si>
    <t>MAISO</t>
  </si>
  <si>
    <t>PRISCILLA</t>
  </si>
  <si>
    <t>DAMO</t>
  </si>
  <si>
    <t>116-15Th  Avenue, San Roque, Murphy Cubao, Quezon City</t>
  </si>
  <si>
    <t>09776765088</t>
  </si>
  <si>
    <t>MENDOZA</t>
  </si>
  <si>
    <t>GENESIS</t>
  </si>
  <si>
    <t>TEODORO</t>
  </si>
  <si>
    <t>13 A-Col. Salgado St, Kamias, Quezon City</t>
  </si>
  <si>
    <t>09054153722</t>
  </si>
  <si>
    <t>ITPMD (DO)</t>
  </si>
  <si>
    <t>GOZE</t>
  </si>
  <si>
    <t>JONATHAN</t>
  </si>
  <si>
    <t>SISON</t>
  </si>
  <si>
    <t>207 B Purok 1,  Luzon Avenue, Culiat, Quezon City</t>
  </si>
  <si>
    <t>09278265228</t>
  </si>
  <si>
    <t>ITPMD (ITSD/DO)</t>
  </si>
  <si>
    <t>MALAKI</t>
  </si>
  <si>
    <t>ROFEL GEN</t>
  </si>
  <si>
    <t>TIMBAL</t>
  </si>
  <si>
    <t>Calle Nueva, Brgy. Labrador, Hinunangan, Southern Leyte</t>
  </si>
  <si>
    <t>09951461125</t>
  </si>
  <si>
    <t>INFANTE</t>
  </si>
  <si>
    <t>BEVERLY</t>
  </si>
  <si>
    <t>PASAMBA</t>
  </si>
  <si>
    <t>333 Verdar St., Sampaloc, Manila</t>
  </si>
  <si>
    <t>09395171645</t>
  </si>
  <si>
    <t>STEPHEN PAUL</t>
  </si>
  <si>
    <t>BAUZON</t>
  </si>
  <si>
    <t>Conrazon, Bansud, Oriental Mindoro</t>
  </si>
  <si>
    <t>09122558545</t>
  </si>
  <si>
    <t>SARMIENTO</t>
  </si>
  <si>
    <t>ERIC</t>
  </si>
  <si>
    <t>BUDY</t>
  </si>
  <si>
    <t>067, Constantino (Pob), Virac, Catanduanes</t>
  </si>
  <si>
    <t>09054012653</t>
  </si>
  <si>
    <t>ARGAWANON</t>
  </si>
  <si>
    <t>JUNREY</t>
  </si>
  <si>
    <t>BOOC</t>
  </si>
  <si>
    <t>Sitio Salvador, Guiom, Cawayan, Masbate</t>
  </si>
  <si>
    <t>09062195199</t>
  </si>
  <si>
    <t>MACAWILE</t>
  </si>
  <si>
    <t>INCISO</t>
  </si>
  <si>
    <t>Purok 14, Unit V Sitio Balon, Commonwealth, Quezon City</t>
  </si>
  <si>
    <t>09997861300</t>
  </si>
  <si>
    <t>PAISTE</t>
  </si>
  <si>
    <t>MARL JAYSON</t>
  </si>
  <si>
    <t>JOVES</t>
  </si>
  <si>
    <t>Purok 6, Sagayad, City of San Fernando, La Union</t>
  </si>
  <si>
    <t>09616398647</t>
  </si>
  <si>
    <t>PARALLAG</t>
  </si>
  <si>
    <t>MAX CASSANDER</t>
  </si>
  <si>
    <t>SINIGUIAN</t>
  </si>
  <si>
    <t>113 Provincial Road, Basi East, Solana, Cagayan Valley</t>
  </si>
  <si>
    <t>09776000097</t>
  </si>
  <si>
    <t>DMD/ITPMD (PCC-DO)</t>
  </si>
  <si>
    <t>RETAZO</t>
  </si>
  <si>
    <t>RIZALDY</t>
  </si>
  <si>
    <t>ISIDORO</t>
  </si>
  <si>
    <t>ITPMD (PCC-DO)</t>
  </si>
  <si>
    <t>FRIAS</t>
  </si>
  <si>
    <t>KIM ANTHONY</t>
  </si>
  <si>
    <t>1234 Katipunan St., Calumpang, Binangonan, Rizal</t>
  </si>
  <si>
    <t>09154956592</t>
  </si>
  <si>
    <t>AGOS</t>
  </si>
  <si>
    <t>CELSO</t>
  </si>
  <si>
    <t>TAPONG</t>
  </si>
  <si>
    <t>CABADING</t>
  </si>
  <si>
    <t>ELIJAH VINCENT</t>
  </si>
  <si>
    <t>SERANDON</t>
  </si>
  <si>
    <t>168 Purok 1 Zone 8 Brgy Cupang, Antipolo City, Rizal</t>
  </si>
  <si>
    <t>09772947581</t>
  </si>
  <si>
    <t>PADILLA</t>
  </si>
  <si>
    <t>KEM EDNYLL</t>
  </si>
  <si>
    <t>MACARINE</t>
  </si>
  <si>
    <t>Purok Palayan, Brgy. Lucio, Laurel, Gloria, Oriental Mindoro</t>
  </si>
  <si>
    <t>09459669219</t>
  </si>
  <si>
    <t>CHARLES ISAAK</t>
  </si>
  <si>
    <t>Blk 3 Lot 13,  Carnation St., Brgy. Graceville Ii, Csjdm, Bulacan</t>
  </si>
  <si>
    <t>09458145114</t>
  </si>
  <si>
    <t>ITPMD (ACG/PRO BAR)</t>
  </si>
  <si>
    <t>FERRANCULLO</t>
  </si>
  <si>
    <t>JOHN PAUL</t>
  </si>
  <si>
    <t>PAZ</t>
  </si>
  <si>
    <t>103 Hernandez St., Old Zaniga, Mandaluyong Cityn</t>
  </si>
  <si>
    <t>09987914105</t>
  </si>
  <si>
    <t>ITPMD (PNP-AKG)</t>
  </si>
  <si>
    <t>GILL</t>
  </si>
  <si>
    <t>AJIT</t>
  </si>
  <si>
    <t>MENOR</t>
  </si>
  <si>
    <t>Phase 1 Blk 12 Lot 14 Lot 7, San Isidro, Rodriguez, Rizal</t>
  </si>
  <si>
    <t>09568569676</t>
  </si>
  <si>
    <t>LEILA</t>
  </si>
  <si>
    <t>URTOLA</t>
  </si>
  <si>
    <t>L3 Rd7 Phase 4, Cogeo Village, Antipolo City</t>
  </si>
  <si>
    <t>09493658090</t>
  </si>
  <si>
    <t>ITPMD (CIDG/AKG/DI)</t>
  </si>
  <si>
    <t>VENTURA</t>
  </si>
  <si>
    <t>JOSEPH</t>
  </si>
  <si>
    <t>SAMONTE</t>
  </si>
  <si>
    <t>04 Angoluan, Atulayan Norte, Tuguegarao City, Cagayan Valley</t>
  </si>
  <si>
    <t>09776767160</t>
  </si>
  <si>
    <t>ITPMD (CSG-FEO)</t>
  </si>
  <si>
    <t>BALICAG</t>
  </si>
  <si>
    <t>DAKETAN</t>
  </si>
  <si>
    <t>Block 3, D Molintas, Bulanao, Tabuk City Kalinga</t>
  </si>
  <si>
    <t>09303641739</t>
  </si>
  <si>
    <t>DIÑO</t>
  </si>
  <si>
    <t>ELVIN ELDEN</t>
  </si>
  <si>
    <t>SEBASTIAN</t>
  </si>
  <si>
    <t>Blk6 Lot 26 Adelina Homes, Brgy San Isidro, Cainta, Rizal</t>
  </si>
  <si>
    <t>09301138695</t>
  </si>
  <si>
    <t>ITPMD (CSG)</t>
  </si>
  <si>
    <t>GUSTILO</t>
  </si>
  <si>
    <t>THOBORNE THER</t>
  </si>
  <si>
    <t>SANTOS</t>
  </si>
  <si>
    <t xml:space="preserve">Blk 5 Lot 4 Phase-M, Francisco Homes- Guijo, Sjdm, Bulacan </t>
  </si>
  <si>
    <t>09451854958</t>
  </si>
  <si>
    <t>FONTANILLA</t>
  </si>
  <si>
    <t>JASON PATRICK</t>
  </si>
  <si>
    <t>29, Naguilayan West, Mangatarem, Pangasinan</t>
  </si>
  <si>
    <t>09914551868</t>
  </si>
  <si>
    <t>ITPMD (SOSIA-OSS)</t>
  </si>
  <si>
    <t>PSSg</t>
  </si>
  <si>
    <t>ZAMORA</t>
  </si>
  <si>
    <t>MELVIN</t>
  </si>
  <si>
    <t>PANGANIBAN</t>
  </si>
  <si>
    <t>Light Residences, Mandaluyong City</t>
  </si>
  <si>
    <t>09455027450</t>
  </si>
  <si>
    <t>ITPMD (CSG-SOSIA)</t>
  </si>
  <si>
    <t>OCAMPO</t>
  </si>
  <si>
    <t>AMADO</t>
  </si>
  <si>
    <t>BISCAYDA</t>
  </si>
  <si>
    <t>39 Constabulary St., Vet Village, Quezon City</t>
  </si>
  <si>
    <t>09154810533</t>
  </si>
  <si>
    <t>BUENO</t>
  </si>
  <si>
    <t>CHIER BRYAN</t>
  </si>
  <si>
    <t>MARCOS</t>
  </si>
  <si>
    <t>Block 27, Kabisig St.,, San Andres (Pob.), Cainta, Rizal, Region Iv-A (Calabarzon)</t>
  </si>
  <si>
    <t>ITPMD (FG/DICTM))</t>
  </si>
  <si>
    <t>ESPEDIDO</t>
  </si>
  <si>
    <t>IBON GAY</t>
  </si>
  <si>
    <t>DACUMOS</t>
  </si>
  <si>
    <t>#60 Purok Magsaysay, Lawig, Lamut, Ifugao, Car - Cordillera Administrative Region</t>
  </si>
  <si>
    <t>ITPMD (HPG)</t>
  </si>
  <si>
    <t>MAGALONG</t>
  </si>
  <si>
    <t>DAREN</t>
  </si>
  <si>
    <t>NATIVIDAD</t>
  </si>
  <si>
    <t>696 Brgy Kitakita, San Jose City, Nueva Ecija</t>
  </si>
  <si>
    <t>09453621665</t>
  </si>
  <si>
    <t>BOLISLIS</t>
  </si>
  <si>
    <t>JIMMY</t>
  </si>
  <si>
    <t>BANG-AS</t>
  </si>
  <si>
    <t>Bano-oy, Baculongan Norte, Buguias, Benguet</t>
  </si>
  <si>
    <t>09121300003</t>
  </si>
  <si>
    <t>ITPMD (PSPG)</t>
  </si>
  <si>
    <t>ABUAN</t>
  </si>
  <si>
    <t>DICKSON</t>
  </si>
  <si>
    <t>CLEMENTE</t>
  </si>
  <si>
    <t>735 Purok 4B, Lucnab Baguio City</t>
  </si>
  <si>
    <t>09481748796</t>
  </si>
  <si>
    <t>ITPMD (MG/DO/RICTMD PRO12)</t>
  </si>
  <si>
    <t>IGNACIO</t>
  </si>
  <si>
    <t>MICHAEL</t>
  </si>
  <si>
    <t>TINTE</t>
  </si>
  <si>
    <t>38 Aganan St., Zone 6, Nia Village, Quezon City</t>
  </si>
  <si>
    <t>09998842166</t>
  </si>
  <si>
    <t>ITPMD (PDEG)</t>
  </si>
  <si>
    <t>NAPOD</t>
  </si>
  <si>
    <t>GILBERT</t>
  </si>
  <si>
    <t>OLIQUINO</t>
  </si>
  <si>
    <t>Lot 39 Blk 9 Purok 3, Deano St., Central Bicutan, Taguig City</t>
  </si>
  <si>
    <t>09399368006</t>
  </si>
  <si>
    <t>ITPMD (PCADG)</t>
  </si>
  <si>
    <t>DULNUAN</t>
  </si>
  <si>
    <t>CUYANGCO</t>
  </si>
  <si>
    <t>60, Poblacion West, Lamut, Ifugao, Car - Cordillera Administrative Region</t>
  </si>
  <si>
    <t>GALLARDE</t>
  </si>
  <si>
    <t>SUNNY BOY</t>
  </si>
  <si>
    <t>GALUYO</t>
  </si>
  <si>
    <t>Zone 2 Calem, Guimba, Nueva Ecijca</t>
  </si>
  <si>
    <t>09363810600</t>
  </si>
  <si>
    <t>ITPMD (IG)</t>
  </si>
  <si>
    <t>EVANGELISTA</t>
  </si>
  <si>
    <t>RHEA</t>
  </si>
  <si>
    <t>TADURAN</t>
  </si>
  <si>
    <t>39 Col. Bonny Serrano Ave, Bagong Lipunan Ng Crame, Quezon City</t>
  </si>
  <si>
    <t>09194833249</t>
  </si>
  <si>
    <t>BERMUDEZ</t>
  </si>
  <si>
    <t>PAUL ARNIE VIC</t>
  </si>
  <si>
    <t>DINEROS</t>
  </si>
  <si>
    <t>0047 Sister St. Caburihan Lavezares, Northern Samar</t>
  </si>
  <si>
    <t>09502033999</t>
  </si>
  <si>
    <t>ITPMD (IMEG)</t>
  </si>
  <si>
    <t>AREVALO</t>
  </si>
  <si>
    <t>RALPH LYNDON</t>
  </si>
  <si>
    <t>RESUELLO</t>
  </si>
  <si>
    <t>43 Luzon Street Zone 5, Central Signal Village (Signal Village), Taguig City, Metro Manila, Ncr - National Capital Region</t>
  </si>
  <si>
    <t>ITPMD (PRBS)</t>
  </si>
  <si>
    <t>TAEZA</t>
  </si>
  <si>
    <t>ERIKSON</t>
  </si>
  <si>
    <t>TE</t>
  </si>
  <si>
    <t>20 Alley 1,  Project 6, Quezon City</t>
  </si>
  <si>
    <t>09276964813</t>
  </si>
  <si>
    <t>NATHANELLE</t>
  </si>
  <si>
    <t>SEMINIANO</t>
  </si>
  <si>
    <t>32-1 Avocado St, Sto. Nino, San Mateo, Rizal</t>
  </si>
  <si>
    <t>09957943704</t>
  </si>
  <si>
    <t>ITPMD (PNP RSS)</t>
  </si>
  <si>
    <t>ESCABOSA</t>
  </si>
  <si>
    <t>GEROGIL</t>
  </si>
  <si>
    <t>SALAZAR</t>
  </si>
  <si>
    <t>Blk 110 Lot 17 K-57 Kalinisan St., Karangalan V Illage, San Isidro Village, Cainta, Rizal</t>
  </si>
  <si>
    <t>09171046735</t>
  </si>
  <si>
    <t>ANABON</t>
  </si>
  <si>
    <t>LEVI</t>
  </si>
  <si>
    <t>ABAGGUE</t>
  </si>
  <si>
    <t>1414 P3 Km4, Asin Road, Baguio, Benget</t>
  </si>
  <si>
    <t>09198495434</t>
  </si>
  <si>
    <t>ITPMD (PNPTS)</t>
  </si>
  <si>
    <t>BAYAUA</t>
  </si>
  <si>
    <t>ANGELO</t>
  </si>
  <si>
    <t>ZALUN</t>
  </si>
  <si>
    <t xml:space="preserve">B10 L23 P-H Guijo, Francisco Homes , Sjdm, Bulacan </t>
  </si>
  <si>
    <t>09171108106</t>
  </si>
  <si>
    <t>ITPMD (CES)</t>
  </si>
  <si>
    <t>OBORDO</t>
  </si>
  <si>
    <t>JOEDHEL LLOYD</t>
  </si>
  <si>
    <t>EYAO</t>
  </si>
  <si>
    <t>Maninang, Sapi-An, Capiz</t>
  </si>
  <si>
    <t>09468887288</t>
  </si>
  <si>
    <t xml:space="preserve"> ITPMD(CHS)</t>
  </si>
  <si>
    <t>VILLAGONZALO</t>
  </si>
  <si>
    <t>RYAN</t>
  </si>
  <si>
    <t>VILLARIN</t>
  </si>
  <si>
    <t>Lot 1042-8-4 Lower Panabang, Apas, Cebu City</t>
  </si>
  <si>
    <t>09222948723</t>
  </si>
  <si>
    <t>ITPMD (ES)</t>
  </si>
  <si>
    <t>GUEVARRA</t>
  </si>
  <si>
    <t>GALANG</t>
  </si>
  <si>
    <t>240 Zone-2, Mangga-Cacutud, Arayat, Pampanga</t>
  </si>
  <si>
    <t>09175778327</t>
  </si>
  <si>
    <t>ITPMD (FS)</t>
  </si>
  <si>
    <t>BALINGIT</t>
  </si>
  <si>
    <t>JOSE JEFFERSON</t>
  </si>
  <si>
    <t>LACSAM</t>
  </si>
  <si>
    <t>B153 L9 Amorseco St., Rizal, Makati City</t>
  </si>
  <si>
    <t>09175183464</t>
  </si>
  <si>
    <t>BALDOS</t>
  </si>
  <si>
    <t>MARK ANTHONY</t>
  </si>
  <si>
    <t>BUNGAG</t>
  </si>
  <si>
    <t>Callejon Street, Kaytitinga 1, Alfonso, Cavite</t>
  </si>
  <si>
    <t>09690631848</t>
  </si>
  <si>
    <t>MALLILLIN</t>
  </si>
  <si>
    <t>MARICAR</t>
  </si>
  <si>
    <t>CABIGAS</t>
  </si>
  <si>
    <t>10 Longhorn St., Rancho 4 East, Brgy Concepcion Dos, Marikina City</t>
  </si>
  <si>
    <t>09063773888</t>
  </si>
  <si>
    <t>ITPMD (HS)/SMD</t>
  </si>
  <si>
    <t>ANDANAR</t>
  </si>
  <si>
    <t>JON JASON</t>
  </si>
  <si>
    <t>GORGOLON</t>
  </si>
  <si>
    <t>B6, L2, Kingstown Subd., Brgy. 171, Caloocan City</t>
  </si>
  <si>
    <t>09173197823</t>
  </si>
  <si>
    <t>ITPMD (HSS)</t>
  </si>
  <si>
    <t>ASHTER</t>
  </si>
  <si>
    <t>TIBURCIO</t>
  </si>
  <si>
    <t>227 Sta, Cruz, Zaragisa, Nueva Ecija</t>
  </si>
  <si>
    <t>09458823777</t>
  </si>
  <si>
    <t>ITPMD (LSS)</t>
  </si>
  <si>
    <t>ORTIZ</t>
  </si>
  <si>
    <t>JULIUS</t>
  </si>
  <si>
    <t>SEMITARA</t>
  </si>
  <si>
    <t>B62 L34 Ph1 Sycamore St. Grand Cedar Homes, Bignay, City Of Valenzuela, Metro Manila, Ncr - National Capital Region</t>
  </si>
  <si>
    <t>ITPMD (LS)</t>
  </si>
  <si>
    <t>LACSON</t>
  </si>
  <si>
    <t>VINEAH</t>
  </si>
  <si>
    <t>DIMO</t>
  </si>
  <si>
    <t>50 Goldrock St., San Roque, Navotas City</t>
  </si>
  <si>
    <t>09662061857</t>
  </si>
  <si>
    <t>ARMD</t>
  </si>
  <si>
    <t>DELA PEÑA</t>
  </si>
  <si>
    <t>VICTORIO</t>
  </si>
  <si>
    <t>MENDIOLA</t>
  </si>
  <si>
    <t>Blk 1 Lot 41, Green Leaf Classic I , Sjdm, Bulacan</t>
  </si>
  <si>
    <t>09950351902</t>
  </si>
  <si>
    <t>SUCGANG</t>
  </si>
  <si>
    <t>ROSE ANNE</t>
  </si>
  <si>
    <t>ROXAS</t>
  </si>
  <si>
    <t># 203 Jp Rizal St., San Roque, Marikina City</t>
  </si>
  <si>
    <t>09178832903</t>
  </si>
  <si>
    <t>MELCHOR</t>
  </si>
  <si>
    <t>JUNVI</t>
  </si>
  <si>
    <t>PASCUAL</t>
  </si>
  <si>
    <t>47C Session Road, Talanay Area C, Batasan Hills, Quezon City</t>
  </si>
  <si>
    <t>09653367236</t>
  </si>
  <si>
    <t xml:space="preserve"> SLO/OCI/ARMD</t>
  </si>
  <si>
    <t>CANJA</t>
  </si>
  <si>
    <t>GINETA</t>
  </si>
  <si>
    <t>Brgy. Mambabanga, Luna, Isabela</t>
  </si>
  <si>
    <t>09350231418</t>
  </si>
  <si>
    <t>MANUEL</t>
  </si>
  <si>
    <t xml:space="preserve">MARK </t>
  </si>
  <si>
    <t>ALMONTE</t>
  </si>
  <si>
    <t>CRUZAT</t>
  </si>
  <si>
    <t>MARIEL</t>
  </si>
  <si>
    <t>ARELLANO</t>
  </si>
  <si>
    <t>Brgy. Conrazon, Bansud, Oriental Mindoro</t>
  </si>
  <si>
    <t>MERQUE</t>
  </si>
  <si>
    <t>JUDE ANN</t>
  </si>
  <si>
    <t>GRIEGO</t>
  </si>
  <si>
    <t>Riverside, Victoria, Roxas, Oriental Mindoro</t>
  </si>
  <si>
    <t>09562658432</t>
  </si>
  <si>
    <t>FAJARDO</t>
  </si>
  <si>
    <t>JAMELA</t>
  </si>
  <si>
    <t>CRUZ</t>
  </si>
  <si>
    <t>PS, ARMD</t>
  </si>
  <si>
    <t>SYTICO</t>
  </si>
  <si>
    <t>JAMES</t>
  </si>
  <si>
    <t>ALCERA</t>
  </si>
  <si>
    <t>Estillero St., Commonwealth, Roario, Northern Samar</t>
  </si>
  <si>
    <t>09053392089</t>
  </si>
  <si>
    <t>APALLA</t>
  </si>
  <si>
    <t>RUEL</t>
  </si>
  <si>
    <t>AMPIS</t>
  </si>
  <si>
    <t>Blk2, Lot16, Sandoval Compund, Pinagbuhatan, Pasig City</t>
  </si>
  <si>
    <t>09332725575</t>
  </si>
  <si>
    <t>DICO</t>
  </si>
  <si>
    <t>JOEMAR</t>
  </si>
  <si>
    <t xml:space="preserve">Purok 1 Lapinigan, San Francisco, Agusan del Sur </t>
  </si>
  <si>
    <t>09957691093</t>
  </si>
  <si>
    <t>FRANK</t>
  </si>
  <si>
    <t>JEFF BRIAN</t>
  </si>
  <si>
    <t>RUIZ</t>
  </si>
  <si>
    <t>District 3, Sta. Rosa, Gamu, Isabela</t>
  </si>
  <si>
    <t>09310620260</t>
  </si>
  <si>
    <t>TAGUINOD</t>
  </si>
  <si>
    <t>DANNY BOY</t>
  </si>
  <si>
    <t>504 Zone 5, Iraga, Solana, Cagayan</t>
  </si>
  <si>
    <t>09268121283</t>
  </si>
  <si>
    <t>ANARNA</t>
  </si>
  <si>
    <t>DARIA</t>
  </si>
  <si>
    <t>CALAMAYA</t>
  </si>
  <si>
    <t>79 Narra St., Marikina Heights, Marikina City.</t>
  </si>
  <si>
    <t>09435194431</t>
  </si>
  <si>
    <t>GUALVEZ</t>
  </si>
  <si>
    <t>ANABELLE</t>
  </si>
  <si>
    <t>BAYONA</t>
  </si>
  <si>
    <t>161 Kanlaon St, Maharlika, Quezon City</t>
  </si>
  <si>
    <t>09272015409</t>
  </si>
  <si>
    <t>LAGGUI</t>
  </si>
  <si>
    <t>DANIELLA MARIE</t>
  </si>
  <si>
    <t>ALLAUIGAN</t>
  </si>
  <si>
    <t>MISTICA</t>
  </si>
  <si>
    <t>MA FELIRITA</t>
  </si>
  <si>
    <t>SUBIDO</t>
  </si>
  <si>
    <t>44 San Isidro St, Santol, Brgy. Sto Nino, Quezon City</t>
  </si>
  <si>
    <t>09651273047</t>
  </si>
  <si>
    <t>NIEVA</t>
  </si>
  <si>
    <t>AILEEN</t>
  </si>
  <si>
    <t>SABELA</t>
  </si>
  <si>
    <t>Blk 10 Lot 42 Phase 1, E.P. Village, Brgy. Pinagsama, Taguig City</t>
  </si>
  <si>
    <t>09206647687</t>
  </si>
  <si>
    <t>PILAR</t>
  </si>
  <si>
    <t>JESSA KRIS</t>
  </si>
  <si>
    <t>CORDOVA</t>
  </si>
  <si>
    <t>TURALBA</t>
  </si>
  <si>
    <t>KIMBERLY JOYCE</t>
  </si>
  <si>
    <t>Blk  30 Lot 31-32 Expansion 2, Heroesville 1 Subd., Gaya-Gaya, Sjdm, Bulacan</t>
  </si>
  <si>
    <t>09176439469</t>
  </si>
  <si>
    <t>ICRMS, ARMD</t>
  </si>
  <si>
    <t>PAMITTAN</t>
  </si>
  <si>
    <t>LATTAO</t>
  </si>
  <si>
    <t>VALLEJOS</t>
  </si>
  <si>
    <t>DRANREB</t>
  </si>
  <si>
    <t>GAPAL</t>
  </si>
  <si>
    <t>New York St., Amacalan, Gerona, Tarlac</t>
  </si>
  <si>
    <t>09102194881</t>
  </si>
  <si>
    <t>ACORDA</t>
  </si>
  <si>
    <t>ELPIDIO</t>
  </si>
  <si>
    <t>PALARCA</t>
  </si>
  <si>
    <t>44 - T Llano St., Brgy. Sangandaan, Tandang Sora, Quezon City</t>
  </si>
  <si>
    <t>09994973696</t>
  </si>
  <si>
    <t>BACLIG</t>
  </si>
  <si>
    <t>NEILJANE</t>
  </si>
  <si>
    <t>ADONA</t>
  </si>
  <si>
    <t>Blk 9 Lot 19,  Rosario Complex, San Pedro, Laguna</t>
  </si>
  <si>
    <t>09183979519</t>
  </si>
  <si>
    <t>HERRERA</t>
  </si>
  <si>
    <t>PACIVICA</t>
  </si>
  <si>
    <t>BAYHON</t>
  </si>
  <si>
    <t>30 L Woodd St., Balara, Quezon City</t>
  </si>
  <si>
    <t>09422358720</t>
  </si>
  <si>
    <t>LEE</t>
  </si>
  <si>
    <t>MARIA ELISA</t>
  </si>
  <si>
    <t>SUERO</t>
  </si>
  <si>
    <t>36 Mindanao St., Filipinas Village, Marikina</t>
  </si>
  <si>
    <t>09275976794</t>
  </si>
  <si>
    <t>BFS, ARMD</t>
  </si>
  <si>
    <t>BALMACEDA</t>
  </si>
  <si>
    <t>BANGUILAN</t>
  </si>
  <si>
    <t>29 Rev. Garcia St.,Project 4,Quezon City</t>
  </si>
  <si>
    <t>09209535105</t>
  </si>
  <si>
    <t>BFS/LS/IHSS/PRO12</t>
  </si>
  <si>
    <t>JOHANNES GOLD</t>
  </si>
  <si>
    <t>LUCERO</t>
  </si>
  <si>
    <t>L11A B43 Galaxy St., Rancho Estate 3,  Concepcion Dos, Marikina City</t>
  </si>
  <si>
    <t>09175842004</t>
  </si>
  <si>
    <t>PALISOC</t>
  </si>
  <si>
    <t>PREMIER HAROLD</t>
  </si>
  <si>
    <t>TABUÑAR</t>
  </si>
  <si>
    <t xml:space="preserve">81 Felipe Calderon St., Pussuac, Sto Domingo, Ilocos Sur, </t>
  </si>
  <si>
    <t>09164573308</t>
  </si>
  <si>
    <t>MOLINA</t>
  </si>
  <si>
    <t>DOMINICK EZRA</t>
  </si>
  <si>
    <t>GACES</t>
  </si>
  <si>
    <t>#53 Namnama, Baduang, Pagudpud, Ilocos Norte</t>
  </si>
  <si>
    <t>09568213033</t>
  </si>
  <si>
    <t>ALCANTARA</t>
  </si>
  <si>
    <t>JHINNA-LOU</t>
  </si>
  <si>
    <t>SAN ESTEBAN</t>
  </si>
  <si>
    <t>MATEO</t>
  </si>
  <si>
    <t>MARIAN AILEEN</t>
  </si>
  <si>
    <t>R'JOSE</t>
  </si>
  <si>
    <t>369 Dalisay St., Bacood, Sta. Mesa, Manila</t>
  </si>
  <si>
    <t>09163772647</t>
  </si>
  <si>
    <t>PAREDES</t>
  </si>
  <si>
    <t>CONNIE</t>
  </si>
  <si>
    <t>VALDEZ</t>
  </si>
  <si>
    <t>RECLA</t>
  </si>
  <si>
    <t>SILVINA</t>
  </si>
  <si>
    <t>LLANTO</t>
  </si>
  <si>
    <t>Cluster 5,14B Greehills Garden Square Condominium, Bonnie Serrano Ave., Quezon City</t>
  </si>
  <si>
    <t>09081102781</t>
  </si>
  <si>
    <t>RUMBAOA</t>
  </si>
  <si>
    <t>SHIRLY</t>
  </si>
  <si>
    <t>CABUSORA</t>
  </si>
  <si>
    <t>13A 1St Avenue, Brgy Bagong Lipunan Ng Crame, Quezon City</t>
  </si>
  <si>
    <t>09068812432</t>
  </si>
  <si>
    <t>UNTALAN</t>
  </si>
  <si>
    <t xml:space="preserve">RACHEL </t>
  </si>
  <si>
    <t>GUTIERREZ</t>
  </si>
  <si>
    <t>Mahacot West,  Batangas City</t>
  </si>
  <si>
    <t>09338120721</t>
  </si>
  <si>
    <t>LS, ARMD</t>
  </si>
  <si>
    <t>MINA</t>
  </si>
  <si>
    <t>EDGAR</t>
  </si>
  <si>
    <t>LABIAO</t>
  </si>
  <si>
    <t>Adarna St., Brgy. Commonwealth, Quezon City</t>
  </si>
  <si>
    <t>09369004737</t>
  </si>
  <si>
    <t>AGUILAR</t>
  </si>
  <si>
    <t>JAMES BENEDICT</t>
  </si>
  <si>
    <t>GALVEZ</t>
  </si>
  <si>
    <t>528 Sampaguit St., San Juan Ildefonso, Bulacan</t>
  </si>
  <si>
    <t>09159369201</t>
  </si>
  <si>
    <t>TAMANIO</t>
  </si>
  <si>
    <t>ANTHONY ELKING</t>
  </si>
  <si>
    <t>Blk 42 L 25 Ascencsion Ave., Brgy. Grater Lagro, Quezon City</t>
  </si>
  <si>
    <t>09913860469</t>
  </si>
  <si>
    <t>BARQUIN</t>
  </si>
  <si>
    <t>CHRISTIAN PAUL</t>
  </si>
  <si>
    <t>SAN VICENTE</t>
  </si>
  <si>
    <t>09153764308</t>
  </si>
  <si>
    <t>GUINAOWA</t>
  </si>
  <si>
    <t>JAYMAR</t>
  </si>
  <si>
    <t>GUDAREN</t>
  </si>
  <si>
    <t>Bekigan, Sadanga, Mountain Province</t>
  </si>
  <si>
    <t>09123601662</t>
  </si>
  <si>
    <t>BATICADOS</t>
  </si>
  <si>
    <t>IVY</t>
  </si>
  <si>
    <t>ELEGARLE</t>
  </si>
  <si>
    <t>El Dorado Dulo, Brgy. Don Bosco, Better Living Subd., Parañaque City</t>
  </si>
  <si>
    <t>09612356019</t>
  </si>
  <si>
    <t>BUITRE</t>
  </si>
  <si>
    <t>TIMOTHY JOSEPH</t>
  </si>
  <si>
    <t>SIPIN</t>
  </si>
  <si>
    <t>ENRIQUEZ</t>
  </si>
  <si>
    <t>ARIANE GRACE</t>
  </si>
  <si>
    <t>DE LEON</t>
  </si>
  <si>
    <t>HAPAN</t>
  </si>
  <si>
    <t>IAN CARLO</t>
  </si>
  <si>
    <t>VILLANUEVA</t>
  </si>
  <si>
    <t>Blk 6 Lot 3Phase K1, Francisco Homes, Brgy. Yakal, San Jose Del Monte, Bulacan</t>
  </si>
  <si>
    <t>09164570094</t>
  </si>
  <si>
    <t>IHSS/LS, ARMD</t>
  </si>
  <si>
    <t>CHRISHELLE</t>
  </si>
  <si>
    <t>SAGUN</t>
  </si>
  <si>
    <t>IHSS, ARMD</t>
  </si>
  <si>
    <t>FRONDA</t>
  </si>
  <si>
    <t>JIMMSON</t>
  </si>
  <si>
    <t>CILOCILO</t>
  </si>
  <si>
    <t>31 Nha Delpan Bliss, Tondo, Manila</t>
  </si>
  <si>
    <t>09998367843</t>
  </si>
  <si>
    <t xml:space="preserve">AQUINO </t>
  </si>
  <si>
    <t>ROGELIO</t>
  </si>
  <si>
    <t>556 Kaunlaran St., Brgy. Commonwealth, Quezon City</t>
  </si>
  <si>
    <t>09214916594</t>
  </si>
  <si>
    <t>CATANEO</t>
  </si>
  <si>
    <t>VINLUAN</t>
  </si>
  <si>
    <t>CELADIÑA</t>
  </si>
  <si>
    <t>CUISON</t>
  </si>
  <si>
    <t>Balud, San Fernando, Cebu</t>
  </si>
  <si>
    <t>09327178324</t>
  </si>
  <si>
    <t>FERNANDEZ</t>
  </si>
  <si>
    <t>ROWEN</t>
  </si>
  <si>
    <t>BON</t>
  </si>
  <si>
    <t xml:space="preserve">Blk 17 Lot 8 Heroesville 1Subd.,  Phase 1. Brgy. Gaya-Gaya, San Jose Del Monte, Bulacan </t>
  </si>
  <si>
    <t>ALLAN</t>
  </si>
  <si>
    <t>SASUTA</t>
  </si>
  <si>
    <t>Rd 25 B36 L49 Brgy. Bagong Nayon, Cogeo Vill., Antipolo</t>
  </si>
  <si>
    <t>09614657853</t>
  </si>
  <si>
    <t>SANCHEZ</t>
  </si>
  <si>
    <t xml:space="preserve">SHERYL </t>
  </si>
  <si>
    <t>PALLONES</t>
  </si>
  <si>
    <t>4856 C Int.8, Dhalia St., Brgy. 598, Old Sta Mesa, Manila</t>
  </si>
  <si>
    <t>09366220331</t>
  </si>
  <si>
    <t>PHAS, ARMD</t>
  </si>
  <si>
    <t>LOPEZ</t>
  </si>
  <si>
    <t>MORATALLA</t>
  </si>
  <si>
    <t>WAITING FOR ASSIGNMENT</t>
  </si>
  <si>
    <t>Block 9 396 Kalayaan Avenue, West Rembo, Makati, Metro Manila</t>
  </si>
  <si>
    <t>09172555791</t>
  </si>
  <si>
    <t>PEMS</t>
  </si>
  <si>
    <t>GASCON</t>
  </si>
  <si>
    <t>MARIA LUZ</t>
  </si>
  <si>
    <t>BUMAGAT</t>
  </si>
  <si>
    <t>SCHOOLING</t>
  </si>
  <si>
    <t>3065 Abucay St., Manuguit Subd., Tondo, Manila</t>
  </si>
  <si>
    <t>09059797471</t>
  </si>
  <si>
    <t>TABAFUNDA</t>
  </si>
  <si>
    <t>RONNEL</t>
  </si>
  <si>
    <t>NACIS</t>
  </si>
  <si>
    <t>Brgy. Paagan, Bacnotan, La Union</t>
  </si>
  <si>
    <t>09276919118</t>
  </si>
  <si>
    <t>WALIS</t>
  </si>
  <si>
    <t>JACKSON</t>
  </si>
  <si>
    <t>713 Babasit, Manaoag, Pangasinan</t>
  </si>
  <si>
    <t>09308761190</t>
  </si>
  <si>
    <t>MAMENTA</t>
  </si>
  <si>
    <t>CRISTOPHER</t>
  </si>
  <si>
    <t>ALLAS</t>
  </si>
  <si>
    <t>AWOL</t>
  </si>
  <si>
    <t>Zone 4, Legaspi, Tayug, Pangasinan</t>
  </si>
  <si>
    <t>09666557537</t>
  </si>
  <si>
    <t xml:space="preserve"> PHAS(DICTM)</t>
  </si>
  <si>
    <t>DAMASO</t>
  </si>
  <si>
    <t>MARIBEL</t>
  </si>
  <si>
    <t>MONES</t>
  </si>
  <si>
    <t>58 B, 8Th Ave., Brgy.Socorro, Cubao, Quezon City</t>
  </si>
  <si>
    <t>09178740745</t>
  </si>
  <si>
    <t>ESCOBAL</t>
  </si>
  <si>
    <t>CARLO JOSEPH</t>
  </si>
  <si>
    <t>TORRES</t>
  </si>
  <si>
    <t>JUANITO</t>
  </si>
  <si>
    <t>BALLUG</t>
  </si>
  <si>
    <t>BORJA</t>
  </si>
  <si>
    <t>BRIAN THEO</t>
  </si>
  <si>
    <t>6 Ignacio Diaz St., Brgy. Kaunlaran, Cubao, Quezon City</t>
  </si>
  <si>
    <t>09190794772</t>
  </si>
  <si>
    <t>PHAS(PRO CAR/DICTM)</t>
  </si>
  <si>
    <t>FONCARDAS</t>
  </si>
  <si>
    <t>MARK</t>
  </si>
  <si>
    <t>REYES</t>
  </si>
  <si>
    <t>MARAMAG</t>
  </si>
  <si>
    <t>MARCIANA</t>
  </si>
  <si>
    <t>ROBERT</t>
  </si>
  <si>
    <t>ANDAL</t>
  </si>
  <si>
    <t>7 Antipoli Ext., Krus Na Ligas, Quezon City</t>
  </si>
  <si>
    <t>09055320909</t>
  </si>
  <si>
    <t>BELLY</t>
  </si>
  <si>
    <t xml:space="preserve">JOCELYN </t>
  </si>
  <si>
    <t>DEL BARRIO</t>
  </si>
  <si>
    <t>B6 L2, Hilltop, Abatex, San Jose, Rodriguez, Rizal</t>
  </si>
  <si>
    <t>09338637458</t>
  </si>
  <si>
    <t>MARICON</t>
  </si>
  <si>
    <t>TAYAMEN</t>
  </si>
  <si>
    <t>B6 L2 11Th Ave., Hhsg Extebsion, North Signal Village, Taguig City</t>
  </si>
  <si>
    <t>09272162479</t>
  </si>
  <si>
    <t>BACALTOS</t>
  </si>
  <si>
    <t>847 Tahimik St., Delpan, Tondo, Manila</t>
  </si>
  <si>
    <t>09176860807</t>
  </si>
  <si>
    <t>BATALLER</t>
  </si>
  <si>
    <t>SHERWIN SOLOMON</t>
  </si>
  <si>
    <t>BELLEN</t>
  </si>
  <si>
    <t>III</t>
  </si>
  <si>
    <t>J Rizal St., Paciano Rizal, Calamba City, Laguna</t>
  </si>
  <si>
    <t>09175121981</t>
  </si>
  <si>
    <t>CABATIN</t>
  </si>
  <si>
    <t>ROGEL VERGEL</t>
  </si>
  <si>
    <t>596 Re Chico St., Santo Cristo, Baliuag, Bulacan</t>
  </si>
  <si>
    <t>09322461634</t>
  </si>
  <si>
    <t>CRISTINA JOY</t>
  </si>
  <si>
    <t>VICENTE</t>
  </si>
  <si>
    <t>Pilapil Street, Sabang Calabanga, Camarines Sur</t>
  </si>
  <si>
    <t>09123299695</t>
  </si>
  <si>
    <t>FERMANTEZ</t>
  </si>
  <si>
    <t>DINA</t>
  </si>
  <si>
    <t>SUNIEGA</t>
  </si>
  <si>
    <t>445 Purok 5 , Rizal, Diffun, Quirino</t>
  </si>
  <si>
    <t>09455295643</t>
  </si>
  <si>
    <t>JAVIER</t>
  </si>
  <si>
    <t>ROGINA</t>
  </si>
  <si>
    <t>TANGLAO</t>
  </si>
  <si>
    <t>19-I 1St Avenue, Bagong Lipunan Ng Crame, Quezon City</t>
  </si>
  <si>
    <t>09175352023</t>
  </si>
  <si>
    <t>QUIDEZ</t>
  </si>
  <si>
    <t>BRYAN MARK</t>
  </si>
  <si>
    <t>SORIANO</t>
  </si>
  <si>
    <t>Purok 1, Baldios, Santa Ignacia, Tarlac</t>
  </si>
  <si>
    <t>09531144507</t>
  </si>
  <si>
    <t xml:space="preserve"> PHAS(DICTM)/PSMU</t>
  </si>
  <si>
    <t>TAJON</t>
  </si>
  <si>
    <t>VERONICA</t>
  </si>
  <si>
    <t>QUILIZA</t>
  </si>
  <si>
    <t>Mb 23 Unit 308 Bcda, Taguig City</t>
  </si>
  <si>
    <t>09190955171</t>
  </si>
  <si>
    <t>SIA</t>
  </si>
  <si>
    <t>ENARD</t>
  </si>
  <si>
    <t>ANDAYA</t>
  </si>
  <si>
    <t>10-A Governor Pascual Avenue, Potrero, Malabon City</t>
  </si>
  <si>
    <t>09362510010</t>
  </si>
  <si>
    <t>SABIO</t>
  </si>
  <si>
    <t>SHERWIN</t>
  </si>
  <si>
    <t>INTONG</t>
  </si>
  <si>
    <t>173-P 22Nd Avenue , East Rembo, Makati City</t>
  </si>
  <si>
    <t>09167479918</t>
  </si>
  <si>
    <t>DIÑA</t>
  </si>
  <si>
    <t>DOMALAON</t>
  </si>
  <si>
    <t>Unit 302, Mb9, Bcda, Diego Silang Village, Ususan, Taguig City</t>
  </si>
  <si>
    <t>09176414479</t>
  </si>
  <si>
    <t>SIGGAYO</t>
  </si>
  <si>
    <t>WILLARD</t>
  </si>
  <si>
    <t>MALABAD</t>
  </si>
  <si>
    <t>11 Road 2 Sitio Kumunoy, Bagong Silangan, Quezon City</t>
  </si>
  <si>
    <t>09355344158</t>
  </si>
  <si>
    <t>NEPTHALIE</t>
  </si>
  <si>
    <t>#233 7Th  St., Ghq Village, Zone 1-C, Taguig City</t>
  </si>
  <si>
    <t>09174857735</t>
  </si>
  <si>
    <t>ECHEGOYEN</t>
  </si>
  <si>
    <t>MOJICA</t>
  </si>
  <si>
    <t>1061-A Molina Ext. San Antonio, Cavite City</t>
  </si>
  <si>
    <t>09168490658</t>
  </si>
  <si>
    <t>TABUYO</t>
  </si>
  <si>
    <t>POLA</t>
  </si>
  <si>
    <t>#21 Panay Norte, Magsingal, Ilocos Sur</t>
  </si>
  <si>
    <t>09959387916</t>
  </si>
  <si>
    <t>ARCANGEL</t>
  </si>
  <si>
    <t>OLIVER</t>
  </si>
  <si>
    <t>GARCIA</t>
  </si>
  <si>
    <t>#8 Binalatongan, San Juan, San Carlos City, Pangasinan</t>
  </si>
  <si>
    <t>09156641566</t>
  </si>
  <si>
    <t>GOMEZ</t>
  </si>
  <si>
    <t>RICH MICHAEL</t>
  </si>
  <si>
    <t>LIBU</t>
  </si>
  <si>
    <t>482 Mali St., Cutcut, Angeles City, Pampanga</t>
  </si>
  <si>
    <t>09179726178</t>
  </si>
  <si>
    <t>CARIAGA</t>
  </si>
  <si>
    <t>GERMONO</t>
  </si>
  <si>
    <t>125 Bagong Baryo, Manambong Norte, Bayambang, Pangasinan</t>
  </si>
  <si>
    <t>09503214480</t>
  </si>
  <si>
    <t>COSISI</t>
  </si>
  <si>
    <t>FREDERICK</t>
  </si>
  <si>
    <t>BAON</t>
  </si>
  <si>
    <t>Central St. Brgy. Balluay, Sablan, Benguet</t>
  </si>
  <si>
    <t>09489443349</t>
  </si>
  <si>
    <t>CHRISTOPHER</t>
  </si>
  <si>
    <t>PEREZ</t>
  </si>
  <si>
    <t>Brgy. Nalsian Sur, Bayambang, Pangasinan</t>
  </si>
  <si>
    <t>09307937379</t>
  </si>
  <si>
    <t>BRIGGS</t>
  </si>
  <si>
    <t>TABORA</t>
  </si>
  <si>
    <t>722 V. Serrano St. Gagalangin, Tondo, Manila</t>
  </si>
  <si>
    <t>09189169623</t>
  </si>
  <si>
    <t>MELGAR</t>
  </si>
  <si>
    <t>13A New York, Sitio Hinapao, San Jose, Antipolo City, Rizal</t>
  </si>
  <si>
    <t>09358583114</t>
  </si>
  <si>
    <t>ALFONSO</t>
  </si>
  <si>
    <t>IRANIE</t>
  </si>
  <si>
    <t>EMPENO</t>
  </si>
  <si>
    <t>Sjdm, Bulacan</t>
  </si>
  <si>
    <t>09778425218</t>
  </si>
  <si>
    <t xml:space="preserve"> PHAS(DICTM/PSMU)</t>
  </si>
  <si>
    <t>BUSTARDE</t>
  </si>
  <si>
    <t>MA GOUDELIA</t>
  </si>
  <si>
    <t>MIRABEL</t>
  </si>
  <si>
    <t>Blk 19 Lot 47 Phase 2,  Ep Village,  Brgy. Pinagsama, Taguig City</t>
  </si>
  <si>
    <t>09950128538</t>
  </si>
  <si>
    <t>MELANIA</t>
  </si>
  <si>
    <t>BACULAD</t>
  </si>
  <si>
    <t>144 F. Roxas St., Brgy. Tibagan, San Juan City 1500</t>
  </si>
  <si>
    <t>09054065098</t>
  </si>
  <si>
    <t>DE LANA</t>
  </si>
  <si>
    <t>XZYRON</t>
  </si>
  <si>
    <t>AGNE</t>
  </si>
  <si>
    <t>MANDAL</t>
  </si>
  <si>
    <t>BIBIANA</t>
  </si>
  <si>
    <t>LUMBANG</t>
  </si>
  <si>
    <t>12W Rd 8 1St West Crame, San Juan City</t>
  </si>
  <si>
    <t>09234703741</t>
  </si>
  <si>
    <t>MEJIA</t>
  </si>
  <si>
    <t>GIRLIE</t>
  </si>
  <si>
    <t>Main Ave., Cubao, Quezon City</t>
  </si>
  <si>
    <t>09459925499</t>
  </si>
  <si>
    <t>VASQUEZ</t>
  </si>
  <si>
    <t>ANNIE</t>
  </si>
  <si>
    <t>RELLES</t>
  </si>
  <si>
    <t>Blk 6 Lott 4 Porche St., Garden Villas, Labas, Sta. Rosa, Laguna</t>
  </si>
  <si>
    <t>09173718883</t>
  </si>
  <si>
    <t xml:space="preserve"> PHAS(DICTM-CSOC)</t>
  </si>
  <si>
    <t>MARTINEZ</t>
  </si>
  <si>
    <t>VIRAY</t>
  </si>
  <si>
    <t>057, San Francisco, Macabebe, Pampanga</t>
  </si>
  <si>
    <t>09674253706</t>
  </si>
  <si>
    <t>PILASPILAS</t>
  </si>
  <si>
    <t>MARK JAYSON</t>
  </si>
  <si>
    <t>AMI</t>
  </si>
  <si>
    <t>Zone 2, Manambong Sur, Bayambang, Pangasinan</t>
  </si>
  <si>
    <t>09958604167</t>
  </si>
  <si>
    <t>BILLOTE</t>
  </si>
  <si>
    <t>KYLE BENEDICT</t>
  </si>
  <si>
    <t>Blk 25 Lot 31 Villa Palao, Banlic, Calamba City, Laguna</t>
  </si>
  <si>
    <t>09451855015</t>
  </si>
  <si>
    <t>BURIGSAY</t>
  </si>
  <si>
    <t>MARC IVOR JAN</t>
  </si>
  <si>
    <t>SABAYLE</t>
  </si>
  <si>
    <t>Discom Village, Awang, Datu Odin Sinsuat, Maguindanao</t>
  </si>
  <si>
    <t>09284972867</t>
  </si>
  <si>
    <t>VOLTAIRE</t>
  </si>
  <si>
    <t>LACAYAN</t>
  </si>
  <si>
    <t>#45 Purok 1 Tandoc, San Carlos City, Pangasinan</t>
  </si>
  <si>
    <t>09207985964</t>
  </si>
  <si>
    <t xml:space="preserve">HERRERA </t>
  </si>
  <si>
    <t>EDGARDO</t>
  </si>
  <si>
    <t>Natipuan, Nasugbu, Batangas</t>
  </si>
  <si>
    <t>09560398002</t>
  </si>
  <si>
    <t>MARC</t>
  </si>
  <si>
    <t>10-E Rajah Soliman St., Santa Lucia, Quezon City</t>
  </si>
  <si>
    <t>09087370326</t>
  </si>
  <si>
    <t>MONTIGO</t>
  </si>
  <si>
    <t>MARKIN</t>
  </si>
  <si>
    <t>25 Balayan St. Brgy. Sto. Cristo, Quezon City</t>
  </si>
  <si>
    <t>09519942043</t>
  </si>
  <si>
    <t>ALEXIS</t>
  </si>
  <si>
    <t>YONG</t>
  </si>
  <si>
    <t>#55 Pisuac, Urbiztondo, Pangasinan</t>
  </si>
  <si>
    <t>09922607601</t>
  </si>
  <si>
    <t>LACHICA</t>
  </si>
  <si>
    <t>LOLITA</t>
  </si>
  <si>
    <t>330 Pureza St., Sta. Mesa, Manila</t>
  </si>
  <si>
    <t>09506102089</t>
  </si>
  <si>
    <t>MANALUZ</t>
  </si>
  <si>
    <t>NIKKO RENZ</t>
  </si>
  <si>
    <t>GERON</t>
  </si>
  <si>
    <t>ALYSSA ALEXANDRIA</t>
  </si>
  <si>
    <t>ROQUE</t>
  </si>
  <si>
    <t>ARISTOTLE</t>
  </si>
  <si>
    <t>GARSIN</t>
  </si>
  <si>
    <t>65 Pall Mall St., East Fairview, Quezon City</t>
  </si>
  <si>
    <t>09275169091</t>
  </si>
  <si>
    <t>MELANIE JANE</t>
  </si>
  <si>
    <t>OBRA</t>
  </si>
  <si>
    <t>Blk 25 Lot 19 La Solidaridad Estate, Brgy San Isidro, Montalban, Rizal</t>
  </si>
  <si>
    <t>09420014464</t>
  </si>
  <si>
    <t>PHAS (CICC)</t>
  </si>
  <si>
    <t>ANURAN</t>
  </si>
  <si>
    <t>ADRIAN</t>
  </si>
  <si>
    <t>MIRASOL</t>
  </si>
  <si>
    <t>57 A Delas Alas St., Zone 13, Taal, Batangas</t>
  </si>
  <si>
    <t>09065467212</t>
  </si>
  <si>
    <t>SMD/RICTMD PRO 9</t>
  </si>
  <si>
    <t>RIMANDO</t>
  </si>
  <si>
    <t>JUVENAL</t>
  </si>
  <si>
    <t>AFOS</t>
  </si>
  <si>
    <t>B12 L5 Phase M, Francisco Homes, Sjdm, Bulacan</t>
  </si>
  <si>
    <t>09055193871</t>
  </si>
  <si>
    <t>SMD</t>
  </si>
  <si>
    <t>RARO</t>
  </si>
  <si>
    <t>EMILIO</t>
  </si>
  <si>
    <t>GARADO</t>
  </si>
  <si>
    <t>12W Rd 8, 1St West, Crame, San Juan City</t>
  </si>
  <si>
    <t>09433080203</t>
  </si>
  <si>
    <t>ANISCO</t>
  </si>
  <si>
    <t>ARCHIE</t>
  </si>
  <si>
    <t>STO.DOMINGO</t>
  </si>
  <si>
    <t>103 Lacson Street, Tondo, Manila</t>
  </si>
  <si>
    <t>09473175706</t>
  </si>
  <si>
    <t>CAROLINO</t>
  </si>
  <si>
    <t>JERALYNE</t>
  </si>
  <si>
    <t>Block 6 Lot 2, Kingstown 2 Subdivision, Barangay 171, Caloocan City</t>
  </si>
  <si>
    <t>09278889020</t>
  </si>
  <si>
    <t>PAPIÑA</t>
  </si>
  <si>
    <t>PATRICK LYNDON</t>
  </si>
  <si>
    <t>PARCAREY</t>
  </si>
  <si>
    <t xml:space="preserve">E Glinoga, Castillo (Pob.), Pitogo, Quezon </t>
  </si>
  <si>
    <t>09633368121</t>
  </si>
  <si>
    <t>ULPINDO</t>
  </si>
  <si>
    <t>KRISANTO</t>
  </si>
  <si>
    <t>TAPIA</t>
  </si>
  <si>
    <t>Block 12 Lot 33 Hamburg St., Mercedes Executive Village, San Andres (Pob.), Cainta, Rizal</t>
  </si>
  <si>
    <t>09616057109</t>
  </si>
  <si>
    <t>PARRE</t>
  </si>
  <si>
    <t>WINSTON</t>
  </si>
  <si>
    <t>SAFLOR</t>
  </si>
  <si>
    <t>#17 Kaunlaran Street, Navarro, General Trias, Cavite, Region Iv-A (Calabarzon)</t>
  </si>
  <si>
    <t>LUANSING</t>
  </si>
  <si>
    <t>DIANALYN</t>
  </si>
  <si>
    <t>MAGLIPON</t>
  </si>
  <si>
    <t>61 F. Manalo St., Calzada Tipas, Taguig City\</t>
  </si>
  <si>
    <t>09395171385</t>
  </si>
  <si>
    <t>AISS, SMD</t>
  </si>
  <si>
    <t>LANUZA</t>
  </si>
  <si>
    <t xml:space="preserve">ARNOLD </t>
  </si>
  <si>
    <t>ZABATE</t>
  </si>
  <si>
    <t>12 Catleya St., Macaria Village, Binan, Laguna</t>
  </si>
  <si>
    <t>09275907738</t>
  </si>
  <si>
    <t>BRONZAL</t>
  </si>
  <si>
    <t xml:space="preserve">BRUCE KELLY </t>
  </si>
  <si>
    <t>LOZANO</t>
  </si>
  <si>
    <t>Blk 178 Lot 20 Phase 6, NHV, Tigbe, Norzagaray, Bulacan</t>
  </si>
  <si>
    <t>09060311401</t>
  </si>
  <si>
    <t xml:space="preserve">MARK RHOMMEL </t>
  </si>
  <si>
    <t>MDRIAGA</t>
  </si>
  <si>
    <t>ALMACHAR</t>
  </si>
  <si>
    <t>ARLENE</t>
  </si>
  <si>
    <t>ACIERTO</t>
  </si>
  <si>
    <t>175 Daisy St., Garden Vill., Subd, P:Ilong Buhangin, Sta. Maria, Bulacan</t>
  </si>
  <si>
    <t>09155958006</t>
  </si>
  <si>
    <t>ASCS, SMD</t>
  </si>
  <si>
    <t>CABAÑAS</t>
  </si>
  <si>
    <t>MARY JOY</t>
  </si>
  <si>
    <t>DUTERTE</t>
  </si>
  <si>
    <t>13A1 1St Ave., Brgy. Bagong Lipunan Ng Crame, Quezon City</t>
  </si>
  <si>
    <t>09053303836</t>
  </si>
  <si>
    <t>YVETTE</t>
  </si>
  <si>
    <t>VILLAVERDE</t>
  </si>
  <si>
    <t>140 N. Domingo St., Brgy. Pedro Cruz, San Juan City</t>
  </si>
  <si>
    <t>09176202363</t>
  </si>
  <si>
    <t>SABLAY</t>
  </si>
  <si>
    <t>HAZEL</t>
  </si>
  <si>
    <t>DILLOZA</t>
  </si>
  <si>
    <t>259 Ibp Road, Brgy. Commonwealth, Q.C.</t>
  </si>
  <si>
    <t>09267358284</t>
  </si>
  <si>
    <t>SOLON</t>
  </si>
  <si>
    <t xml:space="preserve">RENA ELENA </t>
  </si>
  <si>
    <t>OCCIANO</t>
  </si>
  <si>
    <t>L4 B7 Executive Homes I, Greenpark Village, Cainta, Rizal</t>
  </si>
  <si>
    <t>09979668040</t>
  </si>
  <si>
    <t>OISS, SMD</t>
  </si>
  <si>
    <t>PONCE</t>
  </si>
  <si>
    <t>JASMIN</t>
  </si>
  <si>
    <t>40 Bravo St., Zone 5, Central Signal Village, Taguig City</t>
  </si>
  <si>
    <t>09178908031</t>
  </si>
  <si>
    <t>TOLENTINO</t>
  </si>
  <si>
    <t>NATHANIEL</t>
  </si>
  <si>
    <t>MELEGRITO</t>
  </si>
  <si>
    <t>B4 L1 Escopa Iv, Project 4, Quezon City.</t>
  </si>
  <si>
    <t>09772653783</t>
  </si>
  <si>
    <t>PAQUIZ</t>
  </si>
  <si>
    <t>JOHN ANTHONY</t>
  </si>
  <si>
    <t>BATO</t>
  </si>
  <si>
    <t>Purok 1, Eden, San Manuel, Isabela</t>
  </si>
  <si>
    <t>09561225539</t>
  </si>
  <si>
    <t>HUERNO</t>
  </si>
  <si>
    <t>JOHN ELMAR</t>
  </si>
  <si>
    <t>#23 St. John St., Graceland Subd., Ampid 2, San Mateo, Rizal\</t>
  </si>
  <si>
    <t>09054488046</t>
  </si>
  <si>
    <t>RONILO</t>
  </si>
  <si>
    <t>BERNARDINO</t>
  </si>
  <si>
    <t>149 V. Lara St., Sumilang, Pasig City</t>
  </si>
  <si>
    <t>09452102624</t>
  </si>
  <si>
    <t>PARANADA</t>
  </si>
  <si>
    <t>DIANA</t>
  </si>
  <si>
    <t>VALMIDIANO</t>
  </si>
  <si>
    <t>Brgy. Taleb, Bantay, Ilocos Sur/#8 Don Jose St., Brgy. San Roque, Cubao, Quezon City</t>
  </si>
  <si>
    <t>09053536685</t>
  </si>
  <si>
    <t>SPIS, SMD</t>
  </si>
  <si>
    <t>MARVIN</t>
  </si>
  <si>
    <t>SALINAS</t>
  </si>
  <si>
    <t>10 Longhorn St., Rancho Estate Iv East, Concepcion Dos, Marikina City</t>
  </si>
  <si>
    <t>09178158558</t>
  </si>
  <si>
    <t>ACUESTA</t>
  </si>
  <si>
    <t>ANA JUNE</t>
  </si>
  <si>
    <t>FORRO</t>
  </si>
  <si>
    <t>Blk 52 Lot 5, Robinson"S Homes East, San Jose, Antipolo City</t>
  </si>
  <si>
    <t>09097251207</t>
  </si>
  <si>
    <t>ARCE</t>
  </si>
  <si>
    <t>MARIE FRANCISSE THERESE</t>
  </si>
  <si>
    <t>ARMAMENTO</t>
  </si>
  <si>
    <t>Blk 8 Lot 13 Shelterville Subd., Bagumbong, Caloocan City</t>
  </si>
  <si>
    <t>09176864785</t>
  </si>
  <si>
    <t>CALUDAC</t>
  </si>
  <si>
    <t>ANDREW KEITH</t>
  </si>
  <si>
    <t>MAGBAGAY</t>
  </si>
  <si>
    <t>ALTHEA CELY</t>
  </si>
  <si>
    <t>PARA</t>
  </si>
  <si>
    <t>MONAR</t>
  </si>
  <si>
    <t>CHRISTIAN MEL</t>
  </si>
  <si>
    <t>OLOR</t>
  </si>
  <si>
    <t>Bagong Lipunan Ng Crame, Quezon City</t>
  </si>
  <si>
    <t>09055376825</t>
  </si>
  <si>
    <t>PACOL</t>
  </si>
  <si>
    <t>JEPHTE</t>
  </si>
  <si>
    <t>TENORIA</t>
  </si>
  <si>
    <t>Blk 3 Lot 10, Gml Phase 1, Barcelo St., Lingunan, Valenzuela City</t>
  </si>
  <si>
    <t>09499122145</t>
  </si>
  <si>
    <t>RIDULME</t>
  </si>
  <si>
    <t>ANNA LEA</t>
  </si>
  <si>
    <t>ARCEO</t>
  </si>
  <si>
    <t>Blk 39 Lot 26 Soldiers Hills, Muntilupa City</t>
  </si>
  <si>
    <t>09175302662</t>
  </si>
  <si>
    <t>CHAN</t>
  </si>
  <si>
    <t xml:space="preserve">HAROLD JAY </t>
  </si>
  <si>
    <t>AMAZONA</t>
  </si>
  <si>
    <t>ESTIPONA</t>
  </si>
  <si>
    <t>MICHAEL GERARD</t>
  </si>
  <si>
    <t>PEDRO</t>
  </si>
  <si>
    <t>107 Kentwood Heights, 23 Mariposa St., Brgy. Bagong Lipunan Ng Crame, Quezon City</t>
  </si>
  <si>
    <t>09178312183</t>
  </si>
  <si>
    <t>FERRER</t>
  </si>
  <si>
    <t>JOSHUA</t>
  </si>
  <si>
    <t>OLGINA</t>
  </si>
  <si>
    <t>PANIZA</t>
  </si>
  <si>
    <t>ADELWISA</t>
  </si>
  <si>
    <t>1772 Miracle St., Graceville Subd., Brgy. Pag-Asa, Binangonan, Rizal</t>
  </si>
  <si>
    <t>09760383495</t>
  </si>
  <si>
    <t>MASAGANDA</t>
  </si>
  <si>
    <t xml:space="preserve">AARON </t>
  </si>
  <si>
    <t>BANAG</t>
  </si>
  <si>
    <t>100 Tanguile St., Marikina Heights, Marikina City</t>
  </si>
  <si>
    <t>09064168503</t>
  </si>
  <si>
    <t>QAS, SMD</t>
  </si>
  <si>
    <t>AGUHO</t>
  </si>
  <si>
    <t>CAMBA</t>
  </si>
  <si>
    <t>#15 1St Avenue, Brgy. Bagong Lipunan Ng Crame, Quezon City</t>
  </si>
  <si>
    <t>09158052292</t>
  </si>
  <si>
    <t>MOSLARES</t>
  </si>
  <si>
    <t>CHARLES BRYAN</t>
  </si>
  <si>
    <t>5-D 10Th Ave., Murphy, Cubao, Quezon City</t>
  </si>
  <si>
    <t>09772968120</t>
  </si>
  <si>
    <t>BAJAMONDE</t>
  </si>
  <si>
    <t xml:space="preserve">CHRISTIAN JOHN </t>
  </si>
  <si>
    <t>PLAZA</t>
  </si>
  <si>
    <t>NOVIDA</t>
  </si>
  <si>
    <t>MARILOU</t>
  </si>
  <si>
    <t>Blk 3 Lot 28 Cedar Residences Phase 1, Carmona Estates, Carmona, Cavite</t>
  </si>
  <si>
    <t>09283557371</t>
  </si>
  <si>
    <t>PORNIA</t>
  </si>
  <si>
    <t>CRIASANTO</t>
  </si>
  <si>
    <t>HURBAN</t>
  </si>
  <si>
    <t>TABIO</t>
  </si>
  <si>
    <t>HONEY LETH</t>
  </si>
  <si>
    <t>PALOMO</t>
  </si>
  <si>
    <t>179 Rlj Bldg, 9Th St., East Grace Park, Caloocan City</t>
  </si>
  <si>
    <t>09760527095</t>
  </si>
  <si>
    <t>VIGILANCIA</t>
  </si>
  <si>
    <t>SIXTO</t>
  </si>
  <si>
    <t>KATALBAS</t>
  </si>
  <si>
    <t>1 San Venancio St., San Juan, Metro Manila</t>
  </si>
  <si>
    <t>09209032137</t>
  </si>
  <si>
    <t>ITSD/RICTMD PRO BAR</t>
  </si>
  <si>
    <t>CORPUZ</t>
  </si>
  <si>
    <t>ALLAN ROY</t>
  </si>
  <si>
    <t>AGANG</t>
  </si>
  <si>
    <t>194 6Th Stghq Village,  Zone 1, Taguig, Metro Manila</t>
  </si>
  <si>
    <t>09175080381</t>
  </si>
  <si>
    <t>ITSD</t>
  </si>
  <si>
    <t>NAVARRO</t>
  </si>
  <si>
    <t>BARCELONA</t>
  </si>
  <si>
    <t>4H Balaoan St. New Haven Village, Kaligayahan, Quezon City</t>
  </si>
  <si>
    <t>09065963240</t>
  </si>
  <si>
    <t>BANTIYAN</t>
  </si>
  <si>
    <t>JEFTER</t>
  </si>
  <si>
    <t>PAKID</t>
  </si>
  <si>
    <t>GUIFAYA</t>
  </si>
  <si>
    <t>ULIDAN</t>
  </si>
  <si>
    <t>ERVIN</t>
  </si>
  <si>
    <t>TELAPER</t>
  </si>
  <si>
    <t>Purok 6, Amaga, Barobo, Surigao Del Sur</t>
  </si>
  <si>
    <t>09173008925</t>
  </si>
  <si>
    <t xml:space="preserve">Pat </t>
  </si>
  <si>
    <t>COPRADA</t>
  </si>
  <si>
    <t>ROMUALDO JULES</t>
  </si>
  <si>
    <t>OSMOND</t>
  </si>
  <si>
    <t>ESTACIO</t>
  </si>
  <si>
    <t>NEIL BRYAN</t>
  </si>
  <si>
    <t>ALARIN</t>
  </si>
  <si>
    <t>PARANE</t>
  </si>
  <si>
    <t>DETANIL</t>
  </si>
  <si>
    <t>COROCOTO</t>
  </si>
  <si>
    <t>No Address Declared</t>
  </si>
  <si>
    <t>09276260445</t>
  </si>
  <si>
    <t>ROVIRA</t>
  </si>
  <si>
    <t>CRISMUNDO</t>
  </si>
  <si>
    <t>PADULLO</t>
  </si>
  <si>
    <t>511 Barcelona St., Binondo, Manila</t>
  </si>
  <si>
    <t>09398960675</t>
  </si>
  <si>
    <t>ALDE</t>
  </si>
  <si>
    <t>MILA</t>
  </si>
  <si>
    <t>BERNADAS</t>
  </si>
  <si>
    <t>ALEGRE</t>
  </si>
  <si>
    <t>JAYBEE</t>
  </si>
  <si>
    <t>BALASE</t>
  </si>
  <si>
    <t>DALISAY</t>
  </si>
  <si>
    <t>MARIETTO</t>
  </si>
  <si>
    <t>CASPE</t>
  </si>
  <si>
    <t>Blk 12 Lot 47 Phase 1, Northgate Park Executive Vill, Brgy. Sto Cristo, Sjdm, Bulacan</t>
  </si>
  <si>
    <t>09267584462</t>
  </si>
  <si>
    <t>MARIA CRISTINA</t>
  </si>
  <si>
    <t>DOMONDON</t>
  </si>
  <si>
    <t>4 R Road  8,  1St West, Crame, San Juan City</t>
  </si>
  <si>
    <t>09178554770</t>
  </si>
  <si>
    <t>DELA PERI</t>
  </si>
  <si>
    <t xml:space="preserve">CHRISTOPHER </t>
  </si>
  <si>
    <t>TOGONON</t>
  </si>
  <si>
    <t>HERNANDEZ</t>
  </si>
  <si>
    <t>CYRUS</t>
  </si>
  <si>
    <t>SAS, ITSD</t>
  </si>
  <si>
    <t>CALAPANO</t>
  </si>
  <si>
    <t>AVILA</t>
  </si>
  <si>
    <t>1040 Judge Alvarez St Dra Salamanca Rd San Antonio, Barangay 42 (Pinagbuklod), Cavite City, Cavite, Region Iv-A (Calabarzon)</t>
  </si>
  <si>
    <t>SUNSHINE</t>
  </si>
  <si>
    <t>120 D Julian Felipe St., Sangandaan, Caloocan</t>
  </si>
  <si>
    <t>09178428026</t>
  </si>
  <si>
    <t>DIMACULANGAN</t>
  </si>
  <si>
    <t>MARLYN</t>
  </si>
  <si>
    <t>LAGULA</t>
  </si>
  <si>
    <t>B49 L15 H. Dela Costa Homes V, Brgy. Burgos, Rodriguez, Rizal</t>
  </si>
  <si>
    <t>09179451966</t>
  </si>
  <si>
    <t>PRINCESS SANNY</t>
  </si>
  <si>
    <t>ABLOG</t>
  </si>
  <si>
    <t>3426-A-1C, Lubiran St., Bacood, Sta Mesa, Manila</t>
  </si>
  <si>
    <t>09091546665</t>
  </si>
  <si>
    <t>ROSETE</t>
  </si>
  <si>
    <t>ROSENA</t>
  </si>
  <si>
    <t>Phase 3 Blk 73 Lot 16, Eastwood Residences, Brgy. San Isidro, Rodriguez, Rizal</t>
  </si>
  <si>
    <t>09275834033</t>
  </si>
  <si>
    <t>NMS, ITSD/DC</t>
  </si>
  <si>
    <t>CAMFOLI</t>
  </si>
  <si>
    <t>GLENMORE</t>
  </si>
  <si>
    <t>ONNAN</t>
  </si>
  <si>
    <t>B43 L11 Adrian St., Fairmoint Subd., North Fairview, Quezon City</t>
  </si>
  <si>
    <t>09472165053</t>
  </si>
  <si>
    <t>NMS, ITSD</t>
  </si>
  <si>
    <t>DIONEDA</t>
  </si>
  <si>
    <t>KARL JOHN</t>
  </si>
  <si>
    <t>QUIRANTE</t>
  </si>
  <si>
    <t>Blk. 5 Lot. 36, Masigasig St., Capitol Parkland Subd. Brgy. 177, Caloocan, NCR</t>
  </si>
  <si>
    <t>09676218602</t>
  </si>
  <si>
    <t>AVELINO</t>
  </si>
  <si>
    <t>MORO</t>
  </si>
  <si>
    <t>146 Look Kanluran, Banyaga, Agoncillo, Batangas</t>
  </si>
  <si>
    <t>09517304304</t>
  </si>
  <si>
    <t>ESMERO</t>
  </si>
  <si>
    <t>NEQUIA</t>
  </si>
  <si>
    <t>Blk 1 Lot 10, Grotto View Homes, Brgy. Graceville, Sjdm, Bulacan</t>
  </si>
  <si>
    <t>09176991660</t>
  </si>
  <si>
    <t>FLORO</t>
  </si>
  <si>
    <t>JOVENCIO</t>
  </si>
  <si>
    <t>FARIÑAS</t>
  </si>
  <si>
    <t>49 C 6Th Ave., Murph, Cubao, Quezon City</t>
  </si>
  <si>
    <t>09122395663</t>
  </si>
  <si>
    <t>ALPHA RIZZA</t>
  </si>
  <si>
    <t>ZARSATA</t>
  </si>
  <si>
    <t>14-F, 13Th Avenue, Brgy. Socorro, Quezon City</t>
  </si>
  <si>
    <t>09568862320</t>
  </si>
  <si>
    <t>ERNESTO</t>
  </si>
  <si>
    <t>POQUIS</t>
  </si>
  <si>
    <t>HMS, ITSD</t>
  </si>
  <si>
    <t>ALI</t>
  </si>
  <si>
    <t>HUSSEIN</t>
  </si>
  <si>
    <t>1A Mirasol St., San Roque, Cubao, Quezon City</t>
  </si>
  <si>
    <t>09222119371</t>
  </si>
  <si>
    <t>LAMPA</t>
  </si>
  <si>
    <t>ENGELBERT</t>
  </si>
  <si>
    <t>VALERA</t>
  </si>
  <si>
    <t>12C 8Th  Avenue, Brgy. Socorro, Cubao, Quezon City</t>
  </si>
  <si>
    <t>09219641515</t>
  </si>
  <si>
    <t>ADULTA</t>
  </si>
  <si>
    <t>ARREN LEE</t>
  </si>
  <si>
    <t>CHACON</t>
  </si>
  <si>
    <t>49 Aralar St., Pilapila, Binangonan, Rizal</t>
  </si>
  <si>
    <t>09062679564</t>
  </si>
  <si>
    <t>Blk 9 Lot 19 Our Lady Of Fathima St., Rosario Complex, Brgy Rosario, San Pedro , Laguna</t>
  </si>
  <si>
    <t>09087460898</t>
  </si>
  <si>
    <t>GAJO</t>
  </si>
  <si>
    <t>ELMAN</t>
  </si>
  <si>
    <t>ABAJA</t>
  </si>
  <si>
    <t>15 Wild Cat Village, C5 Road, Ususan, Taguing Cityy</t>
  </si>
  <si>
    <t>09273924777</t>
  </si>
  <si>
    <t>MARINTES</t>
  </si>
  <si>
    <t>MANUGUID</t>
  </si>
  <si>
    <t>11 Sta. Isabel St., Sto. Rosario Village, Baritan, Malabon</t>
  </si>
  <si>
    <t>09562364729</t>
  </si>
  <si>
    <t>PIMENTEL</t>
  </si>
  <si>
    <t>MARGIE</t>
  </si>
  <si>
    <t>12-C 8Th Avenue, Brgy Socorro, Murphy, Cubao, Quezon City</t>
  </si>
  <si>
    <t>09195144237</t>
  </si>
  <si>
    <t>JOHN ERIK</t>
  </si>
  <si>
    <t>MAYORGA</t>
  </si>
  <si>
    <t>Inicbulan, Bauan, Batangas</t>
  </si>
  <si>
    <t>09476448754</t>
  </si>
  <si>
    <t>RIVERA</t>
  </si>
  <si>
    <t>EDMUND</t>
  </si>
  <si>
    <t>MALBARTINO</t>
  </si>
  <si>
    <t>Blk 9 Lot 9, Victory Ville 2, Llano, Caloocan City</t>
  </si>
  <si>
    <t>09771244007</t>
  </si>
  <si>
    <t>RUARO</t>
  </si>
  <si>
    <t>ANN MARGARETH</t>
  </si>
  <si>
    <t>PERGIS</t>
  </si>
  <si>
    <t>Blk 4 Ot Lot 13 Phase B, Francisco Homes, Brgy., Mulawin, Sjdm, Bulacan</t>
  </si>
  <si>
    <t>09208087722</t>
  </si>
  <si>
    <t>IT Help Desk SAS, ITSD</t>
  </si>
  <si>
    <t>CABILES</t>
  </si>
  <si>
    <t>FIDEL</t>
  </si>
  <si>
    <t>VALEROS</t>
  </si>
  <si>
    <t>918 T2 Grace Residences, Taguig City</t>
  </si>
  <si>
    <t>09667606054</t>
  </si>
  <si>
    <t>IT Help Desk, ITSD</t>
  </si>
  <si>
    <t>12 Rizal St. Bagatabao, Bagtimanoc, Catanduanes</t>
  </si>
  <si>
    <t>09484823031</t>
  </si>
  <si>
    <t>GABRIEL</t>
  </si>
  <si>
    <t>ROSALYN</t>
  </si>
  <si>
    <t>#09 Pulong Buli, Sto. Domingo, Nueva Ecija</t>
  </si>
  <si>
    <t>09991596512</t>
  </si>
  <si>
    <t>MANANON</t>
  </si>
  <si>
    <t>ALBERT</t>
  </si>
  <si>
    <t>63 Bautista St., Afpovai, Taguig City</t>
  </si>
  <si>
    <t>09192528640</t>
  </si>
  <si>
    <t>SECULLES</t>
  </si>
  <si>
    <t>LILIBETH</t>
  </si>
  <si>
    <t>VERANO</t>
  </si>
  <si>
    <t>Lot 230 East Bank Road, Soldiers Village, Sta. Lucia, Pasig City</t>
  </si>
  <si>
    <t>ITPMD (CPSM/ISSD)</t>
  </si>
  <si>
    <t>SALAYA</t>
  </si>
  <si>
    <t>MA ANGELA</t>
  </si>
  <si>
    <t>ISSD</t>
  </si>
  <si>
    <t>NHARCISO JHOEL</t>
  </si>
  <si>
    <t>SULIT</t>
  </si>
  <si>
    <t>28 Victoria St., Vista Verde North, Caybiga, Caloocan City</t>
  </si>
  <si>
    <t>ONIL</t>
  </si>
  <si>
    <t>RELLON</t>
  </si>
  <si>
    <t>SUAYAN</t>
  </si>
  <si>
    <t>774 Oroqueta St., Dagupan Weste, City Of Tabuk (Capital), Kalinga</t>
  </si>
  <si>
    <t>09667106520</t>
  </si>
  <si>
    <t>ALEX ACE</t>
  </si>
  <si>
    <t>CABAUATAN</t>
  </si>
  <si>
    <t>BILLOSO</t>
  </si>
  <si>
    <t>AL ANTHONY</t>
  </si>
  <si>
    <t>CONSOLACION</t>
  </si>
  <si>
    <t>09052721048</t>
  </si>
  <si>
    <t>JUANATA</t>
  </si>
  <si>
    <t>MICAELA</t>
  </si>
  <si>
    <t>SIAO</t>
  </si>
  <si>
    <t>PANSOY</t>
  </si>
  <si>
    <t>LEX LEVIN</t>
  </si>
  <si>
    <t>JUEGOS</t>
  </si>
  <si>
    <t>Purok 1 Basketball Court, Tambacan, Iligan City, Lanao Del Norte</t>
  </si>
  <si>
    <t>09300972268</t>
  </si>
  <si>
    <t>CUETO</t>
  </si>
  <si>
    <t>NOEME</t>
  </si>
  <si>
    <t>MAMON</t>
  </si>
  <si>
    <t>B8 L6 Phase 5, Sta Barbara Villas I, Brgy. Silangan, San Mateo, Rizal</t>
  </si>
  <si>
    <t>09998498017</t>
  </si>
  <si>
    <t>DACIR</t>
  </si>
  <si>
    <t>DANIELLE ZCHEA</t>
  </si>
  <si>
    <t>GACUTE</t>
  </si>
  <si>
    <t>NABONG</t>
  </si>
  <si>
    <t>WENDA GREEN LINDON</t>
  </si>
  <si>
    <t>TOMAS</t>
  </si>
  <si>
    <t>OÑA</t>
  </si>
  <si>
    <t>ERNANI</t>
  </si>
  <si>
    <t>WILSON</t>
  </si>
  <si>
    <t>57 Ramon Jabson St., Brgy. Bambang, Pasig Ciity</t>
  </si>
  <si>
    <t>09085760951</t>
  </si>
  <si>
    <t>SOCORRO</t>
  </si>
  <si>
    <t>GIBSON</t>
  </si>
  <si>
    <t>TOBIAS</t>
  </si>
  <si>
    <t>WSAS, ISSD</t>
  </si>
  <si>
    <t>Blk 16 Lot 22 Phase E-1, Brgy Mulawin, Francisco Homes Subd., Sjdm, Bulacan</t>
  </si>
  <si>
    <t>09761234773</t>
  </si>
  <si>
    <t>TORRANO</t>
  </si>
  <si>
    <t>LITO NORBERTO</t>
  </si>
  <si>
    <t>LACUTAB</t>
  </si>
  <si>
    <t>CSIRS, ISSD</t>
  </si>
  <si>
    <t>VILLAVICENCIO</t>
  </si>
  <si>
    <t>JOYLYN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</si>
  <si>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</si>
  <si>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09172448101</t>
  </si>
  <si>
    <t>ITSS, ISSD</t>
  </si>
  <si>
    <t>MORALES</t>
  </si>
  <si>
    <t>MARIA MARGARITA ROSARIO</t>
  </si>
  <si>
    <t>34 Sto. Rosario St., Republic Avenue, Brgy. Holy Spirit, Quezon City</t>
  </si>
  <si>
    <t>09184177959</t>
  </si>
  <si>
    <t>ISCS, ISSD</t>
  </si>
  <si>
    <t>MAY ANN</t>
  </si>
  <si>
    <t>CABARDO</t>
  </si>
  <si>
    <t>41 Xavierville Ave., Loyola Heights, Quezon City</t>
  </si>
  <si>
    <t>09983139408</t>
  </si>
  <si>
    <t>ALFABETO</t>
  </si>
  <si>
    <t>LOUIE VAN</t>
  </si>
  <si>
    <t>ANASTACIO</t>
  </si>
  <si>
    <t>188 Padre Gomez, Bagumbayan, Bocaue, Bulacan</t>
  </si>
  <si>
    <t>PTD</t>
  </si>
  <si>
    <t>SHIRLEY MAE</t>
  </si>
  <si>
    <t>2384 Stve St., Brgy. Commonwealth, Quezon City</t>
  </si>
  <si>
    <t>09175431978</t>
  </si>
  <si>
    <t>BALONGOY</t>
  </si>
  <si>
    <t>RONALYN</t>
  </si>
  <si>
    <t>SOLDEVILLA</t>
  </si>
  <si>
    <t>Lot 4 Blk 15, Gumamela St., New Lower Bicutan, Taguig City</t>
  </si>
  <si>
    <t>09209759872</t>
  </si>
  <si>
    <t>GOYENA</t>
  </si>
  <si>
    <t>MARLON</t>
  </si>
  <si>
    <t>ARGENIO</t>
  </si>
  <si>
    <t>Purok 4, Brgy. Baybay, Catarman, Northern Samar</t>
  </si>
  <si>
    <t>09291418012</t>
  </si>
  <si>
    <t>FATHIMA</t>
  </si>
  <si>
    <t>#251 Telbang, Bayambang, Pangasinan/10H 4Th Avenue, Cubao, Quezon City</t>
  </si>
  <si>
    <t>09772670701</t>
  </si>
  <si>
    <t>PRS, PTD</t>
  </si>
  <si>
    <t>VALLE</t>
  </si>
  <si>
    <t>MARK LAWRENCE</t>
  </si>
  <si>
    <t>ABENOJAR</t>
  </si>
  <si>
    <t>09391871290</t>
  </si>
  <si>
    <t>OLOJAN</t>
  </si>
  <si>
    <t>CHRISTOPHER BRIAN</t>
  </si>
  <si>
    <t>ASTUDILLO</t>
  </si>
  <si>
    <t>GUNNACAO</t>
  </si>
  <si>
    <t>LOVELYN KATE</t>
  </si>
  <si>
    <t>LEGMAN</t>
  </si>
  <si>
    <t>0050 Purok 04, Cupis, Conner, Apayao</t>
  </si>
  <si>
    <t>09096776528</t>
  </si>
  <si>
    <t>OREVILLO</t>
  </si>
  <si>
    <t>CARLO JOHN</t>
  </si>
  <si>
    <t>35 Gualdalupe St., Morning Breeze Subd., Caloocan City</t>
  </si>
  <si>
    <t>09064197171</t>
  </si>
  <si>
    <t>ARGETE</t>
  </si>
  <si>
    <t>GRACIANO</t>
  </si>
  <si>
    <t>ROSILLO</t>
  </si>
  <si>
    <t>6 Angel Townhomes, Ramos St. Extension, Brgy. Tandang Sora, Quezon City</t>
  </si>
  <si>
    <t>09176258785</t>
  </si>
  <si>
    <t>CALIPES</t>
  </si>
  <si>
    <t xml:space="preserve">JEWELYN </t>
  </si>
  <si>
    <t>MACATIGAS</t>
  </si>
  <si>
    <t>TSS, PTD</t>
  </si>
  <si>
    <t>AGUSTIN</t>
  </si>
  <si>
    <t>RIZELLE</t>
  </si>
  <si>
    <t>INALDO</t>
  </si>
  <si>
    <t>78 Zorra Street, Brgy Paltok, Quezon City</t>
  </si>
  <si>
    <t>09163590111</t>
  </si>
  <si>
    <t>YAGO</t>
  </si>
  <si>
    <t>SHARMEN</t>
  </si>
  <si>
    <t>BALLEBAR</t>
  </si>
  <si>
    <t>068 Sitio Tinatarom, Zone 1, San Miguel, Bula, Camarines Sur</t>
  </si>
  <si>
    <t>09389549601</t>
  </si>
  <si>
    <t>DOMINGO</t>
  </si>
  <si>
    <t>KARL LOUIE</t>
  </si>
  <si>
    <t>CARDENAS</t>
  </si>
  <si>
    <t>Vivaldi Residences, 628 Edsa Cor. Auora Blvd., Cubao, Quezon City</t>
  </si>
  <si>
    <t>09054214234</t>
  </si>
  <si>
    <t>PAULO</t>
  </si>
  <si>
    <t>RUBY</t>
  </si>
  <si>
    <t>BERCASIO</t>
  </si>
  <si>
    <t>MAGBANUA</t>
  </si>
  <si>
    <t>RACHELLE</t>
  </si>
  <si>
    <t>5-P Road 7, First West Crame, San Juan City</t>
  </si>
  <si>
    <t>09128184403</t>
  </si>
  <si>
    <t>TS, PTD</t>
  </si>
  <si>
    <t>ARIAS</t>
  </si>
  <si>
    <t xml:space="preserve">AUDEN </t>
  </si>
  <si>
    <t>GOZUM</t>
  </si>
  <si>
    <t>ARROYO</t>
  </si>
  <si>
    <t>REMOLADO</t>
  </si>
  <si>
    <t>JORDA</t>
  </si>
  <si>
    <t>ROUMELLIA</t>
  </si>
  <si>
    <t>ROBLES</t>
  </si>
  <si>
    <t>Blk 10 Lot 27 Bonifacio St., Phase 3, Soldiers Hill 4, Molino 6, Bacoor, Cavite</t>
  </si>
  <si>
    <t>09156639858</t>
  </si>
  <si>
    <t>SHARMAINE</t>
  </si>
  <si>
    <t>Blk 1 Lot 126 Phase 1F Sub Urban San Jose Rodriguez Rizal</t>
  </si>
  <si>
    <t>SAMPANA</t>
  </si>
  <si>
    <t>PHILLIP</t>
  </si>
  <si>
    <t>TUPAS</t>
  </si>
  <si>
    <t>DMD</t>
  </si>
  <si>
    <t>JOAQUIN</t>
  </si>
  <si>
    <t>ROMEO</t>
  </si>
  <si>
    <t>LISING</t>
  </si>
  <si>
    <t>Unit 203 Mb21, Diego Silang Vill, Ususa, Taguig City</t>
  </si>
  <si>
    <t>09088994325</t>
  </si>
  <si>
    <t>DMD/PRO13</t>
  </si>
  <si>
    <t>TARUN</t>
  </si>
  <si>
    <t>BELTRAN</t>
  </si>
  <si>
    <t>110B. Harrison Street, Vermont Park, Mayamot, Antipolo City, Rizal</t>
  </si>
  <si>
    <t>09178359985</t>
  </si>
  <si>
    <t>AYUPAN</t>
  </si>
  <si>
    <t>LAURENCE</t>
  </si>
  <si>
    <t>NOBLEZA</t>
  </si>
  <si>
    <t>Diclum, Tobias Fornier, Antique</t>
  </si>
  <si>
    <t>09283948965</t>
  </si>
  <si>
    <t>194 Capt. I. Abella St., Poblacion 4-C, Imus City, Cavite</t>
  </si>
  <si>
    <t>09175032721</t>
  </si>
  <si>
    <t>BERSALES</t>
  </si>
  <si>
    <t>ARJAY</t>
  </si>
  <si>
    <t>PAGUIA</t>
  </si>
  <si>
    <t>JESSICA</t>
  </si>
  <si>
    <t>MESA</t>
  </si>
  <si>
    <t>JOHN RICK</t>
  </si>
  <si>
    <t>ELUMBA</t>
  </si>
  <si>
    <t>MULANO</t>
  </si>
  <si>
    <t>MARY MICHELLE</t>
  </si>
  <si>
    <t>FULGENCIO</t>
  </si>
  <si>
    <t>OLIVAR</t>
  </si>
  <si>
    <t>CHARLENE</t>
  </si>
  <si>
    <t>LAURESTA</t>
  </si>
  <si>
    <t>RAYMUNDO</t>
  </si>
  <si>
    <t>DANIEL JOSHUA</t>
  </si>
  <si>
    <t>BALMEO</t>
  </si>
  <si>
    <t>33-B 10Th Avenue, Brgy. Socorro, Quezon City</t>
  </si>
  <si>
    <t>09064308124</t>
  </si>
  <si>
    <t>MARCELINO</t>
  </si>
  <si>
    <t>VIERNES</t>
  </si>
  <si>
    <t>VILLAS</t>
  </si>
  <si>
    <t>JOHN MICHAEL</t>
  </si>
  <si>
    <t>DAS, DMD</t>
  </si>
  <si>
    <t>CHLOE ANN</t>
  </si>
  <si>
    <t>REBADAJO</t>
  </si>
  <si>
    <t>MISCHELL</t>
  </si>
  <si>
    <t>ALOR</t>
  </si>
  <si>
    <t>Blk 2 Lot 6, Urban Bliss, Barangka, Marikina City</t>
  </si>
  <si>
    <t>09153786843</t>
  </si>
  <si>
    <t>CLARISS ANN</t>
  </si>
  <si>
    <t>VALLESFINO</t>
  </si>
  <si>
    <t>5-I 20Th Ave, Murphy, Brgy. San Roque Qc/2538 Marcons Ave., Phase 2 Dau, Mabalacat, Pampanga</t>
  </si>
  <si>
    <t>09171522268</t>
  </si>
  <si>
    <t>PINEDA</t>
  </si>
  <si>
    <t xml:space="preserve">PRECIOUS PEARL </t>
  </si>
  <si>
    <t>PACTAO</t>
  </si>
  <si>
    <t>DPS, DMD</t>
  </si>
  <si>
    <t>VIRGINIA</t>
  </si>
  <si>
    <t>3B 2Nd Camarilla St., Murphy, Quezon City</t>
  </si>
  <si>
    <t>09063299398</t>
  </si>
  <si>
    <t>ALMADEN</t>
  </si>
  <si>
    <t>CABACANG</t>
  </si>
  <si>
    <t>B3 L5 Dama De Noche St. Salinas 2, Camella Homes,  Bacoor, Cavite</t>
  </si>
  <si>
    <t>09497466192</t>
  </si>
  <si>
    <t>ROSELYN</t>
  </si>
  <si>
    <t>CARTAGENA</t>
  </si>
  <si>
    <t>16-B Buenmar St., Santolan, Pasig City</t>
  </si>
  <si>
    <t>09171521018</t>
  </si>
  <si>
    <t>JOHN VINCENT</t>
  </si>
  <si>
    <t xml:space="preserve">MA VICTORIA </t>
  </si>
  <si>
    <t>DONES</t>
  </si>
  <si>
    <t>001 Estanislao St., Brgy. Ibayo, Tipas, Taguig City</t>
  </si>
  <si>
    <t>09153161511</t>
  </si>
  <si>
    <t>PASTOR</t>
  </si>
  <si>
    <t>SYBEL ZENA</t>
  </si>
  <si>
    <t>RAMIRA</t>
  </si>
  <si>
    <t>WENCESLAO</t>
  </si>
  <si>
    <t>5-A St.Paul St., Remerville Subd. Baesa, Quezon City</t>
  </si>
  <si>
    <t>09560412511</t>
  </si>
  <si>
    <t>RECUENCO</t>
  </si>
  <si>
    <t>GEMMA</t>
  </si>
  <si>
    <t>CLEOFE</t>
  </si>
  <si>
    <t>Blk13 Lot 38 Phase 1, Norhtgate Exec., Brgy. Sto. Cristo, Sjdm, Bulacan</t>
  </si>
  <si>
    <t>09081172342</t>
  </si>
  <si>
    <t>VILLAMIN</t>
  </si>
  <si>
    <t>DOÑA WENNIE</t>
  </si>
  <si>
    <t>Blk 5 Lot 29 Phase 2, Northgate Park Exec. Homes, Brgy. Sto. Cristo, Sjdm, Bulacan</t>
  </si>
  <si>
    <t>09555137893</t>
  </si>
  <si>
    <t>DWBIS, DMD</t>
  </si>
  <si>
    <t>DAVID</t>
  </si>
  <si>
    <t xml:space="preserve">EDUARDO </t>
  </si>
  <si>
    <t>BALATIAN</t>
  </si>
  <si>
    <t>BALUCANAG</t>
  </si>
  <si>
    <t>GRACE</t>
  </si>
  <si>
    <t>EBARSABAL</t>
  </si>
  <si>
    <t>2333 Mangga Extn., Velasco Ave., Napico, Manggahan, Pasig</t>
  </si>
  <si>
    <t>09178758883</t>
  </si>
  <si>
    <t>ONGKINGCO</t>
  </si>
  <si>
    <t>RAMIL</t>
  </si>
  <si>
    <t>MADRID</t>
  </si>
  <si>
    <t>MADAYAG</t>
  </si>
  <si>
    <t>IBARRA</t>
  </si>
  <si>
    <t>Blk 28 Lot , 29 Sunflower St., Liora Homes Subd., Pascam 2, General Trias, Cavite</t>
  </si>
  <si>
    <t>09085635536</t>
  </si>
  <si>
    <t>LIRIO</t>
  </si>
  <si>
    <t>Recapitulation</t>
  </si>
  <si>
    <t>ITMS HQS</t>
  </si>
  <si>
    <t>Detailed to Other Units/Offices 
(Crame-Based)</t>
  </si>
  <si>
    <t>Detailed to Other Units/Offices  
(Outside Crame/Other Agency)</t>
  </si>
  <si>
    <t>Schooling/AWOL/
SuspendedNDS</t>
  </si>
  <si>
    <t>TOTAL</t>
  </si>
  <si>
    <t>P C O</t>
  </si>
  <si>
    <t>P N C O</t>
  </si>
  <si>
    <t xml:space="preserve">N U P </t>
  </si>
  <si>
    <t>GRAND TOTAL</t>
  </si>
  <si>
    <t>Prepared by:</t>
  </si>
  <si>
    <t>Reviewed by:</t>
  </si>
  <si>
    <t>Noted by:</t>
  </si>
  <si>
    <t>Ma. Felirita S Mistica</t>
  </si>
  <si>
    <t>ROSE ANNE R SUCGANG</t>
  </si>
  <si>
    <t>VICTORIO M DELA PEÑA, JR</t>
  </si>
  <si>
    <t>Non-Uniformed Personnel</t>
  </si>
  <si>
    <t>Police Lieutenant Colonel</t>
  </si>
  <si>
    <t>Police Colonel</t>
  </si>
  <si>
    <t>Personnel Staff</t>
  </si>
  <si>
    <t>Asst. Chief/Chief, Personnel Sec., ARMD</t>
  </si>
  <si>
    <t>Chief, ARMD</t>
  </si>
  <si>
    <t>D-STAFF</t>
  </si>
  <si>
    <t>NSUs</t>
  </si>
  <si>
    <t>TOTAL
Crame Based</t>
  </si>
  <si>
    <t>Detailed Outside Crame/Other Agency</t>
  </si>
  <si>
    <t>TOTAL
Outside
Crame/
Other Agency</t>
  </si>
  <si>
    <t>TOTAL
Detailed 
Personnel</t>
  </si>
  <si>
    <t>Disposition of Personnel</t>
  </si>
  <si>
    <t>ITPMD (SAF)</t>
  </si>
  <si>
    <t>ABANILLA</t>
  </si>
  <si>
    <t>FREDDIE</t>
  </si>
  <si>
    <t>Fb-016 Tabangaoen Balili La Trinidad Benguet</t>
  </si>
  <si>
    <t>09480775084</t>
  </si>
  <si>
    <t>ITPMD (AVSEGROUP)</t>
  </si>
  <si>
    <t>VELASCO</t>
  </si>
  <si>
    <t>EDGAR SEBASTIAN</t>
  </si>
  <si>
    <t>1688-E Antonio Rivera St., Brgy 237, Tondo, Manila</t>
  </si>
  <si>
    <t>09654058610</t>
  </si>
  <si>
    <t>ITPMD (STF-DPAGS-NL)</t>
  </si>
  <si>
    <t>EIFEL</t>
  </si>
  <si>
    <t>BELEY</t>
  </si>
  <si>
    <t>#32 Del Pilar, Sta. Rosa, Nueva Ecija</t>
  </si>
  <si>
    <t>09254783629</t>
  </si>
  <si>
    <t>ITPMD (STF-DPAGS-SL)</t>
  </si>
  <si>
    <t>BALON</t>
  </si>
  <si>
    <t>PHIL JEURGEN</t>
  </si>
  <si>
    <t>ILAN</t>
  </si>
  <si>
    <t>38 Vinzons Avenue, Brgy Ii (Pob), Vinzons, Camarines Norte</t>
  </si>
  <si>
    <t>09465931945</t>
  </si>
  <si>
    <t>FLOMARIE JOHN</t>
  </si>
  <si>
    <t>GAVERIA</t>
  </si>
  <si>
    <t>Blk 9, Lott 9, Molave St. Hillsview Subd., Mayao Crossing, Lucena City</t>
  </si>
  <si>
    <t>09531143712</t>
  </si>
  <si>
    <t>ITPMD (STF-DPAGS-WM)</t>
  </si>
  <si>
    <t>ONDONA</t>
  </si>
  <si>
    <t>JOHN  HOPE</t>
  </si>
  <si>
    <t>MILLAN</t>
  </si>
  <si>
    <t>Purok 7, Lao Proper, Plaridel, Misamis Occidental</t>
  </si>
  <si>
    <t>09488790389</t>
  </si>
  <si>
    <t>ITPMD (STF-DPAGS-EM/PRO11)</t>
  </si>
  <si>
    <t>JAMES RYAN</t>
  </si>
  <si>
    <t>GAMINO</t>
  </si>
  <si>
    <t>Phase 8, Blk 7, Lot 30, Deca Homes, Tacunan, Davao City, Davao Del Sur, 8000</t>
  </si>
  <si>
    <t>09157333795</t>
  </si>
  <si>
    <t>ITPMD (STF-DPAGS-EM)</t>
  </si>
  <si>
    <t>LABIAGA</t>
  </si>
  <si>
    <t>PERLIE</t>
  </si>
  <si>
    <t>ELOPRE</t>
  </si>
  <si>
    <t>GRAJIDO</t>
  </si>
  <si>
    <t>Purok 2, Bagumbayan, Brgy., Nuro, Maguindanao</t>
  </si>
  <si>
    <t>09051865513</t>
  </si>
  <si>
    <t>ITPMD (NCRPO)</t>
  </si>
  <si>
    <t>AGUS</t>
  </si>
  <si>
    <t>CARCIOLO</t>
  </si>
  <si>
    <t>CAJANDAB</t>
  </si>
  <si>
    <t>Cainta, Rizal</t>
  </si>
  <si>
    <t>09171702550</t>
  </si>
  <si>
    <t>ITPMD (NCRPO/SAF)</t>
  </si>
  <si>
    <t>ORNIDO</t>
  </si>
  <si>
    <t>JAN MICHAEL</t>
  </si>
  <si>
    <t>PONTILA</t>
  </si>
  <si>
    <t>Lot #19, Carigma Ext. Road 2, Brgy. San Jose (Pob.), City Of Antipolo, Rizal</t>
  </si>
  <si>
    <t>09196014222</t>
  </si>
  <si>
    <t>RANCE</t>
  </si>
  <si>
    <t>LEONARDO</t>
  </si>
  <si>
    <t>ESPINOSA</t>
  </si>
  <si>
    <t>11-B Saint Andrew St/. Don Bosco Vill, Paranaque City</t>
  </si>
  <si>
    <t>09202362202</t>
  </si>
  <si>
    <t>CARBONELL</t>
  </si>
  <si>
    <t>JAKE</t>
  </si>
  <si>
    <t>GASPAR</t>
  </si>
  <si>
    <t>Blk 71, Cinco de Junio St. Brgy. 195, Pasay City</t>
  </si>
  <si>
    <t>09760424405</t>
  </si>
  <si>
    <t>MANCERA</t>
  </si>
  <si>
    <t>ARMENTA</t>
  </si>
  <si>
    <t>Purok 5, Cotmon., Camalig, Albay</t>
  </si>
  <si>
    <t>09480912817</t>
  </si>
  <si>
    <t>ITPMD (QCPD)</t>
  </si>
  <si>
    <t>DOMINGUIANO</t>
  </si>
  <si>
    <t xml:space="preserve">JAY </t>
  </si>
  <si>
    <t>ESTOYA</t>
  </si>
  <si>
    <t>Blk 35, #25 Sitio Maligaya, San Isidro, Antipolo City</t>
  </si>
  <si>
    <t>09070664199</t>
  </si>
  <si>
    <t>MALANI</t>
  </si>
  <si>
    <t>JOAN</t>
  </si>
  <si>
    <t>MAT-AN</t>
  </si>
  <si>
    <t>B5L13 Sammar1 Luzon Avenure, Old Balara, Quezon City</t>
  </si>
  <si>
    <t>09777627499</t>
  </si>
  <si>
    <t>felvin</t>
  </si>
  <si>
    <t>NAZA</t>
  </si>
  <si>
    <t>CLAUDINE</t>
  </si>
  <si>
    <t>PALATTAO</t>
  </si>
  <si>
    <t>08 Francisco St., Krus Na Ligas, Quezon City</t>
  </si>
  <si>
    <t>09653410362</t>
  </si>
  <si>
    <t>ITPMD (MPD)</t>
  </si>
  <si>
    <t>GALPO</t>
  </si>
  <si>
    <t>BERMUDO</t>
  </si>
  <si>
    <t>1283 Int 26, Tambunting St.. Sta. Cruz, Manila</t>
  </si>
  <si>
    <t>09568091075</t>
  </si>
  <si>
    <t>ELECCION</t>
  </si>
  <si>
    <t>CHRISTOFFERSON</t>
  </si>
  <si>
    <t>CURAMING</t>
  </si>
  <si>
    <t>615 Everlasting St., La Colina Subd, Mambugan, Antipolo City, Rizal</t>
  </si>
  <si>
    <t>09175461314</t>
  </si>
  <si>
    <t>ITPMD (EPD)</t>
  </si>
  <si>
    <t>CANAPI</t>
  </si>
  <si>
    <t>RODALYN</t>
  </si>
  <si>
    <t>ARGUELLES</t>
  </si>
  <si>
    <t>Blk 12 Lot 33, Hamburg Street, Mercedes Executive Village, San Andres (Pob), Cainta, Rizal</t>
  </si>
  <si>
    <t>09202147242</t>
  </si>
  <si>
    <t>ITPMD (NPD)</t>
  </si>
  <si>
    <t>PANAGA</t>
  </si>
  <si>
    <t>MOHAMED</t>
  </si>
  <si>
    <t>TALAUE</t>
  </si>
  <si>
    <t>Phae 1  Blk 12 Lot 29,  E.R. San Isidro, Rodriguez, Rizal</t>
  </si>
  <si>
    <t>09061911298</t>
  </si>
  <si>
    <t>MARQUEZ</t>
  </si>
  <si>
    <t>1826 B Mindanao Ext., Sampaloc, Barangay 570, Manila, Metro Manila, Ncr - National Capital Region</t>
  </si>
  <si>
    <t>ITPMD (SPD)</t>
  </si>
  <si>
    <t>CABELIS</t>
  </si>
  <si>
    <t>ADENA</t>
  </si>
  <si>
    <t>201 B Makati Homes,  Milkweed St., Rizal, Makati City</t>
  </si>
  <si>
    <t>09187436607</t>
  </si>
  <si>
    <t>ITPMD (PRO1)</t>
  </si>
  <si>
    <t>BANTIC</t>
  </si>
  <si>
    <t>PULINNEK</t>
  </si>
  <si>
    <t>#20 Alley 1, Project 6, Quezon City</t>
  </si>
  <si>
    <t>09169723179</t>
  </si>
  <si>
    <t>LAZO</t>
  </si>
  <si>
    <t>JANUS CESAR</t>
  </si>
  <si>
    <t>RUIZAN</t>
  </si>
  <si>
    <t>09759740417</t>
  </si>
  <si>
    <t>PACULAN</t>
  </si>
  <si>
    <t>NIDUAZA</t>
  </si>
  <si>
    <t>Pagdalagan Sur, Bauang, La Union</t>
  </si>
  <si>
    <t>09950053410</t>
  </si>
  <si>
    <t>SUPIL</t>
  </si>
  <si>
    <t>HARLIE</t>
  </si>
  <si>
    <t>MUTIA</t>
  </si>
  <si>
    <t>#34 Puelay, Caranglaan, Dagupan City</t>
  </si>
  <si>
    <t>09955283828</t>
  </si>
  <si>
    <t>RONALD</t>
  </si>
  <si>
    <t>BATIS</t>
  </si>
  <si>
    <t>Namboongan, Sto. Tomas, La Union</t>
  </si>
  <si>
    <t>09459625423</t>
  </si>
  <si>
    <t>QUIAÑO</t>
  </si>
  <si>
    <t>CRYSTAL JEZZELLE</t>
  </si>
  <si>
    <t>CARIASO</t>
  </si>
  <si>
    <t>#055 Guinabang, Bacnotan, La Union</t>
  </si>
  <si>
    <t>09672830353</t>
  </si>
  <si>
    <t>AREOLA</t>
  </si>
  <si>
    <t>MARJORIE</t>
  </si>
  <si>
    <t>BALZA</t>
  </si>
  <si>
    <t>30 Purok 4, Bulbulala, Balaoan, La Union</t>
  </si>
  <si>
    <t>09388027632</t>
  </si>
  <si>
    <t>LAMES</t>
  </si>
  <si>
    <t>MAYJEAN</t>
  </si>
  <si>
    <t>GAGET</t>
  </si>
  <si>
    <t>Napoatnay, Santo Rosario, Sigay, Ilocos Sur</t>
  </si>
  <si>
    <t>09102828838</t>
  </si>
  <si>
    <t>ITPMD (PRO2)</t>
  </si>
  <si>
    <t>BACCAY</t>
  </si>
  <si>
    <t>IQUIN</t>
  </si>
  <si>
    <t>Blk2, Lot19, Orchid St., Camella Townhomes, Talon 3, Las Piñas City</t>
  </si>
  <si>
    <t>09162528676</t>
  </si>
  <si>
    <t>BABATE</t>
  </si>
  <si>
    <t>JAN NOEL</t>
  </si>
  <si>
    <t>ADUCA</t>
  </si>
  <si>
    <t>Cacaligan, Bantay</t>
  </si>
  <si>
    <t>09291722911</t>
  </si>
  <si>
    <t>MORA</t>
  </si>
  <si>
    <t>CHARMAINE JOY</t>
  </si>
  <si>
    <t>TAMAYO</t>
  </si>
  <si>
    <t>375 F. San Diego Viente Reales, Valenzuela</t>
  </si>
  <si>
    <t>09616892969</t>
  </si>
  <si>
    <t>BIRUNG</t>
  </si>
  <si>
    <t>PABLO</t>
  </si>
  <si>
    <t>LUGUTAN</t>
  </si>
  <si>
    <t>207 Provincial Road, Cataggaman Nuevo, Tuguegarao City (Capital), Cagayan, Region Ii (Cagayan Valley)</t>
  </si>
  <si>
    <t>CHARLIE</t>
  </si>
  <si>
    <t>MEMAN</t>
  </si>
  <si>
    <t>205 Bonifacio Street, Centro Northwest, Solana, Cagayan</t>
  </si>
  <si>
    <t>MILLARE</t>
  </si>
  <si>
    <t>OLIVIA</t>
  </si>
  <si>
    <t>ANTONIO</t>
  </si>
  <si>
    <t>#355 Antonios St., Carig Sur,Tuguegarao City, Cagayan</t>
  </si>
  <si>
    <t>09274069937</t>
  </si>
  <si>
    <t>JOHNY FER</t>
  </si>
  <si>
    <t>MABORRANG</t>
  </si>
  <si>
    <t>Bauan West, Solana, Cagayan</t>
  </si>
  <si>
    <t>09294575385</t>
  </si>
  <si>
    <t>TUMBALI</t>
  </si>
  <si>
    <t>JAYANN</t>
  </si>
  <si>
    <t>PASICOLAN</t>
  </si>
  <si>
    <t>189 Luquilu, Cabagan, Isabela</t>
  </si>
  <si>
    <t>09356745542</t>
  </si>
  <si>
    <t>BUCAG</t>
  </si>
  <si>
    <t>TAGUBA</t>
  </si>
  <si>
    <t>San Isidro West, Santa Maria, Isabela</t>
  </si>
  <si>
    <t>09357196788</t>
  </si>
  <si>
    <t>LABANG</t>
  </si>
  <si>
    <t>ZIPAGAN</t>
  </si>
  <si>
    <t>Purok 2, Brgy. Garita, Cabagan, Isabela</t>
  </si>
  <si>
    <t>09278377548</t>
  </si>
  <si>
    <t>GUZMAN</t>
  </si>
  <si>
    <t>TUMOLVA</t>
  </si>
  <si>
    <t>0135 Purok 5, San Luis, Cauayan City, Isabela</t>
  </si>
  <si>
    <t>09357617159</t>
  </si>
  <si>
    <t>ITPMD (PRO3)</t>
  </si>
  <si>
    <t>ANDRES</t>
  </si>
  <si>
    <t>JOSE WILSON</t>
  </si>
  <si>
    <t>HACIÑAS</t>
  </si>
  <si>
    <t>B1 L6 Tropics 3 Filinvest East, San Isidro, Cainta</t>
  </si>
  <si>
    <t>09178217177</t>
  </si>
  <si>
    <t>RAMIREZ</t>
  </si>
  <si>
    <t>GRAZA</t>
  </si>
  <si>
    <t>Nunez St., Brgy. Magsaysay, Norte, Cabanatuan City</t>
  </si>
  <si>
    <t>09171458893</t>
  </si>
  <si>
    <t>BANDULA</t>
  </si>
  <si>
    <t>MARIA GERLYINES</t>
  </si>
  <si>
    <t>CABRERA</t>
  </si>
  <si>
    <t>596 Moras Dela Paz, Sto. Tomas, Pampanga</t>
  </si>
  <si>
    <t>09176299269</t>
  </si>
  <si>
    <t>MANALO</t>
  </si>
  <si>
    <t>CZARMAINE JOYCE</t>
  </si>
  <si>
    <t>183, Purok3, San Jose, Jaen, Nueva Ecija, Region Iii (Central Luzon)</t>
  </si>
  <si>
    <t>GUINTO</t>
  </si>
  <si>
    <t xml:space="preserve">EDITHA </t>
  </si>
  <si>
    <t>ANICIETE</t>
  </si>
  <si>
    <t>Brgy., Puti, Masantoll, Pampanga</t>
  </si>
  <si>
    <t>09272743516</t>
  </si>
  <si>
    <t>ACE</t>
  </si>
  <si>
    <t>PAGADUAN</t>
  </si>
  <si>
    <t>Purok 4, Brgy. Pitombayog, Mayantoc, Tarlac</t>
  </si>
  <si>
    <t>09175357189</t>
  </si>
  <si>
    <t>GRAGASIN</t>
  </si>
  <si>
    <t>JOEVEN</t>
  </si>
  <si>
    <t>TABAGO</t>
  </si>
  <si>
    <t>213 Prk Raniag, Nipaco, Paniqui, Tarlac</t>
  </si>
  <si>
    <t>09166484459</t>
  </si>
  <si>
    <t>JARANILLA</t>
  </si>
  <si>
    <t>MA ANNIE</t>
  </si>
  <si>
    <t>CAABAS</t>
  </si>
  <si>
    <t>Busuang Rd., Purok Pag-Asa, Brgy. Caramay, Roxas, Palawan)</t>
  </si>
  <si>
    <t>09392569023</t>
  </si>
  <si>
    <t>ITPMD (PRO4A)</t>
  </si>
  <si>
    <t>ALDRIN</t>
  </si>
  <si>
    <t>RACELIS</t>
  </si>
  <si>
    <t>Unit A2 Condo 11, Camp Crame, Quezon City</t>
  </si>
  <si>
    <t>REYNALD LOUIE</t>
  </si>
  <si>
    <t>SAN MIGUEL</t>
  </si>
  <si>
    <t>49 Balubarab St., Malinta, Valenzuela City</t>
  </si>
  <si>
    <t>09166190070</t>
  </si>
  <si>
    <t>DICHOSO</t>
  </si>
  <si>
    <t>KAYCEE</t>
  </si>
  <si>
    <t>PIZARRA</t>
  </si>
  <si>
    <t>Maragooc, Gloria, Oriental Mindoro</t>
  </si>
  <si>
    <t>09610655305</t>
  </si>
  <si>
    <t>ITPMD (PNPTI)</t>
  </si>
  <si>
    <t>BALLESTEROS</t>
  </si>
  <si>
    <t>MHARK</t>
  </si>
  <si>
    <t>VISTA</t>
  </si>
  <si>
    <t>114 Maguindanao St., Culiat, Quezon City</t>
  </si>
  <si>
    <t>09453021767</t>
  </si>
  <si>
    <t>SIBUNGA</t>
  </si>
  <si>
    <t>#2312 Adonis St., Pandacan, Manila</t>
  </si>
  <si>
    <t>09751407344</t>
  </si>
  <si>
    <t>ITPMD (PRO4B)</t>
  </si>
  <si>
    <t>AN</t>
  </si>
  <si>
    <t>SANTI RAYMUND</t>
  </si>
  <si>
    <t>NEVADO</t>
  </si>
  <si>
    <t>City Of Mandaluyong, Metro Manila, Ncr - National Capital Region</t>
  </si>
  <si>
    <t>09989870985</t>
  </si>
  <si>
    <t>HADJI OSOPH</t>
  </si>
  <si>
    <t xml:space="preserve">SOLAIMAN </t>
  </si>
  <si>
    <t xml:space="preserve"> MONESIT</t>
  </si>
  <si>
    <t>27 Libyan Street Muslim Compound, Culiat, Quezon City</t>
  </si>
  <si>
    <t>09278445446</t>
  </si>
  <si>
    <t>BALDERAMA</t>
  </si>
  <si>
    <t>HARLEY</t>
  </si>
  <si>
    <t>Calumangan, Bago City, Negros Occidenta</t>
  </si>
  <si>
    <t>09158801072</t>
  </si>
  <si>
    <t>GEMINIANO</t>
  </si>
  <si>
    <t>MATINING</t>
  </si>
  <si>
    <t>Marfrancisco, Pinamalayan, Oriental Mindoro</t>
  </si>
  <si>
    <t>09177704806</t>
  </si>
  <si>
    <t>CONDES</t>
  </si>
  <si>
    <t>MARY ROSE</t>
  </si>
  <si>
    <t>DEL CASTILLO</t>
  </si>
  <si>
    <t>Palayan St., Paclasan (Pob), Roxas, Oriental Mindoro</t>
  </si>
  <si>
    <t>09267720464</t>
  </si>
  <si>
    <t>NALING</t>
  </si>
  <si>
    <t>ANN JENETH</t>
  </si>
  <si>
    <t>Sitio Mahogany, Narra, Gloria, Oriental Mindoro</t>
  </si>
  <si>
    <t>09654069917</t>
  </si>
  <si>
    <t>ITPMD (Palawan PPO)</t>
  </si>
  <si>
    <t>NIEZ</t>
  </si>
  <si>
    <t>JORDAN</t>
  </si>
  <si>
    <t>ESTRELLA</t>
  </si>
  <si>
    <t>35 Sandoval, Brgy. Kalipay, Puerto Princesa, Palawan</t>
  </si>
  <si>
    <t>09632157809</t>
  </si>
  <si>
    <t>ITPMD (PRO5)</t>
  </si>
  <si>
    <t>CARRO</t>
  </si>
  <si>
    <t>2239 Zapote St., Camartin, Brgy 178, Caloocan City</t>
  </si>
  <si>
    <t>09053356477</t>
  </si>
  <si>
    <t>REGGIEMAR</t>
  </si>
  <si>
    <t>Purok 3, San Isidro, Talisay, Camarines Norte</t>
  </si>
  <si>
    <t>09282765273</t>
  </si>
  <si>
    <t>STA INES</t>
  </si>
  <si>
    <t>ERROL</t>
  </si>
  <si>
    <t>#55, Ibong Sapa (San Vicente Sur), Virac (Capital), Catanduanes</t>
  </si>
  <si>
    <t>09129323694</t>
  </si>
  <si>
    <t>ORANTE</t>
  </si>
  <si>
    <t xml:space="preserve">JOHN MICHEAL </t>
  </si>
  <si>
    <t>CEPRIA</t>
  </si>
  <si>
    <t>One  1, San Luis, Nabua, Camarines Sur</t>
  </si>
  <si>
    <t>09915561230</t>
  </si>
  <si>
    <t>DELEÑA</t>
  </si>
  <si>
    <t>CUELA</t>
  </si>
  <si>
    <t>Sampaguita St., Brgy Bitaogan Presentacion, Camarines Sur</t>
  </si>
  <si>
    <t>09101602221</t>
  </si>
  <si>
    <t>MIRANDA</t>
  </si>
  <si>
    <t>DONNAH</t>
  </si>
  <si>
    <t>ABRERA</t>
  </si>
  <si>
    <t>ITPMD (PRO6/RICTMD PRO6)</t>
  </si>
  <si>
    <t>PALPARA</t>
  </si>
  <si>
    <t>RANDY</t>
  </si>
  <si>
    <t>TAMBANILLO</t>
  </si>
  <si>
    <t>Labao Ext., Napindan, Taguig City</t>
  </si>
  <si>
    <t>09687441361</t>
  </si>
  <si>
    <t>FAMINIANO</t>
  </si>
  <si>
    <t>LAURENCE ANTHONY</t>
  </si>
  <si>
    <t>MARABE</t>
  </si>
  <si>
    <t>Asv Compound, Banga, Aklan</t>
  </si>
  <si>
    <t>09338228936</t>
  </si>
  <si>
    <t>ITPMD (PRO6)</t>
  </si>
  <si>
    <t>PRUGALIDAD</t>
  </si>
  <si>
    <t>GERALIE</t>
  </si>
  <si>
    <t>LOMILLO</t>
  </si>
  <si>
    <t>158 Evangelista Street, Purok Ii (Pob.), Pavia, Iloilo</t>
  </si>
  <si>
    <t>09460482000</t>
  </si>
  <si>
    <t>LOCOP</t>
  </si>
  <si>
    <t>HERRAEL KARL</t>
  </si>
  <si>
    <t>GIDOR</t>
  </si>
  <si>
    <t>Purok Consing, Daga, Cadiz City, Negros Occidental</t>
  </si>
  <si>
    <t>09956226339</t>
  </si>
  <si>
    <t>RECTO</t>
  </si>
  <si>
    <t xml:space="preserve">C.J. KLARK </t>
  </si>
  <si>
    <t>URETA</t>
  </si>
  <si>
    <t>Purok 1, Navitas, Numancia, Aklan</t>
  </si>
  <si>
    <t>09152268450</t>
  </si>
  <si>
    <t>ITPMD (NIR)</t>
  </si>
  <si>
    <t>QUINDO</t>
  </si>
  <si>
    <t>IRA</t>
  </si>
  <si>
    <t>BANGGA</t>
  </si>
  <si>
    <t>Block 6 Lot 1, Core Shelter Bajumpandan, Dumaguete City, Negros Oriental</t>
  </si>
  <si>
    <t>09261848317</t>
  </si>
  <si>
    <t>TUGAOEN</t>
  </si>
  <si>
    <t>ALVIN REY</t>
  </si>
  <si>
    <t>ENGHUG</t>
  </si>
  <si>
    <t>Guinsuan, Poblacion, Zamboanguita, Negros Oriental</t>
  </si>
  <si>
    <t>09262730749</t>
  </si>
  <si>
    <t>ESCALONA</t>
  </si>
  <si>
    <t>JERLY</t>
  </si>
  <si>
    <t>JUBELAG</t>
  </si>
  <si>
    <t>15 Cottage Rd, PRK Paglaum, Mansilingan, Bacolod City, Negros Occidental</t>
  </si>
  <si>
    <t>09100501051</t>
  </si>
  <si>
    <t>ABONG</t>
  </si>
  <si>
    <t>MARK CLENTON</t>
  </si>
  <si>
    <t>(NO MIDDLE NAME)</t>
  </si>
  <si>
    <t>Canlambo, Larena, Siquijor</t>
  </si>
  <si>
    <t>09364319828</t>
  </si>
  <si>
    <t>ITPMD (PRO7/RICTMD PRO7)</t>
  </si>
  <si>
    <t>JAYOMA</t>
  </si>
  <si>
    <t>BREIZEL</t>
  </si>
  <si>
    <t>MENORCA</t>
  </si>
  <si>
    <t xml:space="preserve">4826 Dorca Townhome, Rayos Compound, Rosatrio, Pasig City </t>
  </si>
  <si>
    <t>09178772504</t>
  </si>
  <si>
    <t>ITPMD (PRO7)</t>
  </si>
  <si>
    <t>FREDELUCES</t>
  </si>
  <si>
    <t>064 Middle Nivel Hills, Apas, Cebu City(Capital), Cebu</t>
  </si>
  <si>
    <t>09190950894</t>
  </si>
  <si>
    <t>ERSAN</t>
  </si>
  <si>
    <t>GIOVANNI</t>
  </si>
  <si>
    <t>PACIFICO</t>
  </si>
  <si>
    <t>T-008 Jagobiao, Mandaue City, Cebu</t>
  </si>
  <si>
    <t>09108989624</t>
  </si>
  <si>
    <t>CAÑETE</t>
  </si>
  <si>
    <t>CAPURAS</t>
  </si>
  <si>
    <t>Sitio Batobato, Brgy. Tabun-ac, Toboso, Negros Occidental</t>
  </si>
  <si>
    <t>09460443927</t>
  </si>
  <si>
    <t>TAASINE</t>
  </si>
  <si>
    <t>JOHN RAY</t>
  </si>
  <si>
    <t>PATRON</t>
  </si>
  <si>
    <t>Purok Durian, Cambulad, Valencia, Negros, Oriental</t>
  </si>
  <si>
    <t>09551779363</t>
  </si>
  <si>
    <t>ITPMD (PRO8)</t>
  </si>
  <si>
    <t>CANUDAY</t>
  </si>
  <si>
    <t>JACKERON</t>
  </si>
  <si>
    <t>TING</t>
  </si>
  <si>
    <t>Blk 4 Lot 4, Dona Rufina Subdivision, Brgy Guintagbucan, Abuyog, Leyte</t>
  </si>
  <si>
    <t>09161872199</t>
  </si>
  <si>
    <t>BALEÑA</t>
  </si>
  <si>
    <t>B12 Lot 21 St. Ignatius St., San Jose Townhomes, Pasong Camachile Ii, Gen. Trias, Cavite</t>
  </si>
  <si>
    <t>09759874751</t>
  </si>
  <si>
    <t>SEPTIMO</t>
  </si>
  <si>
    <t>LEO</t>
  </si>
  <si>
    <t>CACA</t>
  </si>
  <si>
    <t>Zone 2, Barayong, Palo, Leyte</t>
  </si>
  <si>
    <t>09484172607</t>
  </si>
  <si>
    <t>ANCHOVAS</t>
  </si>
  <si>
    <t>ESHIER</t>
  </si>
  <si>
    <t>QUIÑONES</t>
  </si>
  <si>
    <t>Purok 2, Tigdaranao, Tarangnan, Samar</t>
  </si>
  <si>
    <t>09519301962</t>
  </si>
  <si>
    <t>PACIENCIA</t>
  </si>
  <si>
    <t>METALLICA LYH</t>
  </si>
  <si>
    <t>OCTAVIANO</t>
  </si>
  <si>
    <t>Real St., San Jose, Brgy. 85, Tacloban City, Leyte</t>
  </si>
  <si>
    <t>09973655525</t>
  </si>
  <si>
    <t>ITPMD (PRO9)</t>
  </si>
  <si>
    <t>PONTANAR</t>
  </si>
  <si>
    <t>MARK ALLAN</t>
  </si>
  <si>
    <t>TUALA</t>
  </si>
  <si>
    <t>Mabinii, Villa Calixto, Sudiacal, Liloy, Zamboanga Del Norte</t>
  </si>
  <si>
    <t>09777312367</t>
  </si>
  <si>
    <t>HADJIMUDDIN</t>
  </si>
  <si>
    <t>JULMONER</t>
  </si>
  <si>
    <t>PASLANGAN</t>
  </si>
  <si>
    <t>Pro9 It Office, Camp Abendan, Mercedes, Zaboanga City, Zamboanga Del Sur</t>
  </si>
  <si>
    <t>09166169275</t>
  </si>
  <si>
    <t>IQBAR</t>
  </si>
  <si>
    <t>IMLANI</t>
  </si>
  <si>
    <t>06 Sulu St., Salam Compound , Culiat, Tandang Sora, Quezon City</t>
  </si>
  <si>
    <t>09161364039</t>
  </si>
  <si>
    <t>ABDUHARI</t>
  </si>
  <si>
    <t>AL-MITRA</t>
  </si>
  <si>
    <t>PUNGUTAN</t>
  </si>
  <si>
    <t>23A Alsalam St., Salam Compound, Culiat, Tandang Sora, Quezon City</t>
  </si>
  <si>
    <t>09064948628</t>
  </si>
  <si>
    <t>ALAWI</t>
  </si>
  <si>
    <t>NABIL</t>
  </si>
  <si>
    <t>HAJINULLA</t>
  </si>
  <si>
    <t>Bilukan, Kajatian, Indanan, Sulu</t>
  </si>
  <si>
    <t>09666576583</t>
  </si>
  <si>
    <t>NERI</t>
  </si>
  <si>
    <t>FREDIMAR</t>
  </si>
  <si>
    <t>SIMON</t>
  </si>
  <si>
    <t>09615477766</t>
  </si>
  <si>
    <t>ASIRI</t>
  </si>
  <si>
    <t>DELFAIZA</t>
  </si>
  <si>
    <t>SARAJAN</t>
  </si>
  <si>
    <t>09261545425</t>
  </si>
  <si>
    <t>TAGID-ID</t>
  </si>
  <si>
    <t>NORIYAM</t>
  </si>
  <si>
    <t>PATTA</t>
  </si>
  <si>
    <t>Fisheries St,. Alat, Jolo, Sulu</t>
  </si>
  <si>
    <t>09639511458</t>
  </si>
  <si>
    <t>ITPMD (PRO10)</t>
  </si>
  <si>
    <t>CABAÑEROS</t>
  </si>
  <si>
    <t>JULIUS STEVE</t>
  </si>
  <si>
    <t>SABELLA</t>
  </si>
  <si>
    <t>House # 654, Zone 5, Bayabas, Cagayan De Oro, Misamis, Oriental</t>
  </si>
  <si>
    <t>09363228989</t>
  </si>
  <si>
    <t>BATBAT</t>
  </si>
  <si>
    <t>MATT KYNNPEARL</t>
  </si>
  <si>
    <t>CABURATAN</t>
  </si>
  <si>
    <t>Block 39 Lot 3, Kisanlu Subdivision, Iponan, Cagayan De Oro, Misamis Oriental</t>
  </si>
  <si>
    <t>09398038978</t>
  </si>
  <si>
    <t>MACATOL</t>
  </si>
  <si>
    <t>GEORGE</t>
  </si>
  <si>
    <t>GALITO</t>
  </si>
  <si>
    <t>Zone 6, Capisnon, Kauswagan, Cagayan De Oro City), Misamis Oriental</t>
  </si>
  <si>
    <t>09177701560</t>
  </si>
  <si>
    <t>CESAR</t>
  </si>
  <si>
    <t>ESCARZA</t>
  </si>
  <si>
    <t>Pacao, Alamada, North Cotabato</t>
  </si>
  <si>
    <t>09338295073</t>
  </si>
  <si>
    <t>REYNALDO</t>
  </si>
  <si>
    <t>PASCO</t>
  </si>
  <si>
    <t>Purok 6, Poblacion, Godod, Zamboanga Del Norte</t>
  </si>
  <si>
    <t>09353441417</t>
  </si>
  <si>
    <t>MACAPILIT</t>
  </si>
  <si>
    <t>MARYLAND</t>
  </si>
  <si>
    <t>SEPLON</t>
  </si>
  <si>
    <t>Jbn Subd. Carangan, Ozamis City, Misamis Occidental</t>
  </si>
  <si>
    <t>09190943825</t>
  </si>
  <si>
    <t>PADAYOGDOG</t>
  </si>
  <si>
    <t>FRANCISCO</t>
  </si>
  <si>
    <t>EMPINADO</t>
  </si>
  <si>
    <t>Purok 3, Cebulan, Sigbay Dos, Pitogo, Zamboanga Del Sur</t>
  </si>
  <si>
    <t>09950079322</t>
  </si>
  <si>
    <t>ITPMD (PRO11)</t>
  </si>
  <si>
    <t>BONTIA</t>
  </si>
  <si>
    <t xml:space="preserve">ISAAC MEDEL </t>
  </si>
  <si>
    <t>AMAD</t>
  </si>
  <si>
    <t>3-D Mother Theresa St., Brgy. 9-A (Pob.) Davao City, Davao Del Sur</t>
  </si>
  <si>
    <t>09217151515</t>
  </si>
  <si>
    <t>TUBA</t>
  </si>
  <si>
    <t>GLORELYN</t>
  </si>
  <si>
    <t>GADIANE</t>
  </si>
  <si>
    <t>Blk 8 Lot 8&amp;10, Gen. Trinio St., Mutual Homes Subd, Communal, Davao City, Davao Del Sur</t>
  </si>
  <si>
    <t>09300637137</t>
  </si>
  <si>
    <t>ANGELES</t>
  </si>
  <si>
    <t>MARK DANIEL</t>
  </si>
  <si>
    <t>MAMITAG</t>
  </si>
  <si>
    <t>4A Jones St., Dulong Bayan 2, San Mateo, Rizal</t>
  </si>
  <si>
    <t>09164309513</t>
  </si>
  <si>
    <t>ARLES</t>
  </si>
  <si>
    <t>VINZELL</t>
  </si>
  <si>
    <t>ROMANO</t>
  </si>
  <si>
    <t>09953371207</t>
  </si>
  <si>
    <t>JAMES VINCENT</t>
  </si>
  <si>
    <t>LLIDO</t>
  </si>
  <si>
    <t>B1-18 Dusnai Vill., Dumoy, Talomo (Pob.), Davao City, Davao Del Sur</t>
  </si>
  <si>
    <t>09151212105</t>
  </si>
  <si>
    <t>JAYVEE</t>
  </si>
  <si>
    <t>POCDOL</t>
  </si>
  <si>
    <t>Purok 4, Panibasan, Maco, Davao de Oro</t>
  </si>
  <si>
    <t>09129547192</t>
  </si>
  <si>
    <t>SALDIVAR</t>
  </si>
  <si>
    <t>ROMMEL JOHN</t>
  </si>
  <si>
    <t>GICANA</t>
  </si>
  <si>
    <t>Purok Paglaom, Lower Katingawan, Midsayap, North Cotabato</t>
  </si>
  <si>
    <t>09065853900</t>
  </si>
  <si>
    <t>CHIDROME</t>
  </si>
  <si>
    <t>JAES ALLAN</t>
  </si>
  <si>
    <t>CHANTENGCO</t>
  </si>
  <si>
    <t>38A 5Th Avenue, Brgy. Socorro, Cubao, Quezon City</t>
  </si>
  <si>
    <t>09672009426</t>
  </si>
  <si>
    <t>ITPMD (PRO12)</t>
  </si>
  <si>
    <t>HICBAN</t>
  </si>
  <si>
    <t>DIONISIO</t>
  </si>
  <si>
    <t>B2 L17 Phase 1, Mabini St., Doña Soledad Subd. Labangal, General Santos City</t>
  </si>
  <si>
    <t>09959577600</t>
  </si>
  <si>
    <t>SUASIN</t>
  </si>
  <si>
    <t>PINES</t>
  </si>
  <si>
    <t>DEITA</t>
  </si>
  <si>
    <t>ANN MARIE</t>
  </si>
  <si>
    <t>SOTOMIL</t>
  </si>
  <si>
    <t>Purok Sampaguita, Poblacion, Norala, South Cotabato</t>
  </si>
  <si>
    <t>09274034681</t>
  </si>
  <si>
    <t>ELANGA</t>
  </si>
  <si>
    <t>STEPHANIE</t>
  </si>
  <si>
    <t>ERESE</t>
  </si>
  <si>
    <t>ITPMD (PRO13)</t>
  </si>
  <si>
    <t>CABILOS</t>
  </si>
  <si>
    <t>MONTALBAN</t>
  </si>
  <si>
    <t>St. Paul St., Janssenville Subd., Taytay, Rizal</t>
  </si>
  <si>
    <t>09617178835</t>
  </si>
  <si>
    <t>COMON</t>
  </si>
  <si>
    <t>RAQUIL</t>
  </si>
  <si>
    <t>MANATAD</t>
  </si>
  <si>
    <t>Pacifico, San Isidro, Surigao Del Norte</t>
  </si>
  <si>
    <t>09483592418</t>
  </si>
  <si>
    <t>ALABA</t>
  </si>
  <si>
    <t>NIEL</t>
  </si>
  <si>
    <t>CAGAMPANG</t>
  </si>
  <si>
    <t>Lower, Dumarait, Balingasag, Misamis Oriental</t>
  </si>
  <si>
    <t>09751911952</t>
  </si>
  <si>
    <t>ITPMD (PRO CAR)</t>
  </si>
  <si>
    <t>BUMAL-O</t>
  </si>
  <si>
    <t>BALDO</t>
  </si>
  <si>
    <t>81 Purok 8, Bakakeng Norte, Baguio City, Benguet</t>
  </si>
  <si>
    <t>09279960941</t>
  </si>
  <si>
    <t>KELLY</t>
  </si>
  <si>
    <t>CARTNER RHYSE</t>
  </si>
  <si>
    <t>8 Purok 27, Irisan, Baguio City</t>
  </si>
  <si>
    <t>09751300204</t>
  </si>
  <si>
    <t>LAOYAN</t>
  </si>
  <si>
    <t>SILVER MARK</t>
  </si>
  <si>
    <t>TALLASE</t>
  </si>
  <si>
    <t>Purok 25, Irisan, Bagiuo City, Benguet</t>
  </si>
  <si>
    <t>09467405310</t>
  </si>
  <si>
    <t>MARISOL</t>
  </si>
  <si>
    <t>BALASON</t>
  </si>
  <si>
    <t>#281 Feeder Rd Ii, Brgy Unzad, Villasis, Pangasinan</t>
  </si>
  <si>
    <t>09154132262</t>
  </si>
  <si>
    <t>SAGGOT</t>
  </si>
  <si>
    <t>FREDA</t>
  </si>
  <si>
    <t>AMMAGAY</t>
  </si>
  <si>
    <t>Luplupa, Tinglayan, Kalinga</t>
  </si>
  <si>
    <t>09773522354</t>
  </si>
  <si>
    <t>PERCY</t>
  </si>
  <si>
    <t>BAG-AYAN</t>
  </si>
  <si>
    <t>N/A, Galdang (Casaloan), Pasil, Kalinga, Car - Cordillera Administrative Region</t>
  </si>
  <si>
    <t>09066949974</t>
  </si>
  <si>
    <t>FONSICA</t>
  </si>
  <si>
    <t>VILMER</t>
  </si>
  <si>
    <t>GUILOAN</t>
  </si>
  <si>
    <t>194-A Coruz, Bineng, La Trinidad, Benguet</t>
  </si>
  <si>
    <t>09466562399</t>
  </si>
  <si>
    <t>PATERNO</t>
  </si>
  <si>
    <t>JEFFREY</t>
  </si>
  <si>
    <t>PAUS</t>
  </si>
  <si>
    <t>Poblacion, Bokod, Benguet</t>
  </si>
  <si>
    <t>09106223592</t>
  </si>
  <si>
    <t>ITPMD (PRO BAR)</t>
  </si>
  <si>
    <t>CORDON</t>
  </si>
  <si>
    <t>ANDREO</t>
  </si>
  <si>
    <t>BISIN</t>
  </si>
  <si>
    <t>Camp Bgen Salipada K Pendatun, Making, Parang, Maguindanao</t>
  </si>
  <si>
    <t>09510376368</t>
  </si>
  <si>
    <t>NADERA</t>
  </si>
  <si>
    <t>SABATE</t>
  </si>
  <si>
    <t>B3 L3 San Lorenzo Ruiz, Sasa, Davao City, Davao Del Sur, Region Xi (Davao Region)</t>
  </si>
  <si>
    <t>BENEDICT</t>
  </si>
  <si>
    <t>102-C Mudjahidin St., Salam Compound, Culiat, Tandang Sora, Quezon City</t>
  </si>
  <si>
    <t>09066760819</t>
  </si>
  <si>
    <t>SUGUITAN</t>
  </si>
  <si>
    <t>PATTUNG</t>
  </si>
  <si>
    <t>Poblacion, Baggao, Cagayan Valley</t>
  </si>
  <si>
    <t>09159869963</t>
  </si>
  <si>
    <t>DIRINDIGEN</t>
  </si>
  <si>
    <t>MORSI</t>
  </si>
  <si>
    <t>MACABNGKAS</t>
  </si>
  <si>
    <t>Tambak, Brgy., Bugasan Sur, Matanog, Maguindanao</t>
  </si>
  <si>
    <t>0902556360</t>
  </si>
  <si>
    <t>HASANBASA</t>
  </si>
  <si>
    <t>NURMIHAR</t>
  </si>
  <si>
    <t>SABDANI</t>
  </si>
  <si>
    <t>Ibay St., Poblacion 2, Parang, Maguindanao</t>
  </si>
  <si>
    <t>09754070763</t>
  </si>
  <si>
    <t>TRINIDAD</t>
  </si>
  <si>
    <t>NOHVILENE MAR</t>
  </si>
  <si>
    <t>BELDIA</t>
  </si>
  <si>
    <t>Dualing, Aleosan, North Cotabato</t>
  </si>
  <si>
    <t>09500264200</t>
  </si>
  <si>
    <t>PHAS (PNPA)</t>
  </si>
  <si>
    <t>AMIR HASSAN</t>
  </si>
  <si>
    <t xml:space="preserve">B5 L3 Glc Brgy. Kaypian, Sjdm,  Bulacan </t>
  </si>
  <si>
    <t>09175150017</t>
  </si>
  <si>
    <t>RONIE</t>
  </si>
  <si>
    <t>BATARA</t>
  </si>
  <si>
    <t>B41 L21 Acacia St., S Heights Ii Subd., United Better Living, San Pedro, Laguna</t>
  </si>
  <si>
    <t>09219362190</t>
  </si>
  <si>
    <t>ORENSE</t>
  </si>
  <si>
    <t>ANDREW</t>
  </si>
  <si>
    <t>AYALIN</t>
  </si>
  <si>
    <t>09279862030</t>
  </si>
  <si>
    <t>ANGLIGEN</t>
  </si>
  <si>
    <t>PINANGI</t>
  </si>
  <si>
    <t>Posposok- Despag, Naguey, Atok, Benguet</t>
  </si>
  <si>
    <t>09517088716</t>
  </si>
  <si>
    <t>APACIBLE</t>
  </si>
  <si>
    <t>KIM SANDELL</t>
  </si>
  <si>
    <t>CAMO</t>
  </si>
  <si>
    <t>602 J. Dimabiling, Indang, Cavite</t>
  </si>
  <si>
    <t>09297788300</t>
  </si>
  <si>
    <t>MACAPUNO</t>
  </si>
  <si>
    <t>DE SAGUN</t>
  </si>
  <si>
    <t>081 Purok 3, Paliparan, Laurel, Batangas</t>
  </si>
  <si>
    <t>09195679150</t>
  </si>
  <si>
    <t>PHAS (RICTMD NCRPO)</t>
  </si>
  <si>
    <t>ANUNCIO</t>
  </si>
  <si>
    <t>ALEJANDER</t>
  </si>
  <si>
    <t>TALAMPAS</t>
  </si>
  <si>
    <t>159 Labao St., Purok 2, Napindaa, Taguig City</t>
  </si>
  <si>
    <t>09175932179</t>
  </si>
  <si>
    <t>PHAS (RICTMD PRO1)</t>
  </si>
  <si>
    <t>ROBIN</t>
  </si>
  <si>
    <t>DATUL</t>
  </si>
  <si>
    <t>53 Masaya St, Up Village, Quezon City</t>
  </si>
  <si>
    <t>09998814104</t>
  </si>
  <si>
    <t>PHAS (RICTMD PRO2)</t>
  </si>
  <si>
    <t>MIGUEL</t>
  </si>
  <si>
    <t>POBLETE</t>
  </si>
  <si>
    <t>Annagunan West, Tugegarao City, Cagayan</t>
  </si>
  <si>
    <t>09171795506</t>
  </si>
  <si>
    <t>PHAS (RICTMD PRO3)</t>
  </si>
  <si>
    <t>LUMIBAO</t>
  </si>
  <si>
    <t>RENE JASPER</t>
  </si>
  <si>
    <t>CUNANAN</t>
  </si>
  <si>
    <t>52 Lot 16 Stonington St., Phase 7, Dizon Estate, San Agustin, San Fernando City</t>
  </si>
  <si>
    <t>09266561521</t>
  </si>
  <si>
    <t>PHAS (RICTMD PRO4A)</t>
  </si>
  <si>
    <t>PINAGOD</t>
  </si>
  <si>
    <t xml:space="preserve">ANALYN </t>
  </si>
  <si>
    <t>BINGWAOEL</t>
  </si>
  <si>
    <t>B3 L39/41 Morning Dew Subd. Puting Kahoy, Silang, Cavite</t>
  </si>
  <si>
    <t>09173066912</t>
  </si>
  <si>
    <t>PHAS (RICTMD PRO4B/FS)</t>
  </si>
  <si>
    <t>JAY WALTER</t>
  </si>
  <si>
    <t>SANTIAGO</t>
  </si>
  <si>
    <t>#109-B Herbosa St., Tondo, Manila</t>
  </si>
  <si>
    <t>09166183905</t>
  </si>
  <si>
    <t>PHAS (RICTMD PRO5)</t>
  </si>
  <si>
    <t>BAUSA</t>
  </si>
  <si>
    <t>RIQUE</t>
  </si>
  <si>
    <t>ARCOS</t>
  </si>
  <si>
    <t>09157095518</t>
  </si>
  <si>
    <t>PHAS (RICTMD PRO8/PRO8)</t>
  </si>
  <si>
    <t>DECENA</t>
  </si>
  <si>
    <t xml:space="preserve">RONALD </t>
  </si>
  <si>
    <t>LUCIO</t>
  </si>
  <si>
    <t>Brgy., Andres Bonifacio,Mayorga, Leyte</t>
  </si>
  <si>
    <t>09496818565</t>
  </si>
  <si>
    <t>PHAS (RICTMD PRO9)</t>
  </si>
  <si>
    <t>BELOYA</t>
  </si>
  <si>
    <t>GENESON</t>
  </si>
  <si>
    <t>DORIENDES</t>
  </si>
  <si>
    <t>Tetuan, Zamboanga City</t>
  </si>
  <si>
    <t>09176226585</t>
  </si>
  <si>
    <t>MUKTAJAR</t>
  </si>
  <si>
    <t>GAJIR</t>
  </si>
  <si>
    <t>MUHARRANI</t>
  </si>
  <si>
    <t>Lot 22, Phase 1, Blue Homes Executive Subd., Cabatangan, Zamboanga City</t>
  </si>
  <si>
    <t>09165590448</t>
  </si>
  <si>
    <t>PHAS (RICTMD PRO10/PRO 10)</t>
  </si>
  <si>
    <t>RAMA</t>
  </si>
  <si>
    <t>042 Camp Alagar, Lapasan, Cagayan De Oro</t>
  </si>
  <si>
    <t>09173181977</t>
  </si>
  <si>
    <t>ITPMD (RICTMD PRO 11/PRO11/ACG)</t>
  </si>
  <si>
    <t>SANTILLANA</t>
  </si>
  <si>
    <t xml:space="preserve">JULIUS </t>
  </si>
  <si>
    <t>PASCUA</t>
  </si>
  <si>
    <t>75 De Guzman St., Toril, Davao City</t>
  </si>
  <si>
    <t>09499265599</t>
  </si>
  <si>
    <t>PHAS (RICTMD PRO 11)</t>
  </si>
  <si>
    <t>CALENDAS</t>
  </si>
  <si>
    <t>RYAN ALEXANDER</t>
  </si>
  <si>
    <t>PHAS (RICTMD PRO 12)</t>
  </si>
  <si>
    <t>CERDANA</t>
  </si>
  <si>
    <t>NESTOR</t>
  </si>
  <si>
    <t>SEMBRANO</t>
  </si>
  <si>
    <t>Upper Katungal, Tacurong City, Sultan Kudarat</t>
  </si>
  <si>
    <t>09567240867</t>
  </si>
  <si>
    <t>PHAS (RICTMD PRO13)</t>
  </si>
  <si>
    <t>VIRTUDAZO</t>
  </si>
  <si>
    <t>TAREPE</t>
  </si>
  <si>
    <t>Purok 7, Mabuhay (Pob), Santa Monica (Sapao), Surigao Del Norte</t>
  </si>
  <si>
    <t>09434735238</t>
  </si>
  <si>
    <t>PHAS (RICTMD PROCAR)</t>
  </si>
  <si>
    <t>CARIAS</t>
  </si>
  <si>
    <t>NEIL</t>
  </si>
  <si>
    <t>CARLOS</t>
  </si>
  <si>
    <t>Tulingan St. Caloocan City, Brgy.16, Caloocan City</t>
  </si>
  <si>
    <t>09069046512</t>
  </si>
  <si>
    <t>Detailed to Other Units/Offices</t>
  </si>
  <si>
    <t>NON-ORGANIC</t>
  </si>
  <si>
    <t>Roster of Personnel (Detailed Crame Based)</t>
  </si>
  <si>
    <t>POLICE COMMISSIONED OFFICERS</t>
  </si>
  <si>
    <t>POLICE  NON-COMMISSIONED OFFICERS</t>
  </si>
  <si>
    <t>NON-UNIFORMED PERSONNEL</t>
  </si>
  <si>
    <t>Roster of Personnel (ITMSHQ Only)</t>
  </si>
  <si>
    <t>Liaison Officer (SG7)</t>
  </si>
  <si>
    <t>Info Systems Researcher (SG17)</t>
  </si>
  <si>
    <t>Comp. Maintenance Tech. II (SG15)</t>
  </si>
  <si>
    <t>OIC, AISS (SG18)</t>
  </si>
  <si>
    <t>Administrative Assistant  I (SG7)</t>
  </si>
  <si>
    <t>Action NUP (SG6)</t>
  </si>
  <si>
    <t>Administrative Aide VI (SG6)</t>
  </si>
  <si>
    <t>Administrative Asst I (SG7)</t>
  </si>
  <si>
    <t>ISCS Support Staff /Researcher/Records Custodian (SG7)</t>
  </si>
  <si>
    <t>Administrative Assistant III (SG9)</t>
  </si>
  <si>
    <t>Chief, HMS/ITO I (SG19)</t>
  </si>
  <si>
    <t>ISA/ISR (SG12)</t>
  </si>
  <si>
    <t>Verifier/Encoder (SG7)</t>
  </si>
  <si>
    <t>PIO/PCR Staff (SG7)</t>
  </si>
  <si>
    <t>Personnel Staff /PAIS Encoder (SG11)</t>
  </si>
  <si>
    <t>Reproduction Machine Operator (SG4)</t>
  </si>
  <si>
    <t>Comp. Programmer (SG11)</t>
  </si>
  <si>
    <t>Planning Officer (SG9)</t>
  </si>
  <si>
    <t>Administrative Asst I/Training Staff (SG7)</t>
  </si>
  <si>
    <t>ISR II (SG14)</t>
  </si>
  <si>
    <t>Administrative  Assistant I(SG7)</t>
  </si>
  <si>
    <t>ICRMS Staff (SG8)</t>
  </si>
  <si>
    <t>Administrative Assistant VI (SG12)</t>
  </si>
  <si>
    <t>Computer Programmer(SG7)</t>
  </si>
  <si>
    <t>Asst. Chief, PTD (SG22)</t>
  </si>
  <si>
    <t>Researcher (SG12)</t>
  </si>
  <si>
    <t>Action NUP (SG7)</t>
  </si>
  <si>
    <t>Administrative Assistant II (SG8)</t>
  </si>
  <si>
    <t>Admin Aide VI (SG6)/Staff, SRS, PSMU</t>
  </si>
  <si>
    <t>Section Chief (SG10)</t>
  </si>
  <si>
    <t>CMT I (SG11)</t>
  </si>
  <si>
    <t>IT NUP (SG6)</t>
  </si>
  <si>
    <t>LS Staff (SG6)</t>
  </si>
  <si>
    <t>Administrative Assistant (SG9)</t>
  </si>
  <si>
    <t>ISA/ISR (SG12))</t>
  </si>
  <si>
    <t>Planning Staff/Secretary (SG7)</t>
  </si>
  <si>
    <t>Computer Porgrammer (SG7)</t>
  </si>
  <si>
    <t>Electrican (SG6)</t>
  </si>
  <si>
    <t>Utility (SG1)</t>
  </si>
  <si>
    <t>IT NUP (SG9)</t>
  </si>
  <si>
    <t>Computer Programmjer (SG11)</t>
  </si>
  <si>
    <t>Administrative Assistant I (SG7)</t>
  </si>
  <si>
    <t>Admin Assistant (SG9)</t>
  </si>
  <si>
    <t>IT NUP (SG7)</t>
  </si>
  <si>
    <t>Administrative Assistant  (SG7)</t>
  </si>
  <si>
    <t>Computer Programmer (SG11)</t>
  </si>
  <si>
    <t>Computer Programmer  I (SG11)</t>
  </si>
  <si>
    <t>Data Controller (SG7)</t>
  </si>
  <si>
    <t>ISR III/Training Staff (SG17)</t>
  </si>
  <si>
    <t>Computer Oprator 1 (SG7)</t>
  </si>
  <si>
    <t>CMT III (SG17)</t>
  </si>
  <si>
    <t>Training Support Staff (SG6)</t>
  </si>
  <si>
    <t>Senior Administrative Asst.  (SG13)</t>
  </si>
  <si>
    <t>Verifier/Encoder (SG12)</t>
  </si>
  <si>
    <t>Administrative Assistant  (SG8)</t>
  </si>
  <si>
    <t>Information Systems Researcher (SG10)</t>
  </si>
  <si>
    <t>Comp. Programmer/Graphic Artist (SG15)</t>
  </si>
  <si>
    <t>Action NUP/Attendance Monitoring Officer/Focal Person, Message Center</t>
  </si>
  <si>
    <t>Computer Programmer (SG10)</t>
  </si>
  <si>
    <t>Administrative  Assistant I (SG7)</t>
  </si>
  <si>
    <t>Personnel Staff /PAIS Encoder (SG7)</t>
  </si>
  <si>
    <t>Records Custoidan (SG7)</t>
  </si>
  <si>
    <t>Database Administrator (SG11)</t>
  </si>
  <si>
    <t>ISA/Computer Programmer (SG11)</t>
  </si>
  <si>
    <t>Section Chief (SG17)</t>
  </si>
  <si>
    <t>Chief, DAS (SG19)</t>
  </si>
  <si>
    <t>IT NUP (SG8)</t>
  </si>
  <si>
    <t>Training Specialist II (SG15)</t>
  </si>
  <si>
    <t>Personnel Staff/Admin Service Clerk (SG6)</t>
  </si>
  <si>
    <t>Asst. Chief, HMS/CMT III (SG17)</t>
  </si>
  <si>
    <t>OIC,AISS (SG18)</t>
  </si>
  <si>
    <t>ICRMS Staff (SG9)</t>
  </si>
  <si>
    <t>Administrative  Assistant  (SG7)</t>
  </si>
  <si>
    <t>Database Admin (SG7)/Staff, SMAS, PSMU</t>
  </si>
  <si>
    <t>Training Support Staff (SG7)</t>
  </si>
  <si>
    <t>IT NUP (SG17)</t>
  </si>
  <si>
    <t>Chief, SPIS (SG19)</t>
  </si>
  <si>
    <t>Administrative Assistant  (SG3)</t>
  </si>
  <si>
    <t>Administrative  Assistant II (SG8)</t>
  </si>
  <si>
    <t>ISR/Admin Assistant  (SG7)</t>
  </si>
  <si>
    <t>Budget NUP (SG13)</t>
  </si>
  <si>
    <t>DD IT(SG25)</t>
  </si>
  <si>
    <t>Computer Programmer/(SG11)</t>
  </si>
  <si>
    <t>Personnel Staff (SG13)</t>
  </si>
  <si>
    <t>ISA/Computer Programmer (SG12)</t>
  </si>
  <si>
    <t>ITSS Support Staff Records Custodian (SG7)</t>
  </si>
  <si>
    <t>Comp. Maintenance Tech. I (SG11)</t>
  </si>
  <si>
    <t>Information Systems Researcher (SG19)</t>
  </si>
  <si>
    <t>Asst. Chief/ITO II (SG22)</t>
  </si>
  <si>
    <t>Personnel Staff/PAIS Encoder (SG7)</t>
  </si>
  <si>
    <t>Info Systems Analayst (SG 18)</t>
  </si>
  <si>
    <t>Planning Officer (SG11)</t>
  </si>
  <si>
    <t>ISA/Computer Programmer (SG16)</t>
  </si>
  <si>
    <t>ISA/ISR (SG16)</t>
  </si>
  <si>
    <t>Info System Researcher  (SG14)</t>
  </si>
  <si>
    <t>Budget NUP (SG7)</t>
  </si>
  <si>
    <t>Chief, DPS (SG19)</t>
  </si>
  <si>
    <t>Training Staff (SG7)</t>
  </si>
  <si>
    <t>ISR II/Planning Officer (SG14)</t>
  </si>
  <si>
    <t>Personnel Staff/PAIS Encoder (SG6)</t>
  </si>
  <si>
    <t>Database Administrator (SG7)</t>
  </si>
  <si>
    <t>Chief, OISS (SG19)</t>
  </si>
  <si>
    <t>Comp Programmer (SG6)</t>
  </si>
  <si>
    <t>Asst. Chief, DPS (SG13)</t>
  </si>
  <si>
    <t>Assistant Chief, SMD (SG22)</t>
  </si>
  <si>
    <t>Finance NUP (SG12)</t>
  </si>
  <si>
    <t>Encoder/Verifier/Records Custodian (SG11)</t>
  </si>
  <si>
    <t>Chief, ASCS (SG19)</t>
  </si>
  <si>
    <t>Senior Administrative Asst. (SG13)</t>
  </si>
  <si>
    <t>Training Staff (SG8)</t>
  </si>
  <si>
    <t>Aircon Technician (SG6)</t>
  </si>
  <si>
    <t>IT NUP (SG15)</t>
  </si>
  <si>
    <t>Administrative Asst V (SG 11)</t>
  </si>
  <si>
    <t>Computer Programmer/ISR (SG15)</t>
  </si>
  <si>
    <t>Info Systems Researcher (SG15)</t>
  </si>
  <si>
    <t>IT NUP (SG18)</t>
  </si>
  <si>
    <t>ISR/Computer Programmer (SG11)</t>
  </si>
  <si>
    <t>Email Administrator/Web Publisher (SG6)</t>
  </si>
  <si>
    <t>Personnel Staff/PAIS Encoder (SG9)</t>
  </si>
  <si>
    <t>Action NUP (SG11)</t>
  </si>
  <si>
    <t>Information Technolofy Officer I (SG19)</t>
  </si>
  <si>
    <t>Encoder/Verifier/ Admin. Asst. Pers. (SG11)</t>
  </si>
  <si>
    <t>CSIRS Info. Secuirity Analyst (SG16)</t>
  </si>
  <si>
    <t>NATIONAL POLICE COMMISSION</t>
  </si>
  <si>
    <t>DESIGNATION</t>
  </si>
  <si>
    <t>PBGEN</t>
  </si>
  <si>
    <t>Director</t>
  </si>
  <si>
    <t>Imugan, Sta. Fe, Nueva Vizcaya</t>
  </si>
  <si>
    <t>09175304121</t>
  </si>
  <si>
    <t>Duty PNCO</t>
  </si>
  <si>
    <t>Purok Saranay, Palabotan, Dupax Del Sur, Nueva Vizcaya</t>
  </si>
  <si>
    <t>09165565299</t>
  </si>
  <si>
    <t>DALLEGO</t>
  </si>
  <si>
    <t>RHIZA</t>
  </si>
  <si>
    <t>Supply Accountable Officer</t>
  </si>
  <si>
    <t>Mb26 U109 Pamayanang Diego Silang, Brgy. Ususan, Taguig City</t>
  </si>
  <si>
    <t>09950858301</t>
  </si>
  <si>
    <t>Training Specialist I (SG11)</t>
  </si>
  <si>
    <t>TAGAO</t>
  </si>
  <si>
    <t>Deputy Director for Admin.</t>
  </si>
  <si>
    <t>ODDA/ PRO13</t>
  </si>
  <si>
    <t>BACSEC/ IT Project Officer</t>
  </si>
  <si>
    <t>Administrative Assistant III (SG9) (DMD)</t>
  </si>
  <si>
    <t>Chief of Staff/Chief, PSMU</t>
  </si>
  <si>
    <t>Secretary of the Chief of Staff</t>
  </si>
  <si>
    <t>Action PNCO</t>
  </si>
  <si>
    <t>Secretary</t>
  </si>
  <si>
    <t>Duty PNCO/CSG (creation of AVP)</t>
  </si>
  <si>
    <t>OIC, PIO/PCR Staff (SG14)</t>
  </si>
  <si>
    <t>Servicing  Legal Officer</t>
  </si>
  <si>
    <t>Purok 5, Santa Cruz, Bagabag, Nueva Vizcaya</t>
  </si>
  <si>
    <t>09178334438</t>
  </si>
  <si>
    <t>Duty PNCO/OIC, C, Clerk, ARMD</t>
  </si>
  <si>
    <t>PSMU</t>
  </si>
  <si>
    <t>Staff, SMAS, PSMU</t>
  </si>
  <si>
    <t>DAGUPLO</t>
  </si>
  <si>
    <t>ROSETTE</t>
  </si>
  <si>
    <t>Administrative Aide VI (SG6) (DMD)</t>
  </si>
  <si>
    <t>FRANDO</t>
  </si>
  <si>
    <t>DANICA</t>
  </si>
  <si>
    <t>DATO-ON</t>
  </si>
  <si>
    <t>Staff, Change Mgmt and Best Practices, SRS  (SG6)</t>
  </si>
  <si>
    <t>QUIJANO</t>
  </si>
  <si>
    <t>SHEILA MARIE</t>
  </si>
  <si>
    <t>VELARDE</t>
  </si>
  <si>
    <t>C, ITPMD</t>
  </si>
  <si>
    <t>JHOANNA GRACIA</t>
  </si>
  <si>
    <t>Asst. Chief/OIC, PIO/Asst. Chief, PSMU</t>
  </si>
  <si>
    <t>Chief, EMS</t>
  </si>
  <si>
    <t>Yap</t>
  </si>
  <si>
    <t>ITPMD/ DICTM</t>
  </si>
  <si>
    <t>Administrative Assistant (SG9) (ARMD)</t>
  </si>
  <si>
    <t>Chief, ITPMIS/OIC, SCS</t>
  </si>
  <si>
    <t>IRASUSTA</t>
  </si>
  <si>
    <t>JOANA MARIE</t>
  </si>
  <si>
    <t>IT Project Officer</t>
  </si>
  <si>
    <t>IT Project PNCO</t>
  </si>
  <si>
    <t>ITPMD (PPDC)</t>
  </si>
  <si>
    <t>Cabaroan, Santa Maria, Ilocos Sur</t>
  </si>
  <si>
    <t>09773306823</t>
  </si>
  <si>
    <t>ITPMD (DICTM)</t>
  </si>
  <si>
    <t>IT PNCO</t>
  </si>
  <si>
    <t>MANAHAN</t>
  </si>
  <si>
    <t>8B Notre Dame, Silangan, Quezon City</t>
  </si>
  <si>
    <t>BUTLIG</t>
  </si>
  <si>
    <t>MARIE FE</t>
  </si>
  <si>
    <t>TUANDA</t>
  </si>
  <si>
    <t>IT NUP  (SG6)</t>
  </si>
  <si>
    <t>16B Buenmar, Santolan, Pasig City</t>
  </si>
  <si>
    <t>09178380513</t>
  </si>
  <si>
    <t>ITPMD (DET)</t>
  </si>
  <si>
    <t>NAGESNES -SUAYA</t>
  </si>
  <si>
    <t>ITPMD (DO/RICTMD PRO12)</t>
  </si>
  <si>
    <t>ITPMD (ACG)</t>
  </si>
  <si>
    <t>ITPMD (CIDG/AKG)</t>
  </si>
  <si>
    <t>ITPMD (CSG/CSG-SOSIA)</t>
  </si>
  <si>
    <t>09262515444</t>
  </si>
  <si>
    <t>ITPMD (FG)</t>
  </si>
  <si>
    <t>09198729542</t>
  </si>
  <si>
    <t>ITPMD (HPG/PRO1)</t>
  </si>
  <si>
    <t>ITPMD (MG)</t>
  </si>
  <si>
    <t>ITPMD (ES/DL)</t>
  </si>
  <si>
    <t>Acting Asst. Chief/ITPO</t>
  </si>
  <si>
    <t>ITPMD (HS/SMD)</t>
  </si>
  <si>
    <t>IT Project Officer/Action PCO</t>
  </si>
  <si>
    <t>09922334499</t>
  </si>
  <si>
    <t>ITPMD (NCRPO/SAF/EOD/K9)</t>
  </si>
  <si>
    <t>ITPMD (NCRPO/RICTMD NCRPO)</t>
  </si>
  <si>
    <t>IT Project Officer/ Asst Chief, RICTMD</t>
  </si>
  <si>
    <t>09772019247</t>
  </si>
  <si>
    <t>09670131682</t>
  </si>
  <si>
    <t>JERICO</t>
  </si>
  <si>
    <t>MENESES</t>
  </si>
  <si>
    <t>09657009923</t>
  </si>
  <si>
    <t>ITPMD (PRO4A/RICTMD 4A)</t>
  </si>
  <si>
    <t>IT Project Officer/Asst. Chief, RICTMD</t>
  </si>
  <si>
    <t>ITPMD (PNPTI/PNPTS)</t>
  </si>
  <si>
    <t>09989819509</t>
  </si>
  <si>
    <t>ITPMD (PRO6/RICTMD PRO6/PRO NIR/ RICTMD PRO NIR)</t>
  </si>
  <si>
    <t>IT Project Officer/Asst Chief, RICTMD</t>
  </si>
  <si>
    <t>ITPO/OIC, Asst Chief, RICTMD</t>
  </si>
  <si>
    <t>ITPMD (NIR/ RICTMD NIR)</t>
  </si>
  <si>
    <t>PELIÑO</t>
  </si>
  <si>
    <t>JOHN RAYMOND</t>
  </si>
  <si>
    <t>DUMPANG</t>
  </si>
  <si>
    <t>09956321798</t>
  </si>
  <si>
    <t>09298116536</t>
  </si>
  <si>
    <t>09106551026</t>
  </si>
  <si>
    <t xml:space="preserve">IT Project PNCO </t>
  </si>
  <si>
    <t>ITPMD (Kalinga PPO)</t>
  </si>
  <si>
    <t>09996472652</t>
  </si>
  <si>
    <t>Asst. Chief,ARMD/C,Personnel Section</t>
  </si>
  <si>
    <t>OIC, ESPO</t>
  </si>
  <si>
    <t>Secretary, ARMD</t>
  </si>
  <si>
    <t>Secretary, ARMD/Attendance Monitoring Officer/Focal Person</t>
  </si>
  <si>
    <t>KIETHEL</t>
  </si>
  <si>
    <t>CALAQUIAN</t>
  </si>
  <si>
    <t>18 Purok 5 Luzon Ave. Brgy. Culiat, QC</t>
  </si>
  <si>
    <t>CAADAN</t>
  </si>
  <si>
    <t>JENNYFER</t>
  </si>
  <si>
    <t>PISCO</t>
  </si>
  <si>
    <t>65 Lower Molave St. Payatas B, QC</t>
  </si>
  <si>
    <t>HERVERA</t>
  </si>
  <si>
    <t>ERICKSON</t>
  </si>
  <si>
    <t>SOLIS</t>
  </si>
  <si>
    <t>171 Purok 3 Brgy. Talaba Atimonan, Quezon</t>
  </si>
  <si>
    <t>MARMOL</t>
  </si>
  <si>
    <t>KRISHIA</t>
  </si>
  <si>
    <t>CAMILLE</t>
  </si>
  <si>
    <t>Blk 3 Ly 52 Comp 2 Sitio Kabatuhan, Gen Y. De Leon, Valenzuela City</t>
  </si>
  <si>
    <t>9322639563/
09683125679</t>
  </si>
  <si>
    <t>MOISES REUEL</t>
  </si>
  <si>
    <t>DE ASIS</t>
  </si>
  <si>
    <t>B23 L16 Tulip St. CPH II Brgy 179, Caloocan City</t>
  </si>
  <si>
    <t>9627572702/
09662667900</t>
  </si>
  <si>
    <t>Action NUP/Attendace Monitoring Officer/Focal Person (SG7)</t>
  </si>
  <si>
    <t>09173581689</t>
  </si>
  <si>
    <t>Asst, Chief, Personnel Sec/BMI PCO</t>
  </si>
  <si>
    <t>Action PNCO/PAIS Encoder/Focal Person/OJT Coordinator/Alternate Secretary</t>
  </si>
  <si>
    <t>Action PNCO/Focal Center Message Center</t>
  </si>
  <si>
    <t>DLOS PNCO</t>
  </si>
  <si>
    <t>Action PNCO/ BMI Facilitator</t>
  </si>
  <si>
    <t>Personnel Staff/PAIS Encoder (SG11)</t>
  </si>
  <si>
    <t>BERNARDO</t>
  </si>
  <si>
    <t>ROLAND JAY</t>
  </si>
  <si>
    <t>DUMAGAT</t>
  </si>
  <si>
    <t>Personnel Staff (SG4)</t>
  </si>
  <si>
    <t>Personnel Staff/Admin Service Clerk (SG7)</t>
  </si>
  <si>
    <t>09164734113</t>
  </si>
  <si>
    <t>Personnel Staff (SG14)</t>
  </si>
  <si>
    <t>Admin Asst I/PAIS Encoder (SG9)</t>
  </si>
  <si>
    <t>PARIS</t>
  </si>
  <si>
    <t>ACEL</t>
  </si>
  <si>
    <t>OBSELLA</t>
  </si>
  <si>
    <t>Administrative Aide (SG6)</t>
  </si>
  <si>
    <t>09564326080</t>
  </si>
  <si>
    <t>09927610031</t>
  </si>
  <si>
    <t>Chief, ICRMS/DLOS Officer</t>
  </si>
  <si>
    <t>09271427260</t>
  </si>
  <si>
    <t>ICRMS Staff/Retirement Action PNCO</t>
  </si>
  <si>
    <t>ICRMIS Staff  (SG8)</t>
  </si>
  <si>
    <t>BULURAN</t>
  </si>
  <si>
    <t>LAPURGA</t>
  </si>
  <si>
    <t>ICRMIS Staff  (SG6)</t>
  </si>
  <si>
    <t>Records Custodian (SG7)</t>
  </si>
  <si>
    <t>C, Budget and Fiscal Section</t>
  </si>
  <si>
    <t>Finance PNCO</t>
  </si>
  <si>
    <t>09666847369</t>
  </si>
  <si>
    <t>09278357509</t>
  </si>
  <si>
    <t>LS/IHSS/PRO12</t>
  </si>
  <si>
    <t>C, LS/C,IHSS/Asst. C, BFS</t>
  </si>
  <si>
    <t>Asst. Chief, IHSS/Duty PCO, LS</t>
  </si>
  <si>
    <t>09269027975</t>
  </si>
  <si>
    <t>Action PNCO/Duty Driver</t>
  </si>
  <si>
    <t>RSPNCO</t>
  </si>
  <si>
    <t>Blk 36 Lot 2 Phase 3, Orchids St., Sarmiento Homes, Brgy Muzon Proper, City of San Jose del Monte, Bulacan</t>
  </si>
  <si>
    <t>LS Staff (SG7)</t>
  </si>
  <si>
    <t>Electrician (SG6)</t>
  </si>
  <si>
    <t>BELARDO</t>
  </si>
  <si>
    <t>REMAN JOSEPH</t>
  </si>
  <si>
    <t>RENTOY</t>
  </si>
  <si>
    <t>Administrative Aide (SG6) (DMD)</t>
  </si>
  <si>
    <t>Schooling (PSOSEC)</t>
  </si>
  <si>
    <t>Non-Duty Status</t>
  </si>
  <si>
    <t>PHAS, ARMD/ DL</t>
  </si>
  <si>
    <t>Asst. Chief, ICT PPD</t>
  </si>
  <si>
    <t>Chief, RCDD</t>
  </si>
  <si>
    <t>Chief, SMID</t>
  </si>
  <si>
    <t>Chief, CMD</t>
  </si>
  <si>
    <t>Asst. Chief, CMD</t>
  </si>
  <si>
    <t>IT Project Officer/IT Officer</t>
  </si>
  <si>
    <t>Asst. Chief, DPD</t>
  </si>
  <si>
    <t>IT Officer</t>
  </si>
  <si>
    <t>Administrative Assistant  (SG7) (ITPMD)</t>
  </si>
  <si>
    <t>Computer Programmer/ISR</t>
  </si>
  <si>
    <t>OIC, ICTMD, PNPA</t>
  </si>
  <si>
    <t>Asst Chief, RICTMD</t>
  </si>
  <si>
    <t>Legaspi, Albay</t>
  </si>
  <si>
    <t>PHAS (RICTMD PRO7/PRO7)</t>
  </si>
  <si>
    <t>Asst. Chief, RICTMD/IT Project Officer</t>
  </si>
  <si>
    <t>Asst Chief, RICTMD/ ITPO PRO8</t>
  </si>
  <si>
    <t>PHAS (RICTMD PRO9/PRO9)</t>
  </si>
  <si>
    <t>Action PCO /IT Project Officer</t>
  </si>
  <si>
    <t>Acting Asst. Chief/IT Project Officer</t>
  </si>
  <si>
    <t xml:space="preserve">Action PCO </t>
  </si>
  <si>
    <t>IT PCO/ISA/Comp Programmer</t>
  </si>
  <si>
    <t>IT PCO/Computer Programmer</t>
  </si>
  <si>
    <t>SMD/ SAS, ITSD</t>
  </si>
  <si>
    <t>ISR 1 (SG10) (SMD)</t>
  </si>
  <si>
    <t>SMD/ BFS, ARMD</t>
  </si>
  <si>
    <t>Budget NUP (SG10) (SMD)</t>
  </si>
  <si>
    <t>SMD/ DIDM</t>
  </si>
  <si>
    <t>SMD/ DICTM</t>
  </si>
  <si>
    <t>Information Technolofy Officer I (SG19) (ITPMD)</t>
  </si>
  <si>
    <t>IT PNCO/Computer Programmer</t>
  </si>
  <si>
    <t>AGRIPA</t>
  </si>
  <si>
    <t>PAUL KENNETH</t>
  </si>
  <si>
    <t>Comp Programmer (SG6) (ISSD)</t>
  </si>
  <si>
    <t>ISA/Computer Programmer (SG18)</t>
  </si>
  <si>
    <t>OIC, OISS (SG18)</t>
  </si>
  <si>
    <t>Comp. Programmer (SG15)</t>
  </si>
  <si>
    <t>Computer Porgrammer (SG11)</t>
  </si>
  <si>
    <t>ASCS/OAC, SMD</t>
  </si>
  <si>
    <t>Comp Programmer (SG11)</t>
  </si>
  <si>
    <t>Chief, ITSD (SG24)</t>
  </si>
  <si>
    <t>Duty PCO</t>
  </si>
  <si>
    <t>09277783443</t>
  </si>
  <si>
    <t>ITSD/DC</t>
  </si>
  <si>
    <t>Duty PNCO/Technical Asssistance</t>
  </si>
  <si>
    <t>ITSD/PIO</t>
  </si>
  <si>
    <t>ITSD/PCC-DO</t>
  </si>
  <si>
    <t>ROMUALDO JULES OSMUND</t>
  </si>
  <si>
    <t>CAMPOSANO</t>
  </si>
  <si>
    <t>Action PNCO/Server Administrator</t>
  </si>
  <si>
    <t>ITSD/IAS</t>
  </si>
  <si>
    <t>Administrative Asst I/
Technical Assistance (SG7)</t>
  </si>
  <si>
    <t>ITSD/DICTM</t>
  </si>
  <si>
    <t>Administrative Assistant III (SG9) (ITSD)</t>
  </si>
  <si>
    <t>NORMAN JAMES</t>
  </si>
  <si>
    <t>LOVETE</t>
  </si>
  <si>
    <t>ITSD/CSG-FEO</t>
  </si>
  <si>
    <t>IT NUP/Technical Assistance (SG9)</t>
  </si>
  <si>
    <t>FABIAN</t>
  </si>
  <si>
    <t>KHEN</t>
  </si>
  <si>
    <t>GOBANGCO</t>
  </si>
  <si>
    <t>ILDEFONSO</t>
  </si>
  <si>
    <t>JANN ARLY</t>
  </si>
  <si>
    <t>AROCENA</t>
  </si>
  <si>
    <t>LEGASPI</t>
  </si>
  <si>
    <t>RAYBEN</t>
  </si>
  <si>
    <t>Administrative Aide VI (SG7) (DMD)</t>
  </si>
  <si>
    <t>Administrative Assistant VI (SG12) (ITSD)</t>
  </si>
  <si>
    <t>#ERROR!</t>
  </si>
  <si>
    <t>IT NUP</t>
  </si>
  <si>
    <t>ZAFE</t>
  </si>
  <si>
    <t>PRINCE ANDREI</t>
  </si>
  <si>
    <t>PCC-SR, ITSD/PRO9</t>
  </si>
  <si>
    <t>Supervising Officer/ IT Project Officer</t>
  </si>
  <si>
    <t>Chief Clerk/Duty PNCO</t>
  </si>
  <si>
    <t>Duty PNCO/IT PNCO</t>
  </si>
  <si>
    <t>Computer File Librarian (SG8)</t>
  </si>
  <si>
    <t>Administrative  Assistant I(SG8)</t>
  </si>
  <si>
    <t>Administrative Aide VI (SG11)</t>
  </si>
  <si>
    <t>Chief , IT Help Desk/OIC,  SAS</t>
  </si>
  <si>
    <t>Acting Chief, ISSD</t>
  </si>
  <si>
    <t>0660 Sto Niño St., Old Sta. Mesa, Barangay 598, Manila</t>
  </si>
  <si>
    <t>09228272703</t>
  </si>
  <si>
    <t>ISSD/SMD</t>
  </si>
  <si>
    <t>Asst. C, ISSD/OIC, SMD</t>
  </si>
  <si>
    <t>ISSD/FS</t>
  </si>
  <si>
    <t>IT NUP/ Technical Assistance (SG17)</t>
  </si>
  <si>
    <t>ISSD/DPRM</t>
  </si>
  <si>
    <t>IT NUP (SG9)/IT NUP</t>
  </si>
  <si>
    <t>Section Chief, WSAS (SG16)</t>
  </si>
  <si>
    <t>Chief Clerk/OIC Section Chief</t>
  </si>
  <si>
    <t>PNCO Support Staff</t>
  </si>
  <si>
    <t>Information System Researcher I (SG10)</t>
  </si>
  <si>
    <t xml:space="preserve">DIMACULANGAN </t>
  </si>
  <si>
    <t>PAUL JANSEN</t>
  </si>
  <si>
    <t>Section Chief, ITSS</t>
  </si>
  <si>
    <t>CABALLA</t>
  </si>
  <si>
    <t>CALLAO</t>
  </si>
  <si>
    <t>Administrative Assistant I (SG7) (DMD)</t>
  </si>
  <si>
    <t>Section Chief, ISCS (SG17)</t>
  </si>
  <si>
    <t>Chief, PTD</t>
  </si>
  <si>
    <t>PARAZO</t>
  </si>
  <si>
    <t>MA. REGINA</t>
  </si>
  <si>
    <t>RABINA</t>
  </si>
  <si>
    <t>TALLONGAN</t>
  </si>
  <si>
    <t>MADELIENE</t>
  </si>
  <si>
    <t>GUILLO</t>
  </si>
  <si>
    <t>C, PRS</t>
  </si>
  <si>
    <t>Action PNCO/Planning Officer</t>
  </si>
  <si>
    <t>Chief, TSS/Planning Officer</t>
  </si>
  <si>
    <t>Action PNCO,Training Support Section</t>
  </si>
  <si>
    <t>OIC, Training Section/Training Officer</t>
  </si>
  <si>
    <t>Chief, DMD</t>
  </si>
  <si>
    <t>DMD/PCC-DO</t>
  </si>
  <si>
    <t>Duty PCO/IT PCO</t>
  </si>
  <si>
    <t>DMD/PSMU</t>
  </si>
  <si>
    <t>DMD/PRO11</t>
  </si>
  <si>
    <t>GO</t>
  </si>
  <si>
    <t>ROSWELL</t>
  </si>
  <si>
    <t>MACALOM</t>
  </si>
  <si>
    <t>Asst. Chief, DMD(SG19)</t>
  </si>
  <si>
    <t xml:space="preserve">GALBAN </t>
  </si>
  <si>
    <t>JANE</t>
  </si>
  <si>
    <t>DAS, DMD/PSMU</t>
  </si>
  <si>
    <t>Verifier/Encoder (SG9)</t>
  </si>
  <si>
    <t>DWBIS, DMD/PSMU</t>
  </si>
  <si>
    <t>Chief, DWBIS/C, SRS, PSMU</t>
  </si>
  <si>
    <t>Data Controller  (SG7)</t>
  </si>
  <si>
    <t>Schooling/Non-Duty Status/No Unit Assign.</t>
  </si>
  <si>
    <t>NASU</t>
  </si>
  <si>
    <t>NOSU</t>
  </si>
  <si>
    <t>PAOCC</t>
  </si>
  <si>
    <t>APC
 SL/NL/
VIS/WM</t>
  </si>
  <si>
    <t>SAF/
AVSEGROUP</t>
  </si>
  <si>
    <t>PROs</t>
  </si>
  <si>
    <t>ALPHA LIST</t>
  </si>
  <si>
    <t>STATUS</t>
  </si>
  <si>
    <t>BADGE 
NO/SG</t>
  </si>
  <si>
    <t>LAST NAME</t>
  </si>
  <si>
    <t>FIRST NAME</t>
  </si>
  <si>
    <t>QUAL.</t>
  </si>
  <si>
    <t>AGE TO DATE</t>
  </si>
  <si>
    <t>Birthdate</t>
  </si>
  <si>
    <t>AGE OF SERVICE TO DATE</t>
  </si>
  <si>
    <t>DES (UP)</t>
  </si>
  <si>
    <t>PNCO</t>
  </si>
  <si>
    <t>PERM</t>
  </si>
  <si>
    <t>O-36665</t>
  </si>
  <si>
    <t>O-37277</t>
  </si>
  <si>
    <t>O-36426</t>
  </si>
  <si>
    <t>DMD/DO</t>
  </si>
  <si>
    <t>O-22470</t>
  </si>
  <si>
    <t>O-36666</t>
  </si>
  <si>
    <t>O-36719</t>
  </si>
  <si>
    <t>ITSD/ DICTM</t>
  </si>
  <si>
    <t>O-12566</t>
  </si>
  <si>
    <t>O-13539</t>
  </si>
  <si>
    <t>O-36427</t>
  </si>
  <si>
    <t>O-29043</t>
  </si>
  <si>
    <t>O-16853</t>
  </si>
  <si>
    <t>SANTI  RAYMUND</t>
  </si>
  <si>
    <t>Personnel Staff/PAIS Encoder</t>
  </si>
  <si>
    <t>O-29033</t>
  </si>
  <si>
    <t>O-16848</t>
  </si>
  <si>
    <t>Supervising Officer/IT Project Officer</t>
  </si>
  <si>
    <t>O-36667</t>
  </si>
  <si>
    <t>O-20596</t>
  </si>
  <si>
    <t>O-31679</t>
  </si>
  <si>
    <t xml:space="preserve">ADRIAN </t>
  </si>
  <si>
    <t>O-16857</t>
  </si>
  <si>
    <t>C, LS/C,IHSS/Asst. C, BFS/ITPO</t>
  </si>
  <si>
    <t>O-37278</t>
  </si>
  <si>
    <t>Planning Officer (SG10)</t>
  </si>
  <si>
    <t>O-37877</t>
  </si>
  <si>
    <t>O-36428</t>
  </si>
  <si>
    <t>O-20399</t>
  </si>
  <si>
    <t>O-36668</t>
  </si>
  <si>
    <t>O-36429</t>
  </si>
  <si>
    <t>O-36430</t>
  </si>
  <si>
    <t>O-16840</t>
  </si>
  <si>
    <t>O-36729</t>
  </si>
  <si>
    <t>PHIL JUERGEN</t>
  </si>
  <si>
    <t>O-29040</t>
  </si>
  <si>
    <t>O-31677</t>
  </si>
  <si>
    <t>O-37885</t>
  </si>
  <si>
    <t>O-31678</t>
  </si>
  <si>
    <t>O-36716</t>
  </si>
  <si>
    <t>O-22469</t>
  </si>
  <si>
    <t>O-31681</t>
  </si>
  <si>
    <t>O-29035</t>
  </si>
  <si>
    <t>O-31685</t>
  </si>
  <si>
    <t>Personnel Staff (SG6)</t>
  </si>
  <si>
    <t>O-37279</t>
  </si>
  <si>
    <t>Information System Research I (SG10)</t>
  </si>
  <si>
    <t>O-37280</t>
  </si>
  <si>
    <t>O-31689</t>
  </si>
  <si>
    <t>O-20398</t>
  </si>
  <si>
    <t>0-09144</t>
  </si>
  <si>
    <t>RUBEN</t>
  </si>
  <si>
    <t>O-36717</t>
  </si>
  <si>
    <t>O-36669</t>
  </si>
  <si>
    <t>O-31683</t>
  </si>
  <si>
    <t>O-36670</t>
  </si>
  <si>
    <t>400031</t>
  </si>
  <si>
    <t>O-36431</t>
  </si>
  <si>
    <t>O-29032</t>
  </si>
  <si>
    <t>PRO 4A</t>
  </si>
  <si>
    <t>O-37886</t>
  </si>
  <si>
    <t>O-36433</t>
  </si>
  <si>
    <t>O-36671</t>
  </si>
  <si>
    <t>O-22474</t>
  </si>
  <si>
    <t>O-36434</t>
  </si>
  <si>
    <t>RUBU ROSE</t>
  </si>
  <si>
    <t>O-31680</t>
  </si>
  <si>
    <t>PAUL KEVIN</t>
  </si>
  <si>
    <t>Romualdo Jules Osmund</t>
  </si>
  <si>
    <t>Camposano</t>
  </si>
  <si>
    <t>O-36435</t>
  </si>
  <si>
    <t>O-37884</t>
  </si>
  <si>
    <t>O-16844</t>
  </si>
  <si>
    <t>O-36672</t>
  </si>
  <si>
    <t>O-29037</t>
  </si>
  <si>
    <t>O-12562</t>
  </si>
  <si>
    <t>8/291997</t>
  </si>
  <si>
    <t>O-37883</t>
  </si>
  <si>
    <t>O-20591</t>
  </si>
  <si>
    <t>O-22473</t>
  </si>
  <si>
    <t>O-29051</t>
  </si>
  <si>
    <t>O-37281</t>
  </si>
  <si>
    <t>CARTAGEÑA</t>
  </si>
  <si>
    <t>O-12564</t>
  </si>
  <si>
    <t>O-29038</t>
  </si>
  <si>
    <t>0-36439</t>
  </si>
  <si>
    <t>375631</t>
  </si>
  <si>
    <t>O-36673</t>
  </si>
  <si>
    <t xml:space="preserve">MISCHELL </t>
  </si>
  <si>
    <t>O-36436</t>
  </si>
  <si>
    <t>O-29036</t>
  </si>
  <si>
    <t>O-37282</t>
  </si>
  <si>
    <t>O-37283</t>
  </si>
  <si>
    <t>375632</t>
  </si>
  <si>
    <t>O-29048</t>
  </si>
  <si>
    <t>375633</t>
  </si>
  <si>
    <t>O-09147</t>
  </si>
  <si>
    <t>O-37338</t>
  </si>
  <si>
    <t>O-36718</t>
  </si>
  <si>
    <t>O-36438</t>
  </si>
  <si>
    <t>O-20585</t>
  </si>
  <si>
    <t>O-18016</t>
  </si>
  <si>
    <t>O-29050</t>
  </si>
  <si>
    <t>O-20396</t>
  </si>
  <si>
    <t>FARINAS</t>
  </si>
  <si>
    <t>O-13528</t>
  </si>
  <si>
    <t>O-36440</t>
  </si>
  <si>
    <t>Chief Clerk/ OIC Section Chief</t>
  </si>
  <si>
    <t>O-13529</t>
  </si>
  <si>
    <t>No Unit Assignment</t>
  </si>
  <si>
    <t>O-37879</t>
  </si>
  <si>
    <t>O-36720</t>
  </si>
  <si>
    <t>340829</t>
  </si>
  <si>
    <t>MADRIAGA</t>
  </si>
  <si>
    <t>ITPMD/ PHAS(DICTM)</t>
  </si>
  <si>
    <t>O-36721</t>
  </si>
  <si>
    <t>JEOVEN</t>
  </si>
  <si>
    <t>O-36441</t>
  </si>
  <si>
    <t>ITPMD (ES)/(DL)</t>
  </si>
  <si>
    <t>0-37882</t>
  </si>
  <si>
    <t>EDITHA</t>
  </si>
  <si>
    <t>LOVELY KATE</t>
  </si>
  <si>
    <t>O-37284</t>
  </si>
  <si>
    <t>ITPMD (CSG)/(CSG-SOSIA)</t>
  </si>
  <si>
    <t>O-36442</t>
  </si>
  <si>
    <t>O-31684</t>
  </si>
  <si>
    <t>O-16843</t>
  </si>
  <si>
    <t>O-37880</t>
  </si>
  <si>
    <t>Duty PNCO/Technical Assistance</t>
  </si>
  <si>
    <t>Asst. Chief, DMD (SG19)</t>
  </si>
  <si>
    <t>O-36443</t>
  </si>
  <si>
    <t>O-36682</t>
  </si>
  <si>
    <t>O-22468</t>
  </si>
  <si>
    <t>O-13532</t>
  </si>
  <si>
    <t>O-36444</t>
  </si>
  <si>
    <t>O-36445</t>
  </si>
  <si>
    <t>O-36675</t>
  </si>
  <si>
    <t>ZARATE</t>
  </si>
  <si>
    <t>O-36446</t>
  </si>
  <si>
    <t>O-29034</t>
  </si>
  <si>
    <t>O-37887</t>
  </si>
  <si>
    <t>O-36676</t>
  </si>
  <si>
    <t>O-37337</t>
  </si>
  <si>
    <t>O-16842</t>
  </si>
  <si>
    <t>Asst Chief, RICTMD/ITPO</t>
  </si>
  <si>
    <t>JEA N</t>
  </si>
  <si>
    <t>O-36447</t>
  </si>
  <si>
    <t>O-36722</t>
  </si>
  <si>
    <t>O-31690</t>
  </si>
  <si>
    <t>O-36674</t>
  </si>
  <si>
    <t>O-37285</t>
  </si>
  <si>
    <t xml:space="preserve"> ITSD/ PHAS(DICTM)</t>
  </si>
  <si>
    <t>O-22464</t>
  </si>
  <si>
    <t xml:space="preserve">JOEY </t>
  </si>
  <si>
    <t>O-36448</t>
  </si>
  <si>
    <t>AARON</t>
  </si>
  <si>
    <t>O-16845</t>
  </si>
  <si>
    <t>O-36449</t>
  </si>
  <si>
    <t>O-37286</t>
  </si>
  <si>
    <t>O-36726</t>
  </si>
  <si>
    <t>ANN JENNETH</t>
  </si>
  <si>
    <t>O-36450</t>
  </si>
  <si>
    <t>O-29031</t>
  </si>
  <si>
    <t>O-29052</t>
  </si>
  <si>
    <t>O-36451</t>
  </si>
  <si>
    <t>JOEDHELL LLOYD</t>
  </si>
  <si>
    <t>O-29041</t>
  </si>
  <si>
    <t>O-36452</t>
  </si>
  <si>
    <t>O-36453</t>
  </si>
  <si>
    <t>O-37287</t>
  </si>
  <si>
    <t>O-36679</t>
  </si>
  <si>
    <t>O-37288</t>
  </si>
  <si>
    <t>JEPTHE</t>
  </si>
  <si>
    <t>O-20597</t>
  </si>
  <si>
    <t>0-08161</t>
  </si>
  <si>
    <t>O-16850</t>
  </si>
  <si>
    <t>O-37888</t>
  </si>
  <si>
    <t>O-29047</t>
  </si>
  <si>
    <t>ITPMD(NPD)</t>
  </si>
  <si>
    <t>O-36455</t>
  </si>
  <si>
    <t>SININGUIAN</t>
  </si>
  <si>
    <t>O-37289</t>
  </si>
  <si>
    <t>O-09217</t>
  </si>
  <si>
    <t>Data Controller  (SG6)</t>
  </si>
  <si>
    <t xml:space="preserve">JESSA KRIS </t>
  </si>
  <si>
    <t>O-36678</t>
  </si>
  <si>
    <t>O-36723</t>
  </si>
  <si>
    <t>O-16851</t>
  </si>
  <si>
    <t>ANALYN</t>
  </si>
  <si>
    <t>Asst. Chief, RICTMD/ITPO</t>
  </si>
  <si>
    <t>O-36724</t>
  </si>
  <si>
    <t>O-36456</t>
  </si>
  <si>
    <t>O-36725</t>
  </si>
  <si>
    <t>O-36680</t>
  </si>
  <si>
    <t>O-36457</t>
  </si>
  <si>
    <t>O-37881</t>
  </si>
  <si>
    <t>O-38428</t>
  </si>
  <si>
    <t>O-31693</t>
  </si>
  <si>
    <t>PAT</t>
  </si>
  <si>
    <t>O-20590</t>
  </si>
  <si>
    <t>O-16846</t>
  </si>
  <si>
    <t>O-16852</t>
  </si>
  <si>
    <t>Asst Chief, RICTMD/ITPO IAS</t>
  </si>
  <si>
    <t>217389</t>
  </si>
  <si>
    <t xml:space="preserve"> </t>
  </si>
  <si>
    <t>0-20598</t>
  </si>
  <si>
    <t xml:space="preserve">SHERWIN </t>
  </si>
  <si>
    <t>ISA/Computer Programmer (SG15)</t>
  </si>
  <si>
    <t>O-31691</t>
  </si>
  <si>
    <t>O-13535</t>
  </si>
  <si>
    <t>PHILIP</t>
  </si>
  <si>
    <t>O-22476</t>
  </si>
  <si>
    <t>O-22467</t>
  </si>
  <si>
    <t>O-18013</t>
  </si>
  <si>
    <t>O-20397</t>
  </si>
  <si>
    <t>O-37290</t>
  </si>
  <si>
    <t>O-31692</t>
  </si>
  <si>
    <t>RAYMOND CHRISTOPHER</t>
  </si>
  <si>
    <t>Action NUP/Attendace Monitoring Officer/Focal Person</t>
  </si>
  <si>
    <t>O-31687</t>
  </si>
  <si>
    <t>O-36458</t>
  </si>
  <si>
    <t>O-37878</t>
  </si>
  <si>
    <t>O-12561</t>
  </si>
  <si>
    <t>O-37291</t>
  </si>
  <si>
    <t>O-29049</t>
  </si>
  <si>
    <t>O-36459</t>
  </si>
  <si>
    <t>Schooling (PSSLC)</t>
  </si>
  <si>
    <t>O-31676</t>
  </si>
  <si>
    <t>23/2012</t>
  </si>
  <si>
    <t>0-12467</t>
  </si>
  <si>
    <t>O-31682</t>
  </si>
  <si>
    <t>O-31688</t>
  </si>
  <si>
    <t>O-29039</t>
  </si>
  <si>
    <t>O-16841</t>
  </si>
  <si>
    <t>ODDA/ ITPMD (PRO13)</t>
  </si>
  <si>
    <t>O-36461</t>
  </si>
  <si>
    <t>375992</t>
  </si>
  <si>
    <t>O-36462</t>
  </si>
  <si>
    <t>O-36463</t>
  </si>
  <si>
    <t>RACHEL</t>
  </si>
  <si>
    <t>O-38445</t>
  </si>
  <si>
    <t>SMD/ PHAS(DICTM)</t>
  </si>
  <si>
    <t>O-36727</t>
  </si>
  <si>
    <t>O-36728</t>
  </si>
  <si>
    <t>O-36681</t>
  </si>
  <si>
    <t>O-20588</t>
  </si>
  <si>
    <t>LENGTH OF SERVICE TO DATE</t>
  </si>
  <si>
    <t>REMARKS</t>
  </si>
  <si>
    <t>62 years, 10 month(s), 13 day(s)</t>
  </si>
  <si>
    <t>Admin Asst/Liaison (SG7)</t>
  </si>
  <si>
    <t>42 years, 6 month(s), 14 day(s)</t>
  </si>
  <si>
    <t>51 years, 10 month(s), 3 day(s)</t>
  </si>
  <si>
    <t>O-22471</t>
  </si>
  <si>
    <t>ALABADO</t>
  </si>
  <si>
    <t>AURELIO</t>
  </si>
  <si>
    <t>PERITO</t>
  </si>
  <si>
    <t>48 years, 0 month(s), 12 day(s)</t>
  </si>
  <si>
    <t>58 years, 10 month(s), 16 day(s)</t>
  </si>
  <si>
    <t>46 years, 3 month(s), 3 day(s)</t>
  </si>
  <si>
    <t>Chief, ICTMD, PNPA</t>
  </si>
  <si>
    <t>47 years, 3 month(s), 12 day(s)</t>
  </si>
  <si>
    <t>53 years, 3 month(s), 4 day(s)</t>
  </si>
  <si>
    <t>from DPRM</t>
  </si>
  <si>
    <t>47 years, 5 month(s), 21 day(s)</t>
  </si>
  <si>
    <t>47 years, 9 month(s), 0 day(s)</t>
  </si>
  <si>
    <t>51 years, 7 month(s), 16 day(s)</t>
  </si>
  <si>
    <t>45 years, 11 month(s), 26 day(s)</t>
  </si>
  <si>
    <t>LS/IHSSPRO12</t>
  </si>
  <si>
    <t>C, Logistics/C,IHSS /IT Project Officer</t>
  </si>
  <si>
    <t>41 years, 5 month(s), 14 day(s)</t>
  </si>
  <si>
    <t>52 years, 5 month(s), 1 day(s)</t>
  </si>
  <si>
    <t>50 years, 7 month(s), 23 day(s)</t>
  </si>
  <si>
    <t>63 years, 6 month(s), 25 day(s)</t>
  </si>
  <si>
    <t>52 years, 3 month(s), 19 day(s)</t>
  </si>
  <si>
    <t>48 years, 6 month(s), 30 day(s)</t>
  </si>
  <si>
    <t>45 years, 9 month(s), 14 day(s)</t>
  </si>
  <si>
    <t>from DO</t>
  </si>
  <si>
    <t>48 years, 5 month(s), 9 day(s)</t>
  </si>
  <si>
    <t>37 years, 4 month(s), 30 day(s)</t>
  </si>
  <si>
    <t>46 years, 0 month(s), 12 day(s)</t>
  </si>
  <si>
    <t>44 years, 3 month(s), 12 day(s)</t>
  </si>
  <si>
    <t>O-09144</t>
  </si>
  <si>
    <t>55 years, 0 month(s), 26 day(s)</t>
  </si>
  <si>
    <t>OIC, ITPMD/PCC Overall Supervisor</t>
  </si>
  <si>
    <t>O-20592</t>
  </si>
  <si>
    <t>BURDEOS</t>
  </si>
  <si>
    <t>ENRIQUE</t>
  </si>
  <si>
    <t>COSICOL</t>
  </si>
  <si>
    <t>46 years, 7 month(s), 25 day(s)</t>
  </si>
  <si>
    <t>ITPMD (DI/PRO9)</t>
  </si>
  <si>
    <t>40 years, 2 month(s), 23 day(s)</t>
  </si>
  <si>
    <t>46 years, 7 month(s), 13 day(s)</t>
  </si>
  <si>
    <t>57 years, 3 month(s), 20 day(s)</t>
  </si>
  <si>
    <t>Utility Supervisor (SG1)</t>
  </si>
  <si>
    <t>44 years, 4 month(s), 28 day(s)</t>
  </si>
  <si>
    <t>OIC, ITSD/IT Project Officer</t>
  </si>
  <si>
    <t>59 years, 5 month(s), 9 day(s)</t>
  </si>
  <si>
    <t>51 years, 0 month(s), 8 day(s)</t>
  </si>
  <si>
    <t>Acting Chief, RCDD</t>
  </si>
  <si>
    <t>49 years, 1 month(s), 2 day(s)</t>
  </si>
  <si>
    <t>48 years, 1 month(s), 8 day(s)</t>
  </si>
  <si>
    <t>PHAS (RICTMD PRO8)</t>
  </si>
  <si>
    <t>50 years, 6 month(s), 15 day(s)</t>
  </si>
  <si>
    <t>55 years, 8 month(s), 24 day(s)</t>
  </si>
  <si>
    <t>61 years, 1 month(s), 19 day(s)</t>
  </si>
  <si>
    <t>48 years, 6 month(s), 8 day(s)</t>
  </si>
  <si>
    <t>50 years, 4 month(s), 25 day(s)</t>
  </si>
  <si>
    <t>61 years, 4 month(s), 1 day(s)</t>
  </si>
  <si>
    <t>41 years, 9 month(s), 9 day(s)</t>
  </si>
  <si>
    <t>51 years, 9 month(s), 19 day(s)</t>
  </si>
  <si>
    <t>44 years, 5 month(s), 11 day(s)</t>
  </si>
  <si>
    <t>54 years, 10 month(s), 8 day(s)</t>
  </si>
  <si>
    <t>58 years, 10 month(s), 28 day(s)</t>
  </si>
  <si>
    <t>O-12563</t>
  </si>
  <si>
    <t>EUBRA</t>
  </si>
  <si>
    <t>FELIZARDO</t>
  </si>
  <si>
    <t>53 years, 7 month(s), 26 day(s)</t>
  </si>
  <si>
    <t>Command intsruction</t>
  </si>
  <si>
    <t>52 years, 4 month(s), 20 day(s)</t>
  </si>
  <si>
    <t>46 years, 9 month(s), 15 day(s)</t>
  </si>
  <si>
    <t>54 years, 6 month(s), 30 day(s)</t>
  </si>
  <si>
    <t>46 years, 10 month(s), 4 day(s)</t>
  </si>
  <si>
    <t>43 years, 10 month(s), 30 day(s)</t>
  </si>
  <si>
    <t>47 years, 10 month(s), 28 day(s)</t>
  </si>
  <si>
    <t>52 years, 1 month(s), 12 day(s)</t>
  </si>
  <si>
    <t>O-13530</t>
  </si>
  <si>
    <t>GARMA</t>
  </si>
  <si>
    <t xml:space="preserve">CHARLES </t>
  </si>
  <si>
    <t>MARZAN</t>
  </si>
  <si>
    <t>51 years, 4 month(s), 14 day(s)</t>
  </si>
  <si>
    <t>Non Duty Status</t>
  </si>
  <si>
    <t>49 years, 11 month(s), 24 day(s)</t>
  </si>
  <si>
    <t>ESPO</t>
  </si>
  <si>
    <t>61 years, 4 month(s), 28 day(s)</t>
  </si>
  <si>
    <t>from IAS</t>
  </si>
  <si>
    <t>43 years, 4 month(s), 4 day(s)</t>
  </si>
  <si>
    <t>Chief Clerk</t>
  </si>
  <si>
    <t>45 years, 2 month(s), 18 day(s)</t>
  </si>
  <si>
    <t>42 years, 5 month(s), 10 day(s)</t>
  </si>
  <si>
    <t>42 years, 3 month(s), 10 day(s)</t>
  </si>
  <si>
    <t>50 years, 2 month(s), 1 day(s)</t>
  </si>
  <si>
    <t>ITPMD (PCC-DO/RICTMD PRO12)</t>
  </si>
  <si>
    <t>IT Project Officer/PCC Supervisor</t>
  </si>
  <si>
    <t>45 years, 3 month(s), 22 day(s)</t>
  </si>
  <si>
    <t>51 years, 1 month(s), 14 day(s)</t>
  </si>
  <si>
    <t>Acting Chief, DMD</t>
  </si>
  <si>
    <t>54 years, 5 month(s), 3 day(s)</t>
  </si>
  <si>
    <t>51 years, 7 month(s), 27 day(s)</t>
  </si>
  <si>
    <t>55 years, 2 month(s), 10 day(s)</t>
  </si>
  <si>
    <t>40 years, 4 month(s), 9 day(s)</t>
  </si>
  <si>
    <t>51 years, 0 month(s), 12 day(s)</t>
  </si>
  <si>
    <t>59 years, 9 month(s), 17 day(s)</t>
  </si>
  <si>
    <t>43 years, 4 month(s), 27 day(s)</t>
  </si>
  <si>
    <t>48 years, 2 month(s), 8 day(s)</t>
  </si>
  <si>
    <t>60 years, 7 month(s), 7 day(s)</t>
  </si>
  <si>
    <t>45 years, 11 month(s), 29 day(s)</t>
  </si>
  <si>
    <t>43 years, 2 month(s), 8 day(s)</t>
  </si>
  <si>
    <t>52 years, 2 month(s), 3 day(s)</t>
  </si>
  <si>
    <t>Sr. Administrative Asst. I (SG13)</t>
  </si>
  <si>
    <t>60 years, 3 month(s), 4 day(s)</t>
  </si>
  <si>
    <t>52 years, 6 month(s), 3 day(s)</t>
  </si>
  <si>
    <t>46 years, 11 month(s), 19 day(s)</t>
  </si>
  <si>
    <t>Chief, Clerk</t>
  </si>
  <si>
    <t>49 years, 4 month(s), 24 day(s)</t>
  </si>
  <si>
    <t>48 years, 8 month(s), 6 day(s)</t>
  </si>
  <si>
    <t>57 years, 11 month(s), 28 day(s)</t>
  </si>
  <si>
    <t>Sr. Admi Asst. ISG13)</t>
  </si>
  <si>
    <t>29 years, 3 month(s), 10 day(s)</t>
  </si>
  <si>
    <t>41 years, 6 month(s), 22 day(s)</t>
  </si>
  <si>
    <t>64 years, 6 month(s), 27 day(s)</t>
  </si>
  <si>
    <t>59 years, 10 month(s), 24 day(s)</t>
  </si>
  <si>
    <t>43 years, 8 month(s), 22 day(s)</t>
  </si>
  <si>
    <t>OIC, PRS</t>
  </si>
  <si>
    <t>48 years, 4 month(s), 18 day(s)</t>
  </si>
  <si>
    <t>59 years, 6 month(s), 2 day(s)</t>
  </si>
  <si>
    <t>38 years, 3 month(s), 23 day(s)</t>
  </si>
  <si>
    <t>51 years, 11 month(s), 11 day(s)</t>
  </si>
  <si>
    <t>ITPMD (PROA/MG)</t>
  </si>
  <si>
    <t>43 years, 3 month(s), 2 day(s)</t>
  </si>
  <si>
    <t>46 years, 9 month(s), 16 day(s)</t>
  </si>
  <si>
    <t>47 years, 4 month(s), 21 day(s)</t>
  </si>
  <si>
    <t>51 years, 4 month(s), 1 day(s)</t>
  </si>
  <si>
    <t>63 years, 3 month(s), 11 day(s)</t>
  </si>
  <si>
    <t>30 years, 6 month(s), 2 day(s)</t>
  </si>
  <si>
    <t>48 years, 9 month(s), 9 day(s)</t>
  </si>
  <si>
    <t>55 years, 6 month(s), 15 day(s)</t>
  </si>
  <si>
    <t>47 years, 10 month(s), 12 day(s)</t>
  </si>
  <si>
    <t>PHAS (RICTMD PRO4A/PRO4A)</t>
  </si>
  <si>
    <t>O-22465</t>
  </si>
  <si>
    <t>PAUL DWIGHT</t>
  </si>
  <si>
    <t>52 years, 2 month(s), 8 day(s)</t>
  </si>
  <si>
    <t>46 years, 1 month(s), 6 day(s)</t>
  </si>
  <si>
    <t>63 years, 7 month(s), 24 day(s)</t>
  </si>
  <si>
    <t>55 years, 4 month(s), 26 day(s)</t>
  </si>
  <si>
    <t>53 years, 10 month(s), 14 day(s)</t>
  </si>
  <si>
    <t>61 years, 5 month(s), 29 day(s)</t>
  </si>
  <si>
    <t>50 years, 8 month(s), 14 day(s)</t>
  </si>
  <si>
    <t>50 years, 0 month(s), 29 day(s)</t>
  </si>
  <si>
    <t>46 years, 7 month(s), 24 day(s)</t>
  </si>
  <si>
    <t>OIC, SMD/Asst. Chief, RICTMD</t>
  </si>
  <si>
    <t>48 years, 10 month(s), 6 day(s)</t>
  </si>
  <si>
    <t>Awaiting for reassignment</t>
  </si>
  <si>
    <t>56 years, 2 month(s), 10 day(s)</t>
  </si>
  <si>
    <t>51 years, 5 month(s), 3 day(s)</t>
  </si>
  <si>
    <t>50 years, 10 month(s), 26 day(s)</t>
  </si>
  <si>
    <t>Asst. Chief, ICTMD, PNPA</t>
  </si>
  <si>
    <t>51 years, 2 month(s), 16 day(s)</t>
  </si>
  <si>
    <t>52 years, 11 month(s), 4 day(s)</t>
  </si>
  <si>
    <t>ITPMD (CPSM/OCPNP/ISSD)</t>
  </si>
  <si>
    <t>IT Project Officer/OIC, ISSD</t>
  </si>
  <si>
    <t>47 years, 7 month(s), 14 day(s)</t>
  </si>
  <si>
    <t>49 years, 7 month(s), 3 day(s)</t>
  </si>
  <si>
    <t>48 years, 0 month(s), 0 day(s)</t>
  </si>
  <si>
    <t>Asst. Chief, ISSD</t>
  </si>
  <si>
    <t>57 years, 2 month(s), 27 day(s)</t>
  </si>
  <si>
    <t>49 years, 10 month(s), 18 day(s)</t>
  </si>
  <si>
    <t>52 years, 8 month(s), 16 day(s)</t>
  </si>
  <si>
    <t>43 years, 9 month(s), 28 day(s)</t>
  </si>
  <si>
    <t>43 years, 11 month(s), 3 day(s)</t>
  </si>
  <si>
    <t>61 years, 0 month(s), 22 day(s)</t>
  </si>
  <si>
    <t>42 years, 3 month(s), 28 day(s)</t>
  </si>
  <si>
    <t>54 years, 9 month(s), 2 day(s)</t>
  </si>
  <si>
    <t>46 years, 0 month(s), 8 day(s)</t>
  </si>
  <si>
    <t>46 years, 3 month(s), 27 day(s)</t>
  </si>
  <si>
    <t>45 years, 5 month(s), 25 day(s)</t>
  </si>
  <si>
    <t>O-12553</t>
  </si>
  <si>
    <t>FROILAN  GENN</t>
  </si>
  <si>
    <t>54 years, 10 month(s), 5 day(s)</t>
  </si>
  <si>
    <t>Acting, DDA/DI</t>
  </si>
  <si>
    <t>44 years, 11 month(s), 30 day(s)</t>
  </si>
  <si>
    <t>OIC, Asst. Chief/ITPO</t>
  </si>
  <si>
    <t>54 years, 9 month(s), 0 day(s)</t>
  </si>
  <si>
    <t>42 years, 6 month(s), 18 day(s)</t>
  </si>
  <si>
    <t>50 years, 11 month(s), 6 day(s)</t>
  </si>
  <si>
    <t>42 years, 0 month(s), 7 day(s)</t>
  </si>
  <si>
    <t>51 years, 3 month(s), 8 day(s)</t>
  </si>
  <si>
    <t>49 years, 9 month(s), 23 day(s)</t>
  </si>
  <si>
    <t>45 years, 0 month(s), 12 day(s)</t>
  </si>
  <si>
    <t>46 years, 3 month(s), 19 day(s)</t>
  </si>
  <si>
    <t>CRAME-BASED 2ND LEVEL ITMS PCOs</t>
  </si>
  <si>
    <t>LS/IHSSPRO10</t>
  </si>
  <si>
    <t>ITPMD (BFS/WCPC)</t>
  </si>
  <si>
    <t>ITSD/PRO BAR</t>
  </si>
  <si>
    <t>ITPMD (PRO CAR/PCC Server Farm/DPRM)</t>
  </si>
  <si>
    <t>PHAS (DICTM/RICTMD PRO 12)</t>
  </si>
  <si>
    <t>ITPMD (CPSM/OCPNP/SMD)</t>
  </si>
  <si>
    <t>ITPMD/ITSD</t>
  </si>
  <si>
    <t>UMALI</t>
  </si>
  <si>
    <t>IGNACIO JOSE</t>
  </si>
  <si>
    <t>LICUD</t>
  </si>
  <si>
    <t>ARMD/DO</t>
  </si>
  <si>
    <t>Camp BGen Rafael T Crame, Quezon City</t>
  </si>
  <si>
    <t>RANK PROFILE</t>
  </si>
  <si>
    <t>(as of June 3, 2024)</t>
  </si>
  <si>
    <t>PCOs</t>
  </si>
  <si>
    <t>AUTHORIZED STRENGTH
(Approved Restructuring)</t>
  </si>
  <si>
    <t>EARMARKED TO ITMS</t>
  </si>
  <si>
    <t>TOTAL
DICTM/PNPA EARMARKED TO ITMS</t>
  </si>
  <si>
    <t>TOTAL AUTHORIZED STRENGTH</t>
  </si>
  <si>
    <t>ACTUAL   STRENGTH</t>
  </si>
  <si>
    <t>VARIANCE</t>
  </si>
  <si>
    <t>DICTM</t>
  </si>
  <si>
    <t>RICTMD</t>
  </si>
  <si>
    <t>PNPA</t>
  </si>
  <si>
    <t>OCPNP</t>
  </si>
  <si>
    <t>Police Brigadier General</t>
  </si>
  <si>
    <t>Police Major</t>
  </si>
  <si>
    <t>Police Captain</t>
  </si>
  <si>
    <t>Police Lieutenant</t>
  </si>
  <si>
    <t>TOTAL NUMBER OF PCOs</t>
  </si>
  <si>
    <t>PNCOs</t>
  </si>
  <si>
    <t>PNPA/OCPNP EARMARKED TO ITMS</t>
  </si>
  <si>
    <t>Police Executive Master Sergeant</t>
  </si>
  <si>
    <t>Police Chief Master Sergeant</t>
  </si>
  <si>
    <t>Police Senior Master Sergeant</t>
  </si>
  <si>
    <t>Police Master Sergeant</t>
  </si>
  <si>
    <t>Police Staff Sergeant</t>
  </si>
  <si>
    <t>Police Corporal</t>
  </si>
  <si>
    <t>P</t>
  </si>
  <si>
    <t>Patrolman/Patrolwoman</t>
  </si>
  <si>
    <t>TOTAL NUMBER OF PNCOs</t>
  </si>
  <si>
    <t>TOTAL NUMBER OF NUPs</t>
  </si>
  <si>
    <t>RECAPITULATION</t>
  </si>
  <si>
    <t>SHIRLEY MAE S ALI</t>
  </si>
  <si>
    <t>Researcher/Statistician</t>
  </si>
  <si>
    <t>Acting Chief, ARMD</t>
  </si>
  <si>
    <t>(as of March 13, 2026)</t>
  </si>
  <si>
    <t>ITMS</t>
  </si>
  <si>
    <t>RANK PROFILE BASED ON APPROVED OSSPs (with NAPOLCOM Resolution)</t>
  </si>
  <si>
    <t>TOTAL EARMARKED TO ITMS</t>
  </si>
  <si>
    <t>PPDC</t>
  </si>
  <si>
    <t>Checked by:</t>
  </si>
  <si>
    <t>Asst. Chief/C, Personnel Section, ARMD</t>
  </si>
  <si>
    <t>BREAKDOWN OF ITMS PERSONNEL</t>
  </si>
  <si>
    <t>Detailed Crame-based</t>
  </si>
  <si>
    <t>TOTAL Personnel On Detail</t>
  </si>
  <si>
    <t>GRAND
TOTAL</t>
  </si>
  <si>
    <t>On Detailed Personnel</t>
  </si>
  <si>
    <t>Command Group/
P-Staff</t>
  </si>
  <si>
    <t>PNPA/PNPTI/PNPTS</t>
  </si>
  <si>
    <t>NCRPO Districts</t>
  </si>
  <si>
    <t>Other
Agency
(CICC)</t>
  </si>
  <si>
    <t>Percentage of Personnel Deployment</t>
  </si>
  <si>
    <t>TOTAL Personnel
 On Detail</t>
  </si>
  <si>
    <t>PHAS
(Schooling/
Suspended/No Unit Assign.)</t>
  </si>
  <si>
    <t>TOTAL ORGANIC
ITMS PERSONNEL</t>
  </si>
  <si>
    <t>%</t>
  </si>
  <si>
    <t>BREAKDOWN OF ITMS HQ</t>
  </si>
  <si>
    <t>DESIGNATION ITMS HQ
(based on ITMS Restructuring)</t>
  </si>
  <si>
    <t>Authorized 
Strength</t>
  </si>
  <si>
    <t>Actual
Strength</t>
  </si>
  <si>
    <t>Variance</t>
  </si>
  <si>
    <t>Command Group (OD, ODDA,OCS, CI, PIO &amp; PSMU)</t>
  </si>
  <si>
    <t>PCO</t>
  </si>
  <si>
    <t xml:space="preserve">ITPMD </t>
  </si>
  <si>
    <t>ITMS HQ</t>
  </si>
  <si>
    <t>Planning Staff/Secretary (SG7) - Maternity Leave</t>
  </si>
  <si>
    <t>Comp. Maintenance Tech. II (SG15) - Maternity Leave</t>
  </si>
  <si>
    <t>Personnel Staff/PAIS Encoder (SG7 ) - Maternity Leave</t>
  </si>
  <si>
    <t>DMD/ODDA</t>
  </si>
  <si>
    <t>Admin Aide VI/ Admin Assistance (SG6)</t>
  </si>
  <si>
    <t>PHAS
(Schooling/ Non-Duty Status/No Unit Assign.)</t>
  </si>
  <si>
    <t>Staff, Change Mgmt and Best Practices, SRS (SG6)</t>
  </si>
  <si>
    <t>ITPMD (PRO6/RICTMD PRO6/
PRO NIR/ RICTMD PRO NIR)</t>
  </si>
  <si>
    <t>Admin Asst I/PAIS Encoder (SG7) -Maternity Leave</t>
  </si>
  <si>
    <t>Comp. Maintenance Tech. II (SG15)-Maternity Leave</t>
  </si>
  <si>
    <t>LS, ARMD/ ITSD</t>
  </si>
  <si>
    <t>Administrative Aide VI/ Technical Assistance(SG6)</t>
  </si>
  <si>
    <t>DUTY PCO</t>
  </si>
  <si>
    <t>PHAS (DITCM)</t>
  </si>
  <si>
    <t>ITPMD (CIDG)</t>
  </si>
  <si>
    <t>ISA/Computer Programmer  (SG16)</t>
  </si>
  <si>
    <t>Section Chief, SPIS (SG19)</t>
  </si>
  <si>
    <t>Section Chief, ASCS/ OIC, OAC, SMD (SG19)</t>
  </si>
  <si>
    <t>Section Chief, QAS (SG19)</t>
  </si>
  <si>
    <t>Info Systems Analyst (SG 18)</t>
  </si>
  <si>
    <t>Computer Programmer (SG7)</t>
  </si>
  <si>
    <t>ISA/Computer Programmer ( (SG16)</t>
  </si>
  <si>
    <t>(As of September 7,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</si>
</sst>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0.0"/>
    <numFmt numFmtId="166" formatCode="mm/dd/yy"/>
    <numFmt numFmtId="167" formatCode="[$-3409]dd\-mmm\-yy"/>
  </numFmts>
  <fonts count="51">
    <font>
      <sz val="10"/>
      <color rgb="FF000000"/>
      <name val="Arial"/>
      <charset val="134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rgb="FF0000FF"/>
      <name val="Arial Narrow"/>
      <family val="2"/>
    </font>
    <font>
      <i/>
      <sz val="10"/>
      <color theme="1"/>
      <name val="Arial Narrow"/>
      <family val="2"/>
    </font>
    <font>
      <b/>
      <i/>
      <sz val="10"/>
      <color rgb="FF0000FF"/>
      <name val="Arial Narrow"/>
      <family val="2"/>
    </font>
    <font>
      <b/>
      <sz val="10"/>
      <color rgb="FF009900"/>
      <name val="Arial Narrow"/>
      <family val="2"/>
    </font>
    <font>
      <b/>
      <sz val="11"/>
      <color rgb="FF0000FF"/>
      <name val="Arial Narrow"/>
      <family val="2"/>
    </font>
    <font>
      <i/>
      <sz val="11"/>
      <color theme="1"/>
      <name val="Arial Narrow"/>
      <family val="2"/>
    </font>
    <font>
      <b/>
      <i/>
      <sz val="11"/>
      <color rgb="FF0000FF"/>
      <name val="Arial Narrow"/>
      <family val="2"/>
    </font>
    <font>
      <b/>
      <sz val="11"/>
      <color rgb="FF009900"/>
      <name val="Arial Narrow"/>
      <family val="2"/>
    </font>
    <font>
      <b/>
      <i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1"/>
      <color rgb="FFFF0000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 Narrow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Arial Narrow"/>
      <family val="2"/>
    </font>
    <font>
      <sz val="10"/>
      <color rgb="FFFF0000"/>
      <name val="Arial"/>
      <family val="2"/>
    </font>
    <font>
      <b/>
      <i/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8"/>
      <color theme="1"/>
      <name val="Arial Narrow"/>
      <family val="2"/>
    </font>
    <font>
      <b/>
      <i/>
      <sz val="9"/>
      <color theme="1"/>
      <name val="Arial Narrow"/>
      <family val="2"/>
    </font>
    <font>
      <sz val="14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sz val="12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  <scheme val="minor"/>
    </font>
    <font>
      <b/>
      <sz val="8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i/>
      <sz val="1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19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16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 wrapText="1"/>
    </xf>
    <xf numFmtId="0" fontId="5" fillId="0" borderId="1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20" fillId="0" borderId="0" xfId="0" applyFont="1"/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vertical="center" wrapText="1"/>
    </xf>
    <xf numFmtId="2" fontId="14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21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2" fontId="21" fillId="0" borderId="0" xfId="0" applyNumberFormat="1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1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2" fillId="6" borderId="19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left" vertical="center"/>
    </xf>
    <xf numFmtId="0" fontId="22" fillId="8" borderId="19" xfId="0" applyFont="1" applyFill="1" applyBorder="1" applyAlignment="1">
      <alignment horizontal="left" vertical="center" wrapText="1"/>
    </xf>
    <xf numFmtId="0" fontId="22" fillId="0" borderId="0" xfId="0" applyFont="1"/>
    <xf numFmtId="0" fontId="22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29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left" vertical="center"/>
    </xf>
    <xf numFmtId="0" fontId="2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left" vertical="center"/>
    </xf>
    <xf numFmtId="0" fontId="21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0" fillId="0" borderId="40" xfId="0" applyFont="1" applyBorder="1" applyAlignment="1">
      <alignment horizontal="left" vertical="center"/>
    </xf>
    <xf numFmtId="0" fontId="20" fillId="0" borderId="20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43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0" xfId="0" applyFont="1"/>
    <xf numFmtId="0" fontId="20" fillId="0" borderId="0" xfId="0" applyFont="1" applyAlignment="1">
      <alignment horizontal="left"/>
    </xf>
    <xf numFmtId="0" fontId="20" fillId="0" borderId="27" xfId="0" applyFont="1" applyBorder="1" applyAlignment="1">
      <alignment horizontal="left" vertical="center"/>
    </xf>
    <xf numFmtId="0" fontId="20" fillId="0" borderId="2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0" fillId="0" borderId="38" xfId="0" applyFont="1" applyBorder="1" applyAlignment="1">
      <alignment horizontal="left" vertical="center"/>
    </xf>
    <xf numFmtId="0" fontId="20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31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0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32" fillId="0" borderId="0" xfId="0" applyFont="1"/>
    <xf numFmtId="0" fontId="20" fillId="0" borderId="0" xfId="0" applyFont="1" applyAlignment="1">
      <alignment horizontal="center" vertical="center"/>
    </xf>
    <xf numFmtId="0" fontId="4" fillId="0" borderId="0" xfId="0" applyFont="1"/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19" xfId="0" applyFont="1" applyBorder="1" applyAlignment="1">
      <alignment horizontal="center" vertical="center" shrinkToFit="1"/>
    </xf>
    <xf numFmtId="1" fontId="15" fillId="0" borderId="19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164" fontId="4" fillId="0" borderId="19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left"/>
    </xf>
    <xf numFmtId="164" fontId="4" fillId="0" borderId="19" xfId="0" applyNumberFormat="1" applyFont="1" applyBorder="1" applyAlignment="1">
      <alignment horizontal="center" vertical="center" shrinkToFit="1"/>
    </xf>
    <xf numFmtId="165" fontId="15" fillId="0" borderId="19" xfId="0" applyNumberFormat="1" applyFont="1" applyBorder="1" applyAlignment="1">
      <alignment horizontal="center"/>
    </xf>
    <xf numFmtId="165" fontId="4" fillId="0" borderId="19" xfId="0" applyNumberFormat="1" applyFont="1" applyBorder="1" applyAlignment="1">
      <alignment horizontal="center"/>
    </xf>
    <xf numFmtId="165" fontId="4" fillId="0" borderId="19" xfId="0" applyNumberFormat="1" applyFont="1" applyBorder="1" applyAlignment="1">
      <alignment horizontal="left"/>
    </xf>
    <xf numFmtId="165" fontId="4" fillId="0" borderId="19" xfId="0" applyNumberFormat="1" applyFont="1" applyBorder="1" applyAlignment="1">
      <alignment horizontal="center" vertical="center" shrinkToFit="1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66" fontId="2" fillId="0" borderId="19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 wrapText="1"/>
    </xf>
    <xf numFmtId="167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shrinkToFit="1"/>
    </xf>
    <xf numFmtId="1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shrinkToFit="1"/>
    </xf>
    <xf numFmtId="14" fontId="4" fillId="0" borderId="19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vertical="center"/>
    </xf>
    <xf numFmtId="14" fontId="16" fillId="0" borderId="19" xfId="0" applyNumberFormat="1" applyFont="1" applyBorder="1" applyAlignment="1">
      <alignment horizontal="center" vertical="center" wrapText="1"/>
    </xf>
    <xf numFmtId="167" fontId="16" fillId="0" borderId="19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16" fillId="0" borderId="19" xfId="0" applyFont="1" applyBorder="1" applyAlignment="1">
      <alignment shrinkToFit="1"/>
    </xf>
    <xf numFmtId="0" fontId="16" fillId="0" borderId="0" xfId="0" applyFont="1" applyAlignment="1">
      <alignment vertical="center"/>
    </xf>
    <xf numFmtId="1" fontId="33" fillId="0" borderId="19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 vertical="top"/>
    </xf>
    <xf numFmtId="0" fontId="4" fillId="0" borderId="19" xfId="0" applyFont="1" applyBorder="1" applyAlignment="1">
      <alignment vertical="center" shrinkToFit="1"/>
    </xf>
    <xf numFmtId="166" fontId="4" fillId="0" borderId="19" xfId="0" applyNumberFormat="1" applyFont="1" applyBorder="1" applyAlignment="1">
      <alignment vertical="center"/>
    </xf>
    <xf numFmtId="166" fontId="4" fillId="0" borderId="19" xfId="0" applyNumberFormat="1" applyFont="1" applyBorder="1" applyAlignment="1">
      <alignment horizontal="left" vertical="center"/>
    </xf>
    <xf numFmtId="166" fontId="4" fillId="0" borderId="19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shrinkToFit="1"/>
    </xf>
    <xf numFmtId="0" fontId="4" fillId="0" borderId="19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3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21" fillId="0" borderId="19" xfId="0" applyFont="1" applyBorder="1"/>
    <xf numFmtId="14" fontId="4" fillId="0" borderId="19" xfId="0" applyNumberFormat="1" applyFont="1" applyBorder="1" applyAlignment="1">
      <alignment horizontal="center" wrapText="1"/>
    </xf>
    <xf numFmtId="167" fontId="4" fillId="0" borderId="19" xfId="0" applyNumberFormat="1" applyFont="1" applyBorder="1" applyAlignment="1">
      <alignment horizontal="center"/>
    </xf>
    <xf numFmtId="167" fontId="21" fillId="0" borderId="19" xfId="0" applyNumberFormat="1" applyFont="1" applyBorder="1"/>
    <xf numFmtId="0" fontId="4" fillId="0" borderId="19" xfId="0" applyFont="1" applyBorder="1"/>
    <xf numFmtId="0" fontId="4" fillId="0" borderId="19" xfId="0" applyFont="1" applyBorder="1" applyAlignment="1">
      <alignment horizontal="center" wrapText="1"/>
    </xf>
    <xf numFmtId="1" fontId="15" fillId="0" borderId="22" xfId="0" applyNumberFormat="1" applyFont="1" applyBorder="1" applyAlignment="1">
      <alignment horizontal="center"/>
    </xf>
    <xf numFmtId="0" fontId="4" fillId="0" borderId="22" xfId="0" applyFont="1" applyBorder="1"/>
    <xf numFmtId="0" fontId="34" fillId="0" borderId="19" xfId="0" applyFont="1" applyBorder="1" applyAlignment="1">
      <alignment horizontal="left" vertical="center"/>
    </xf>
    <xf numFmtId="1" fontId="15" fillId="0" borderId="19" xfId="0" applyNumberFormat="1" applyFont="1" applyBorder="1" applyAlignment="1">
      <alignment horizontal="center" wrapText="1"/>
    </xf>
    <xf numFmtId="49" fontId="31" fillId="0" borderId="0" xfId="0" applyNumberFormat="1" applyFont="1"/>
    <xf numFmtId="0" fontId="2" fillId="0" borderId="18" xfId="0" applyFont="1" applyBorder="1" applyAlignment="1">
      <alignment horizontal="center" vertical="center" shrinkToFit="1"/>
    </xf>
    <xf numFmtId="49" fontId="35" fillId="0" borderId="25" xfId="0" applyNumberFormat="1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left" vertical="top"/>
    </xf>
    <xf numFmtId="0" fontId="4" fillId="0" borderId="19" xfId="0" applyFont="1" applyBorder="1" applyAlignment="1">
      <alignment horizontal="center" vertical="top" shrinkToFit="1"/>
    </xf>
    <xf numFmtId="0" fontId="36" fillId="0" borderId="19" xfId="0" applyFont="1" applyBorder="1" applyAlignment="1">
      <alignment horizontal="center" vertical="center" wrapText="1"/>
    </xf>
    <xf numFmtId="164" fontId="15" fillId="0" borderId="19" xfId="0" applyNumberFormat="1" applyFont="1" applyBorder="1" applyAlignment="1">
      <alignment horizontal="center"/>
    </xf>
    <xf numFmtId="165" fontId="21" fillId="0" borderId="0" xfId="0" applyNumberFormat="1" applyFont="1"/>
    <xf numFmtId="0" fontId="21" fillId="0" borderId="47" xfId="0" applyFont="1" applyBorder="1"/>
    <xf numFmtId="0" fontId="15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2" xfId="0" applyFont="1" applyBorder="1" applyAlignment="1">
      <alignment horizontal="center" vertical="center" shrinkToFit="1"/>
    </xf>
    <xf numFmtId="0" fontId="4" fillId="0" borderId="22" xfId="0" applyFont="1" applyBorder="1" applyAlignment="1">
      <alignment shrinkToFit="1"/>
    </xf>
    <xf numFmtId="165" fontId="37" fillId="0" borderId="19" xfId="0" applyNumberFormat="1" applyFont="1" applyBorder="1" applyAlignment="1">
      <alignment shrinkToFit="1"/>
    </xf>
    <xf numFmtId="0" fontId="38" fillId="0" borderId="19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1" fontId="15" fillId="9" borderId="19" xfId="0" applyNumberFormat="1" applyFont="1" applyFill="1" applyBorder="1" applyAlignment="1">
      <alignment horizontal="center"/>
    </xf>
    <xf numFmtId="0" fontId="39" fillId="0" borderId="19" xfId="0" applyFont="1" applyBorder="1" applyAlignment="1">
      <alignment horizontal="left"/>
    </xf>
    <xf numFmtId="165" fontId="40" fillId="0" borderId="19" xfId="0" applyNumberFormat="1" applyFont="1" applyBorder="1" applyAlignment="1">
      <alignment shrinkToFit="1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18" fillId="0" borderId="0" xfId="0" applyFont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left" shrinkToFit="1"/>
    </xf>
    <xf numFmtId="49" fontId="4" fillId="0" borderId="19" xfId="0" applyNumberFormat="1" applyFont="1" applyBorder="1" applyAlignment="1">
      <alignment horizontal="center"/>
    </xf>
    <xf numFmtId="0" fontId="4" fillId="0" borderId="21" xfId="0" applyFont="1" applyBorder="1"/>
    <xf numFmtId="49" fontId="4" fillId="0" borderId="19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4" fillId="0" borderId="47" xfId="0" applyFont="1" applyBorder="1" applyAlignment="1">
      <alignment horizontal="left" shrinkToFit="1"/>
    </xf>
    <xf numFmtId="49" fontId="31" fillId="0" borderId="19" xfId="0" applyNumberFormat="1" applyFont="1" applyBorder="1"/>
    <xf numFmtId="165" fontId="4" fillId="0" borderId="19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left" shrinkToFit="1"/>
    </xf>
    <xf numFmtId="0" fontId="1" fillId="0" borderId="21" xfId="0" applyFont="1" applyBorder="1"/>
    <xf numFmtId="49" fontId="4" fillId="0" borderId="19" xfId="0" applyNumberFormat="1" applyFont="1" applyBorder="1" applyAlignment="1">
      <alignment horizontal="center" vertical="top"/>
    </xf>
    <xf numFmtId="49" fontId="4" fillId="0" borderId="25" xfId="0" applyNumberFormat="1" applyFont="1" applyBorder="1" applyAlignment="1">
      <alignment horizontal="center" vertical="top"/>
    </xf>
    <xf numFmtId="0" fontId="21" fillId="0" borderId="0" xfId="0" applyFont="1" applyAlignment="1">
      <alignment vertical="center"/>
    </xf>
    <xf numFmtId="164" fontId="21" fillId="0" borderId="0" xfId="0" applyNumberFormat="1" applyFont="1"/>
    <xf numFmtId="1" fontId="7" fillId="0" borderId="19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35" fillId="0" borderId="0" xfId="0" applyFont="1"/>
    <xf numFmtId="0" fontId="4" fillId="0" borderId="26" xfId="0" applyFont="1" applyBorder="1"/>
    <xf numFmtId="0" fontId="4" fillId="0" borderId="18" xfId="0" applyFont="1" applyBorder="1"/>
    <xf numFmtId="164" fontId="4" fillId="0" borderId="21" xfId="0" applyNumberFormat="1" applyFont="1" applyBorder="1" applyAlignment="1">
      <alignment horizontal="left" shrinkToFit="1"/>
    </xf>
    <xf numFmtId="0" fontId="21" fillId="0" borderId="0" xfId="0" applyFont="1" applyAlignment="1">
      <alignment horizontal="center" vertical="top"/>
    </xf>
    <xf numFmtId="0" fontId="4" fillId="0" borderId="53" xfId="0" applyFont="1" applyBorder="1" applyAlignment="1">
      <alignment horizontal="left" shrinkToFit="1"/>
    </xf>
    <xf numFmtId="49" fontId="4" fillId="0" borderId="19" xfId="0" applyNumberFormat="1" applyFont="1" applyBorder="1"/>
    <xf numFmtId="0" fontId="4" fillId="0" borderId="21" xfId="0" applyFont="1" applyBorder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center"/>
    </xf>
    <xf numFmtId="165" fontId="4" fillId="0" borderId="19" xfId="0" quotePrefix="1" applyNumberFormat="1" applyFont="1" applyBorder="1" applyAlignment="1">
      <alignment horizontal="center" vertical="center"/>
    </xf>
    <xf numFmtId="49" fontId="1" fillId="0" borderId="19" xfId="0" quotePrefix="1" applyNumberFormat="1" applyFont="1" applyBorder="1" applyAlignment="1">
      <alignment horizontal="center"/>
    </xf>
    <xf numFmtId="49" fontId="4" fillId="0" borderId="54" xfId="0" quotePrefix="1" applyNumberFormat="1" applyFont="1" applyBorder="1" applyAlignment="1">
      <alignment horizontal="center"/>
    </xf>
    <xf numFmtId="0" fontId="3" fillId="0" borderId="21" xfId="0" applyFont="1" applyBorder="1"/>
    <xf numFmtId="0" fontId="3" fillId="0" borderId="6" xfId="0" applyFont="1" applyBorder="1"/>
    <xf numFmtId="0" fontId="3" fillId="0" borderId="22" xfId="0" applyFont="1" applyBorder="1"/>
    <xf numFmtId="0" fontId="41" fillId="0" borderId="0" xfId="0" applyFont="1" applyAlignment="1">
      <alignment horizontal="center"/>
    </xf>
    <xf numFmtId="0" fontId="42" fillId="0" borderId="0" xfId="0" applyFont="1"/>
    <xf numFmtId="49" fontId="3" fillId="0" borderId="0" xfId="0" applyNumberFormat="1" applyFont="1"/>
    <xf numFmtId="0" fontId="41" fillId="0" borderId="52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1" fillId="0" borderId="44" xfId="0" applyFont="1" applyBorder="1" applyAlignment="1">
      <alignment horizontal="center" wrapText="1"/>
    </xf>
    <xf numFmtId="0" fontId="41" fillId="0" borderId="44" xfId="0" applyFont="1" applyBorder="1" applyAlignment="1">
      <alignment horizontal="center"/>
    </xf>
    <xf numFmtId="0" fontId="41" fillId="0" borderId="4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49" fontId="43" fillId="0" borderId="25" xfId="0" applyNumberFormat="1" applyFont="1" applyBorder="1" applyAlignment="1">
      <alignment horizontal="center"/>
    </xf>
    <xf numFmtId="0" fontId="44" fillId="0" borderId="0" xfId="0" applyFont="1"/>
    <xf numFmtId="0" fontId="45" fillId="0" borderId="22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45" fillId="0" borderId="22" xfId="0" applyFont="1" applyBorder="1"/>
    <xf numFmtId="0" fontId="45" fillId="0" borderId="21" xfId="0" applyFont="1" applyBorder="1"/>
    <xf numFmtId="49" fontId="45" fillId="0" borderId="19" xfId="0" applyNumberFormat="1" applyFont="1" applyBorder="1" applyAlignment="1">
      <alignment horizontal="center"/>
    </xf>
    <xf numFmtId="49" fontId="45" fillId="0" borderId="19" xfId="0" quotePrefix="1" applyNumberFormat="1" applyFont="1" applyBorder="1" applyAlignment="1">
      <alignment horizontal="center"/>
    </xf>
    <xf numFmtId="0" fontId="44" fillId="0" borderId="0" xfId="0" applyFont="1" applyAlignment="1">
      <alignment horizontal="center"/>
    </xf>
    <xf numFmtId="49" fontId="3" fillId="0" borderId="19" xfId="0" applyNumberFormat="1" applyFont="1" applyBorder="1"/>
    <xf numFmtId="0" fontId="45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5" fillId="0" borderId="22" xfId="0" quotePrefix="1" applyFont="1" applyBorder="1"/>
    <xf numFmtId="0" fontId="46" fillId="0" borderId="22" xfId="0" applyFont="1" applyBorder="1" applyAlignment="1">
      <alignment horizontal="center" vertical="center" wrapText="1"/>
    </xf>
    <xf numFmtId="0" fontId="46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45" fillId="0" borderId="22" xfId="0" applyFont="1" applyBorder="1" applyAlignment="1">
      <alignment vertical="center" wrapText="1"/>
    </xf>
    <xf numFmtId="0" fontId="45" fillId="0" borderId="22" xfId="0" applyFont="1" applyBorder="1" applyAlignment="1">
      <alignment wrapText="1"/>
    </xf>
    <xf numFmtId="0" fontId="45" fillId="0" borderId="19" xfId="0" applyFont="1" applyBorder="1" applyAlignment="1">
      <alignment horizontal="center" vertical="center" wrapText="1"/>
    </xf>
    <xf numFmtId="1" fontId="3" fillId="0" borderId="0" xfId="0" applyNumberFormat="1" applyFont="1"/>
    <xf numFmtId="0" fontId="47" fillId="0" borderId="0" xfId="0" applyFont="1"/>
    <xf numFmtId="0" fontId="3" fillId="0" borderId="24" xfId="0" applyFont="1" applyBorder="1"/>
    <xf numFmtId="0" fontId="41" fillId="0" borderId="23" xfId="0" applyFont="1" applyBorder="1" applyAlignment="1">
      <alignment horizontal="center" wrapText="1"/>
    </xf>
    <xf numFmtId="0" fontId="41" fillId="0" borderId="20" xfId="0" applyFont="1" applyBorder="1" applyAlignment="1">
      <alignment horizontal="center" wrapText="1"/>
    </xf>
    <xf numFmtId="0" fontId="41" fillId="0" borderId="20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0" xfId="0" applyFont="1"/>
    <xf numFmtId="0" fontId="48" fillId="0" borderId="0" xfId="0" applyFont="1"/>
    <xf numFmtId="0" fontId="3" fillId="0" borderId="0" xfId="0" applyFont="1" applyAlignment="1">
      <alignment vertical="top"/>
    </xf>
    <xf numFmtId="0" fontId="46" fillId="0" borderId="19" xfId="0" applyFont="1" applyBorder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3" fillId="0" borderId="19" xfId="0" applyFont="1" applyBorder="1"/>
    <xf numFmtId="0" fontId="50" fillId="0" borderId="19" xfId="0" applyFont="1" applyBorder="1" applyAlignment="1">
      <alignment horizontal="center" wrapText="1"/>
    </xf>
    <xf numFmtId="0" fontId="48" fillId="0" borderId="19" xfId="0" applyFont="1" applyBorder="1" applyAlignment="1">
      <alignment horizontal="center" wrapText="1"/>
    </xf>
    <xf numFmtId="0" fontId="44" fillId="0" borderId="19" xfId="0" applyFont="1" applyBorder="1" applyAlignment="1">
      <alignment horizontal="center"/>
    </xf>
    <xf numFmtId="0" fontId="50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3" fillId="0" borderId="18" xfId="0" applyFont="1" applyBorder="1"/>
    <xf numFmtId="0" fontId="3" fillId="0" borderId="21" xfId="0" applyFont="1" applyBorder="1"/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42" fillId="0" borderId="0" xfId="0" applyFont="1"/>
    <xf numFmtId="0" fontId="41" fillId="0" borderId="20" xfId="0" applyFont="1" applyBorder="1" applyAlignment="1">
      <alignment horizontal="center" wrapText="1"/>
    </xf>
    <xf numFmtId="0" fontId="3" fillId="0" borderId="22" xfId="0" applyFont="1" applyBorder="1"/>
    <xf numFmtId="0" fontId="41" fillId="0" borderId="17" xfId="0" applyFont="1" applyBorder="1" applyAlignment="1">
      <alignment horizontal="center" wrapText="1"/>
    </xf>
    <xf numFmtId="0" fontId="3" fillId="0" borderId="20" xfId="0" applyFont="1" applyBorder="1"/>
    <xf numFmtId="0" fontId="46" fillId="0" borderId="20" xfId="0" applyFont="1" applyBorder="1" applyAlignment="1">
      <alignment horizontal="center" wrapText="1"/>
    </xf>
    <xf numFmtId="0" fontId="48" fillId="0" borderId="17" xfId="0" applyFont="1" applyBorder="1" applyAlignment="1">
      <alignment horizontal="center" wrapText="1"/>
    </xf>
    <xf numFmtId="0" fontId="48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 wrapText="1"/>
    </xf>
    <xf numFmtId="0" fontId="48" fillId="0" borderId="6" xfId="0" applyFont="1" applyBorder="1" applyAlignment="1">
      <alignment horizontal="center"/>
    </xf>
    <xf numFmtId="0" fontId="3" fillId="0" borderId="6" xfId="0" applyFont="1" applyBorder="1"/>
    <xf numFmtId="0" fontId="49" fillId="0" borderId="6" xfId="0" applyFont="1" applyBorder="1" applyAlignment="1">
      <alignment horizontal="center" wrapText="1"/>
    </xf>
    <xf numFmtId="0" fontId="41" fillId="0" borderId="0" xfId="0" applyFont="1" applyAlignment="1">
      <alignment horizontal="center"/>
    </xf>
    <xf numFmtId="0" fontId="41" fillId="0" borderId="23" xfId="0" applyFont="1" applyBorder="1" applyAlignment="1">
      <alignment horizontal="center"/>
    </xf>
    <xf numFmtId="0" fontId="3" fillId="0" borderId="25" xfId="0" applyFont="1" applyBorder="1"/>
    <xf numFmtId="0" fontId="41" fillId="0" borderId="23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1" fillId="0" borderId="0" xfId="0" applyFont="1"/>
    <xf numFmtId="0" fontId="18" fillId="0" borderId="47" xfId="0" applyFont="1" applyBorder="1" applyAlignment="1">
      <alignment horizontal="center" vertical="center"/>
    </xf>
    <xf numFmtId="0" fontId="3" fillId="0" borderId="47" xfId="0" applyFont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0" fillId="0" borderId="29" xfId="0" applyFont="1" applyBorder="1" applyAlignment="1">
      <alignment horizontal="center" vertical="center" wrapText="1"/>
    </xf>
    <xf numFmtId="0" fontId="3" fillId="0" borderId="30" xfId="0" applyFont="1" applyBorder="1"/>
    <xf numFmtId="0" fontId="3" fillId="0" borderId="50" xfId="0" applyFont="1" applyBorder="1"/>
    <xf numFmtId="0" fontId="20" fillId="0" borderId="27" xfId="0" applyFont="1" applyBorder="1" applyAlignment="1">
      <alignment horizontal="center" vertical="center"/>
    </xf>
    <xf numFmtId="0" fontId="3" fillId="0" borderId="32" xfId="0" applyFont="1" applyBorder="1"/>
    <xf numFmtId="0" fontId="20" fillId="0" borderId="28" xfId="0" applyFont="1" applyBorder="1" applyAlignment="1">
      <alignment horizontal="center" vertical="center" wrapText="1"/>
    </xf>
    <xf numFmtId="0" fontId="3" fillId="0" borderId="33" xfId="0" applyFont="1" applyBorder="1"/>
    <xf numFmtId="0" fontId="20" fillId="0" borderId="31" xfId="0" applyFont="1" applyBorder="1" applyAlignment="1">
      <alignment horizontal="center" vertical="center"/>
    </xf>
    <xf numFmtId="0" fontId="3" fillId="0" borderId="34" xfId="0" applyFont="1" applyBorder="1"/>
    <xf numFmtId="0" fontId="20" fillId="0" borderId="0" xfId="0" applyFont="1" applyAlignment="1">
      <alignment horizontal="center"/>
    </xf>
    <xf numFmtId="0" fontId="28" fillId="0" borderId="2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3" fillId="0" borderId="20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LERRY\PILAR\Disposition\October%2031,%202022%20(Autosav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mistica/Downloads/February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ame based"/>
      <sheetName val=" New Rank Profile (2)"/>
      <sheetName val="BFS"/>
      <sheetName val="Roster of Personnel"/>
      <sheetName val="alphabetical bfs"/>
      <sheetName val="Disposition"/>
      <sheetName val="Updates for ADMO"/>
      <sheetName val="Alpha List"/>
      <sheetName val="Sheet3"/>
      <sheetName val="Sheet1"/>
      <sheetName val="Sheet2"/>
      <sheetName val=" New Rank 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AB9" t="str">
            <v>NAME</v>
          </cell>
          <cell r="AC9" t="str">
            <v>ADDRESS</v>
          </cell>
        </row>
        <row r="10">
          <cell r="AB10" t="str">
            <v>FAMA HARRIS REYES</v>
          </cell>
          <cell r="AC10" t="str">
            <v>77 Amado Tapuac, Dagupan City, Pangasinan</v>
          </cell>
        </row>
        <row r="11">
          <cell r="AB11" t="str">
            <v>RESPICIO VIC BASKAR MADDARA</v>
          </cell>
          <cell r="AC11" t="str">
            <v>Calamagui 2nd, Isabela</v>
          </cell>
        </row>
        <row r="12">
          <cell r="AB12" t="str">
            <v>TAYABA ALBERT MAGLEO</v>
          </cell>
          <cell r="AC12">
            <v>0</v>
          </cell>
        </row>
        <row r="13">
          <cell r="AB13" t="str">
            <v>VINLUAN AERON ENTIMANO</v>
          </cell>
          <cell r="AC13">
            <v>0</v>
          </cell>
        </row>
        <row r="14">
          <cell r="AB14" t="str">
            <v>MONTECALVO JONAR CASTRO</v>
          </cell>
          <cell r="AC14">
            <v>0</v>
          </cell>
        </row>
        <row r="15">
          <cell r="AB15" t="str">
            <v>MIRALLES RHEA ROSE OLIVAR</v>
          </cell>
          <cell r="AC15" t="str">
            <v>#160 Don Emilio Ejercito St., Tibagan, San Juan City</v>
          </cell>
        </row>
        <row r="16">
          <cell r="AB16" t="str">
            <v>SEMILLA FLORITES SARIO</v>
          </cell>
          <cell r="AC16" t="str">
            <v>18 C Dungo St., Brgy, Isabelita, San Juan City</v>
          </cell>
        </row>
        <row r="17">
          <cell r="AB17" t="str">
            <v>DALLEGO RHIZA ARROYO</v>
          </cell>
          <cell r="AC17" t="str">
            <v>MB26 U109 Pamayanang Diego Silang, Brgy. Ususan, Taguig City</v>
          </cell>
        </row>
        <row r="18">
          <cell r="AB18" t="str">
            <v>SANCHEZ SHERYL PALLONES</v>
          </cell>
          <cell r="AC18" t="str">
            <v>4856 C Int.8, Dhalia St., Brgy. 598, Old Sta Mesa, Manila</v>
          </cell>
        </row>
        <row r="19">
          <cell r="AB19" t="str">
            <v>MATTA ELEAZAR PEPITO</v>
          </cell>
          <cell r="AC19">
            <v>0</v>
          </cell>
        </row>
        <row r="20">
          <cell r="AB20" t="str">
            <v>MEJIA GIRLIE CRUZ</v>
          </cell>
          <cell r="AC20" t="str">
            <v>Main Ave., Cubao, Quezon City</v>
          </cell>
        </row>
        <row r="21">
          <cell r="AB21" t="str">
            <v>SECULLES LILIBETH VERANO</v>
          </cell>
          <cell r="AC21" t="str">
            <v>Lot 230 East Bank Road, Soldiers Village, Sta. Lucia, Pasig City</v>
          </cell>
        </row>
        <row r="22">
          <cell r="AB22" t="str">
            <v>CARDONA WILLARD LABASAN</v>
          </cell>
          <cell r="AC22" t="str">
            <v>Blk 3 Lot 8 Phase -M, Francisco Homes, Brgy Guijo, San Jose Del Monte City, Bulacan</v>
          </cell>
        </row>
        <row r="23">
          <cell r="AB23" t="str">
            <v>BACLIG MICHAEL DELA CRUZ</v>
          </cell>
          <cell r="AC23" t="str">
            <v>Blk 9 Lot 19 Our Lady of Fathima St., Rosario Complex, Brgy Rosario, San Pedro , Laguna</v>
          </cell>
        </row>
        <row r="24">
          <cell r="AB24" t="str">
            <v>PEREZ BERNARDO MANARANG</v>
          </cell>
          <cell r="AC24">
            <v>0</v>
          </cell>
        </row>
        <row r="25">
          <cell r="AB25" t="str">
            <v>PACULAN MARK ANTHONY NIDUAZA</v>
          </cell>
          <cell r="AC25" t="str">
            <v>Pagdalagan Sur, Bauang, La Union</v>
          </cell>
        </row>
        <row r="26">
          <cell r="AB26" t="str">
            <v>ERIBAL JOZEL JOY FALAGNE</v>
          </cell>
          <cell r="AC26" t="str">
            <v>5A Diamond St., JRA Subd., Rosario, Pasug City</v>
          </cell>
        </row>
        <row r="27">
          <cell r="AB27" t="str">
            <v>LUZARA JEAN GRATUITO</v>
          </cell>
          <cell r="AC27" t="str">
            <v>Blk 5 Lot 1 Orchid Extension, Capitol Park Homes II, Brgy 179 Zone 16, Caloocan City.</v>
          </cell>
        </row>
        <row r="28">
          <cell r="AB28" t="str">
            <v>NADORA ADRIAN JOSE POSADAS</v>
          </cell>
          <cell r="AC28" t="str">
            <v>16 Maligaya St., Rosario 6 Subd, Sta Lucia, Pasig City 1608</v>
          </cell>
        </row>
        <row r="29">
          <cell r="AB29" t="str">
            <v>CRUZ MARICON TAYAMEN</v>
          </cell>
          <cell r="AC29" t="str">
            <v>B6 L2 11th Ave., HHSG Extebsion, North Signal Village, Taguig City</v>
          </cell>
        </row>
        <row r="30">
          <cell r="AB30" t="str">
            <v>ALVAREZ PAMELA CEREZO</v>
          </cell>
          <cell r="AC30" t="str">
            <v>Pao, Manaoag, Pangasinan</v>
          </cell>
        </row>
        <row r="31">
          <cell r="AB31" t="str">
            <v>RUIVIVAR JOSE SALVADOR DEL ROSARIO</v>
          </cell>
          <cell r="AC31" t="str">
            <v>13 St. Joseph St., Milton Hills Subd, Diliman, Quezon City</v>
          </cell>
        </row>
        <row r="32">
          <cell r="AB32" t="str">
            <v>QUERIJERO JUDITH ERNA LUMABAN</v>
          </cell>
          <cell r="AC32" t="str">
            <v>No.17 (1) Potsdam St., Cubao, Quezon City</v>
          </cell>
        </row>
        <row r="33">
          <cell r="AB33" t="str">
            <v>GARCIA JOSEPH  TIBURCIO</v>
          </cell>
          <cell r="AC33" t="str">
            <v>Aquib, Piat, Cagayan</v>
          </cell>
        </row>
        <row r="34">
          <cell r="AB34" t="str">
            <v>CANJA ROBERTO GINETA</v>
          </cell>
          <cell r="AC34" t="str">
            <v>Brgy. Mambabanga, Luna, Isabela</v>
          </cell>
        </row>
        <row r="35">
          <cell r="AB35" t="str">
            <v>RODRIGUEZ MARY GRACE FERNANDEZ</v>
          </cell>
          <cell r="AC35" t="str">
            <v>7C 2nd Ave., Bagong Lipunan ng Crame, Quezon City</v>
          </cell>
        </row>
        <row r="36">
          <cell r="AB36" t="str">
            <v>TAJON VERONICA QUILIZA</v>
          </cell>
          <cell r="AC36" t="str">
            <v>MB 23 Unit 308 BCDA, Taguig City</v>
          </cell>
        </row>
        <row r="37">
          <cell r="AB37" t="str">
            <v>VALDESTAMON CATHERINE GOYAL</v>
          </cell>
          <cell r="AC37" t="str">
            <v>Zone 1 Purok Maligaya, Tagburos, Puerto Princesa City, Palawan</v>
          </cell>
        </row>
        <row r="38">
          <cell r="AB38" t="str">
            <v>BUSTARDE MA GOUDELIA MIRABEL</v>
          </cell>
          <cell r="AC38" t="str">
            <v>Blk 19 Lot 47 Phase 2,  EP Village,  Brgy. Pinagsama, Taguig City</v>
          </cell>
        </row>
        <row r="39">
          <cell r="AB39" t="str">
            <v>DELA CRUZ MELANIA BACULAD</v>
          </cell>
          <cell r="AC39" t="str">
            <v>144 F. Roxas St., Brgy. Tibagan, San Juan City 1500</v>
          </cell>
        </row>
        <row r="40">
          <cell r="AB40" t="str">
            <v>UNTALAN RACHEL  GUTIERREZ</v>
          </cell>
          <cell r="AC40" t="str">
            <v>Mahacot West,  Batangas City</v>
          </cell>
        </row>
        <row r="41">
          <cell r="AB41" t="str">
            <v>BORRES RUBEN BROSAS</v>
          </cell>
          <cell r="AC41" t="str">
            <v>163-W 20th Avenue, Rembo, Makati City</v>
          </cell>
        </row>
        <row r="42">
          <cell r="AB42" t="str">
            <v>AQUINO JOHANNES GOLD LUCERO</v>
          </cell>
          <cell r="AC42" t="str">
            <v>L11A B43 Galaxy St., Rancho Estate 3,  Concepcion Dos, Marikina City</v>
          </cell>
        </row>
        <row r="43">
          <cell r="AB43" t="str">
            <v>TAYAG RICHIE ACUIN</v>
          </cell>
          <cell r="AC43" t="str">
            <v>Blk 66, Lot 14, Phase 4, Governor's Hills, Brgy.Biclatan, General Trias, Cavite</v>
          </cell>
        </row>
        <row r="44">
          <cell r="AB44" t="str">
            <v>PEÑAVERDE PHILIP JAMES RODRIGUEZ</v>
          </cell>
          <cell r="AC44" t="str">
            <v>Blk 1 Lot 128 P1-F Sub-Urban Village, Saan Jose, Rodriguez, Rizal</v>
          </cell>
        </row>
        <row r="45">
          <cell r="AB45" t="str">
            <v>DOCTOLERO JOHN NICK DE GUZMAN</v>
          </cell>
          <cell r="AC45" t="str">
            <v>B25 L5 PH. J, Brgy. Guijo, Francisco Homes, SJDM, Bulacan</v>
          </cell>
        </row>
        <row r="46">
          <cell r="AB46" t="str">
            <v>PAMITTAN JOCELYN LATTAO</v>
          </cell>
          <cell r="AC46" t="str">
            <v>249 Melad St., Cataggaman, Pardo, Tuguegarao City, Cagayan</v>
          </cell>
        </row>
        <row r="47">
          <cell r="AB47" t="str">
            <v>DAGTA MARY ANN YAP</v>
          </cell>
          <cell r="AC47" t="str">
            <v>Blk 3, Lot 20, Amber St., Summit Viwe Subd., Brgy. San Rafael, Rodriguez, Rizal</v>
          </cell>
        </row>
        <row r="48">
          <cell r="AB48" t="str">
            <v>VELASCO ZENAIDA REFE</v>
          </cell>
          <cell r="AC48" t="str">
            <v>Blk 39, Lot 1 Phase 4,  Northgate Sarmiento Homes, BRGY Muzon, SJDM, Bulacan</v>
          </cell>
        </row>
        <row r="49">
          <cell r="AB49" t="str">
            <v>NOBRES ROY DANGSI</v>
          </cell>
          <cell r="AC49" t="str">
            <v>Lot 4-Lot 5 Metro Royale Homes Burgos, Montalban, Rizal</v>
          </cell>
        </row>
        <row r="50">
          <cell r="AB50" t="str">
            <v>GALAMGAM RAMON DIAZ</v>
          </cell>
          <cell r="AC50" t="str">
            <v>38 Agno, Tayug, Pangasinan</v>
          </cell>
        </row>
        <row r="51">
          <cell r="AB51" t="str">
            <v>BIBAT SIMEON  MAGNO</v>
          </cell>
          <cell r="AC51" t="str">
            <v>#12 3rd Planas Site, Cubao, Quezon City</v>
          </cell>
        </row>
        <row r="52">
          <cell r="AB52" t="str">
            <v>GUSTILO THOBORNE THER SANTOS</v>
          </cell>
          <cell r="AC52" t="str">
            <v>Blk 5 Lot 4 Phase-M, Francisco Homes- Guijo, SJDM, Bulacan</v>
          </cell>
        </row>
        <row r="53">
          <cell r="AB53" t="str">
            <v>AGON JONATHAN AGUILAR</v>
          </cell>
          <cell r="AC53" t="str">
            <v>I Pacheco St.,, corner Quirino ST., Tondo, Manila</v>
          </cell>
        </row>
        <row r="54">
          <cell r="AB54" t="str">
            <v>INALVEZ NEIL ADRIAN NUCOM</v>
          </cell>
          <cell r="AC54" t="str">
            <v>676 Purok KB3, Maugat, San Antonio, Nueva Ecija,</v>
          </cell>
        </row>
        <row r="55">
          <cell r="AB55" t="str">
            <v>SUYU GRIZELLE UBUNGEN</v>
          </cell>
          <cell r="AC55" t="str">
            <v>Blk 18 Lot 6,  Brgy. Guijo, Phas J, Francisco Homes, SJDM, Bulacan</v>
          </cell>
        </row>
        <row r="56">
          <cell r="AB56" t="str">
            <v>SALAYA MA ANGELA MIRABEL</v>
          </cell>
          <cell r="AC56" t="str">
            <v>0660 Sto. Nino St.,, Old Sta Mesa, Brgy 598, Manila</v>
          </cell>
        </row>
        <row r="57">
          <cell r="AB57" t="str">
            <v>LUALHATI PAULO ANDREW PUNZALAN</v>
          </cell>
          <cell r="AC57" t="str">
            <v>33 JW Diokno St., Poblacion 13, Taal, Batangas</v>
          </cell>
        </row>
        <row r="58">
          <cell r="AB58" t="str">
            <v>VALLEDO JEFFREY ARAMAN</v>
          </cell>
          <cell r="AC58" t="str">
            <v>716, Tower 4, Avida Towers, New Manila, Brgy. Bagong Lipunan ng Crame, Quezon City</v>
          </cell>
        </row>
        <row r="59">
          <cell r="AB59" t="str">
            <v>LAXAMANA JOSE DELA CRUZ</v>
          </cell>
          <cell r="AC59" t="str">
            <v>191 Gen. Mascardo St., Bagong Barrio, Caloocan City</v>
          </cell>
        </row>
        <row r="60">
          <cell r="AB60" t="str">
            <v>VIGILANCIA SIXTO KATALBAS</v>
          </cell>
          <cell r="AC60" t="str">
            <v>1 San Venancio St., San Juan, Metro Manila</v>
          </cell>
        </row>
        <row r="61">
          <cell r="AB61" t="str">
            <v>NICOLAS JAY-R TADEO</v>
          </cell>
          <cell r="AC61" t="str">
            <v>#143 Asin West., Malasigue, Pangasinan</v>
          </cell>
        </row>
        <row r="62">
          <cell r="AB62" t="str">
            <v>AMIT ARIEL DE GUZMAN</v>
          </cell>
          <cell r="AC62" t="str">
            <v>Manila, Metro Manila</v>
          </cell>
        </row>
        <row r="63">
          <cell r="AB63" t="str">
            <v>DULIN JOEY BINARAO</v>
          </cell>
          <cell r="AC63" t="str">
            <v>155 19th Avenue, East Pembo, Makati City</v>
          </cell>
        </row>
        <row r="64">
          <cell r="AB64" t="str">
            <v>OÑA ERNANI WILSON</v>
          </cell>
          <cell r="AC64" t="str">
            <v>57 Ramon Jabson St., Brgy. Bambang, Pasig Ciity</v>
          </cell>
        </row>
        <row r="65">
          <cell r="AB65" t="str">
            <v>DELA CRUZ ALVIN ORUA</v>
          </cell>
          <cell r="AC65" t="str">
            <v>#6087 Sto. Rosario St., Mapulang Lupa, Valenzuela City</v>
          </cell>
        </row>
        <row r="66">
          <cell r="AB66" t="str">
            <v>DESEO REYNANTE NUYDA</v>
          </cell>
          <cell r="AC66" t="str">
            <v>Blk 4  L17 Arty in Subdivision, Karuhatan, Valenzueal City</v>
          </cell>
        </row>
        <row r="67">
          <cell r="AB67" t="str">
            <v>ARROYO LUKE NILO</v>
          </cell>
          <cell r="AC67" t="str">
            <v>Unit 202, MC 28, Pamayanang Diego Silang Village, Brgy. Ususan, Taguig City</v>
          </cell>
        </row>
        <row r="68">
          <cell r="AB68" t="str">
            <v>BERNARDO KRISTEN CHASTE GONONG</v>
          </cell>
          <cell r="AC68" t="str">
            <v>Poblacion 2, Talakitok St., Currimao, Ilocos Norte</v>
          </cell>
        </row>
        <row r="69">
          <cell r="AB69" t="str">
            <v>LUMABI GINA TINGALA</v>
          </cell>
          <cell r="AC69" t="str">
            <v>MB 15 RM 109,  Diego Silang Village, Brgy Ususan, Taguig City</v>
          </cell>
        </row>
        <row r="70">
          <cell r="AB70" t="str">
            <v>UBANDO MARY ANN OBENA</v>
          </cell>
          <cell r="AC70" t="str">
            <v>Blk 13 Lot 14 Phase M,  Francisco Homes, Brgy. Guijo, SJDM, Bulacan</v>
          </cell>
        </row>
        <row r="71">
          <cell r="AB71" t="str">
            <v>CRUZ EIFEL BELEY</v>
          </cell>
          <cell r="AC71" t="str">
            <v>#32 Del Pilar, Sta. Rosa, Nueva Ecija</v>
          </cell>
        </row>
        <row r="72">
          <cell r="AB72" t="str">
            <v>TACTAY HENRY GOLINO</v>
          </cell>
          <cell r="AC72" t="str">
            <v>41 Quimmarayan, Sto. Domingo, Ilocos Sur</v>
          </cell>
        </row>
        <row r="73">
          <cell r="AB73" t="str">
            <v>VIO JAMES VILLAROSA</v>
          </cell>
          <cell r="AC73" t="str">
            <v>196 Col. Guido St., Brgy. San Roque, Angono, Rizal</v>
          </cell>
        </row>
        <row r="74">
          <cell r="AB74" t="str">
            <v>DELA CRUZ ROSELYN CARTAGENA</v>
          </cell>
          <cell r="AC74" t="str">
            <v>16-B Buenmar St., Santolan, Pasig City</v>
          </cell>
        </row>
        <row r="75">
          <cell r="AB75" t="str">
            <v>RAYMUNDO DANIEL JOSHUA BALMEO</v>
          </cell>
          <cell r="AC75" t="str">
            <v>33-B 10TH Avenue, Brgy. Socorro, Quezon City</v>
          </cell>
        </row>
        <row r="76">
          <cell r="AB76" t="str">
            <v>TACORDA JASON ABRAHAM ABION</v>
          </cell>
          <cell r="AC76" t="str">
            <v>2315 T2 Amaia Skies, Cubao, 5the Ave. cor P Tuazon Ave., Brgy. Socorro, Quezon City</v>
          </cell>
        </row>
        <row r="77">
          <cell r="AB77" t="str">
            <v>RAMIREZ MA CRISTINA GRAZA</v>
          </cell>
          <cell r="AC77" t="str">
            <v>Nunez St., Brgy. Magsaysay, Norte, Cabanatuan City</v>
          </cell>
        </row>
        <row r="78">
          <cell r="AB78" t="str">
            <v>JEPOLLO JOCELYN TAMONDONG</v>
          </cell>
          <cell r="AC78" t="str">
            <v>#7 4TH Avenue, Bagong Lipunan, Crame, Quezon City</v>
          </cell>
        </row>
        <row r="79">
          <cell r="AB79" t="str">
            <v>TODA MA CRISTINA TAMONDONG</v>
          </cell>
          <cell r="AC79" t="str">
            <v>19 A J Ocampo St., Project 4, Quezon City</v>
          </cell>
        </row>
        <row r="80">
          <cell r="AB80" t="str">
            <v>SOSA GIBSON JOHN ARAOS</v>
          </cell>
          <cell r="AC80" t="str">
            <v>#10 Singapore, Bastulde, Fil-Inves, Cainta, Rizal</v>
          </cell>
        </row>
        <row r="81">
          <cell r="AB81" t="str">
            <v>SALAS EUNILAINE SALVADOR</v>
          </cell>
          <cell r="AC81" t="str">
            <v>131 Wwest Drive St., Narikina Heights, Marikina City</v>
          </cell>
        </row>
        <row r="82">
          <cell r="AB82" t="str">
            <v>SANTOS JAY WALTER SANTIAGO</v>
          </cell>
          <cell r="AC82" t="str">
            <v>#109-B Herbosa St., Tondo, Manila</v>
          </cell>
        </row>
        <row r="83">
          <cell r="AB83" t="str">
            <v>ABO MARK JESSIE MELITANTE</v>
          </cell>
          <cell r="AC83" t="str">
            <v>Unit 909, Amaia Skies Cuibao, P. Tuazon Ave., Socorro, Quezon City</v>
          </cell>
        </row>
        <row r="84">
          <cell r="AB84" t="str">
            <v>MARAÑON CHRIS JOHN CATALOGO</v>
          </cell>
          <cell r="AC84" t="str">
            <v>B18 L1 P-J Francisco Homes, SJDM, Bulacan</v>
          </cell>
        </row>
        <row r="85">
          <cell r="AB85" t="str">
            <v>SOBREVILLA RAYMUND CHRISTOPHER DECIPULO</v>
          </cell>
          <cell r="AC85" t="str">
            <v>15 F Int. Del Pilar ST., Purok Bougambilla, Brgy. Bagja Mother, Cotabato City</v>
          </cell>
        </row>
        <row r="86">
          <cell r="AB86" t="str">
            <v>MAISO PRISCILLA DAMO</v>
          </cell>
          <cell r="AC86" t="str">
            <v>116-15th  Avenue, San Roque, Murphy Cubao, Quezon City</v>
          </cell>
        </row>
        <row r="87">
          <cell r="AB87" t="str">
            <v>MENDOZA GENESIS TEODORO</v>
          </cell>
          <cell r="AC87" t="str">
            <v>13 A-Col. Salgado St, Kamias, Quezon City</v>
          </cell>
        </row>
        <row r="88">
          <cell r="AB88" t="str">
            <v>ZAMORA MELVIN PANGANIBAN</v>
          </cell>
          <cell r="AC88" t="str">
            <v>Light Residences, Mandaluyong City</v>
          </cell>
        </row>
        <row r="89">
          <cell r="AB89" t="str">
            <v>BANDULA MARIA GERLYINES CABRERA</v>
          </cell>
          <cell r="AC89" t="str">
            <v>596 Moras Dela Paz, Sto. Tomas, Pampanga</v>
          </cell>
        </row>
        <row r="90">
          <cell r="AB90" t="str">
            <v>ANURAN ADRIAN MIRASOL</v>
          </cell>
          <cell r="AC90" t="str">
            <v>57 A Delas Alas St., Zone 13, Taal, Batangas</v>
          </cell>
        </row>
        <row r="91">
          <cell r="AB91" t="str">
            <v>MALAKI ROFEL GEN TIMBAL</v>
          </cell>
          <cell r="AC91" t="str">
            <v>Calle Nueva, Brgy. Labrador, Hinunangan, Southern Leyte</v>
          </cell>
        </row>
        <row r="92">
          <cell r="AB92" t="str">
            <v>REVALE EDELLENE BABAGAY</v>
          </cell>
          <cell r="AC92" t="str">
            <v>P3 Brgy. Ems Barrio, Legaspi City, Albay</v>
          </cell>
        </row>
        <row r="93">
          <cell r="AB93" t="str">
            <v>QUINTOS NELSON QUIAMBAO</v>
          </cell>
          <cell r="AC93" t="str">
            <v>B1, L9, Grotto View Homes, SJDM, Bulacan</v>
          </cell>
        </row>
        <row r="94">
          <cell r="AB94" t="str">
            <v>SIGGAYO WILLARD MALABAD</v>
          </cell>
          <cell r="AC94" t="str">
            <v>11 Road 2 Sitio Kumunoy, Bagong Silangan, Quezon City</v>
          </cell>
        </row>
        <row r="95">
          <cell r="AB95" t="str">
            <v>INFANTE BEVERLY PASAMBA</v>
          </cell>
          <cell r="AC95" t="str">
            <v>333 Verdar St., Sampaloc, Manila</v>
          </cell>
        </row>
        <row r="96">
          <cell r="AB96" t="str">
            <v>FRONDA JIMMSON CILOCILO</v>
          </cell>
          <cell r="AC96" t="str">
            <v>31 NHA Delpan Bliss, Tondo, Manila</v>
          </cell>
        </row>
        <row r="97">
          <cell r="AB97" t="str">
            <v>SULIT REYNALD LOUIE SAN MIGUEL</v>
          </cell>
          <cell r="AC97" t="str">
            <v>49 Balubarab St., Malinta, Valenzuela City</v>
          </cell>
        </row>
        <row r="98">
          <cell r="AB98" t="str">
            <v>AGGARAO ALBERTO CALLANGAN</v>
          </cell>
          <cell r="AC98" t="str">
            <v>215 D Guiho St., Cembo, Makati City</v>
          </cell>
        </row>
        <row r="99">
          <cell r="AB99" t="str">
            <v>TAMANIO ANTHONY ELKING SALVADOR</v>
          </cell>
          <cell r="AC99" t="str">
            <v>Blk 42 L 25 Ascencsion Ave., Brgy. Grater Lagro, Quezon City</v>
          </cell>
        </row>
        <row r="100">
          <cell r="AB100" t="str">
            <v>VER MARIE LOUISE ROVIAN RAMOS</v>
          </cell>
          <cell r="AC100" t="str">
            <v>Blk 43 Lot 16, Phase 7, Eastwood Residences, Brgy San Isidro, Montalban, Rizal</v>
          </cell>
        </row>
        <row r="101">
          <cell r="AB101" t="str">
            <v>SANTILLANA JULIUS  PASCUA</v>
          </cell>
          <cell r="AC101" t="str">
            <v>75 De Guzman ST., Toril, Davao City</v>
          </cell>
        </row>
        <row r="102">
          <cell r="AB102" t="str">
            <v>PANAGA MOHAMED TALAUE</v>
          </cell>
          <cell r="AC102" t="str">
            <v>Phae 1  Blk 12 Lot 29,  E.R. San Isidro, Rodriguez, Rizal</v>
          </cell>
        </row>
        <row r="103">
          <cell r="AB103" t="str">
            <v>GILL AJIT MENOR</v>
          </cell>
          <cell r="AC103" t="str">
            <v>Phase 1 Blk 12 Lot 14 LOT 7, San Isidro, Rodriguez, Rizal</v>
          </cell>
        </row>
        <row r="104">
          <cell r="AB104" t="str">
            <v>DIAZ LEILA URTOLA</v>
          </cell>
          <cell r="AC104" t="str">
            <v>L3 Rd7 PHASE 4, Cogeo Village, Antipolo City</v>
          </cell>
        </row>
        <row r="105">
          <cell r="AB105" t="str">
            <v>ALABADO AURELIO PERITO</v>
          </cell>
          <cell r="AC105" t="str">
            <v>B49 L8 Carissa 4A, SJDM, Bulacan</v>
          </cell>
        </row>
        <row r="106">
          <cell r="AB106" t="str">
            <v>OCAMPO AMADO BISCAYDA</v>
          </cell>
          <cell r="AC106" t="str">
            <v>39 Constabulary St., Vet Village, Quezon City</v>
          </cell>
        </row>
        <row r="107">
          <cell r="AB107" t="str">
            <v>DELA CRUZ ASHTER TIBURCIO</v>
          </cell>
          <cell r="AC107" t="str">
            <v>227 Sta, Cruz, Zaragisa, Nueva Ecija</v>
          </cell>
        </row>
        <row r="108">
          <cell r="AB108" t="str">
            <v>ROVIRA CRISMUNDO PADULLO</v>
          </cell>
          <cell r="AC108" t="str">
            <v>511 Barcelona St., Binondo, Manila</v>
          </cell>
        </row>
        <row r="109">
          <cell r="AB109" t="str">
            <v>ECHANO KERWIN RUFON</v>
          </cell>
          <cell r="AC109" t="str">
            <v>Lot 37-38 BLK.5 Catanauan ST., Vanessa Homes, Bucal, Calamba, Laguna</v>
          </cell>
        </row>
        <row r="110">
          <cell r="AB110" t="str">
            <v>CUETO NOEME MAMON</v>
          </cell>
          <cell r="AC110" t="str">
            <v>B8 L6 Phase 5, Sta Barbara Villas I, Brgy. Silangan, San Mateo, Rizal</v>
          </cell>
        </row>
        <row r="111">
          <cell r="AB111" t="str">
            <v>SIA ENARD ANDAYA</v>
          </cell>
          <cell r="AC111" t="str">
            <v>10-A Governor Pascual Avenue, Potrero, Malabon City</v>
          </cell>
        </row>
        <row r="112">
          <cell r="AB112" t="str">
            <v>DAVID ROMMEL CARRO</v>
          </cell>
          <cell r="AC112" t="str">
            <v>2239 Zapote St., Camartin, Brgy 178, Caloocan City</v>
          </cell>
        </row>
        <row r="113">
          <cell r="AB113" t="str">
            <v>DECENA RONALD  LUCIO</v>
          </cell>
          <cell r="AC113" t="str">
            <v>Brgy., Andres Bonifacio,Mayorga, Leyte</v>
          </cell>
        </row>
        <row r="114">
          <cell r="AB114" t="str">
            <v>AGUS CARCIOLO CAJANDAB</v>
          </cell>
          <cell r="AC114" t="str">
            <v>Cainta, Rizal</v>
          </cell>
        </row>
        <row r="115">
          <cell r="AB115" t="str">
            <v>DULA JOEL MANALANSAN</v>
          </cell>
          <cell r="AC115" t="str">
            <v>407 Purok 7, New San Juan, Dinalupihan, Bataan</v>
          </cell>
        </row>
        <row r="116">
          <cell r="AB116" t="str">
            <v>CASTRO MARYJANE DIZON</v>
          </cell>
          <cell r="AC116" t="str">
            <v>Phase 1, Purok 5, Taugtog, Botolan, Zambales</v>
          </cell>
        </row>
        <row r="117">
          <cell r="AB117" t="str">
            <v>BATALLER SHERWIN SOLOMON BELLEN</v>
          </cell>
          <cell r="AC117" t="str">
            <v>J Rizal St., Paciano Rizal, Calamba City, Laguna</v>
          </cell>
        </row>
        <row r="118">
          <cell r="AB118" t="str">
            <v>GOMEZ RICH MICHAEL LIBU</v>
          </cell>
          <cell r="AC118" t="str">
            <v>482 Mali St., Cutcut, Angeles City, Pampanga</v>
          </cell>
        </row>
        <row r="119">
          <cell r="AB119" t="str">
            <v>SAGGOT FREDA AMMAGAY</v>
          </cell>
          <cell r="AC119" t="str">
            <v>Luplupa, Tinglayan, Kalinga</v>
          </cell>
        </row>
        <row r="120">
          <cell r="AB120" t="str">
            <v>BANTIC JUVENAL PULINNEK</v>
          </cell>
          <cell r="AC120" t="str">
            <v>#20 Alley 1, Project 6, Quezon City</v>
          </cell>
        </row>
        <row r="121">
          <cell r="AB121" t="str">
            <v>DAEP EDITHA  TORRES</v>
          </cell>
          <cell r="AC121" t="str">
            <v>Blk18 Lot 3 P-J Francisco Homes, SJDM, Bulacan</v>
          </cell>
        </row>
        <row r="122">
          <cell r="AB122" t="str">
            <v>SANTOS NATHANELLE SEMINIANO</v>
          </cell>
          <cell r="AC122" t="str">
            <v>32-1 Avocado St, Sto. Nino, San Mateo, Rizal</v>
          </cell>
        </row>
        <row r="123">
          <cell r="AB123" t="str">
            <v>ESCABOSA GEROGIL SALAZAR</v>
          </cell>
          <cell r="AC123" t="str">
            <v>Blk 110 Lot 17 K-57 Kalinisan ST., Karangalan V illage, San Isidro Village, Cainta, Rizal</v>
          </cell>
        </row>
        <row r="124">
          <cell r="AB124" t="str">
            <v>ARRE EDWARD CATALAN</v>
          </cell>
          <cell r="AC124" t="str">
            <v>P Limbauan St., Borongan, Easter Samar</v>
          </cell>
        </row>
        <row r="125">
          <cell r="AB125" t="str">
            <v>JAYOMA BREIZEL MENORCA</v>
          </cell>
          <cell r="AC125" t="str">
            <v>4826 Dorca Townhome, Rayos Compound, Rosatrio, Pasig City</v>
          </cell>
        </row>
        <row r="126">
          <cell r="AB126" t="str">
            <v>BALINGIT JOSE JEFFERSON LACSAM</v>
          </cell>
          <cell r="AC126" t="str">
            <v>B153 L9 Amorseco St., Rizal, Makati City</v>
          </cell>
        </row>
        <row r="127">
          <cell r="AB127" t="str">
            <v>MALLILLIN MARICAR CABIGAS</v>
          </cell>
          <cell r="AC127" t="str">
            <v>10 Longhorn St., Rancho 4 East, Brgy Concepcion Dos, Marikina City</v>
          </cell>
        </row>
        <row r="128">
          <cell r="AB128" t="str">
            <v>YU JOSE PEPITO QUILANG</v>
          </cell>
          <cell r="AC128" t="str">
            <v>5152 San Gregorio st., Gen. T De leon, Valenzuela City</v>
          </cell>
        </row>
        <row r="129">
          <cell r="AB129" t="str">
            <v>ANDANAR JON JASON GORGOLON</v>
          </cell>
          <cell r="AC129" t="str">
            <v>B6, L2, Kingstown Subd., Brgy. 171, Caloocan City</v>
          </cell>
        </row>
        <row r="130">
          <cell r="AB130" t="str">
            <v>ARAC TIERRE DAPHNE UNARSE</v>
          </cell>
          <cell r="AC130" t="str">
            <v>340 Sta. Catalina St., Brgy. Holy Spirit,  Quezon City</v>
          </cell>
        </row>
        <row r="131">
          <cell r="AB131" t="str">
            <v>TAN ROBERT BACALTOS</v>
          </cell>
          <cell r="AC131" t="str">
            <v>847 Tahimik St., Delpan, Tondo, Manila</v>
          </cell>
        </row>
        <row r="132">
          <cell r="AB132" t="str">
            <v>CABILOS ROBERT MONTALBAN</v>
          </cell>
          <cell r="AC132" t="str">
            <v>St. Paul St., Janssenville Subd., Taytay, Rizal</v>
          </cell>
        </row>
        <row r="133">
          <cell r="AB133" t="str">
            <v>BELLY JOCELYN  DEL BARRIO</v>
          </cell>
          <cell r="AC133" t="str">
            <v>B6 L2, Hilltop, Abatex, San Jose, Rodriguez, Rizal</v>
          </cell>
        </row>
        <row r="134">
          <cell r="AB134" t="str">
            <v>GRAGASIN JOEVEN TABAGO</v>
          </cell>
          <cell r="AC134" t="str">
            <v>213 PRK Raniag, Nipaco, Paniqui, Tarlac</v>
          </cell>
        </row>
        <row r="135">
          <cell r="AB135" t="str">
            <v>MENDOZA FLOMARIE JOHN GAVERIA</v>
          </cell>
          <cell r="AC135" t="str">
            <v>Blk 9, Lott 9, Molave St. Hillsview Subd., Mayao Crossing, Lucena City</v>
          </cell>
        </row>
        <row r="136">
          <cell r="AB136" t="str">
            <v>LLANEZA MARC LEE</v>
          </cell>
          <cell r="AC136" t="str">
            <v>10-E Rajah Soliman St., Santa Lucia, Quezon City</v>
          </cell>
        </row>
        <row r="137">
          <cell r="AB137" t="str">
            <v>MACAPILIT MARYLAND SEPLON</v>
          </cell>
          <cell r="AC137" t="str">
            <v>JBN Subd. Carangan, Ozamis City, Misamis Occidental</v>
          </cell>
        </row>
        <row r="138">
          <cell r="AB138" t="str">
            <v>CORPUZ ALLAN ROY AGANG</v>
          </cell>
          <cell r="AC138" t="str">
            <v>194 6th STGHQ Village,  Zone 1, Taguig, Metro Manila</v>
          </cell>
        </row>
        <row r="139">
          <cell r="AB139" t="str">
            <v>TABUYO GILBERT POLA</v>
          </cell>
          <cell r="AC139" t="str">
            <v>#21 Panay Norte, Magsingal, Ilocos Sur</v>
          </cell>
        </row>
        <row r="140">
          <cell r="AB140" t="str">
            <v>RANCE LEONARDO ESPINOSA</v>
          </cell>
          <cell r="AC140" t="str">
            <v>11-B Saint Andrew St/. Don Bosco Vill, Paranaque City</v>
          </cell>
        </row>
        <row r="141">
          <cell r="AB141" t="str">
            <v>MINA EDGAR LABIAO</v>
          </cell>
          <cell r="AC141" t="str">
            <v>Adarna St., Brgy. Commonwealth, Quezon City</v>
          </cell>
        </row>
        <row r="142">
          <cell r="AB142" t="str">
            <v>BOTE JOHN BILL BOTE</v>
          </cell>
          <cell r="AC142" t="str">
            <v>PLA-0407 Rizal St., Padolina, Gen. Tinio, Nueva Ecija</v>
          </cell>
        </row>
        <row r="143">
          <cell r="AB143" t="str">
            <v>ELECCION CHRISTOFFERSON CURAMING</v>
          </cell>
          <cell r="AC143" t="str">
            <v>615 Everlasting St., La Colina Subd, Mambugan, Antipolo City, Rizal</v>
          </cell>
        </row>
        <row r="144">
          <cell r="AB144" t="str">
            <v>MANUEL MARK ALMONTE</v>
          </cell>
          <cell r="AC144">
            <v>0</v>
          </cell>
        </row>
        <row r="145">
          <cell r="AB145" t="str">
            <v>BUENO CHIER BRYAN MARCOS</v>
          </cell>
          <cell r="AC145">
            <v>0</v>
          </cell>
        </row>
        <row r="146">
          <cell r="AB146" t="str">
            <v>SANTOS NHARCISO JHOEL SULIT</v>
          </cell>
          <cell r="AC146">
            <v>0</v>
          </cell>
        </row>
        <row r="147">
          <cell r="AB147" t="str">
            <v>BAYAUA ANGELO ZALUN</v>
          </cell>
          <cell r="AC147" t="str">
            <v>B10 L23 P-H Guijo, Francisco Homes , SJDM, Bulacan</v>
          </cell>
        </row>
        <row r="148">
          <cell r="AB148" t="str">
            <v>SUPIL HARLIE MUTIA</v>
          </cell>
          <cell r="AC148" t="str">
            <v>#34 Puelay, Caranglaan, Dagupan City</v>
          </cell>
        </row>
        <row r="149">
          <cell r="AB149" t="str">
            <v>TABAFUNDA RONNEL NACIS</v>
          </cell>
          <cell r="AC149" t="str">
            <v>Brgy. Paagan, Bacnotan, La Union</v>
          </cell>
        </row>
        <row r="150">
          <cell r="AB150" t="str">
            <v>RIVERA RONALD BATIS</v>
          </cell>
          <cell r="AC150" t="str">
            <v>Namboongan, Sto. Tomas, La Union</v>
          </cell>
        </row>
        <row r="151">
          <cell r="AB151" t="str">
            <v>MAMENTA CRISTOPHER ALLAS</v>
          </cell>
          <cell r="AC151" t="str">
            <v>Zone 4, Legaspi, Tayug, Pangasinan</v>
          </cell>
        </row>
        <row r="152">
          <cell r="AB152" t="str">
            <v>BACCAY PEDRO IQUIN</v>
          </cell>
          <cell r="AC152" t="str">
            <v>Blk2, Lot19, Orchid St., Camella Townhomes, Talon 3, Las Piñas City</v>
          </cell>
        </row>
        <row r="153">
          <cell r="AB153" t="str">
            <v>CANAPI CHARLIE MEMAN</v>
          </cell>
          <cell r="AC153" t="str">
            <v>205 Bonifacio Street, Centro Northwest, Solana, Cagayan</v>
          </cell>
        </row>
        <row r="154">
          <cell r="AB154" t="str">
            <v>MILLARE OLIVIA ANTONIO</v>
          </cell>
          <cell r="AC154" t="str">
            <v>#355 Antonios St., Carig Sur,Tuguegarao City, Cagayan</v>
          </cell>
        </row>
        <row r="155">
          <cell r="AB155" t="str">
            <v>PALATTAO JOHNY FER MABORRANG</v>
          </cell>
          <cell r="AC155" t="str">
            <v>Bauan West, Solana, Cagayan</v>
          </cell>
        </row>
        <row r="156">
          <cell r="AB156" t="str">
            <v>TUMBALI JAYANN PASICOLAN</v>
          </cell>
          <cell r="AC156" t="str">
            <v>189 Luquilu, Cabagan, Isabela</v>
          </cell>
        </row>
        <row r="157">
          <cell r="AB157" t="str">
            <v>BLANCAD ALVIN MACARUBBO</v>
          </cell>
          <cell r="AC157" t="str">
            <v>#21 Gosi Sur, Tuguegarao City, Cagayan</v>
          </cell>
        </row>
        <row r="158">
          <cell r="AB158" t="str">
            <v>BUCAG JAMES TAGUBA</v>
          </cell>
          <cell r="AC158" t="str">
            <v>San Isidro West, Santa Maria, Isabela</v>
          </cell>
        </row>
        <row r="159">
          <cell r="AB159" t="str">
            <v>TULIAO JEFFERSON LORISTO</v>
          </cell>
          <cell r="AC159" t="str">
            <v>Minanga Sur, San Pablo, Isabela</v>
          </cell>
        </row>
        <row r="160">
          <cell r="AB160" t="str">
            <v>LABANG MARY JOY ZIPAGAN</v>
          </cell>
          <cell r="AC160" t="str">
            <v>Purok 2, Brgy. Garita, Cabagan, Isabela</v>
          </cell>
        </row>
        <row r="161">
          <cell r="AB161" t="str">
            <v>RAMOS CHRISHELLE SAGUN</v>
          </cell>
          <cell r="AC161" t="str">
            <v>Cagoran, Lal-lo, Cagayan</v>
          </cell>
        </row>
        <row r="162">
          <cell r="AB162" t="str">
            <v>LOZADA AIDEE GARCES</v>
          </cell>
          <cell r="AC162" t="str">
            <v>B1 L6 Tropics 3 Filinvest East, San Isidro, Cainta</v>
          </cell>
        </row>
        <row r="163">
          <cell r="AB163" t="str">
            <v>GUINTO EDITHA  ANICIETE</v>
          </cell>
          <cell r="AC163" t="str">
            <v>Brgy., Puti, MasantolL, Pampanga</v>
          </cell>
        </row>
        <row r="164">
          <cell r="AB164" t="str">
            <v>VELASCO ACE PAGADUAN</v>
          </cell>
          <cell r="AC164" t="str">
            <v>Purok 4, Brgy. Pitombayog, Mayantoc, Tarlac</v>
          </cell>
        </row>
        <row r="165">
          <cell r="AB165" t="str">
            <v>JARANILLA MA ANNIE CAABAS</v>
          </cell>
          <cell r="AC165" t="str">
            <v>Busuang Rd., Purok Pag-asa, Brgy. Caramay, Roxas, Palawan)</v>
          </cell>
        </row>
        <row r="166">
          <cell r="AB166" t="str">
            <v>RUIZ RONIE BATARA</v>
          </cell>
          <cell r="AC166" t="str">
            <v>B41 L21 Acacia St., S Heights II Subd., United Better Living, San Pedro, Laguna</v>
          </cell>
        </row>
        <row r="167">
          <cell r="AB167" t="str">
            <v>SIBUNGA JOSEPH TAMAYO</v>
          </cell>
          <cell r="AC167" t="str">
            <v>#2312 Adonis St., Pandacan, Manila</v>
          </cell>
        </row>
        <row r="168">
          <cell r="AB168" t="str">
            <v>CORDERO GEMINIANO MATINING</v>
          </cell>
          <cell r="AC168" t="str">
            <v>Marfrancisco, Pinamalayan, Oriental Mindoro</v>
          </cell>
        </row>
        <row r="169">
          <cell r="AB169" t="str">
            <v>CONDES MARY ROSE DEL CASTILLO</v>
          </cell>
          <cell r="AC169" t="str">
            <v>Palayan St., Paclasan (Pob), Roxas, Oriental Mindoro</v>
          </cell>
        </row>
        <row r="170">
          <cell r="AB170" t="str">
            <v>BURDEOS ENRIQUE COSICOL</v>
          </cell>
          <cell r="AC170" t="str">
            <v>Lot 29 Blk 5 Phase 3, Sta. Barbara II,  Brgy. Silangan, San Mateo, Rizal</v>
          </cell>
        </row>
        <row r="171">
          <cell r="AB171" t="str">
            <v>DELEÑA CHRISTIAN CUELA</v>
          </cell>
          <cell r="AC171" t="str">
            <v>Sampaguita St., Brgy Bitaogan Presentacion, Camarines Sur</v>
          </cell>
        </row>
        <row r="172">
          <cell r="AB172" t="str">
            <v>GARMA CHARLES  MARZAN</v>
          </cell>
          <cell r="AC172">
            <v>0</v>
          </cell>
        </row>
        <row r="173">
          <cell r="AB173" t="str">
            <v>FAMINIANO LAURENCE ANTHONY MARABE</v>
          </cell>
          <cell r="AC173" t="str">
            <v>ASV Compound, Banga, Aklan</v>
          </cell>
        </row>
        <row r="174">
          <cell r="AB174" t="str">
            <v>BALDERAMA HARLEY GALANG</v>
          </cell>
          <cell r="AC174" t="str">
            <v>Calumangan, Bago City, Negros Occidenta</v>
          </cell>
        </row>
        <row r="175">
          <cell r="AB175" t="str">
            <v>JOAQUIN ROMEO LISING</v>
          </cell>
          <cell r="AC175" t="str">
            <v>Unit 203 MB21, Diego Silang Vill, Ususa, Taguig City</v>
          </cell>
        </row>
        <row r="176">
          <cell r="AB176" t="str">
            <v>HICBAN DIONISIO SANTOS</v>
          </cell>
          <cell r="AC176" t="str">
            <v>B2 L17 Phase 1, Mabini St., Doña Soledad Subd. Labangal, General Santos City</v>
          </cell>
        </row>
        <row r="177">
          <cell r="AB177" t="str">
            <v>SIBAYAN REYGIE PIAGAN</v>
          </cell>
          <cell r="AC177" t="str">
            <v>Giron St., BRGY NO. 2, Santa Joaquina, Laoag City, Ilocos Norte</v>
          </cell>
        </row>
        <row r="178">
          <cell r="AB178" t="str">
            <v>ERSAN GIOVANNI PACIFICO</v>
          </cell>
          <cell r="AC178" t="str">
            <v>T-008 Jagobiao, Mandaue City, Cebu</v>
          </cell>
        </row>
        <row r="179">
          <cell r="AB179" t="str">
            <v>CLAOR MICHELLE DUGAM</v>
          </cell>
          <cell r="AC179" t="str">
            <v>Toon, La Paz, Abra</v>
          </cell>
        </row>
        <row r="180">
          <cell r="AB180" t="str">
            <v>RIVERA ROBIN DATUL</v>
          </cell>
          <cell r="AC180" t="str">
            <v>53 Masaya St, UP Village, Quezon City</v>
          </cell>
        </row>
        <row r="181">
          <cell r="AB181" t="str">
            <v>AVILA CHRISTOPHER BALEÑA</v>
          </cell>
          <cell r="AC181" t="str">
            <v>B12 Lot 21 St. Ignatius St., San Jose Townhomes, Pasong Camachile II, Gen. Trias, Cavite</v>
          </cell>
        </row>
        <row r="182">
          <cell r="AB182" t="str">
            <v>SEPTIMO LEO CACA</v>
          </cell>
          <cell r="AC182" t="str">
            <v>Zone 2, Barayong, Palo, Leyte</v>
          </cell>
        </row>
        <row r="183">
          <cell r="AB183" t="str">
            <v>SEVILLA JERALD MANUZON</v>
          </cell>
          <cell r="AC183" t="str">
            <v>B-38 L-20 Violeta St., Pembo, Makati City</v>
          </cell>
        </row>
        <row r="184">
          <cell r="AB184" t="str">
            <v>BELOYA GENESON DORIENDES</v>
          </cell>
          <cell r="AC184" t="str">
            <v>Tetuan, Zamboanga City</v>
          </cell>
        </row>
        <row r="185">
          <cell r="AB185" t="str">
            <v>MUKTAJAR GAJIR MUHARRANI</v>
          </cell>
          <cell r="AC185" t="str">
            <v>Lot 22, Phase 1, Blue Homes Executive Subd., Cabatangan, Zamboanga City</v>
          </cell>
        </row>
        <row r="186">
          <cell r="AB186" t="str">
            <v>HADJIMUDDIN JULMONER PASLANGAN</v>
          </cell>
          <cell r="AC186" t="str">
            <v>PRO9 IT Office, Camp Abendan, Mercedes, Zaboanga City, Zamboanga Del Sur</v>
          </cell>
        </row>
        <row r="187">
          <cell r="AB187" t="str">
            <v>HUSSEIN IQBAR IMLANI</v>
          </cell>
          <cell r="AC187" t="str">
            <v>06 Sulu ST., Salam Compound , Culiat, Tandang Sora, Quezon City</v>
          </cell>
        </row>
        <row r="188">
          <cell r="AB188" t="str">
            <v>ABDUHARI AL-MITRA PUNGUTAN</v>
          </cell>
          <cell r="AC188" t="str">
            <v>23A Alsalam St., Salam Compound, Culiat, Tandang Sora, Quezon City</v>
          </cell>
        </row>
        <row r="189">
          <cell r="AB189" t="str">
            <v>ALAWI NABIL HAJINULLA</v>
          </cell>
          <cell r="AC189" t="str">
            <v>Bilukan, Kajatian, Indanan, Sulu</v>
          </cell>
        </row>
        <row r="190">
          <cell r="AB190" t="str">
            <v>BAUTISTA CESAR ESCARZA</v>
          </cell>
          <cell r="AC190" t="str">
            <v>Pacao, Alamada, North Cotabato</v>
          </cell>
        </row>
        <row r="191">
          <cell r="AB191" t="str">
            <v>MONDOÑEDO ROMENITO MAYORDO</v>
          </cell>
          <cell r="AC191" t="str">
            <v>811-E Moret ST., Sampaloc, Manila</v>
          </cell>
        </row>
        <row r="192">
          <cell r="AB192" t="str">
            <v>BONTIA ISAAC MEDEL  AMAD</v>
          </cell>
          <cell r="AC192" t="str">
            <v>3-D Mother Theresa St., Brgy. 9-A (Pob.) Davao City, Davao Del Sur</v>
          </cell>
        </row>
        <row r="193">
          <cell r="AB193" t="str">
            <v>BUEZA JAMES VINCENT LLIDO</v>
          </cell>
          <cell r="AC193" t="str">
            <v>B1-18 Dusnai Vill., Dumoy, Talomo (Pob.), Davao City, Davao Del Sur</v>
          </cell>
        </row>
        <row r="194">
          <cell r="AB194" t="str">
            <v>ANGELES MARK DANIEL MAMITAG</v>
          </cell>
          <cell r="AC194" t="str">
            <v>4A Jones St., Dulong Bayan 2, San Mateo, Rizal</v>
          </cell>
        </row>
        <row r="195">
          <cell r="AB195" t="str">
            <v>TARUN CHRISTIAN BELTRAN</v>
          </cell>
          <cell r="AC195" t="str">
            <v>110B. Harrison Street, Vermont Park, Mayamot, Antipolo City, Rizal</v>
          </cell>
        </row>
        <row r="196">
          <cell r="AB196" t="str">
            <v>CERDANA NESTOR SEMBRANO</v>
          </cell>
          <cell r="AC196" t="str">
            <v>Upper Katungal, Tacurong City, Sultan Kudarat</v>
          </cell>
        </row>
        <row r="197">
          <cell r="AB197" t="str">
            <v>DEITA ANN MARIE SOTOMIL</v>
          </cell>
          <cell r="AC197" t="str">
            <v>Purok Sampaguita, Poblacion, Norala, South Cotabato</v>
          </cell>
        </row>
        <row r="198">
          <cell r="AB198" t="str">
            <v>SUASIN ARIEL PINES</v>
          </cell>
          <cell r="AC198" t="str">
            <v>Latimbang Street, Poblacion, Magpet, Cotabato.</v>
          </cell>
        </row>
        <row r="199">
          <cell r="AB199" t="str">
            <v>COMON RAQUIL MANATAD</v>
          </cell>
          <cell r="AC199" t="str">
            <v>Pacifico, San isidro, Surigao Del Norte</v>
          </cell>
        </row>
        <row r="200">
          <cell r="AB200" t="str">
            <v>ALABA NIEL CAGAMPANG</v>
          </cell>
          <cell r="AC200" t="str">
            <v>Lower, Dumarait, Balingasag, Misamis Oriental</v>
          </cell>
        </row>
        <row r="201">
          <cell r="AB201" t="str">
            <v>LUMIBAO RENE JASPER CUNANAN</v>
          </cell>
          <cell r="AC201" t="str">
            <v>52 LOT 16 Stonington St., Phase 7, Dizon Estate, San Agustin, San Fernando City</v>
          </cell>
        </row>
        <row r="202">
          <cell r="AB202" t="str">
            <v>TRINIDAD PAUL RYAN RUEL CASTRO</v>
          </cell>
          <cell r="AC202" t="str">
            <v>Mudiit, Dolores, Abra</v>
          </cell>
        </row>
        <row r="203">
          <cell r="AB203" t="str">
            <v>MARQUEZ MARISOL BALASON</v>
          </cell>
          <cell r="AC203" t="str">
            <v>#281 Feeder Rd II, Brgy Unzad, Villasis, Pangasinan</v>
          </cell>
        </row>
        <row r="204">
          <cell r="AB204" t="str">
            <v>QUIAÑO CRYSTAL JEZZELLE CARIASO</v>
          </cell>
          <cell r="AC204" t="str">
            <v>#055 Guinabang, Bacnotan, La Union</v>
          </cell>
        </row>
        <row r="205">
          <cell r="AB205" t="str">
            <v>FABRO JHOANNA GRACIA MANLAPAZ</v>
          </cell>
          <cell r="AC205" t="str">
            <v>439 P. Tuazon, Cubao, Quezon City</v>
          </cell>
        </row>
        <row r="206">
          <cell r="AB206" t="str">
            <v>CABAÑEROS JULIUS STEVE SABELLA</v>
          </cell>
          <cell r="AC206" t="str">
            <v>HOUSE # 654, Zone 5, Bayabas, Cagayan de Oro, Misamis, Oriental</v>
          </cell>
        </row>
        <row r="207">
          <cell r="AB207" t="str">
            <v>LIM BENEDICT LEE</v>
          </cell>
          <cell r="AC207" t="str">
            <v>102-C Mudjahidin St., Salam Compound, Culiat, Tandang Sora, Quezon City</v>
          </cell>
        </row>
        <row r="208">
          <cell r="AB208" t="str">
            <v>SUGUITAN FREDIMAR PATTUNG</v>
          </cell>
          <cell r="AC208" t="str">
            <v>Poblacion, Baggao, Cagayan Valley</v>
          </cell>
        </row>
        <row r="209">
          <cell r="AB209" t="str">
            <v>TANGO FROILAN GENN  GELACIO</v>
          </cell>
          <cell r="AC209" t="str">
            <v>56 Kalaw St., Mira Nila Homes, Pasong Tamo, Quezon City</v>
          </cell>
        </row>
        <row r="210">
          <cell r="AB210" t="str">
            <v>SUCGANG ROSE ANNE ROXAS</v>
          </cell>
          <cell r="AC210" t="str">
            <v># 203 JP Rizal St., San Roque, Marikina City</v>
          </cell>
        </row>
        <row r="211">
          <cell r="AB211" t="str">
            <v>GASCON MARIA LUZ BUMAGAT</v>
          </cell>
          <cell r="AC211" t="str">
            <v>3065 Abucay St., Manuguit Subd., Tondo, Manila</v>
          </cell>
        </row>
        <row r="212">
          <cell r="AB212" t="str">
            <v>PEREZ RUSSELL NUERA</v>
          </cell>
          <cell r="AC212" t="str">
            <v>#4 Colossians St., Phase 4 Jorda Plains Subd., Novaliches, Quezon City</v>
          </cell>
        </row>
        <row r="213">
          <cell r="AB213" t="str">
            <v>SABIO SHERWIN INTONG</v>
          </cell>
          <cell r="AC213" t="str">
            <v>173-P 22nd Avenue , East Rembo, Makati City</v>
          </cell>
        </row>
        <row r="214">
          <cell r="AB214" t="str">
            <v>PLAZA ERVIN TELAPER</v>
          </cell>
          <cell r="AC214" t="str">
            <v>Purok 6, Amaga, Barobo, Surigao Del Sur</v>
          </cell>
        </row>
        <row r="215">
          <cell r="AB215" t="str">
            <v>ARIAS AUDEN GOZUM</v>
          </cell>
          <cell r="AC215" t="str">
            <v>Blk 10 L9 Peter Francisco Homes 2, SJDM, Bulacan</v>
          </cell>
        </row>
        <row r="216">
          <cell r="AB216" t="str">
            <v>CALAPANO MELVIN AVILA</v>
          </cell>
          <cell r="AC216">
            <v>0</v>
          </cell>
        </row>
        <row r="217">
          <cell r="AB217" t="str">
            <v>BAG-AYAN PERCY WA-IL</v>
          </cell>
          <cell r="AC217">
            <v>0</v>
          </cell>
        </row>
        <row r="218">
          <cell r="AB218" t="str">
            <v>CEDENO ZAYRA JANE MAUR</v>
          </cell>
          <cell r="AC218" t="str">
            <v>29 P Dizon Circle, Hen. T. De Leon, Valenzuela City</v>
          </cell>
        </row>
        <row r="219">
          <cell r="AB219" t="str">
            <v>DIAZ STEPHEN PAUL BAUZON</v>
          </cell>
          <cell r="AC219" t="str">
            <v>Conrazon, Bansud, Oriental Mindoro</v>
          </cell>
        </row>
        <row r="220">
          <cell r="AB220" t="str">
            <v>MARASIGAN MIA ANGELA CORNEJO</v>
          </cell>
          <cell r="AC220" t="str">
            <v>121G 14TH Ave., Socorro, Quezon City</v>
          </cell>
        </row>
        <row r="221">
          <cell r="AB221" t="str">
            <v>MERQUE JUDE ANN GRIEGO</v>
          </cell>
          <cell r="AC221" t="str">
            <v>Riverside, Victoria, Roxas, Oriental Mindoro</v>
          </cell>
        </row>
        <row r="222">
          <cell r="AB222" t="str">
            <v>MOSLARES MARLY MOLINA</v>
          </cell>
          <cell r="AC222" t="str">
            <v>5-D 10TH Ave., Murphy, Cubao, Quezon City</v>
          </cell>
        </row>
        <row r="223">
          <cell r="AB223" t="str">
            <v>NAVARRO LOURDES REMEDIO</v>
          </cell>
          <cell r="AC223" t="str">
            <v>Purok 2, Concepcion Chapel, Tangnan, Panglao, Bohol</v>
          </cell>
        </row>
        <row r="224">
          <cell r="AB224" t="str">
            <v>ANARNA DARIA CALAMAYA</v>
          </cell>
          <cell r="AC224" t="str">
            <v>79 Narra St., Marikina Heights, Marikina City.</v>
          </cell>
        </row>
        <row r="225">
          <cell r="AB225" t="str">
            <v>AVENDAÑO MA. FRELIE JOY (no middle name)</v>
          </cell>
          <cell r="AC225" t="str">
            <v>#92 F Estrella St., San Juan, Malolos City, Bulacan</v>
          </cell>
        </row>
        <row r="226">
          <cell r="AB226" t="str">
            <v>GARCIA RENZIE ABELIS</v>
          </cell>
          <cell r="AC226" t="str">
            <v>816 Mansanas St., Napico, Manggahan, Pasig City</v>
          </cell>
        </row>
        <row r="227">
          <cell r="AB227" t="str">
            <v>GUALVEZ ANABELLE BAYONA</v>
          </cell>
          <cell r="AC227" t="str">
            <v>161 Kanlaon St, Maharlika, Quezon City</v>
          </cell>
        </row>
        <row r="228">
          <cell r="AB228" t="str">
            <v>GUMBA ROSALIE SEVILLA</v>
          </cell>
          <cell r="AC228" t="str">
            <v>Condo 11, D1 Gen. Castañeda St., Camp Bgen Rafael T Crame//168 Brgy., Bardias, San Miguel, Bulacan</v>
          </cell>
        </row>
        <row r="229">
          <cell r="AB229" t="str">
            <v>MISTICA MA FELIRITA SUBIDO</v>
          </cell>
          <cell r="AC229" t="str">
            <v>44 San Isidro St, Santol, Brgy. Sto Nino, Quezon City</v>
          </cell>
        </row>
        <row r="230">
          <cell r="AB230" t="str">
            <v>NIEVA AILEEN SABELA</v>
          </cell>
          <cell r="AC230" t="str">
            <v>Blk 10 Lot 42 Phase 1, E.P. Village, Brgy. Pinagsama, Taguig City</v>
          </cell>
        </row>
        <row r="231">
          <cell r="AB231" t="str">
            <v>TAN ACHILES YABUT</v>
          </cell>
          <cell r="AC231" t="str">
            <v>Blk 1 Lot 33, Maunlad Homes Subd., Caingin, Malolos, Bulacan</v>
          </cell>
        </row>
        <row r="232">
          <cell r="AB232" t="str">
            <v>ACORDA ELPIDIO PALARCA</v>
          </cell>
          <cell r="AC232" t="str">
            <v>44 - T Llano St., Brgy. Sangandaan, Tandang Sora, Quezon City</v>
          </cell>
        </row>
        <row r="233">
          <cell r="AB233" t="str">
            <v>BACLIG NEILJANE ADONA</v>
          </cell>
          <cell r="AC233" t="str">
            <v>Blk 9 Lot 19,  Rosario Complex, San Pedro, Laguna</v>
          </cell>
        </row>
        <row r="234">
          <cell r="AB234" t="str">
            <v>HERRERA PACIVICA BAYHON</v>
          </cell>
          <cell r="AC234" t="str">
            <v>30 L Woodd St., Balara, Quezon City</v>
          </cell>
        </row>
        <row r="235">
          <cell r="AB235" t="str">
            <v>LEE MARIA ELISA SUERO</v>
          </cell>
          <cell r="AC235" t="str">
            <v>36 Mindanao St., Filipinas Village, Marikina</v>
          </cell>
        </row>
        <row r="236">
          <cell r="AB236" t="str">
            <v>ORBASE CARLOS MECAYER</v>
          </cell>
          <cell r="AC236" t="str">
            <v>23 U Road 11, 1st  West Crame, San Juan City</v>
          </cell>
        </row>
        <row r="237">
          <cell r="AB237" t="str">
            <v>RAPOSAS ELVIRA MADRIGUERA</v>
          </cell>
          <cell r="AC237" t="str">
            <v>Blk 2 Lot 11, King Charles, St. Del Rey Ville 2 Subd. Gate1, Camarin Rd., Caloocan City</v>
          </cell>
        </row>
        <row r="238">
          <cell r="AB238" t="str">
            <v>TURALBA KIMBERLY JOYCE FONTANILLA</v>
          </cell>
          <cell r="AC238" t="str">
            <v>Blk  30 Lot 31-32 Expansion 2, Heroesville 1 Subd., Gaya-gaya, SJDM, Bulacan</v>
          </cell>
        </row>
        <row r="239">
          <cell r="AB239" t="str">
            <v>CALULOT ROY AUGUSTUS FRAGATA</v>
          </cell>
          <cell r="AC239">
            <v>0</v>
          </cell>
        </row>
        <row r="240">
          <cell r="AB240" t="str">
            <v>MATAGAY ROMEO REDENTO BACULI</v>
          </cell>
          <cell r="AC240" t="str">
            <v>521 Inocensio ST., Pasay City</v>
          </cell>
        </row>
        <row r="241">
          <cell r="AB241" t="str">
            <v>DOMINGO MISCHELL ALOR</v>
          </cell>
          <cell r="AC241" t="str">
            <v>Blk 2 Lot 6, Urban Bliss, Barangka, Marikina City</v>
          </cell>
        </row>
        <row r="242">
          <cell r="AB242" t="str">
            <v>MAGBANUA RACHELLE CASTRO</v>
          </cell>
          <cell r="AC242" t="str">
            <v>5-P Road 7, First West Crame, San Juan City</v>
          </cell>
        </row>
        <row r="243">
          <cell r="AB243" t="str">
            <v>MAGTIBAY GERTRUDES ALTERADO</v>
          </cell>
          <cell r="AC243" t="str">
            <v>584 Lanzones St., Napico, Manggahan, Pasig City</v>
          </cell>
        </row>
        <row r="244">
          <cell r="AB244" t="str">
            <v>MATEO MARIAN AILEEN R'JOSE</v>
          </cell>
          <cell r="AC244" t="str">
            <v>369 Dalisay St., Bacood, Sta. Mesa, Manila</v>
          </cell>
        </row>
        <row r="245">
          <cell r="AB245" t="str">
            <v>RECLA SILVINA LLANTO</v>
          </cell>
          <cell r="AC245" t="str">
            <v>Cluster 5,14B Greehills Garden Square Condominium, Bonnie Serrano Ave., Quezon City</v>
          </cell>
        </row>
        <row r="246">
          <cell r="AB246" t="str">
            <v>RUMBAOA SHIRLY CABUSORA</v>
          </cell>
          <cell r="AC246" t="str">
            <v>13A 1st Avenue, Brgy Bagong Lipunan ng Crame, Quezon City</v>
          </cell>
        </row>
        <row r="247">
          <cell r="AB247" t="str">
            <v>PALISOC PREMIER HAROLD TABUÑAR</v>
          </cell>
          <cell r="AC247" t="str">
            <v>81 Felipe Calderon St., Pussuac, Sto Domingo, Ilocos sur,</v>
          </cell>
        </row>
        <row r="248">
          <cell r="AB248" t="str">
            <v>AGUILAR JAMES BENEDICT GALVEZ</v>
          </cell>
          <cell r="AC248" t="str">
            <v>528 Sampaguit St., San Juan Ildefonso, Bulacan</v>
          </cell>
        </row>
        <row r="249">
          <cell r="AB249" t="str">
            <v>NAZA CLAUDINE PALATTAO</v>
          </cell>
          <cell r="AC249" t="str">
            <v>08 Francisco St., Krus na Ligas, Quezon City</v>
          </cell>
        </row>
        <row r="250">
          <cell r="AB250" t="str">
            <v>AGUILA CRESENCIO MEDINA</v>
          </cell>
          <cell r="AC250" t="str">
            <v>84 Alley 4, 2nd West Crame, San Juan City</v>
          </cell>
        </row>
        <row r="251">
          <cell r="AB251" t="str">
            <v>HAPAN IAN CARLO VILLANUEVA</v>
          </cell>
          <cell r="AC251" t="str">
            <v>Blk 6 Lot 3Phase K1, Francisco Homes, Brgy. Yakal, San Jose Del Monte, Bulacan</v>
          </cell>
        </row>
        <row r="252">
          <cell r="AB252" t="str">
            <v>PANTE MARIA JIA SINAPUELAS</v>
          </cell>
          <cell r="AC252" t="str">
            <v>223 Camia St., Barangay 185, Caloocan City</v>
          </cell>
        </row>
        <row r="253">
          <cell r="AB253" t="str">
            <v>SORIANO NEPTHALIE ADONA</v>
          </cell>
          <cell r="AC253" t="str">
            <v>#233 7th  St., GHQ Village, Zone 1-C, Taguig City</v>
          </cell>
        </row>
        <row r="254">
          <cell r="AB254" t="str">
            <v>CRUZAT MARIEL ARELLANO</v>
          </cell>
          <cell r="AC254" t="str">
            <v>Brgy. Conrazon, Bansud, Oriental Mindoro</v>
          </cell>
        </row>
        <row r="255">
          <cell r="AB255" t="str">
            <v>PIZARRA KAYCEE PINEDA</v>
          </cell>
          <cell r="AC255" t="str">
            <v>Maragooc, Gloria, Oriental Mindoro</v>
          </cell>
        </row>
        <row r="256">
          <cell r="AB256" t="str">
            <v>RADA KRIZTELA FEY LIM</v>
          </cell>
          <cell r="AC256" t="str">
            <v>Pili, San Fernando, Romblon</v>
          </cell>
        </row>
        <row r="257">
          <cell r="AB257" t="str">
            <v>SALAZAR ANN JENETH INAO</v>
          </cell>
          <cell r="AC257" t="str">
            <v>Sitio Mahogany, Narra, Gloria, Oriental Mindoro</v>
          </cell>
        </row>
        <row r="258">
          <cell r="AB258" t="str">
            <v>AQUINO  ROGELIO PATIÑO</v>
          </cell>
          <cell r="AC258" t="str">
            <v>556 Kaunlaran St., Brgy. Commonwealth, Quezon City</v>
          </cell>
        </row>
        <row r="259">
          <cell r="AB259" t="str">
            <v>CELADIÑA TEODORO CUISON</v>
          </cell>
          <cell r="AC259" t="str">
            <v>Balud, San Fernando, Cebu</v>
          </cell>
        </row>
        <row r="260">
          <cell r="AB260" t="str">
            <v>FERNANDEZ ROWEN BON</v>
          </cell>
          <cell r="AC260" t="str">
            <v>Blk 17 LOT 8 Heroesville 1Subd.,  Phase 1. BRGY. Gaya-Gaya, San Jose Del Monte, Bulacan</v>
          </cell>
        </row>
        <row r="261">
          <cell r="AB261" t="str">
            <v>SANTOS ALLAN SASUTA</v>
          </cell>
          <cell r="AC261" t="str">
            <v>Rd 25 B36 L49 Brgy. Bagong Nayon, Cogeo Vill., Antipolo</v>
          </cell>
        </row>
        <row r="262">
          <cell r="AB262" t="str">
            <v>AN SANTI RAYMUND NEVADO</v>
          </cell>
          <cell r="AC262" t="str">
            <v>28 Saint Andrew ST., Holy Spirit, Quezon City</v>
          </cell>
        </row>
        <row r="263">
          <cell r="AB263" t="str">
            <v>CHAN JOSE ONG</v>
          </cell>
          <cell r="AC263" t="str">
            <v>Brgy. San Juan, Bobon, Samar</v>
          </cell>
        </row>
        <row r="264">
          <cell r="AB264" t="str">
            <v>MIGUEL GERALD POBLETE</v>
          </cell>
          <cell r="AC264" t="str">
            <v>Annagunan West, Tugegarao City, Cagayan</v>
          </cell>
        </row>
        <row r="265">
          <cell r="AB265" t="str">
            <v>PALPARA RANDY TAMBANILLO</v>
          </cell>
          <cell r="AC265" t="str">
            <v>Labao Ext., Napindan, Taguig City</v>
          </cell>
        </row>
        <row r="266">
          <cell r="AB266" t="str">
            <v>ABANILLA FREDDIE BAUTISTA</v>
          </cell>
          <cell r="AC266" t="str">
            <v>FB-016 Tabangaoen Balili La Trinidad Benguet</v>
          </cell>
        </row>
        <row r="267">
          <cell r="AB267" t="str">
            <v>ABUAN DICKSON CLEMENTE</v>
          </cell>
          <cell r="AC267" t="str">
            <v>735 Purok 4B, Lucnab Baguio City</v>
          </cell>
        </row>
        <row r="268">
          <cell r="AB268" t="str">
            <v>AGUSTIN RIZELLE INALDO</v>
          </cell>
          <cell r="AC268" t="str">
            <v>78 Zorra Street, Brgy Paltok, Quezon City</v>
          </cell>
        </row>
        <row r="269">
          <cell r="AB269" t="str">
            <v>ALIMAMBO JICK BONUAN</v>
          </cell>
          <cell r="AC269" t="str">
            <v>72  Pucay Village, Purok I, Bakakeng Norte, Baguio City</v>
          </cell>
        </row>
        <row r="270">
          <cell r="AB270" t="str">
            <v>ANISCO ARCHIE STO.DOMINGO</v>
          </cell>
          <cell r="AC270" t="str">
            <v>103 Lacson Street, Tondo, Manila</v>
          </cell>
        </row>
        <row r="271">
          <cell r="AB271" t="str">
            <v>BABATE JAN NOEL ADUCA</v>
          </cell>
          <cell r="AC271" t="str">
            <v>Cacaligan, Bantay</v>
          </cell>
        </row>
        <row r="272">
          <cell r="AB272" t="str">
            <v>BALICAG JOSE DAKETAN</v>
          </cell>
          <cell r="AC272" t="str">
            <v>Block 3, D Molintas, Bulanao, Tabuk City Kalinga</v>
          </cell>
        </row>
        <row r="273">
          <cell r="AB273" t="str">
            <v>BALLENAS ROBERTO ALPAS</v>
          </cell>
          <cell r="AC273" t="str">
            <v>Purok Masipag, Buayan, M'lang, Cotabato, North Cotabato</v>
          </cell>
        </row>
        <row r="274">
          <cell r="AB274" t="str">
            <v>BALLESTEROS MHARK VISTA</v>
          </cell>
          <cell r="AC274" t="str">
            <v>114 Maguindanao St., Culiat, Quezon City</v>
          </cell>
        </row>
        <row r="275">
          <cell r="AB275" t="str">
            <v>BALON PHIL JUERGEN ILAN</v>
          </cell>
          <cell r="AC275" t="str">
            <v>38 Vinzons Avenue, Brgy II (Pob), Vinzons, Camarines Norte</v>
          </cell>
        </row>
        <row r="276">
          <cell r="AB276" t="str">
            <v>BATBAT MATT KYNNPEARL CABURATAN</v>
          </cell>
          <cell r="AC276" t="str">
            <v>Block 39 Lot 3, Kisanlu Subdivision, Iponan, Cagayan de Oro, Misamis Oriental</v>
          </cell>
        </row>
        <row r="277">
          <cell r="AB277" t="str">
            <v>BUHAIN DOROTHY VILLALOBOS</v>
          </cell>
          <cell r="AC277" t="str">
            <v>301 Masagana Subd., Gumamela St., San Francisco, Bulacan</v>
          </cell>
        </row>
        <row r="278">
          <cell r="AB278" t="str">
            <v>BUMAL-O RYAN BALDO</v>
          </cell>
          <cell r="AC278" t="str">
            <v>81 Purok 8, Bakakeng Norte, Baguio City, Benguet</v>
          </cell>
        </row>
        <row r="279">
          <cell r="AB279" t="str">
            <v>CABATIN ROGEL VERGEL GUEVARRA</v>
          </cell>
          <cell r="AC279" t="str">
            <v>596 Re Chico ST., Santo Cristo, Baliuag, Bulacan</v>
          </cell>
        </row>
        <row r="280">
          <cell r="AB280" t="str">
            <v>CABILES FIDEL VALEROS</v>
          </cell>
          <cell r="AC280" t="str">
            <v>918 T2 Grace Residences, Taguig City</v>
          </cell>
        </row>
        <row r="281">
          <cell r="AB281" t="str">
            <v>CAMAY ULDARICO MASONG</v>
          </cell>
          <cell r="AC281" t="str">
            <v>918 T2 Grace Residences, Taguig City</v>
          </cell>
        </row>
        <row r="282">
          <cell r="AB282" t="str">
            <v>CANAPI RODALYN ARGUELLES</v>
          </cell>
          <cell r="AC282" t="str">
            <v>Blk 12 Lot 33, Hamburg Street, Mercedes Executive Village, San Andres (Pob), Cainta, Rizal</v>
          </cell>
        </row>
        <row r="283">
          <cell r="AB283" t="str">
            <v>CANUDAY JACKERON TING</v>
          </cell>
          <cell r="AC283" t="str">
            <v>Blk 4 Lot 4, Dona Rufina Subdivision, Brgy Guintagbucan, Abuyog, Leyte</v>
          </cell>
        </row>
        <row r="284">
          <cell r="AB284" t="str">
            <v>CAROLINO JERALYNE RAMOS</v>
          </cell>
          <cell r="AC284" t="str">
            <v>Block 6 Lot 2, Kingstown 2 Subdivision, Barangay 171, Caloocan City</v>
          </cell>
        </row>
        <row r="285">
          <cell r="AB285" t="str">
            <v>CORDON ANDREO BISIN</v>
          </cell>
          <cell r="AC285" t="str">
            <v>Camp BGen Salipada K Pendatun, Making, Parang, Maguindanao</v>
          </cell>
        </row>
        <row r="286">
          <cell r="AB286" t="str">
            <v>CRUZ CRISTINA JOY VICENTE</v>
          </cell>
          <cell r="AC286" t="str">
            <v>Pilapil Street, Sabang Calabanga, Camarines Sur</v>
          </cell>
        </row>
        <row r="287">
          <cell r="AB287" t="str">
            <v>DOCTOLERO REGGIEMAR NAZA</v>
          </cell>
          <cell r="AC287" t="str">
            <v>Purok 3, San Isidro, Talisay, Camarines Norte</v>
          </cell>
        </row>
        <row r="288">
          <cell r="AB288" t="str">
            <v>DOMINGUIANO JAY  ESTOYA</v>
          </cell>
          <cell r="AC288" t="str">
            <v>Blk 35, #25 Sitio Maligaya, San isidro, Antipolo City</v>
          </cell>
        </row>
        <row r="289">
          <cell r="AB289" t="str">
            <v>EREBETE MICHAEL ROSERO</v>
          </cell>
          <cell r="AC289" t="str">
            <v>82, Maliksi II, Bacoor, Cavite</v>
          </cell>
        </row>
        <row r="290">
          <cell r="AB290" t="str">
            <v>ESTRADA MICAELLA ALLYSSA MONTES</v>
          </cell>
          <cell r="AC290" t="str">
            <v>15 Jonathan St., Brgy. 55, Tondo, Manila</v>
          </cell>
        </row>
        <row r="291">
          <cell r="AB291" t="str">
            <v>EVANGELISTA RHEA TADURAN</v>
          </cell>
          <cell r="AC291" t="str">
            <v>39 Col. Bonny Serrano Ave, Bagong Lipunan Ng Crame, Quezon City</v>
          </cell>
        </row>
        <row r="292">
          <cell r="AB292" t="str">
            <v>FAIGAO SORAIYA DIMASANGKAY</v>
          </cell>
          <cell r="AC292" t="str">
            <v>Silver Homes Subdivision, Sadaan, Midsayap, Cotabato</v>
          </cell>
        </row>
        <row r="293">
          <cell r="AB293" t="str">
            <v>FERMANTEZ DINA SUNIEGA</v>
          </cell>
          <cell r="AC293" t="str">
            <v>445 Purok 5 , Rizal, Diffun, Quirino</v>
          </cell>
        </row>
        <row r="294">
          <cell r="AB294" t="str">
            <v>FREDELUCES MARK ANTHONY RECLA</v>
          </cell>
          <cell r="AC294" t="str">
            <v>064 Middle Nivel Hills, Apas, Cebu City(Capital), Cebu</v>
          </cell>
        </row>
        <row r="295">
          <cell r="AB295" t="str">
            <v>GALPO NICOLAS BERMUDO</v>
          </cell>
          <cell r="AC295" t="str">
            <v>1283 Int 26, Tambunting St.. Sta. Cruz, Manila</v>
          </cell>
        </row>
        <row r="296">
          <cell r="AB296" t="str">
            <v>GOZE JONATHAN SISON</v>
          </cell>
          <cell r="AC296" t="str">
            <v>207 B Purok 1,  Luzon Avenue, Culiat, Quezon City</v>
          </cell>
        </row>
        <row r="297">
          <cell r="AB297" t="str">
            <v>GUEVARRA JAYSON GALANG</v>
          </cell>
          <cell r="AC297" t="str">
            <v>240 ZONE-2, Mangga-Cacutud, Arayat, Pampanga</v>
          </cell>
        </row>
        <row r="298">
          <cell r="AB298" t="str">
            <v>HADJI OSOPH SOLAIMAN   MONESIT</v>
          </cell>
          <cell r="AC298" t="str">
            <v>27 Libyan Street Muslim Compound, Culiat, Quezon City</v>
          </cell>
        </row>
        <row r="299">
          <cell r="AB299" t="str">
            <v>JAVIER JAMES RYAN GAMINO</v>
          </cell>
          <cell r="AC299" t="str">
            <v>Phase 8, Blk 7, Lot 30, Deca Homes, Tacunan, Davao City, Davao Del Sur, 8000</v>
          </cell>
        </row>
        <row r="300">
          <cell r="AB300" t="str">
            <v>JAVIER ROGINA TANGLAO</v>
          </cell>
          <cell r="AC300" t="str">
            <v>19-I 1st Avenue, Bagong Lipunan ng Crame, Quezon City</v>
          </cell>
        </row>
        <row r="301">
          <cell r="AB301" t="str">
            <v>KARIM BENSAR ALI ABDULGANI</v>
          </cell>
          <cell r="AC301" t="str">
            <v>21-B Maguindanao St, Culiat, Quezon City</v>
          </cell>
        </row>
        <row r="302">
          <cell r="AB302" t="str">
            <v>KELLY CARTNER RHYSE PASCUAL</v>
          </cell>
          <cell r="AC302" t="str">
            <v>8 Purok 27, Irisan, Baguio City</v>
          </cell>
        </row>
        <row r="303">
          <cell r="AB303" t="str">
            <v>LACSON VINEAH DIMO</v>
          </cell>
          <cell r="AC303" t="str">
            <v>50 Goldrock ST., San Roque, Navotas City</v>
          </cell>
        </row>
        <row r="304">
          <cell r="AB304" t="str">
            <v>LAOYAN SILVER MARK TALLASE</v>
          </cell>
          <cell r="AC304" t="str">
            <v>Purok 25, Irisan, Bagiuo City, Benguet</v>
          </cell>
        </row>
        <row r="305">
          <cell r="AB305" t="str">
            <v>LOPEZ JOEL MORATALLA</v>
          </cell>
          <cell r="AC305" t="str">
            <v>Block 9 396 Kalayaan Avenue, West Rembo, Makati, Metro Manila</v>
          </cell>
        </row>
        <row r="306">
          <cell r="AB306" t="str">
            <v>MACATOL GEORGE GALITO</v>
          </cell>
          <cell r="AC306" t="str">
            <v>Zone 6, Capisnon, Kauswagan, Cagayan de Oro City), Misamis Oriental</v>
          </cell>
        </row>
        <row r="307">
          <cell r="AB307" t="str">
            <v>MAGALONG DAREN NATIVIDAD</v>
          </cell>
          <cell r="AC307" t="str">
            <v>696 Brgy KitaKita, San Jose City, Nueva Ecija</v>
          </cell>
        </row>
        <row r="308">
          <cell r="AB308" t="str">
            <v>MALANI JOAN MAT-AN</v>
          </cell>
          <cell r="AC308" t="str">
            <v>B5L13 Sammar1 Luzon Avenure, Old Balara, Quezon City</v>
          </cell>
        </row>
        <row r="309">
          <cell r="AB309" t="str">
            <v>MANABAN MARY ANN LUISA CAYABYAB</v>
          </cell>
          <cell r="AC309" t="str">
            <v>Miguela Royale Subdivision Moras Dela Paz Sto. Tomas Pampannga</v>
          </cell>
        </row>
        <row r="310">
          <cell r="AB310" t="str">
            <v>MARTINEZ ANGELICA VIRAY</v>
          </cell>
          <cell r="AC310" t="str">
            <v>057, San Francisco, Macabebe, Pampanga</v>
          </cell>
        </row>
        <row r="311">
          <cell r="AB311" t="str">
            <v>MORA CHARMAINE JOY TAMAYO</v>
          </cell>
          <cell r="AC311" t="str">
            <v>375 F. San Diego Viente Reales, Valenzuela</v>
          </cell>
        </row>
        <row r="312">
          <cell r="AB312" t="str">
            <v>MUÑOZ RANZ NIKKO BIEN</v>
          </cell>
          <cell r="AC312" t="str">
            <v>Blk. 15 Lot 22, Viola St., Camella Sorrento, P.F. Espiritu IV, Bacoor, Cavite</v>
          </cell>
        </row>
        <row r="313">
          <cell r="AB313" t="str">
            <v>NAPOD GILBERT OLIQUINO</v>
          </cell>
          <cell r="AC313" t="str">
            <v>Lot 39 Blk 9 Purok 3, Deano St., Central Bicutan, Taguig City</v>
          </cell>
        </row>
        <row r="314">
          <cell r="AB314" t="str">
            <v>OBORDO JOEDHEL LLOYD EYAO</v>
          </cell>
          <cell r="AC314" t="str">
            <v>Maninang, SAPI-AN, Capiz</v>
          </cell>
        </row>
        <row r="315">
          <cell r="AB315" t="str">
            <v>ONDONA JOHN  HOPE MILLAN</v>
          </cell>
          <cell r="AC315" t="str">
            <v>Purok 7, Lao Proper, Plaridel, Misamis Occidental</v>
          </cell>
        </row>
        <row r="316">
          <cell r="AB316" t="str">
            <v>ONIL RELLON SUAYAN</v>
          </cell>
          <cell r="AC316" t="str">
            <v>774 Oroqueta St., Dagupan Weste, City of Tabuk (Capital), Kalinga</v>
          </cell>
        </row>
        <row r="317">
          <cell r="AB317" t="str">
            <v>ORNIDO JAN MICHAEL PONTILA</v>
          </cell>
          <cell r="AC317" t="str">
            <v>Lot #19, Carigma Ext. Road 2, Brgy. San Jose (Pob.), City of Antipolo, Rizal</v>
          </cell>
        </row>
        <row r="318">
          <cell r="AB318" t="str">
            <v>PANER ED RYAN VALENCIANO</v>
          </cell>
          <cell r="AC318" t="str">
            <v>B15 L36 Ruby St. The Cambria Subd, Santo Domingo, Bay, Laguna</v>
          </cell>
        </row>
        <row r="319">
          <cell r="AB319" t="str">
            <v>PAPIÑA PATRICK LYNDON PARCAREY</v>
          </cell>
          <cell r="AC319" t="str">
            <v>E Glinoga, Castillo (Pob.), Pitogo, Quezon</v>
          </cell>
        </row>
        <row r="320">
          <cell r="AB320" t="str">
            <v>PILASPILAS MARK JAYSON AMI</v>
          </cell>
          <cell r="AC320" t="str">
            <v>Zone 2, Manambong Sur, Bayambang, Pangasinan</v>
          </cell>
        </row>
        <row r="321">
          <cell r="AB321" t="str">
            <v>PONTANAR MARK ALLAN TUALA</v>
          </cell>
          <cell r="AC321" t="str">
            <v>MabiniI, Villa Calixto, Sudiacal, Liloy, Zamboanga del Norte</v>
          </cell>
        </row>
        <row r="322">
          <cell r="AB322" t="str">
            <v>PRUGALIDAD GERALIE LOMILLO</v>
          </cell>
          <cell r="AC322" t="str">
            <v>158 Evangelista Street, Purok II (Pob.), Pavia, Iloilo</v>
          </cell>
        </row>
        <row r="323">
          <cell r="AB323" t="str">
            <v>QUIDEZ BRYAN MARK SORIANO</v>
          </cell>
          <cell r="AC323" t="str">
            <v>Purok 1, Baldios, Santa Ignacia, Tarlac</v>
          </cell>
        </row>
        <row r="324">
          <cell r="AB324" t="str">
            <v>QUINDO IRA BANGGA</v>
          </cell>
          <cell r="AC324" t="str">
            <v>Block 6 Lot 1, Core Shelter Bajumpandan, Dumaguete City, Negros Oriental</v>
          </cell>
        </row>
        <row r="325">
          <cell r="AB325" t="str">
            <v>QUINTOS ANGELICA AGOR</v>
          </cell>
          <cell r="AC325" t="str">
            <v>B1 L128 Phase 1F, Sub Urban Village, San Jose, Montalban, Rizal</v>
          </cell>
        </row>
        <row r="326">
          <cell r="AB326" t="str">
            <v>STA INES ERROL MOLINA</v>
          </cell>
          <cell r="AC326" t="str">
            <v>#55, Ibong Sapa (San Vicente Sur), Virac (Capital), Catanduanes</v>
          </cell>
        </row>
        <row r="327">
          <cell r="AB327" t="str">
            <v>SUAYA RAFFY JANE ALIDAO</v>
          </cell>
          <cell r="AC327" t="str">
            <v>#25 C Purok 1, Lower Liwanag, Liwanag-Loakan, Baguio City, Benguet</v>
          </cell>
        </row>
        <row r="328">
          <cell r="AB328" t="str">
            <v>SYTICO JAMES ALCERA</v>
          </cell>
          <cell r="AC328" t="str">
            <v>Estillero St., Commonwealth, Roario, Northern Samar</v>
          </cell>
        </row>
        <row r="329">
          <cell r="AB329" t="str">
            <v>TACTAC ERNIE GALLETO</v>
          </cell>
          <cell r="AC329" t="str">
            <v>Block 15 Lot 7 Phase E1, Francisco Homes-Mulawin, SJDM, Bulacan</v>
          </cell>
        </row>
        <row r="330">
          <cell r="AB330" t="str">
            <v>TUBA GLORELYN GADIANE</v>
          </cell>
          <cell r="AC330" t="str">
            <v>Blk 8 Lot 8&amp;10, Gen. Trinio ST., Mutual Homes Subd, Communal, Davao City, Davao Del Sur</v>
          </cell>
        </row>
        <row r="331">
          <cell r="AB331" t="str">
            <v>TUGAOEN ALVIN REY ENGHUG</v>
          </cell>
          <cell r="AC331" t="str">
            <v>Guinsuan, Poblacion, Zamboanguita, Negros Oriental</v>
          </cell>
        </row>
        <row r="332">
          <cell r="AB332" t="str">
            <v>ULPINDO KRISANTO TAPIA</v>
          </cell>
          <cell r="AC332" t="str">
            <v>Block 12 Lot 33 Hamburg St., Mercedes Executive Village, San Andres (Pob.), Cainta, Rizal</v>
          </cell>
        </row>
        <row r="333">
          <cell r="AB333" t="str">
            <v>VELASCO EDGAR SEBASTIAN GALANG</v>
          </cell>
          <cell r="AC333" t="str">
            <v>1688-E Antonio Rivera St., Brgy 237, Tondo, Manila</v>
          </cell>
        </row>
        <row r="334">
          <cell r="AB334" t="str">
            <v>VENTURA JOSEPH SAMONTE</v>
          </cell>
          <cell r="AC334" t="str">
            <v>04 Angoluan, Atulayan Norte, Tuguegarao City, Cagayan Valley</v>
          </cell>
        </row>
        <row r="335">
          <cell r="AB335" t="str">
            <v>VILLAGONZALO RYANN VILLARIN</v>
          </cell>
          <cell r="AC335" t="str">
            <v>Lot 1042-8-4 Lower Panabang, Apas, Cebu City</v>
          </cell>
        </row>
        <row r="336">
          <cell r="AB336" t="str">
            <v>ORANTE JOHN MICHEAL  CEPRIA</v>
          </cell>
          <cell r="AC336" t="str">
            <v>One  1, San Luis, Nabua, Camarines Sur</v>
          </cell>
        </row>
        <row r="337">
          <cell r="AB337" t="str">
            <v>ALARCIO NEVI DOMONDON</v>
          </cell>
          <cell r="AC337" t="str">
            <v>4R Rd 8,  1st West Crame,  San Juan City</v>
          </cell>
        </row>
        <row r="338">
          <cell r="AB338" t="str">
            <v>PATIÑO RANDI MANZANO</v>
          </cell>
          <cell r="AC338" t="str">
            <v>Mddle Nivel Hills, Brgy Apas, Cebu City</v>
          </cell>
        </row>
        <row r="339">
          <cell r="AB339" t="str">
            <v>SORIANO ENGELBERT ZIPAGAN</v>
          </cell>
          <cell r="AC339">
            <v>0</v>
          </cell>
        </row>
        <row r="340">
          <cell r="AB340" t="str">
            <v>BORJA BRIAN THEO PANGANIBAN</v>
          </cell>
          <cell r="AC340" t="str">
            <v>6 Ignacio Diaz St., Brgy. Kaunlaran, Cubao, Quezon City</v>
          </cell>
        </row>
        <row r="341">
          <cell r="AB341" t="str">
            <v>LOZADA LEVY BIÑAS</v>
          </cell>
          <cell r="AC341" t="str">
            <v>MB25 Unit 404, Pamayanang Diego Silang, Taguig City</v>
          </cell>
        </row>
        <row r="342">
          <cell r="AB342" t="str">
            <v>REYES ROBERT ANDAL</v>
          </cell>
          <cell r="AC342" t="str">
            <v>7 Antipoli Ext., Krus na Ligas, Quezon City</v>
          </cell>
        </row>
        <row r="343">
          <cell r="AB343" t="str">
            <v>CABELIS CHRISTOPHER ADENA</v>
          </cell>
          <cell r="AC343" t="str">
            <v>201 B Makati Homes,  Milkweed St., Rizal, Makati City</v>
          </cell>
        </row>
        <row r="344">
          <cell r="AB344" t="str">
            <v>CARPIO MARIANITO RIVERA</v>
          </cell>
          <cell r="AC344" t="str">
            <v>#21 B1 2nd Avenue, Brgy Bagong Lipunan, Quezon City</v>
          </cell>
        </row>
        <row r="345">
          <cell r="AB345" t="str">
            <v>MELCHOR JUNVI PASCUAL</v>
          </cell>
          <cell r="AC345" t="str">
            <v>47C Session Road, Talanay Area C, Batasan Hills, Quezon City</v>
          </cell>
        </row>
        <row r="346">
          <cell r="AB346" t="str">
            <v>BATALLER REYNOLD GABON</v>
          </cell>
          <cell r="AC346" t="str">
            <v>B2 L14 Daang Bakal, Brgy. Burgos, Montalban, Rizal</v>
          </cell>
        </row>
        <row r="347">
          <cell r="AB347" t="str">
            <v>DELA CRUZ ENEROLF IGNACIO</v>
          </cell>
          <cell r="AC347" t="str">
            <v>San Manuel, Isabela</v>
          </cell>
        </row>
        <row r="348">
          <cell r="AB348" t="str">
            <v>DIÑA JEREMY DOMALAON</v>
          </cell>
          <cell r="AC348" t="str">
            <v>Unit 302, MB9, BCDA, Diego Silang Village, Ususan, Taguig City</v>
          </cell>
        </row>
        <row r="349">
          <cell r="AB349" t="str">
            <v>DELA CRUZ NORITA CEZAR</v>
          </cell>
          <cell r="AC349" t="str">
            <v>256 Masagana, Pandi, Bulacan</v>
          </cell>
        </row>
        <row r="350">
          <cell r="AB350" t="str">
            <v>ECHEGOYEN RYAN MOJICA</v>
          </cell>
          <cell r="AC350" t="str">
            <v>1061-A Molina Ext. San Antonio, Cavite City</v>
          </cell>
        </row>
        <row r="351">
          <cell r="AB351" t="str">
            <v>GUAVINO CHE-YENNE LAZARITO</v>
          </cell>
          <cell r="AC351" t="str">
            <v>Apartment 23, EMQ Camp Crame, Bagong Lipunan ng Crame, Qauezon City</v>
          </cell>
        </row>
        <row r="352">
          <cell r="AB352" t="str">
            <v>BALMACEDA ROMMEL BANGUILAN</v>
          </cell>
          <cell r="AC352">
            <v>0</v>
          </cell>
        </row>
        <row r="353">
          <cell r="AB353" t="str">
            <v>ANDRES JOSE WILSON HACIÑAS</v>
          </cell>
          <cell r="AC353" t="str">
            <v>B4 L8 Eugenio Hieghts, Kaypian, Frnacisco Homes, SJDM,  Bulacan</v>
          </cell>
        </row>
        <row r="354">
          <cell r="AB354" t="str">
            <v>RIMANDO JUVENAL AFOS</v>
          </cell>
          <cell r="AC354" t="str">
            <v>B12 L5 Phase M, Francisco Homes, SJDM, Bulacan</v>
          </cell>
        </row>
        <row r="355">
          <cell r="AB355" t="str">
            <v>LECAROS MARIVIC MONTEAGUDO</v>
          </cell>
          <cell r="AC355" t="str">
            <v>B67 L5 LBEH Barandal, Calamba City, Laguna</v>
          </cell>
        </row>
        <row r="356">
          <cell r="AB356" t="str">
            <v>EUBRA FELIZARDO SANCHEZ</v>
          </cell>
          <cell r="AC356" t="str">
            <v>Blk 3 Lot 37 Phase 3,  Belgium St., Suncshine Ville, Gen Mariano Alvarez, Cavite</v>
          </cell>
        </row>
        <row r="357">
          <cell r="AB357" t="str">
            <v>PINAGOD ANALYN BINGWAOEL</v>
          </cell>
          <cell r="AC357" t="str">
            <v>B3 L39/41 Morning Dew Subd. Putting Kahoy, Silang, Cavite</v>
          </cell>
        </row>
        <row r="358">
          <cell r="AB358" t="str">
            <v>SIUAGAN . TANGAN</v>
          </cell>
          <cell r="AC358" t="str">
            <v>20 Gomez St., Riverside, Centro 10 (Pob), Tuguegara City, CagayanI</v>
          </cell>
        </row>
        <row r="359">
          <cell r="AB359" t="str">
            <v>FERRANCULLO JOHN PAUL PAZ</v>
          </cell>
          <cell r="AC359" t="str">
            <v>103 Hernandez St., Old Zaniga, Mandaluyong CityN</v>
          </cell>
        </row>
        <row r="360">
          <cell r="AB360" t="str">
            <v>BAUSA RIQUE ARCOS</v>
          </cell>
          <cell r="AC360" t="str">
            <v>Legaspi, Albay</v>
          </cell>
        </row>
        <row r="361">
          <cell r="AB361" t="str">
            <v>FRANCISCO MEL JOHN OLIVA</v>
          </cell>
          <cell r="AC361" t="str">
            <v>Unit 511, MB32 Pamayanang Diego Silang, Taguig</v>
          </cell>
        </row>
        <row r="362">
          <cell r="AB362" t="str">
            <v>ANUNCIO ALEJANDER TALAMPAS</v>
          </cell>
          <cell r="AC362" t="str">
            <v>159 Labao St., Purok 2, Napindaa, Taguig City</v>
          </cell>
        </row>
        <row r="363">
          <cell r="AB363" t="str">
            <v>FAJARDO ROY RAMA</v>
          </cell>
          <cell r="AC363" t="str">
            <v>042 Camp Alagar, Lapasan, Cagayan De Oro</v>
          </cell>
        </row>
        <row r="364">
          <cell r="AB364" t="str">
            <v>SANTILLAN CHRISTIAN DELA CRUZ</v>
          </cell>
          <cell r="AC364" t="str">
            <v>265 Block 8, West Rembo, Makati City</v>
          </cell>
        </row>
        <row r="365">
          <cell r="AB365" t="str">
            <v>CAPISPISAN RONILO RAPSING</v>
          </cell>
          <cell r="AC365" t="str">
            <v>MB23 U504, BCDA PDS Village, Ususan, Taguig City</v>
          </cell>
        </row>
        <row r="366">
          <cell r="AB366" t="str">
            <v>DOFILES LEO SHIROMA</v>
          </cell>
          <cell r="AC366" t="str">
            <v>4TH St., Delfin Subd. Purok malakas, Brgy. San isidro, Gen. Santos City</v>
          </cell>
        </row>
        <row r="367">
          <cell r="AB367" t="str">
            <v>VIRTUDAZO MICHAEL TAREPE</v>
          </cell>
          <cell r="AC367" t="str">
            <v>Purok 7, Mabuhay (Pob), Santa Monica (Sapao), Surigao Del Norte</v>
          </cell>
        </row>
        <row r="368">
          <cell r="AB368" t="str">
            <v>PALATTAO ALDRIN RACELIS</v>
          </cell>
          <cell r="AC368" t="str">
            <v>Unit A2 Condo 11, Camp Crame, Quezon City</v>
          </cell>
        </row>
        <row r="369">
          <cell r="AB369" t="str">
            <v>FUENTES WENECO DONOR</v>
          </cell>
          <cell r="AC369">
            <v>0</v>
          </cell>
        </row>
        <row r="370">
          <cell r="AB370" t="str">
            <v>CARIAS NEIL CARLOS</v>
          </cell>
          <cell r="AC370" t="str">
            <v>Tulingan St. Caloocan City, Brgy.16, Caloocan City</v>
          </cell>
        </row>
        <row r="371">
          <cell r="AB371" t="str">
            <v>MATILLANO MINA HAYDEE BECERA</v>
          </cell>
          <cell r="AC371" t="str">
            <v>B2 L17 Rose St., Venice Homes Subd., Cainta, Rizal</v>
          </cell>
        </row>
        <row r="372">
          <cell r="AB372" t="str">
            <v>RARO EMILIO GARADO</v>
          </cell>
          <cell r="AC372" t="str">
            <v>12W RD 8, 1st West, Crame, San Juan City</v>
          </cell>
        </row>
        <row r="373">
          <cell r="AB373" t="str">
            <v>TAEZA ERIKSON TE</v>
          </cell>
          <cell r="AC373" t="str">
            <v>20 Alley 1,  Project 6, Quezon City</v>
          </cell>
        </row>
        <row r="374">
          <cell r="AB374" t="str">
            <v>LUANSING DIANALYN MAGLIPON</v>
          </cell>
          <cell r="AC374" t="str">
            <v>61 F. Manalo St., Calzada Tipas, Taguig City\</v>
          </cell>
        </row>
        <row r="375">
          <cell r="AB375" t="str">
            <v>VASQUEZ ANNIE RELLES</v>
          </cell>
          <cell r="AC375" t="str">
            <v>Blk 6 LotT 4 Porche St., Garden Villas, Labas, Sta. Rosa, Laguna</v>
          </cell>
        </row>
        <row r="376">
          <cell r="AB376" t="str">
            <v>AGUHO MARK ANTHONY CAMBA</v>
          </cell>
          <cell r="AC376" t="str">
            <v>#15 1ST Avenue, Brgy. Bagong Lipunan ng Crame, Quezon City</v>
          </cell>
        </row>
        <row r="377">
          <cell r="AB377" t="str">
            <v>ESTEVES MARICEL  FRESNOZA</v>
          </cell>
          <cell r="AC377" t="str">
            <v>3310 Bataan St., Bacood, Sta.Mesa, Manila</v>
          </cell>
        </row>
        <row r="378">
          <cell r="AB378" t="str">
            <v>PANIZA ADELWISA FERRER</v>
          </cell>
          <cell r="AC378" t="str">
            <v>1772 Miracle St., Graceville Subd., Brgy. Pag-Asa, Binangonan, Rizal</v>
          </cell>
        </row>
        <row r="379">
          <cell r="AB379" t="str">
            <v>SABLAY HAZEL DILLOZA</v>
          </cell>
          <cell r="AC379" t="str">
            <v>259 IBP Road, Brgy. Commonwealth, Q.C.</v>
          </cell>
        </row>
        <row r="380">
          <cell r="AB380" t="str">
            <v>SOLON RENA ELENA  OCCIANO</v>
          </cell>
          <cell r="AC380" t="str">
            <v>L4 B7 Executive Homes I, Greenpark Village, Cainta, Rizal</v>
          </cell>
        </row>
        <row r="381">
          <cell r="AB381" t="str">
            <v>SULIT JOAN SEBALLA</v>
          </cell>
          <cell r="AC381" t="str">
            <v>11 Lira St., Meralco Village, Taytay, Rizal</v>
          </cell>
        </row>
        <row r="382">
          <cell r="AB382" t="str">
            <v>PONCE JASMIN SEBASTIAN</v>
          </cell>
          <cell r="AC382" t="str">
            <v>40 Bravo St., Zone 5, Central Signal Village, Taguig City</v>
          </cell>
        </row>
        <row r="383">
          <cell r="AB383" t="str">
            <v>TOLENTINO NATHANIEL MELEGRITO</v>
          </cell>
          <cell r="AC383" t="str">
            <v>B4 L1 Escopa IV, Project 4, Quezon City.</v>
          </cell>
        </row>
        <row r="384">
          <cell r="AB384" t="str">
            <v>ALMACHAR ARLENE ACIERTO</v>
          </cell>
          <cell r="AC384" t="str">
            <v>175 Daisy St., Garden Vill., Subd, P:ilong Buhangin, Sta. Maria, Bulacan</v>
          </cell>
        </row>
        <row r="385">
          <cell r="AB385" t="str">
            <v>HUERNO JOHN ELMAR ALLAS</v>
          </cell>
          <cell r="AC385" t="str">
            <v>#23 St. John St., Graceland Subd., Ampid 2, San Mateo, Rizal\</v>
          </cell>
        </row>
        <row r="386">
          <cell r="AB386" t="str">
            <v>MENDOZA RONILO BERNARDINO</v>
          </cell>
          <cell r="AC386" t="str">
            <v>149 V. Lara St., Sumilang, Pasig City</v>
          </cell>
        </row>
        <row r="387">
          <cell r="AB387" t="str">
            <v>PALENTINOS JEOFFREY LAGUSTAN</v>
          </cell>
          <cell r="AC387" t="str">
            <v>474 Unit 8 2F Laurila St., Brgy. Pitogo, Makati City</v>
          </cell>
        </row>
        <row r="388">
          <cell r="AB388" t="str">
            <v>PARANADA DIANA VALMIDIANO</v>
          </cell>
          <cell r="AC388" t="str">
            <v>Brgy. Taleb, Bantay, Ilocos Sur/#8 Don Jose St., Brgy. San Roque, Cubao, Quezon City</v>
          </cell>
        </row>
        <row r="389">
          <cell r="AB389" t="str">
            <v>MALLILLIN MARVIN SALINAS</v>
          </cell>
          <cell r="AC389" t="str">
            <v>10 Longhorn St., Rancho Estate IV East, Concepcion Dos, Marikina City</v>
          </cell>
        </row>
        <row r="390">
          <cell r="AB390" t="str">
            <v>ACUESTA ANA JUNE FORRO</v>
          </cell>
          <cell r="AC390" t="str">
            <v>Blk 52 Lot 5, Robinson"s Homes East, San Jose, Antipolo City</v>
          </cell>
        </row>
        <row r="391">
          <cell r="AB391" t="str">
            <v>ARCE MARIE FRANCISSE THERESE ARMAMENTO</v>
          </cell>
          <cell r="AC391" t="str">
            <v>Blk 8 Lot 13 Shelterville Subd., Bagumbong, Caloocan City</v>
          </cell>
        </row>
        <row r="392">
          <cell r="AB392" t="str">
            <v>MONAR CHRISTIAN MEL OLOR</v>
          </cell>
          <cell r="AC392" t="str">
            <v>Bagong Lipunan Ng Crame, Quezon City</v>
          </cell>
        </row>
        <row r="393">
          <cell r="AB393" t="str">
            <v>PACOL JEPHTE TENORIA</v>
          </cell>
          <cell r="AC393" t="str">
            <v>Blk 3 Lot 10, GML Phase 1, Barcelo St., Lingunan, Valenzuela City</v>
          </cell>
        </row>
        <row r="394">
          <cell r="AB394" t="str">
            <v>RIDULME ANNA LEA ARCEO</v>
          </cell>
          <cell r="AC394" t="str">
            <v>Blk 39 Lot 26 Soldiers Hills, Muntilupa City</v>
          </cell>
        </row>
        <row r="395">
          <cell r="AB395" t="str">
            <v>AGUILAR BERNARDINO SANTOS</v>
          </cell>
          <cell r="AC395" t="str">
            <v>194 Capt. I. Abella St., Poblacion 4-C, Imus City, Cavite</v>
          </cell>
        </row>
        <row r="396">
          <cell r="AB396" t="str">
            <v>CABAÑAS MARY JOY DUTERTE</v>
          </cell>
          <cell r="AC396" t="str">
            <v>13A1 1st Ave., Brgy. Bagong Lipunan ng Crame, Quezon City</v>
          </cell>
        </row>
        <row r="397">
          <cell r="AB397" t="str">
            <v>ESTIPONA MICHAEL GERARD PEDRO</v>
          </cell>
          <cell r="AC397" t="str">
            <v>107 Kentwood Heights, 23 Mariposa St., Brgy. Bagong Lipunan ng Crame, Quezon City</v>
          </cell>
        </row>
        <row r="398">
          <cell r="AB398" t="str">
            <v>MASAGANDA AARON  BANAG</v>
          </cell>
          <cell r="AC398" t="str">
            <v>100 Tanguile St., Marikina Heights, Marikina City</v>
          </cell>
        </row>
        <row r="399">
          <cell r="AB399" t="str">
            <v>TAMONDONG MELANIE JANE OBRA</v>
          </cell>
          <cell r="AC399" t="str">
            <v>Blk 25 Lot 19 La Solidaridad Estate, Brgy San isidro, Montalban, Rizal</v>
          </cell>
        </row>
        <row r="400">
          <cell r="AB400" t="str">
            <v>LANUZA ARNOLD  ZABATE</v>
          </cell>
          <cell r="AC400" t="str">
            <v>12 Catleya St., Macaria Village, Binan, Laguna</v>
          </cell>
        </row>
        <row r="401">
          <cell r="AB401" t="str">
            <v>CORPUZ ALEX ACE CABAUATAN</v>
          </cell>
          <cell r="AC401" t="str">
            <v>217 Mabini St., Poblacion West, Calasiao, Pangasinan</v>
          </cell>
        </row>
        <row r="402">
          <cell r="AB402" t="str">
            <v>ROCILI ELGIN RENZ TIMBREZA</v>
          </cell>
          <cell r="AC402" t="str">
            <v>Camindoroan, San Juan, Ilocos Sur</v>
          </cell>
        </row>
        <row r="403">
          <cell r="AB403" t="str">
            <v>TABIO HONEY LETH PALOMO</v>
          </cell>
          <cell r="AC403" t="str">
            <v>179 RLJ Bldg, 9th St., East Grace Park, Caloocan City</v>
          </cell>
        </row>
        <row r="404">
          <cell r="AB404" t="str">
            <v>ALI SHIRLEY MAE SALVADOR</v>
          </cell>
          <cell r="AC404" t="str">
            <v>2384 STVE St., Brgy. Commonwealth, Quezon City</v>
          </cell>
        </row>
        <row r="405">
          <cell r="AB405" t="str">
            <v>NAVARRO ERIC BARCELONA</v>
          </cell>
          <cell r="AC405" t="str">
            <v>4H Balaoan St. New Haven Village, Kaligayahan, Quezon City</v>
          </cell>
        </row>
        <row r="406">
          <cell r="AB406" t="str">
            <v>ARCANGEL OLIVER GARCIA</v>
          </cell>
          <cell r="AC406" t="str">
            <v>#8 Binalatongan, San Juan, San Carlos City, Pangasinan</v>
          </cell>
        </row>
        <row r="407">
          <cell r="AB407" t="str">
            <v>PINEDA PAUL DWIGHT SANTOS</v>
          </cell>
          <cell r="AC407" t="str">
            <v>RM 303, VIR Bldg., 1840 E. Rodriguez Ave., Quezon City</v>
          </cell>
        </row>
        <row r="408">
          <cell r="AB408" t="str">
            <v>SARMIENTO ERIC BUDY</v>
          </cell>
          <cell r="AC408" t="str">
            <v>067, Constantino (Pob), Virac, Catanduanes</v>
          </cell>
        </row>
        <row r="409">
          <cell r="AB409" t="str">
            <v>ALFONSO IRANIE EMPENO</v>
          </cell>
          <cell r="AC409" t="str">
            <v>SJDM, Bulacan</v>
          </cell>
        </row>
        <row r="410">
          <cell r="AB410" t="str">
            <v>BINARAO SUNSHINE GARCIA</v>
          </cell>
          <cell r="AC410" t="str">
            <v>120 D Julian Felipe St., Sangandaan, Caloocan</v>
          </cell>
        </row>
        <row r="411">
          <cell r="AB411" t="str">
            <v>DIMACULANGAN MARLYN LAGULA</v>
          </cell>
          <cell r="AC411" t="str">
            <v>B49 L15 H. Dela Costa Homes V, Brgy. Burgos, Rodriguez, Rizal</v>
          </cell>
        </row>
        <row r="412">
          <cell r="AB412" t="str">
            <v>INCISO MAY ANN CABARDO</v>
          </cell>
          <cell r="AC412" t="str">
            <v>41 Xavierville Ave., Loyola Heights, Quezon City</v>
          </cell>
        </row>
        <row r="413">
          <cell r="AB413" t="str">
            <v>IGNACIO MICHAEL TINTE</v>
          </cell>
          <cell r="AC413" t="str">
            <v>38 Aganan St., Zone 6, NIA Village, Quezon City</v>
          </cell>
        </row>
        <row r="414">
          <cell r="AB414" t="str">
            <v>SY CHRISTIAN ONG</v>
          </cell>
          <cell r="AC414" t="str">
            <v>B3 L4 Ephesians St., Sta. Monica Heights, Suqui, Calapan City, Oriental Mindoro</v>
          </cell>
        </row>
        <row r="415">
          <cell r="AB415" t="str">
            <v>CAMFOLI GLENMORE ONNAN</v>
          </cell>
          <cell r="AC415" t="str">
            <v>B43 L11 Adrian St., Fairmoint Subd., North Fairview, Quezon City</v>
          </cell>
        </row>
        <row r="416">
          <cell r="AB416" t="str">
            <v>GUIFAYA GILBERT ULIDAN</v>
          </cell>
          <cell r="AC416" t="str">
            <v>Purok 3, Mninallo, Naguilian, Isabela</v>
          </cell>
        </row>
        <row r="417">
          <cell r="AB417" t="str">
            <v>DALISAY MARIETTO CASPE</v>
          </cell>
          <cell r="AC417" t="str">
            <v>Blk 12 Lot 47 Phase 1, Northgate Park Executive Vill, Brgy. Sto Cristo, SJDM, Bulacan</v>
          </cell>
        </row>
        <row r="418">
          <cell r="AB418" t="str">
            <v>DIÑO ELVIN ELDEN SEBASTIAN</v>
          </cell>
          <cell r="AC418" t="str">
            <v>Blk6 Lot 26 Adelina Homes, Brgy San isidro, Cainta, Rizal</v>
          </cell>
        </row>
        <row r="419">
          <cell r="AB419" t="str">
            <v>ESMERO VICENTE NEQUIA</v>
          </cell>
          <cell r="AC419" t="str">
            <v>Blk 1 Lot 10, Grotto View Homes, BRGY. Graceville, SJDM, BULacan</v>
          </cell>
        </row>
        <row r="420">
          <cell r="AB420" t="str">
            <v>FLORO JOVENCIO FARIÑAS</v>
          </cell>
          <cell r="AC420" t="str">
            <v>49 C 6TH Ave., Murph, Cubao, Quezon City</v>
          </cell>
        </row>
        <row r="421">
          <cell r="AB421" t="str">
            <v>MOSLARES ALPHA RIZZA ZARSATA</v>
          </cell>
          <cell r="AC421" t="str">
            <v>14-F, 13th Avenue, Brgy. Socorro, Quezon City</v>
          </cell>
        </row>
        <row r="422">
          <cell r="AB422" t="str">
            <v>ALI HUSSEIN RAMOS</v>
          </cell>
          <cell r="AC422" t="str">
            <v>1A Mirasol St., San Roque, Cubao, Quezon City</v>
          </cell>
        </row>
        <row r="423">
          <cell r="AB423" t="str">
            <v>LAMPA ENGELBERT VALERA</v>
          </cell>
          <cell r="AC423" t="str">
            <v>12C 8th  Avenue, Brgy. Socorro, Cubao, Quezon City</v>
          </cell>
        </row>
        <row r="424">
          <cell r="AB424" t="str">
            <v>ADULTA ARREN LEE CHACON</v>
          </cell>
          <cell r="AC424" t="str">
            <v>49 Aralar St., Pilapila, Binangonan, Rizal</v>
          </cell>
        </row>
        <row r="425">
          <cell r="AB425" t="str">
            <v>BATAO PHIL OWEN PIEDAD</v>
          </cell>
          <cell r="AC425" t="str">
            <v>Lot 8 Blk 9,  kingship St., Vermont Royale, Mayamot, Antipolo City</v>
          </cell>
        </row>
        <row r="426">
          <cell r="AB426" t="str">
            <v>CHIDROME JAES ALLAN CHANTENGCO</v>
          </cell>
          <cell r="AC426" t="str">
            <v>38A 5th Avenue, Brgy. Socorro, CUBao, Quezon City</v>
          </cell>
        </row>
        <row r="427">
          <cell r="AB427" t="str">
            <v>GAJO ELMAN ABAJA</v>
          </cell>
          <cell r="AC427" t="str">
            <v>15 Wild Cat Village, C5 Road, Ususan, Taguing CityY</v>
          </cell>
        </row>
        <row r="428">
          <cell r="AB428" t="str">
            <v>MARINTES JOEY MANUGUID</v>
          </cell>
          <cell r="AC428" t="str">
            <v>11 Sta. Isabel St., Sto. Rosario Village, Baritan, Malabon</v>
          </cell>
        </row>
        <row r="429">
          <cell r="AB429" t="str">
            <v>ORTIZ JULIUS  SEMITARA</v>
          </cell>
          <cell r="AC429" t="str">
            <v>B62 L34 Phase 1, Grand Cedar Homes, Bignay, Valenzuela City</v>
          </cell>
        </row>
        <row r="430">
          <cell r="AB430" t="str">
            <v>PIMENTEL MARGIE DIAZ</v>
          </cell>
          <cell r="AC430" t="str">
            <v>12-C 8th Avenue, Brgy Socorro, Murphy, Cubao, Quezon City</v>
          </cell>
        </row>
        <row r="431">
          <cell r="AB431" t="str">
            <v>RAMOS JOHN ERIK MAYORGA</v>
          </cell>
          <cell r="AC431" t="str">
            <v>Inicbulan, Bauan, Batangas</v>
          </cell>
        </row>
        <row r="432">
          <cell r="AB432" t="str">
            <v>RAMOS PRINCESS SANNY ABLOG</v>
          </cell>
          <cell r="AC432" t="str">
            <v>3426-A-1C, Lubiran St., Bacood, Sta Mesa, Manila</v>
          </cell>
        </row>
        <row r="433">
          <cell r="AB433" t="str">
            <v>RIVERA EDMUND MALBARTINO</v>
          </cell>
          <cell r="AC433" t="str">
            <v>Blk 9 Lot 9, Victory Ville 2, Llano, Caloocan City</v>
          </cell>
        </row>
        <row r="434">
          <cell r="AB434" t="str">
            <v>RUARO ANN MARGARETH PERGIS</v>
          </cell>
          <cell r="AC434" t="str">
            <v>Blk 4 ot Lot 13 Phase B, Francisco Homes, Brgy., Mulawin, SJDM, BULACAN</v>
          </cell>
        </row>
        <row r="435">
          <cell r="AB435" t="str">
            <v>VALORIA RUDIE SAN GABRIEL</v>
          </cell>
          <cell r="AC435" t="str">
            <v># 12 Molave St., Jabson Site, Rosario, Pasig City</v>
          </cell>
        </row>
        <row r="436">
          <cell r="AB436" t="str">
            <v>GABAO JOE VEN MANDAR</v>
          </cell>
          <cell r="AC436" t="str">
            <v>Blk 8B Lot 37, Concha St., Corner Atis St., Brgy. 72, Zone 6, Tondo, Manila</v>
          </cell>
        </row>
        <row r="437">
          <cell r="AB437" t="str">
            <v>BALCITA MARIBEL CABRERA</v>
          </cell>
          <cell r="AC437" t="str">
            <v>12-C 8th. Avenue, Murphy, Cubao, Quezon City</v>
          </cell>
        </row>
        <row r="438">
          <cell r="AB438" t="str">
            <v>BAGO REBECCA LLANEZA</v>
          </cell>
          <cell r="AC438" t="str">
            <v>196 Guyam Malaki, Indang, Cavite</v>
          </cell>
        </row>
        <row r="439">
          <cell r="AB439" t="str">
            <v>ENRIQUEZ MA VICTORIA  DONES</v>
          </cell>
          <cell r="AC439" t="str">
            <v>001 Estanislao St., Brgy. Ibayo, Tipas, Taguig City</v>
          </cell>
        </row>
        <row r="440">
          <cell r="AB440" t="str">
            <v>FAJOTINA FROILAN LABRADOR</v>
          </cell>
          <cell r="AC440" t="str">
            <v>Blk 5 Lot 32 Phase 5, Mitsubishi St., Garden Villas 1, Brgy. Labas, Sta. Rosa City, Laguna</v>
          </cell>
        </row>
        <row r="441">
          <cell r="AB441" t="str">
            <v>GABRIEL ROSALYN ALFONSO</v>
          </cell>
          <cell r="AC441" t="str">
            <v>#09 Pulong Buli, Sto. Domingo, Nueva Ecija</v>
          </cell>
        </row>
        <row r="442">
          <cell r="AB442" t="str">
            <v>MANANON ALBERT VILLEGAS</v>
          </cell>
          <cell r="AC442" t="str">
            <v>63 Bautista St., AFPOVAI, Taguig City</v>
          </cell>
        </row>
        <row r="443">
          <cell r="AB443" t="str">
            <v>ALI AMIR HASSAN RAMOS</v>
          </cell>
          <cell r="AC443" t="str">
            <v>B5 L3 GLC Brgy. Kaypian, SJDM,  Bulacan</v>
          </cell>
        </row>
        <row r="444">
          <cell r="AB444" t="str">
            <v>FIDER MARIA REGINA SAVINO</v>
          </cell>
          <cell r="AC444" t="str">
            <v>30 P Gomez St., Caloocan City</v>
          </cell>
        </row>
        <row r="445">
          <cell r="AB445" t="str">
            <v>BARRIENTOS MARIA VIOLETA DOMINGO</v>
          </cell>
          <cell r="AC445" t="str">
            <v>San Blas, Viillasis, Pangasinan</v>
          </cell>
        </row>
        <row r="446">
          <cell r="AB446" t="str">
            <v>BORLAZA RITCHELLE RHIA PORTUGAL</v>
          </cell>
          <cell r="AC446" t="str">
            <v>43 H Banaw St., Cubao, Qujezon City</v>
          </cell>
        </row>
        <row r="447">
          <cell r="AB447" t="str">
            <v>ALFABETO LOUIE VAN ANASTACIO</v>
          </cell>
          <cell r="AC447" t="str">
            <v>188 Padre Gomez, Bagumbayan, Bocaue, Bulacan</v>
          </cell>
        </row>
        <row r="448">
          <cell r="AB448" t="str">
            <v>LACHICA LOLITA BORRES</v>
          </cell>
          <cell r="AC448" t="str">
            <v>330 Pureza St., Sta. Mesa, Manila</v>
          </cell>
        </row>
        <row r="449">
          <cell r="AB449" t="str">
            <v>NOROÑA GINNEVA LUZ LAGBO</v>
          </cell>
          <cell r="AC449" t="str">
            <v>Blk 135 Lot 14 Phase 8-A Package 9, Brgy. 176, Calooccan City</v>
          </cell>
        </row>
        <row r="450">
          <cell r="AB450" t="str">
            <v>ROSETE ROSENA NICOLAS</v>
          </cell>
          <cell r="AC450" t="str">
            <v>Phase 3 Blk 73 Lot 16, Eastwood Residences, Brgy. San Isidro, Rodriguez, Rizal</v>
          </cell>
        </row>
        <row r="451">
          <cell r="AB451" t="str">
            <v>TAEZA MARY GRACE MERALLES</v>
          </cell>
          <cell r="AC451" t="str">
            <v>Blk 16 Lot 22 Phase E-1, Brgy Mulawin, Francisco Homes Subd., SJDM, Bulacan</v>
          </cell>
        </row>
        <row r="452">
          <cell r="AB452" t="str">
            <v>FRIAS KIM ANTHONY NICOLAS</v>
          </cell>
          <cell r="AC452" t="str">
            <v>1234 Katipunan St., Calumpang, Binangonan, Rizal</v>
          </cell>
        </row>
        <row r="453">
          <cell r="AB453" t="str">
            <v>BILLOTE KYLE BENEDICT SORIANO</v>
          </cell>
          <cell r="AC453" t="str">
            <v>Blk 25 Lot 31 Villa Palao, Banlic, Calamba City, Laguna</v>
          </cell>
        </row>
        <row r="454">
          <cell r="AB454" t="str">
            <v>VILLAVICENCIO JOYLYN VASQUEZ</v>
          </cell>
          <cell r="AC454" t="str">
            <v>11 Sta. Isabel St., Sto. Rosario Village, Baritan, Malabon City</v>
          </cell>
        </row>
        <row r="455">
          <cell r="AB455" t="str">
            <v>WALIS GILBERT JACKSON</v>
          </cell>
          <cell r="AC455" t="str">
            <v>713 Babasit, Manaoag, Pangasinan</v>
          </cell>
        </row>
        <row r="456">
          <cell r="AB456" t="str">
            <v>CASIMIRO CECILIA HAIZEL NONATO</v>
          </cell>
          <cell r="AC456" t="str">
            <v>1-N Road 7,  Brgy. West Crame, San Juan City</v>
          </cell>
        </row>
        <row r="457">
          <cell r="AB457" t="str">
            <v>MADAYAG ROY IBARRA</v>
          </cell>
          <cell r="AC457" t="str">
            <v>Blk 28 Lot , 29 Sunflower St., Liora Homes Subd., PASCAM 2, General Trias, Cavite</v>
          </cell>
        </row>
        <row r="458">
          <cell r="AB458" t="str">
            <v>BALONGOY RONALYN SOLDEVILLA</v>
          </cell>
          <cell r="AC458" t="str">
            <v>Lot 4 Blk 15, Gumamela St., New Lower Bicutan, Taguig City</v>
          </cell>
        </row>
        <row r="459">
          <cell r="AB459" t="str">
            <v>DE LEON YVETTE VILLAVERDE</v>
          </cell>
          <cell r="AC459" t="str">
            <v>140 N. Domingo St., Brgy. Pedro Cruz, San Juan City</v>
          </cell>
        </row>
        <row r="460">
          <cell r="AB460" t="str">
            <v>MORALES MARIA MARGARITA ROSARIO GARCIA</v>
          </cell>
          <cell r="AC460" t="str">
            <v>34 Sto. Rosario St., Republic Avenue, Brgy. Holy Spirit, Quezon City</v>
          </cell>
        </row>
        <row r="461">
          <cell r="AB461" t="str">
            <v>DELA PEÑA VICTORIO MENDIOLA</v>
          </cell>
          <cell r="AC461" t="str">
            <v>Blk 1 Lot 41, Green Leaf Classic I , SJDM, Bulacan</v>
          </cell>
        </row>
        <row r="462">
          <cell r="AB462" t="str">
            <v>UMALI IGNACIO JOSE LICUD</v>
          </cell>
          <cell r="AC462" t="str">
            <v># 122 Roxas St., Brgy. 10 (POB.), Nasugbu, Batangas</v>
          </cell>
        </row>
        <row r="463">
          <cell r="AB463" t="str">
            <v>GOYENA MARLON ARGENIO</v>
          </cell>
          <cell r="AC463" t="str">
            <v>Purok 4, Brgy. Baybay, Catarman, Northern Samar</v>
          </cell>
        </row>
        <row r="464">
          <cell r="AB464" t="str">
            <v>ARBASTO FLAV  ANDAM</v>
          </cell>
          <cell r="AC464" t="str">
            <v>Blk 5 Lot 47 Phase 1-C, Kasiglahan Vill, San Jose, Rodriguez, Rizal</v>
          </cell>
        </row>
        <row r="465">
          <cell r="AB465" t="str">
            <v>BANTIYAN JEFTER PAKID</v>
          </cell>
          <cell r="AC465" t="str">
            <v>#026 Purok 8, Irisan, Baguio City, Irisan, Baguio City, Benguet</v>
          </cell>
        </row>
        <row r="466">
          <cell r="AB466" t="str">
            <v>OREVILLO CARLO JOHN GUEVARRA</v>
          </cell>
          <cell r="AC466" t="str">
            <v>35 Gualdalupe St., Morning Breeze Subd., Caloocan City</v>
          </cell>
        </row>
        <row r="467">
          <cell r="AB467" t="str">
            <v>ARGETE GRACIANO ROSILLO</v>
          </cell>
          <cell r="AC467" t="str">
            <v>6 Angel Townhomes, Ramos St. extension, Brgy. Tandang Sora, Quezon City</v>
          </cell>
        </row>
        <row r="468">
          <cell r="AB468" t="str">
            <v>PEREZ FATHIMA ALI</v>
          </cell>
          <cell r="AC468" t="str">
            <v>#251 Telbang, Bayambang, Pangasinan/10H 4TH Avenue, Cubao, Quezon City</v>
          </cell>
        </row>
        <row r="469">
          <cell r="AB469" t="str">
            <v>MANDAL BIBIANA LUMBANG</v>
          </cell>
          <cell r="AC469" t="str">
            <v>12W RD 8 1st West Crame, San Juan City</v>
          </cell>
        </row>
        <row r="470">
          <cell r="AB470" t="str">
            <v>NOVIDA MARILOU FERNANDEZ</v>
          </cell>
          <cell r="AC470" t="str">
            <v>Blk 3 Lot 28 Cedar Residences Phase 1, Carmona Estates, Carmona, Cavite</v>
          </cell>
        </row>
        <row r="471">
          <cell r="AB471" t="str">
            <v>RETAZO LEOMEL ISIDORO</v>
          </cell>
          <cell r="AC471" t="str">
            <v>#1735 Road 3, Bagong Sikar, Punta, Sta. Ana, Manila</v>
          </cell>
        </row>
        <row r="472">
          <cell r="AB472" t="str">
            <v>DELA CRUZ MARIA CRISTINA DOMONDON</v>
          </cell>
          <cell r="AC472" t="str">
            <v>4 R Road  8,  1st West, Crame, San Juan City</v>
          </cell>
        </row>
        <row r="473">
          <cell r="AB473" t="str">
            <v>JORDA ROUMELLIA ROBLES</v>
          </cell>
          <cell r="AC473" t="str">
            <v>Blk 10 Lot 27 Bonifacio St., Phase 3, Soldiers Hill 4, Molino 6, Bacoor, Cavite</v>
          </cell>
        </row>
        <row r="474">
          <cell r="AB474" t="str">
            <v>DOMINGO KARL LOUIE CARDENAS</v>
          </cell>
          <cell r="AC474" t="str">
            <v>Vivaldi Residences, 628 EDSA cor. Auora Blvd., Cubao, Quezon City</v>
          </cell>
        </row>
        <row r="475">
          <cell r="AB475" t="str">
            <v>PEÑAVERDE SHARMAINE RODRIGUEZ</v>
          </cell>
          <cell r="AC475" t="str">
            <v>Blk 1 Lot 126 Phase 1F Sub Urban San Jose Rodriguez Rizal</v>
          </cell>
        </row>
        <row r="476">
          <cell r="AB476" t="str">
            <v>DAMASO MARIBEL MONES</v>
          </cell>
          <cell r="AC476" t="str">
            <v>58 B, 8TH Ave., Brgy.SOcorro, Cubao, Quezon City</v>
          </cell>
        </row>
        <row r="477">
          <cell r="AB477" t="str">
            <v>CRUZ MERIDIAN CARPO</v>
          </cell>
          <cell r="AC477" t="str">
            <v>3-J1ST Ave., Santolan Road, Crame, Quezon City</v>
          </cell>
        </row>
        <row r="478">
          <cell r="AB478" t="str">
            <v>RETAZO RIZALDY ISIDORO</v>
          </cell>
          <cell r="AC478" t="str">
            <v>Calamagui 2nd, Ilagan, Isabela</v>
          </cell>
        </row>
        <row r="479">
          <cell r="AB479" t="str">
            <v>BATICADOS IVY ELEGARLE</v>
          </cell>
          <cell r="AC479" t="str">
            <v>EL Dorado Dulo, Brgy. Don Bosco, Better Living Subd., Parañaque City</v>
          </cell>
        </row>
        <row r="480">
          <cell r="AB480" t="str">
            <v>GONZALES NECILDA JAVINIAR</v>
          </cell>
          <cell r="AC480" t="str">
            <v>641 Blk 22 Kabisig Floodway, San Andres, Cainta, Rizal</v>
          </cell>
        </row>
        <row r="481">
          <cell r="AB481" t="str">
            <v>MADAYAG MARIA DINAH DIANA BANAAG</v>
          </cell>
          <cell r="AC481" t="str">
            <v>Blk28 Lot29 Sunflower st., Pasong Camachile I, Gen. Trias, Cavite</v>
          </cell>
        </row>
        <row r="482">
          <cell r="AB482" t="str">
            <v>MARAÑA LUDYREIN  BERTE</v>
          </cell>
          <cell r="AC482" t="str">
            <v>Road 29 Extn.. Cogeo VIllage, Brgy. Bagong Nayon, Antipolo City</v>
          </cell>
        </row>
        <row r="483">
          <cell r="AB483" t="str">
            <v>ALMADEN GILBERT CABACANG</v>
          </cell>
          <cell r="AC483" t="str">
            <v>B3 L5 Dama De Noche St. Salinas 2, Camella Homes,  Bacoor, Cavite</v>
          </cell>
        </row>
        <row r="484">
          <cell r="AB484" t="str">
            <v>BALUCANAG GRACE EBARSABAL</v>
          </cell>
          <cell r="AC484" t="str">
            <v>2333 Mangga Extn., Velasco Ave., Napico, Manggahan, Pasig</v>
          </cell>
        </row>
        <row r="485">
          <cell r="AB485" t="str">
            <v>INFANTE CHLOE ANN REBADAJO</v>
          </cell>
          <cell r="AC485" t="str">
            <v>333 Verdad St., Sampaloc, Manila</v>
          </cell>
        </row>
        <row r="486">
          <cell r="AB486" t="str">
            <v>DELA CRUZ CHARLES ISAAK DELA CRUZ</v>
          </cell>
          <cell r="AC486" t="str">
            <v>Blk 3 Lot 13,  Carnation St., Brgy. Graceville II, CSJDM, Bulacan</v>
          </cell>
        </row>
        <row r="487">
          <cell r="AB487" t="str">
            <v>ROQUE ARISTOTLE GARSIN</v>
          </cell>
          <cell r="AC487" t="str">
            <v>65 Pall Mall St., East Fairview, Quezon City</v>
          </cell>
        </row>
        <row r="488">
          <cell r="AB488" t="str">
            <v>VALLESFINO CLARISS ANN GARCIA</v>
          </cell>
          <cell r="AC488" t="str">
            <v>5-I 20th Ave, Murphy, Brgy. San Roque QC/2538 Marcons Ave., Phase 2 DAU, Mabalacat, Pampanga</v>
          </cell>
        </row>
        <row r="489">
          <cell r="AB489" t="str">
            <v>PAZ VIRGINIA SUERO</v>
          </cell>
          <cell r="AC489" t="str">
            <v>3B 2nd Camarilla St., Murphy, Quezon City</v>
          </cell>
        </row>
        <row r="490">
          <cell r="AB490" t="str">
            <v>RAMOS WENCESLAO AGUILAR</v>
          </cell>
          <cell r="AC490" t="str">
            <v>5-A St.Paul St., Remerville Subd. Baesa, Quezon City</v>
          </cell>
        </row>
        <row r="491">
          <cell r="AB491" t="str">
            <v>BERENGUEL LUCHIE RELOYA</v>
          </cell>
          <cell r="AC491" t="str">
            <v>#2 Alley 15,  P. Rosales St., Sta. Ana Kaliwa, Pateros</v>
          </cell>
        </row>
        <row r="492">
          <cell r="AB492" t="str">
            <v>MENDOZA RAFAEL DOMINGO</v>
          </cell>
          <cell r="AC492" t="str">
            <v>62 Col. Espiritu St., Tinajeros, Malabon City</v>
          </cell>
        </row>
        <row r="493">
          <cell r="AB493" t="str">
            <v>MORALES ROLANDO NORIEGA</v>
          </cell>
          <cell r="AC493" t="str">
            <v># 34 Sto. Rosario  St., Republic Ave., Brgy. Holy Spirit, Quezon City</v>
          </cell>
        </row>
        <row r="494">
          <cell r="AB494" t="str">
            <v>RECUENCO GEMMA CLEOFE</v>
          </cell>
          <cell r="AC494" t="str">
            <v>Blk13 Lot 38 Phase 1, Norhtgate Exec., Brgy. Sto. Cristo, SJDM, Bulacan</v>
          </cell>
        </row>
        <row r="495">
          <cell r="AB495" t="str">
            <v>VILLAMIN DOÑA WENNIE TOMAS</v>
          </cell>
          <cell r="AC495" t="str">
            <v>Blk 5 Lot 29 Phase 2, Northgate Park Exec. Homes, Brgy. Sto. Cristo, SJDM, Bulacan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on (2)"/>
      <sheetName val="Disposition"/>
      <sheetName val="Alpha List"/>
      <sheetName val="Roster of Personnel"/>
      <sheetName val="Crame-based PCOs"/>
      <sheetName val=" New Rank Profile"/>
      <sheetName val="Crame Based"/>
      <sheetName val="Alpha List   "/>
      <sheetName val="New Ranked Profile (DPL)"/>
    </sheetNames>
    <sheetDataSet>
      <sheetData sheetId="0" refreshError="1"/>
      <sheetData sheetId="1" refreshError="1">
        <row r="352">
          <cell r="D352" t="str">
            <v>PCOL</v>
          </cell>
          <cell r="E352" t="str">
            <v>ESCOBAL</v>
          </cell>
          <cell r="F352" t="str">
            <v>CARLO JOSEPH</v>
          </cell>
        </row>
        <row r="353">
          <cell r="D353" t="str">
            <v>PCOL</v>
          </cell>
          <cell r="E353" t="str">
            <v>GACES</v>
          </cell>
          <cell r="F353" t="str">
            <v>JUANITO</v>
          </cell>
        </row>
        <row r="354">
          <cell r="D354" t="str">
            <v>PLTCOL</v>
          </cell>
          <cell r="E354" t="str">
            <v>BORJA</v>
          </cell>
          <cell r="F354" t="str">
            <v>BRIAN THEO</v>
          </cell>
        </row>
        <row r="356">
          <cell r="D356" t="str">
            <v>PLTCOL</v>
          </cell>
          <cell r="E356" t="str">
            <v>MARAMAG</v>
          </cell>
          <cell r="F356" t="str">
            <v>MARCIANA</v>
          </cell>
        </row>
        <row r="357">
          <cell r="D357" t="str">
            <v>PLTCOL</v>
          </cell>
          <cell r="E357" t="str">
            <v>REYES</v>
          </cell>
          <cell r="F357" t="str">
            <v>ROBERT</v>
          </cell>
        </row>
        <row r="358">
          <cell r="D358" t="str">
            <v>PMAJ</v>
          </cell>
          <cell r="E358" t="str">
            <v>BELLY</v>
          </cell>
          <cell r="F358" t="str">
            <v>JOCELYN</v>
          </cell>
        </row>
        <row r="359">
          <cell r="D359" t="str">
            <v>PMAJ</v>
          </cell>
          <cell r="E359" t="str">
            <v>CRUZ</v>
          </cell>
          <cell r="F359" t="str">
            <v>MARICON</v>
          </cell>
        </row>
        <row r="360">
          <cell r="D360" t="str">
            <v>PMAJ</v>
          </cell>
          <cell r="E360" t="str">
            <v>TAN</v>
          </cell>
          <cell r="F360" t="str">
            <v>ROBERT</v>
          </cell>
        </row>
        <row r="361">
          <cell r="D361" t="str">
            <v>PCPT</v>
          </cell>
          <cell r="E361" t="str">
            <v>BATALLER</v>
          </cell>
          <cell r="F361" t="str">
            <v>SHERWIN SOLOMON</v>
          </cell>
        </row>
        <row r="362">
          <cell r="D362" t="str">
            <v>PCPT</v>
          </cell>
          <cell r="E362" t="str">
            <v>TAJON</v>
          </cell>
          <cell r="F362" t="str">
            <v>VERONICA</v>
          </cell>
        </row>
        <row r="363">
          <cell r="D363" t="str">
            <v>PCPT</v>
          </cell>
          <cell r="E363" t="str">
            <v>CABATIN</v>
          </cell>
          <cell r="F363" t="str">
            <v>ROGEL VERGEL</v>
          </cell>
        </row>
        <row r="364">
          <cell r="D364" t="str">
            <v>PCPT</v>
          </cell>
          <cell r="E364" t="str">
            <v>CRUZ</v>
          </cell>
          <cell r="F364" t="str">
            <v>CRISTINA JOY</v>
          </cell>
        </row>
        <row r="365">
          <cell r="D365" t="str">
            <v>PCPT</v>
          </cell>
          <cell r="E365" t="str">
            <v>FERMANTEZ</v>
          </cell>
          <cell r="F365" t="str">
            <v>DINA</v>
          </cell>
        </row>
        <row r="366">
          <cell r="D366" t="str">
            <v>PCPT</v>
          </cell>
          <cell r="E366" t="str">
            <v>JAVIER</v>
          </cell>
          <cell r="F366" t="str">
            <v>ROGINA</v>
          </cell>
        </row>
        <row r="367">
          <cell r="D367" t="str">
            <v>PCPT</v>
          </cell>
          <cell r="E367" t="str">
            <v>QUIDEZ</v>
          </cell>
          <cell r="F367" t="str">
            <v>BRYAN MARK</v>
          </cell>
        </row>
        <row r="368">
          <cell r="D368" t="str">
            <v>PLT</v>
          </cell>
          <cell r="E368" t="str">
            <v>SIA</v>
          </cell>
          <cell r="F368" t="str">
            <v>ENARD</v>
          </cell>
        </row>
        <row r="369">
          <cell r="D369" t="str">
            <v>PCMS</v>
          </cell>
          <cell r="E369" t="str">
            <v>SABIO</v>
          </cell>
          <cell r="F369" t="str">
            <v>SHERWIN</v>
          </cell>
        </row>
        <row r="370">
          <cell r="D370" t="str">
            <v>PSMS</v>
          </cell>
          <cell r="E370" t="str">
            <v>DIÑA</v>
          </cell>
          <cell r="F370" t="str">
            <v>JEREMY</v>
          </cell>
        </row>
        <row r="371">
          <cell r="D371" t="str">
            <v>PSMS</v>
          </cell>
          <cell r="E371" t="str">
            <v>SIGGAYO</v>
          </cell>
          <cell r="F371" t="str">
            <v>WILLARD</v>
          </cell>
        </row>
        <row r="372">
          <cell r="D372" t="str">
            <v>PSMS</v>
          </cell>
          <cell r="E372" t="str">
            <v>SORIANO</v>
          </cell>
          <cell r="F372" t="str">
            <v>NEPTHALIE</v>
          </cell>
        </row>
        <row r="373">
          <cell r="D373" t="str">
            <v>PSMS</v>
          </cell>
          <cell r="E373" t="str">
            <v>ECHEGOYEN</v>
          </cell>
          <cell r="F373" t="str">
            <v>RYAN</v>
          </cell>
        </row>
        <row r="374">
          <cell r="D374" t="str">
            <v>PMSg</v>
          </cell>
          <cell r="E374" t="str">
            <v>TABUYO</v>
          </cell>
          <cell r="F374" t="str">
            <v>GILBERT</v>
          </cell>
        </row>
        <row r="375">
          <cell r="D375" t="str">
            <v>PCpl</v>
          </cell>
          <cell r="E375" t="str">
            <v>ARCANGEL</v>
          </cell>
          <cell r="F375" t="str">
            <v>OLIVER</v>
          </cell>
        </row>
        <row r="377">
          <cell r="D377" t="str">
            <v>Pat</v>
          </cell>
          <cell r="E377" t="str">
            <v>CARIAGA</v>
          </cell>
          <cell r="F377" t="str">
            <v>ROBERTO</v>
          </cell>
        </row>
        <row r="378">
          <cell r="D378" t="str">
            <v>Pat</v>
          </cell>
          <cell r="E378" t="str">
            <v>COSISI</v>
          </cell>
          <cell r="F378" t="str">
            <v>FREDERICK</v>
          </cell>
        </row>
        <row r="379">
          <cell r="D379" t="str">
            <v>Pat</v>
          </cell>
          <cell r="E379" t="str">
            <v>DE LEON</v>
          </cell>
          <cell r="F379" t="str">
            <v>CHRISTOPHER</v>
          </cell>
        </row>
        <row r="380">
          <cell r="D380" t="str">
            <v>Pat</v>
          </cell>
          <cell r="E380" t="str">
            <v>DEL ROSARIO</v>
          </cell>
          <cell r="F380" t="str">
            <v>BRIGGS</v>
          </cell>
        </row>
        <row r="382">
          <cell r="D382" t="str">
            <v>NUP</v>
          </cell>
          <cell r="E382" t="str">
            <v>ALFONSO</v>
          </cell>
          <cell r="F382" t="str">
            <v>IRANIE</v>
          </cell>
        </row>
        <row r="383">
          <cell r="D383" t="str">
            <v>NUP</v>
          </cell>
          <cell r="E383" t="str">
            <v>BUSTARDE</v>
          </cell>
          <cell r="F383" t="str">
            <v>MA GOUDELIA</v>
          </cell>
        </row>
        <row r="385">
          <cell r="D385" t="str">
            <v>NUP</v>
          </cell>
          <cell r="E385" t="str">
            <v>DE LANA</v>
          </cell>
          <cell r="F385" t="str">
            <v>XZYRON</v>
          </cell>
        </row>
        <row r="387">
          <cell r="D387" t="str">
            <v>NUP</v>
          </cell>
          <cell r="E387" t="str">
            <v>MEJIA</v>
          </cell>
          <cell r="F387" t="str">
            <v>GIRLIE</v>
          </cell>
        </row>
        <row r="388">
          <cell r="D388" t="str">
            <v>NUP</v>
          </cell>
          <cell r="E388" t="str">
            <v>RAYMUNDO</v>
          </cell>
          <cell r="F388" t="str">
            <v>DANIEL JOSHUA</v>
          </cell>
        </row>
        <row r="389">
          <cell r="D389" t="str">
            <v>NUP</v>
          </cell>
          <cell r="E389" t="str">
            <v>VASQUEZ</v>
          </cell>
          <cell r="F389" t="str">
            <v>ANNIE</v>
          </cell>
        </row>
        <row r="390">
          <cell r="D390" t="str">
            <v>PCPT</v>
          </cell>
          <cell r="E390" t="str">
            <v>MARTINEZ</v>
          </cell>
          <cell r="F390" t="str">
            <v>ANGELICA</v>
          </cell>
        </row>
        <row r="391">
          <cell r="D391" t="str">
            <v>PCPT</v>
          </cell>
          <cell r="E391" t="str">
            <v>PILASPILAS</v>
          </cell>
          <cell r="F391" t="str">
            <v>MARK JAYSON</v>
          </cell>
        </row>
        <row r="392">
          <cell r="D392" t="str">
            <v>PLT</v>
          </cell>
          <cell r="E392" t="str">
            <v>BILLOTE</v>
          </cell>
          <cell r="F392" t="str">
            <v>KYLE BENEDICT</v>
          </cell>
        </row>
        <row r="393">
          <cell r="D393" t="str">
            <v>Pat</v>
          </cell>
          <cell r="E393" t="str">
            <v>BURIGSAY</v>
          </cell>
          <cell r="F393" t="str">
            <v>MARC IVOR JAN</v>
          </cell>
        </row>
        <row r="394">
          <cell r="D394" t="str">
            <v>Pat</v>
          </cell>
          <cell r="E394" t="str">
            <v>CASTRO</v>
          </cell>
          <cell r="F394" t="str">
            <v>VOLTAIRE</v>
          </cell>
        </row>
        <row r="395">
          <cell r="D395" t="str">
            <v>Pat</v>
          </cell>
          <cell r="E395" t="str">
            <v>HERRERA</v>
          </cell>
          <cell r="F395" t="str">
            <v>EDGARDO</v>
          </cell>
        </row>
        <row r="396">
          <cell r="D396" t="str">
            <v>Pat</v>
          </cell>
          <cell r="E396" t="str">
            <v>LLANEZA</v>
          </cell>
          <cell r="F396" t="str">
            <v>MARC</v>
          </cell>
        </row>
        <row r="397">
          <cell r="D397" t="str">
            <v>Pat</v>
          </cell>
          <cell r="E397" t="str">
            <v>MONTIGO</v>
          </cell>
          <cell r="F397" t="str">
            <v>MARKIN</v>
          </cell>
        </row>
        <row r="398">
          <cell r="D398" t="str">
            <v>Pat</v>
          </cell>
          <cell r="E398" t="str">
            <v>TAMONDONG</v>
          </cell>
          <cell r="F398" t="str">
            <v>ALEXIS</v>
          </cell>
        </row>
        <row r="399">
          <cell r="D399" t="str">
            <v>NUP</v>
          </cell>
          <cell r="E399" t="str">
            <v>LACHICA</v>
          </cell>
          <cell r="F399" t="str">
            <v>LOLITA</v>
          </cell>
        </row>
        <row r="401">
          <cell r="D401" t="str">
            <v>NUP</v>
          </cell>
          <cell r="E401" t="str">
            <v>PALISOC</v>
          </cell>
          <cell r="F401" t="str">
            <v>ALYSSA ALEXANDRIA</v>
          </cell>
        </row>
        <row r="402">
          <cell r="D402" t="str">
            <v>NUP</v>
          </cell>
          <cell r="E402" t="str">
            <v>TAMONDONG</v>
          </cell>
          <cell r="F402" t="str">
            <v>MELANIE JANE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workbookViewId="0">
      <selection sqref="A1:I1"/>
    </sheetView>
  </sheetViews>
  <sheetFormatPr defaultColWidth="12.5703125" defaultRowHeight="15" customHeight="1"/>
  <cols>
    <col min="1" max="1" width="5" customWidth="1"/>
    <col min="2" max="2" width="25.85546875" customWidth="1"/>
    <col min="3" max="3" width="12.5703125" hidden="1"/>
    <col min="4" max="4" width="9.42578125" customWidth="1"/>
    <col min="5" max="5" width="17" customWidth="1"/>
    <col min="6" max="6" width="19.140625" customWidth="1"/>
    <col min="7" max="7" width="16.5703125" customWidth="1"/>
    <col min="8" max="8" width="5.7109375" customWidth="1"/>
    <col min="9" max="9" width="23.85546875" customWidth="1"/>
    <col min="10" max="10" width="77.85546875" customWidth="1"/>
    <col min="11" max="11" width="14" customWidth="1"/>
    <col min="12" max="15" width="9.140625" customWidth="1"/>
    <col min="16" max="16" width="47.28515625" customWidth="1"/>
    <col min="17" max="27" width="9.140625" customWidth="1"/>
  </cols>
  <sheetData>
    <row r="1" spans="1:27" ht="11.25" customHeight="1">
      <c r="A1" s="375" t="s">
        <v>0</v>
      </c>
      <c r="B1" s="376"/>
      <c r="C1" s="376"/>
      <c r="D1" s="376"/>
      <c r="E1" s="376"/>
      <c r="F1" s="376"/>
      <c r="G1" s="376"/>
      <c r="H1" s="376"/>
      <c r="I1" s="376"/>
      <c r="J1" s="28"/>
      <c r="K1" s="24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1.25" customHeight="1">
      <c r="A2" s="375" t="s">
        <v>1</v>
      </c>
      <c r="B2" s="376"/>
      <c r="C2" s="376"/>
      <c r="D2" s="376"/>
      <c r="E2" s="376"/>
      <c r="F2" s="376"/>
      <c r="G2" s="376"/>
      <c r="H2" s="376"/>
      <c r="I2" s="376"/>
      <c r="J2" s="28">
        <f>259-240</f>
        <v>19</v>
      </c>
      <c r="K2" s="248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1.25" customHeight="1">
      <c r="A3" s="375" t="s">
        <v>2</v>
      </c>
      <c r="B3" s="376"/>
      <c r="C3" s="376"/>
      <c r="D3" s="376"/>
      <c r="E3" s="376"/>
      <c r="F3" s="376"/>
      <c r="G3" s="376"/>
      <c r="H3" s="376"/>
      <c r="I3" s="376"/>
      <c r="J3" s="28">
        <f>134-63</f>
        <v>71</v>
      </c>
      <c r="K3" s="248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5" customHeight="1">
      <c r="A4" s="375" t="s">
        <v>3</v>
      </c>
      <c r="B4" s="376"/>
      <c r="C4" s="376"/>
      <c r="D4" s="376"/>
      <c r="E4" s="376"/>
      <c r="F4" s="376"/>
      <c r="G4" s="376"/>
      <c r="H4" s="376"/>
      <c r="I4" s="376"/>
      <c r="J4" s="28"/>
      <c r="K4" s="248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3.5" customHeight="1">
      <c r="A5" s="375"/>
      <c r="B5" s="376"/>
      <c r="C5" s="376"/>
      <c r="D5" s="376"/>
      <c r="E5" s="376"/>
      <c r="F5" s="376"/>
      <c r="G5" s="376"/>
      <c r="H5" s="376"/>
      <c r="I5" s="376"/>
      <c r="J5" s="66"/>
      <c r="K5" s="248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3.5" customHeight="1">
      <c r="A6" s="375" t="s">
        <v>4</v>
      </c>
      <c r="B6" s="376"/>
      <c r="C6" s="376"/>
      <c r="D6" s="376"/>
      <c r="E6" s="376"/>
      <c r="F6" s="376"/>
      <c r="G6" s="376"/>
      <c r="H6" s="376"/>
      <c r="I6" s="376"/>
      <c r="J6" s="28"/>
      <c r="K6" s="248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5" customHeight="1">
      <c r="A7" s="375" t="s">
        <v>5</v>
      </c>
      <c r="B7" s="376"/>
      <c r="C7" s="376"/>
      <c r="D7" s="376"/>
      <c r="E7" s="376"/>
      <c r="F7" s="376"/>
      <c r="G7" s="376"/>
      <c r="H7" s="376"/>
      <c r="I7" s="376"/>
      <c r="J7" s="28"/>
      <c r="K7" s="248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1.25" customHeight="1">
      <c r="A8" s="28"/>
      <c r="B8" s="185"/>
      <c r="C8" s="185"/>
      <c r="D8" s="185"/>
      <c r="E8" s="185"/>
      <c r="F8" s="185"/>
      <c r="G8" s="185"/>
      <c r="H8" s="3"/>
      <c r="I8" s="28"/>
      <c r="J8" s="28"/>
      <c r="K8" s="248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8.75" customHeight="1">
      <c r="A9" s="186" t="s">
        <v>6</v>
      </c>
      <c r="B9" s="186" t="s">
        <v>7</v>
      </c>
      <c r="C9" s="206" t="s">
        <v>8</v>
      </c>
      <c r="D9" s="186" t="s">
        <v>9</v>
      </c>
      <c r="E9" s="186" t="s">
        <v>10</v>
      </c>
      <c r="F9" s="186" t="s">
        <v>11</v>
      </c>
      <c r="G9" s="186" t="s">
        <v>12</v>
      </c>
      <c r="H9" s="187" t="s">
        <v>13</v>
      </c>
      <c r="I9" s="187" t="s">
        <v>14</v>
      </c>
      <c r="J9" s="249" t="s">
        <v>15</v>
      </c>
      <c r="K9" s="250" t="s">
        <v>16</v>
      </c>
      <c r="L9" s="66"/>
      <c r="M9" s="66"/>
      <c r="N9" s="66"/>
      <c r="O9" s="66"/>
      <c r="P9" s="59" t="s">
        <v>17</v>
      </c>
      <c r="Q9" s="59" t="s">
        <v>15</v>
      </c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8" customHeight="1">
      <c r="A10" s="188">
        <v>1</v>
      </c>
      <c r="B10" s="258" t="s">
        <v>18</v>
      </c>
      <c r="C10" s="258" t="s">
        <v>19</v>
      </c>
      <c r="D10" s="232" t="s">
        <v>20</v>
      </c>
      <c r="E10" s="259" t="s">
        <v>21</v>
      </c>
      <c r="F10" s="259" t="s">
        <v>22</v>
      </c>
      <c r="G10" s="259" t="s">
        <v>23</v>
      </c>
      <c r="H10" s="260"/>
      <c r="I10" s="261"/>
      <c r="J10" s="251"/>
      <c r="K10" s="250"/>
      <c r="L10" s="66"/>
      <c r="M10" s="66"/>
      <c r="N10" s="66"/>
      <c r="O10" s="66"/>
      <c r="P10" s="59"/>
      <c r="Q10" s="59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8" customHeight="1">
      <c r="A11" s="188">
        <v>2</v>
      </c>
      <c r="B11" s="258" t="s">
        <v>18</v>
      </c>
      <c r="C11" s="193" t="s">
        <v>19</v>
      </c>
      <c r="D11" s="190" t="s">
        <v>24</v>
      </c>
      <c r="E11" s="191" t="s">
        <v>25</v>
      </c>
      <c r="F11" s="191" t="s">
        <v>26</v>
      </c>
      <c r="G11" s="191" t="s">
        <v>27</v>
      </c>
      <c r="H11" s="192"/>
      <c r="I11" s="210"/>
      <c r="J11" s="279"/>
      <c r="K11" s="282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8" customHeight="1">
      <c r="A12" s="188">
        <v>3</v>
      </c>
      <c r="B12" s="258" t="s">
        <v>18</v>
      </c>
      <c r="C12" s="193" t="s">
        <v>19</v>
      </c>
      <c r="D12" s="190" t="s">
        <v>28</v>
      </c>
      <c r="E12" s="195" t="s">
        <v>29</v>
      </c>
      <c r="F12" s="195" t="s">
        <v>30</v>
      </c>
      <c r="G12" s="195" t="s">
        <v>31</v>
      </c>
      <c r="H12" s="194"/>
      <c r="I12" s="212"/>
      <c r="J12" s="185" t="s">
        <v>32</v>
      </c>
      <c r="K12" s="307" t="s">
        <v>33</v>
      </c>
      <c r="L12" s="66"/>
      <c r="M12" s="66"/>
      <c r="N12" s="66"/>
      <c r="O12" s="66"/>
      <c r="P12" s="66" t="str">
        <f t="shared" ref="P12:P35" si="0">CONCATENATE(E12," ",F12," ",G12)</f>
        <v>BEJARIN GERALD DADIRO</v>
      </c>
      <c r="Q12" s="66" t="str">
        <f>IFERROR(VLOOKUP(P12,[1]Disposition!$AB$9:$AC$495,2,0),"NO RECORD YET")</f>
        <v>NO RECORD YET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8" customHeight="1">
      <c r="A13" s="188">
        <v>4</v>
      </c>
      <c r="B13" s="258" t="s">
        <v>18</v>
      </c>
      <c r="C13" s="193" t="s">
        <v>19</v>
      </c>
      <c r="D13" s="190" t="s">
        <v>28</v>
      </c>
      <c r="E13" s="195" t="s">
        <v>34</v>
      </c>
      <c r="F13" s="195" t="s">
        <v>35</v>
      </c>
      <c r="G13" s="195" t="s">
        <v>36</v>
      </c>
      <c r="H13" s="194"/>
      <c r="I13" s="210"/>
      <c r="J13" s="281" t="s">
        <v>37</v>
      </c>
      <c r="K13" s="307" t="s">
        <v>38</v>
      </c>
      <c r="L13" s="66"/>
      <c r="M13" s="66"/>
      <c r="N13" s="66"/>
      <c r="O13" s="66"/>
      <c r="P13" s="66" t="str">
        <f t="shared" si="0"/>
        <v>MORI LYNDON ACOSTA</v>
      </c>
      <c r="Q13" s="66" t="str">
        <f>IFERROR(VLOOKUP(P13,[1]Disposition!$AB$9:$AC$495,2,0),"NO RECORD YET")</f>
        <v>NO RECORD YET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8" customHeight="1">
      <c r="A14" s="188">
        <v>5</v>
      </c>
      <c r="B14" s="258" t="s">
        <v>18</v>
      </c>
      <c r="C14" s="193" t="s">
        <v>39</v>
      </c>
      <c r="D14" s="190" t="s">
        <v>40</v>
      </c>
      <c r="E14" s="191" t="s">
        <v>41</v>
      </c>
      <c r="F14" s="191" t="s">
        <v>42</v>
      </c>
      <c r="G14" s="264" t="s">
        <v>43</v>
      </c>
      <c r="H14" s="202"/>
      <c r="I14" s="210"/>
      <c r="J14" s="279" t="s">
        <v>44</v>
      </c>
      <c r="K14" s="307" t="s">
        <v>45</v>
      </c>
      <c r="L14" s="66"/>
      <c r="M14" s="66"/>
      <c r="N14" s="66"/>
      <c r="O14" s="66"/>
      <c r="P14" s="66" t="str">
        <f t="shared" si="0"/>
        <v>AVENDAÑO MA. FRELIE JOY (no middle name)</v>
      </c>
      <c r="Q14" s="66" t="str">
        <f>IFERROR(VLOOKUP(P14,[1]Disposition!$AB$9:$AC$495,2,0),"NO RECORD YET")</f>
        <v>#92 F Estrella St., San Juan, Malolos City, Bulacan</v>
      </c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8" customHeight="1">
      <c r="A15" s="188">
        <v>6</v>
      </c>
      <c r="B15" s="258" t="s">
        <v>18</v>
      </c>
      <c r="C15" s="193" t="s">
        <v>39</v>
      </c>
      <c r="D15" s="190" t="s">
        <v>40</v>
      </c>
      <c r="E15" s="191" t="s">
        <v>46</v>
      </c>
      <c r="F15" s="191" t="s">
        <v>47</v>
      </c>
      <c r="G15" s="191" t="s">
        <v>48</v>
      </c>
      <c r="H15" s="192"/>
      <c r="I15" s="223"/>
      <c r="J15" s="279" t="s">
        <v>49</v>
      </c>
      <c r="K15" s="307" t="s">
        <v>50</v>
      </c>
      <c r="L15" s="66"/>
      <c r="M15" s="66">
        <v>25</v>
      </c>
      <c r="N15" s="66"/>
      <c r="O15" s="66"/>
      <c r="P15" s="66" t="str">
        <f t="shared" si="0"/>
        <v>LUZARA JEAN GRATUITO</v>
      </c>
      <c r="Q15" s="66" t="str">
        <f>IFERROR(VLOOKUP(P15,[1]Disposition!$AB$9:$AC$495,2,0),"NO RECORD YET")</f>
        <v>Blk 5 Lot 1 Orchid Extension, Capitol Park Homes II, Brgy 179 Zone 16, Caloocan City.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8" customHeight="1">
      <c r="A16" s="188">
        <v>7</v>
      </c>
      <c r="B16" s="189" t="s">
        <v>51</v>
      </c>
      <c r="C16" s="193" t="s">
        <v>19</v>
      </c>
      <c r="D16" s="190" t="s">
        <v>20</v>
      </c>
      <c r="E16" s="191" t="s">
        <v>52</v>
      </c>
      <c r="F16" s="191" t="s">
        <v>53</v>
      </c>
      <c r="G16" s="191" t="s">
        <v>54</v>
      </c>
      <c r="H16" s="192" t="s">
        <v>55</v>
      </c>
      <c r="I16" s="210"/>
      <c r="J16" s="279"/>
      <c r="K16" s="282"/>
      <c r="L16" s="66"/>
      <c r="M16" s="66">
        <v>259</v>
      </c>
      <c r="N16" s="66"/>
      <c r="O16" s="66"/>
      <c r="P16" s="66" t="str">
        <f t="shared" si="0"/>
        <v>TANGO FROILAN GENN GELACIO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" customHeight="1">
      <c r="A17" s="188">
        <v>8</v>
      </c>
      <c r="B17" s="189" t="s">
        <v>56</v>
      </c>
      <c r="C17" s="189" t="s">
        <v>19</v>
      </c>
      <c r="D17" s="190" t="s">
        <v>57</v>
      </c>
      <c r="E17" s="191" t="s">
        <v>58</v>
      </c>
      <c r="F17" s="191" t="s">
        <v>59</v>
      </c>
      <c r="G17" s="191" t="s">
        <v>60</v>
      </c>
      <c r="H17" s="192"/>
      <c r="I17" s="212"/>
      <c r="J17" s="279" t="s">
        <v>61</v>
      </c>
      <c r="K17" s="307" t="s">
        <v>62</v>
      </c>
      <c r="L17" s="66"/>
      <c r="M17" s="66">
        <v>134</v>
      </c>
      <c r="N17" s="66"/>
      <c r="O17" s="66"/>
      <c r="P17" s="66" t="str">
        <f t="shared" si="0"/>
        <v>RESPICIO VIC BASKAR MADDARA</v>
      </c>
      <c r="Q17" s="66" t="str">
        <f>IFERROR(VLOOKUP(P17,[1]Disposition!$AB$9:$AC$495,2,0),"NO RECORD YET")</f>
        <v>Calamagui 2nd, Isabela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8" customHeight="1">
      <c r="A18" s="188">
        <v>9</v>
      </c>
      <c r="B18" s="189" t="s">
        <v>56</v>
      </c>
      <c r="C18" s="193" t="s">
        <v>39</v>
      </c>
      <c r="D18" s="190" t="s">
        <v>40</v>
      </c>
      <c r="E18" s="191" t="s">
        <v>63</v>
      </c>
      <c r="F18" s="191" t="s">
        <v>64</v>
      </c>
      <c r="G18" s="191" t="s">
        <v>65</v>
      </c>
      <c r="H18" s="192"/>
      <c r="I18" s="223"/>
      <c r="J18" s="279" t="s">
        <v>66</v>
      </c>
      <c r="K18" s="307" t="s">
        <v>67</v>
      </c>
      <c r="L18" s="66"/>
      <c r="M18" s="66">
        <v>41</v>
      </c>
      <c r="N18" s="66"/>
      <c r="O18" s="66"/>
      <c r="P18" s="66" t="str">
        <f t="shared" si="0"/>
        <v>ERIBAL JOZEL JOY FALAGNE</v>
      </c>
      <c r="Q18" s="66" t="str">
        <f>IFERROR(VLOOKUP(P18,[1]Disposition!$AB$9:$AC$495,2,0),"NO RECORD YET")</f>
        <v>5A Diamond St., JRA Subd., Rosario, Pasug City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8" customHeight="1">
      <c r="A19" s="188">
        <v>10</v>
      </c>
      <c r="B19" s="189" t="s">
        <v>56</v>
      </c>
      <c r="C19" s="193" t="s">
        <v>39</v>
      </c>
      <c r="D19" s="190" t="s">
        <v>40</v>
      </c>
      <c r="E19" s="191" t="s">
        <v>68</v>
      </c>
      <c r="F19" s="191" t="s">
        <v>69</v>
      </c>
      <c r="G19" s="191" t="s">
        <v>70</v>
      </c>
      <c r="H19" s="192"/>
      <c r="I19" s="228"/>
      <c r="J19" s="285" t="s">
        <v>71</v>
      </c>
      <c r="K19" s="307" t="s">
        <v>72</v>
      </c>
      <c r="L19" s="66"/>
      <c r="M19" s="66">
        <v>40</v>
      </c>
      <c r="N19" s="66"/>
      <c r="O19" s="66"/>
      <c r="P19" s="66" t="str">
        <f t="shared" si="0"/>
        <v>SEMILLA FLORITES SARIO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8" customHeight="1">
      <c r="A20" s="188">
        <v>11</v>
      </c>
      <c r="B20" s="189" t="s">
        <v>73</v>
      </c>
      <c r="C20" s="193" t="s">
        <v>39</v>
      </c>
      <c r="D20" s="190" t="s">
        <v>40</v>
      </c>
      <c r="E20" s="191" t="s">
        <v>74</v>
      </c>
      <c r="F20" s="191" t="s">
        <v>75</v>
      </c>
      <c r="G20" s="191" t="s">
        <v>76</v>
      </c>
      <c r="H20" s="192"/>
      <c r="I20" s="210"/>
      <c r="J20" s="279" t="s">
        <v>77</v>
      </c>
      <c r="K20" s="307" t="s">
        <v>78</v>
      </c>
      <c r="L20" s="66"/>
      <c r="M20" s="66">
        <v>20</v>
      </c>
      <c r="N20" s="66"/>
      <c r="O20" s="66"/>
      <c r="P20" s="66" t="str">
        <f t="shared" si="0"/>
        <v>MATILLANO MINA HAYDEE BECERA</v>
      </c>
      <c r="Q20" s="66" t="str">
        <f>IFERROR(VLOOKUP(P20,[1]Disposition!$AB$9:$AC$495,2,0),"NO RECORD YET")</f>
        <v>B2 L17 Rose St., Venice Homes Subd., Cainta, Rizal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8" customHeight="1">
      <c r="A21" s="188">
        <v>12</v>
      </c>
      <c r="B21" s="189" t="s">
        <v>79</v>
      </c>
      <c r="C21" s="193" t="s">
        <v>39</v>
      </c>
      <c r="D21" s="190" t="s">
        <v>28</v>
      </c>
      <c r="E21" s="191" t="s">
        <v>80</v>
      </c>
      <c r="F21" s="191" t="s">
        <v>81</v>
      </c>
      <c r="G21" s="191" t="s">
        <v>82</v>
      </c>
      <c r="H21" s="192"/>
      <c r="I21" s="210"/>
      <c r="J21" s="185" t="s">
        <v>83</v>
      </c>
      <c r="K21" s="307" t="s">
        <v>84</v>
      </c>
      <c r="L21" s="66"/>
      <c r="M21" s="66">
        <v>30</v>
      </c>
      <c r="N21" s="66"/>
      <c r="O21" s="66"/>
      <c r="P21" s="66" t="str">
        <f t="shared" si="0"/>
        <v>PAPA MARIZ NICOLE ENGALAN</v>
      </c>
      <c r="Q21" s="66" t="str">
        <f>IFERROR(VLOOKUP(P21,[1]Disposition!$AB$9:$AC$495,2,0),"NO RECORD YET")</f>
        <v>NO RECORD YET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8" customHeight="1">
      <c r="A22" s="188">
        <v>13</v>
      </c>
      <c r="B22" s="189" t="s">
        <v>79</v>
      </c>
      <c r="C22" s="193" t="s">
        <v>39</v>
      </c>
      <c r="D22" s="190" t="s">
        <v>40</v>
      </c>
      <c r="E22" s="191" t="s">
        <v>85</v>
      </c>
      <c r="F22" s="191" t="s">
        <v>86</v>
      </c>
      <c r="G22" s="191" t="s">
        <v>87</v>
      </c>
      <c r="H22" s="192"/>
      <c r="I22" s="210"/>
      <c r="J22" s="279" t="s">
        <v>88</v>
      </c>
      <c r="K22" s="307" t="s">
        <v>89</v>
      </c>
      <c r="L22" s="66"/>
      <c r="M22" s="66">
        <v>17</v>
      </c>
      <c r="N22" s="66"/>
      <c r="O22" s="66"/>
      <c r="P22" s="66" t="str">
        <f t="shared" si="0"/>
        <v>BAGO REBECCA LLANEZA</v>
      </c>
      <c r="Q22" s="66" t="str">
        <f>IFERROR(VLOOKUP(P22,[1]Disposition!$AB$9:$AC$495,2,0),"NO RECORD YET")</f>
        <v>196 Guyam Malaki, Indang, Cavite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8" customHeight="1">
      <c r="A23" s="188">
        <v>14</v>
      </c>
      <c r="B23" s="189" t="s">
        <v>90</v>
      </c>
      <c r="C23" s="193" t="s">
        <v>19</v>
      </c>
      <c r="D23" s="190" t="s">
        <v>20</v>
      </c>
      <c r="E23" s="191" t="s">
        <v>91</v>
      </c>
      <c r="F23" s="191" t="s">
        <v>92</v>
      </c>
      <c r="G23" s="191" t="s">
        <v>93</v>
      </c>
      <c r="H23" s="192"/>
      <c r="I23" s="210"/>
      <c r="J23" s="279" t="s">
        <v>94</v>
      </c>
      <c r="K23" s="307" t="s">
        <v>95</v>
      </c>
      <c r="L23" s="66"/>
      <c r="M23" s="66"/>
      <c r="N23" s="66"/>
      <c r="O23" s="66"/>
      <c r="P23" s="66" t="str">
        <f t="shared" si="0"/>
        <v>PATIÑO RANDI MANZANO</v>
      </c>
      <c r="Q23" s="66" t="str">
        <f>IFERROR(VLOOKUP(P23,[1]Disposition!$AB$9:$AC$495,2,0),"NO RECORD YET")</f>
        <v>Mddle Nivel Hills, Brgy Apas, Cebu City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8" customHeight="1">
      <c r="A24" s="188">
        <v>15</v>
      </c>
      <c r="B24" s="189" t="s">
        <v>90</v>
      </c>
      <c r="C24" s="189" t="s">
        <v>19</v>
      </c>
      <c r="D24" s="190" t="s">
        <v>96</v>
      </c>
      <c r="E24" s="204" t="s">
        <v>97</v>
      </c>
      <c r="F24" s="204" t="s">
        <v>98</v>
      </c>
      <c r="G24" s="204" t="s">
        <v>99</v>
      </c>
      <c r="H24" s="205"/>
      <c r="I24" s="210"/>
      <c r="J24" s="279" t="s">
        <v>100</v>
      </c>
      <c r="K24" s="307" t="s">
        <v>101</v>
      </c>
      <c r="L24" s="66"/>
      <c r="M24" s="66"/>
      <c r="N24" s="66"/>
      <c r="O24" s="66"/>
      <c r="P24" s="66" t="str">
        <f t="shared" si="0"/>
        <v>KARIM BENSAR ALI ABDULGANI</v>
      </c>
      <c r="Q24" s="66" t="str">
        <f>IFERROR(VLOOKUP(P24,[1]Disposition!$AB$9:$AC$495,2,0),"NO RECORD YET")</f>
        <v>21-B Maguindanao St, Culiat, Quezon City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8" customHeight="1">
      <c r="A25" s="188">
        <v>16</v>
      </c>
      <c r="B25" s="189" t="s">
        <v>90</v>
      </c>
      <c r="C25" s="189" t="s">
        <v>19</v>
      </c>
      <c r="D25" s="190" t="s">
        <v>24</v>
      </c>
      <c r="E25" s="191" t="s">
        <v>102</v>
      </c>
      <c r="F25" s="191" t="s">
        <v>103</v>
      </c>
      <c r="G25" s="191" t="s">
        <v>104</v>
      </c>
      <c r="H25" s="192"/>
      <c r="I25" s="212"/>
      <c r="J25" s="279" t="s">
        <v>105</v>
      </c>
      <c r="K25" s="307" t="s">
        <v>106</v>
      </c>
      <c r="L25" s="66"/>
      <c r="M25" s="66">
        <f>SUM(M15:M24)</f>
        <v>566</v>
      </c>
      <c r="N25" s="66"/>
      <c r="O25" s="66"/>
      <c r="P25" s="66" t="str">
        <f t="shared" si="0"/>
        <v>AGGARAO ALBERTO CALLANGAN</v>
      </c>
      <c r="Q25" s="66" t="str">
        <f>IFERROR(VLOOKUP(P25,[1]Disposition!$AB$9:$AC$495,2,0),"NO RECORD YET")</f>
        <v>215 D Guiho St., Cembo, Makati City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8" customHeight="1">
      <c r="A26" s="188">
        <v>17</v>
      </c>
      <c r="B26" s="189" t="s">
        <v>90</v>
      </c>
      <c r="C26" s="193" t="s">
        <v>39</v>
      </c>
      <c r="D26" s="194" t="s">
        <v>24</v>
      </c>
      <c r="E26" s="204" t="s">
        <v>107</v>
      </c>
      <c r="F26" s="204" t="s">
        <v>108</v>
      </c>
      <c r="G26" s="204" t="s">
        <v>109</v>
      </c>
      <c r="H26" s="205"/>
      <c r="I26" s="212"/>
      <c r="J26" s="279" t="s">
        <v>110</v>
      </c>
      <c r="K26" s="307" t="s">
        <v>111</v>
      </c>
      <c r="L26" s="66"/>
      <c r="M26" s="66"/>
      <c r="N26" s="66"/>
      <c r="O26" s="66"/>
      <c r="P26" s="66" t="str">
        <f t="shared" si="0"/>
        <v>SANG-AN CATHERINE VALDESTAMON</v>
      </c>
      <c r="Q26" s="66" t="str">
        <f>IFERROR(VLOOKUP(P26,[1]Disposition!$AB$9:$AC$495,2,0),"NO RECORD YET")</f>
        <v>NO RECORD YET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8" customHeight="1">
      <c r="A27" s="188">
        <v>18</v>
      </c>
      <c r="B27" s="189" t="s">
        <v>90</v>
      </c>
      <c r="C27" s="193" t="s">
        <v>39</v>
      </c>
      <c r="D27" s="190" t="s">
        <v>40</v>
      </c>
      <c r="E27" s="191" t="s">
        <v>112</v>
      </c>
      <c r="F27" s="191" t="s">
        <v>113</v>
      </c>
      <c r="G27" s="191" t="s">
        <v>114</v>
      </c>
      <c r="H27" s="192"/>
      <c r="I27" s="210"/>
      <c r="J27" s="279" t="s">
        <v>115</v>
      </c>
      <c r="K27" s="307" t="s">
        <v>116</v>
      </c>
      <c r="L27" s="66"/>
      <c r="M27" s="66">
        <f>205-146</f>
        <v>59</v>
      </c>
      <c r="N27" s="66"/>
      <c r="O27" s="66"/>
      <c r="P27" s="66" t="str">
        <f t="shared" si="0"/>
        <v>ESTEVES MARICEL  FRESNOZA</v>
      </c>
      <c r="Q27" s="66" t="str">
        <f>IFERROR(VLOOKUP(P27,[1]Disposition!$AB$9:$AC$495,2,0),"NO RECORD YET")</f>
        <v>3310 Bataan St., Bacood, Sta.Mesa, Manila</v>
      </c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8" customHeight="1">
      <c r="A28" s="188">
        <v>19</v>
      </c>
      <c r="B28" s="189" t="s">
        <v>90</v>
      </c>
      <c r="C28" s="189" t="s">
        <v>19</v>
      </c>
      <c r="D28" s="190" t="s">
        <v>40</v>
      </c>
      <c r="E28" s="191" t="s">
        <v>117</v>
      </c>
      <c r="F28" s="191" t="s">
        <v>118</v>
      </c>
      <c r="G28" s="191" t="s">
        <v>119</v>
      </c>
      <c r="H28" s="192"/>
      <c r="I28" s="212"/>
      <c r="J28" s="279" t="s">
        <v>120</v>
      </c>
      <c r="K28" s="307" t="s">
        <v>121</v>
      </c>
      <c r="L28" s="66"/>
      <c r="M28" s="66"/>
      <c r="N28" s="66"/>
      <c r="O28" s="66"/>
      <c r="P28" s="66" t="str">
        <f t="shared" si="0"/>
        <v>NADORA ADRIAN JOSE POSADAS</v>
      </c>
      <c r="Q28" s="66" t="str">
        <f>IFERROR(VLOOKUP(P28,[1]Disposition!$AB$9:$AC$495,2,0),"NO RECORD YET")</f>
        <v>16 Maligaya St., Rosario 6 Subd, Sta Lucia, Pasig City 1608</v>
      </c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8" customHeight="1">
      <c r="A29" s="188">
        <v>20</v>
      </c>
      <c r="B29" s="189" t="s">
        <v>122</v>
      </c>
      <c r="C29" s="193" t="s">
        <v>19</v>
      </c>
      <c r="D29" s="190" t="s">
        <v>28</v>
      </c>
      <c r="E29" s="195" t="s">
        <v>123</v>
      </c>
      <c r="F29" s="195" t="s">
        <v>124</v>
      </c>
      <c r="G29" s="195" t="s">
        <v>125</v>
      </c>
      <c r="H29" s="194"/>
      <c r="I29" s="210"/>
      <c r="J29" s="185" t="s">
        <v>126</v>
      </c>
      <c r="K29" s="307" t="s">
        <v>127</v>
      </c>
      <c r="L29" s="66"/>
      <c r="M29" s="66"/>
      <c r="N29" s="66"/>
      <c r="O29" s="66"/>
      <c r="P29" s="66" t="str">
        <f t="shared" si="0"/>
        <v>PEÑON JAYSON CABRAL</v>
      </c>
      <c r="Q29" s="66" t="str">
        <f>IFERROR(VLOOKUP(P29,[1]Disposition!$AB$9:$AC$495,2,0),"NO RECORD YET")</f>
        <v>NO RECORD YET</v>
      </c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18" customHeight="1">
      <c r="A30" s="188">
        <v>21</v>
      </c>
      <c r="B30" s="189" t="s">
        <v>122</v>
      </c>
      <c r="C30" s="193" t="s">
        <v>39</v>
      </c>
      <c r="D30" s="190" t="s">
        <v>40</v>
      </c>
      <c r="E30" s="191" t="s">
        <v>128</v>
      </c>
      <c r="F30" s="191" t="s">
        <v>129</v>
      </c>
      <c r="G30" s="191" t="s">
        <v>130</v>
      </c>
      <c r="H30" s="192"/>
      <c r="I30" s="210"/>
      <c r="J30" s="279" t="s">
        <v>131</v>
      </c>
      <c r="K30" s="307" t="s">
        <v>132</v>
      </c>
      <c r="L30" s="66"/>
      <c r="M30" s="66"/>
      <c r="N30" s="66"/>
      <c r="O30" s="66"/>
      <c r="P30" s="66" t="str">
        <f t="shared" si="0"/>
        <v>ALVAREZ PAMELA CEREZO</v>
      </c>
      <c r="Q30" s="66" t="str">
        <f>IFERROR(VLOOKUP(P30,[1]Disposition!$AB$9:$AC$495,2,0),"NO RECORD YET")</f>
        <v>Pao, Manaoag, Pangasinan</v>
      </c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8" customHeight="1">
      <c r="A31" s="188">
        <v>22</v>
      </c>
      <c r="B31" s="189" t="s">
        <v>122</v>
      </c>
      <c r="C31" s="189" t="s">
        <v>19</v>
      </c>
      <c r="D31" s="190" t="s">
        <v>40</v>
      </c>
      <c r="E31" s="191" t="s">
        <v>133</v>
      </c>
      <c r="F31" s="191" t="s">
        <v>134</v>
      </c>
      <c r="G31" s="191" t="s">
        <v>135</v>
      </c>
      <c r="H31" s="192"/>
      <c r="I31" s="210"/>
      <c r="J31" s="279" t="s">
        <v>136</v>
      </c>
      <c r="K31" s="307" t="s">
        <v>137</v>
      </c>
      <c r="L31" s="66"/>
      <c r="M31" s="66"/>
      <c r="N31" s="66"/>
      <c r="O31" s="66"/>
      <c r="P31" s="66" t="str">
        <f t="shared" si="0"/>
        <v>RUIVIVAR JOSE SALVADOR DEL ROSARIO</v>
      </c>
      <c r="Q31" s="66" t="str">
        <f>IFERROR(VLOOKUP(P31,[1]Disposition!$AB$9:$AC$495,2,0),"NO RECORD YET")</f>
        <v>13 St. Joseph St., Milton Hills Subd, Diliman, Quezon City</v>
      </c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8" customHeight="1">
      <c r="A32" s="188">
        <v>23</v>
      </c>
      <c r="B32" s="189" t="s">
        <v>138</v>
      </c>
      <c r="C32" s="193" t="s">
        <v>39</v>
      </c>
      <c r="D32" s="194" t="s">
        <v>24</v>
      </c>
      <c r="E32" s="204" t="s">
        <v>139</v>
      </c>
      <c r="F32" s="204" t="s">
        <v>140</v>
      </c>
      <c r="G32" s="204" t="s">
        <v>141</v>
      </c>
      <c r="H32" s="205"/>
      <c r="I32" s="210"/>
      <c r="J32" s="279" t="s">
        <v>142</v>
      </c>
      <c r="K32" s="307" t="s">
        <v>143</v>
      </c>
      <c r="L32" s="66"/>
      <c r="M32" s="66"/>
      <c r="N32" s="66"/>
      <c r="O32" s="66"/>
      <c r="P32" s="66" t="str">
        <f t="shared" si="0"/>
        <v>CUASAY ZAYRA JANE CEDENO</v>
      </c>
      <c r="Q32" s="66" t="str">
        <f>IFERROR(VLOOKUP(P32,[1]Disposition!$AB$9:$AC$495,2,0),"NO RECORD YET")</f>
        <v>NO RECORD YET</v>
      </c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8" customHeight="1">
      <c r="A33" s="188">
        <v>24</v>
      </c>
      <c r="B33" s="189" t="s">
        <v>138</v>
      </c>
      <c r="C33" s="193" t="s">
        <v>39</v>
      </c>
      <c r="D33" s="190" t="s">
        <v>40</v>
      </c>
      <c r="E33" s="191" t="s">
        <v>144</v>
      </c>
      <c r="F33" s="191" t="s">
        <v>145</v>
      </c>
      <c r="G33" s="191" t="s">
        <v>146</v>
      </c>
      <c r="H33" s="192"/>
      <c r="I33" s="210"/>
      <c r="J33" s="279" t="s">
        <v>147</v>
      </c>
      <c r="K33" s="307" t="s">
        <v>148</v>
      </c>
      <c r="L33" s="66"/>
      <c r="M33" s="66"/>
      <c r="N33" s="66"/>
      <c r="O33" s="66"/>
      <c r="P33" s="66" t="str">
        <f t="shared" si="0"/>
        <v>COSTALES MARY GRACE RODRIGUEZ</v>
      </c>
      <c r="Q33" s="66" t="str">
        <f>IFERROR(VLOOKUP(P33,[1]Disposition!$AB$9:$AC$495,2,0),"NO RECORD YET")</f>
        <v>NO RECORD YET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8" customHeight="1">
      <c r="A34" s="188">
        <v>25</v>
      </c>
      <c r="B34" s="189" t="s">
        <v>138</v>
      </c>
      <c r="C34" s="193" t="s">
        <v>39</v>
      </c>
      <c r="D34" s="190" t="s">
        <v>40</v>
      </c>
      <c r="E34" s="191" t="s">
        <v>149</v>
      </c>
      <c r="F34" s="191" t="s">
        <v>150</v>
      </c>
      <c r="G34" s="191" t="s">
        <v>151</v>
      </c>
      <c r="H34" s="192"/>
      <c r="I34" s="210"/>
      <c r="J34" s="279" t="s">
        <v>152</v>
      </c>
      <c r="K34" s="307" t="s">
        <v>153</v>
      </c>
      <c r="L34" s="66"/>
      <c r="M34" s="66">
        <f>177-226</f>
        <v>-49</v>
      </c>
      <c r="N34" s="66"/>
      <c r="O34" s="66"/>
      <c r="P34" s="66" t="str">
        <f t="shared" si="0"/>
        <v>VER MARIE LOUISE ROVIAN RAMOS</v>
      </c>
      <c r="Q34" s="66" t="str">
        <f>IFERROR(VLOOKUP(P34,[1]Disposition!$AB$9:$AC$495,2,0),"NO RECORD YET")</f>
        <v>Blk 43 Lot 16, Phase 7, Eastwood Residences, Brgy San Isidro, Montalban, Rizal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18" customHeight="1">
      <c r="A35" s="188">
        <v>26</v>
      </c>
      <c r="B35" s="193" t="s">
        <v>154</v>
      </c>
      <c r="C35" s="189" t="s">
        <v>19</v>
      </c>
      <c r="D35" s="190" t="s">
        <v>20</v>
      </c>
      <c r="E35" s="191" t="s">
        <v>155</v>
      </c>
      <c r="F35" s="191" t="s">
        <v>156</v>
      </c>
      <c r="G35" s="191" t="s">
        <v>157</v>
      </c>
      <c r="H35" s="192"/>
      <c r="I35" s="210"/>
      <c r="J35" s="279" t="s">
        <v>158</v>
      </c>
      <c r="K35" s="307" t="s">
        <v>159</v>
      </c>
      <c r="L35" s="66"/>
      <c r="M35" s="66"/>
      <c r="N35" s="66"/>
      <c r="O35" s="66"/>
      <c r="P35" s="66" t="str">
        <f t="shared" si="0"/>
        <v>BORRES RUBEN  BROSAS</v>
      </c>
      <c r="Q35" s="66" t="str">
        <f>IFERROR(VLOOKUP(P35,[1]Disposition!$AB$9:$AC$495,2,0),"NO RECORD YET")</f>
        <v>NO RECORD YET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18" customHeight="1">
      <c r="A36" s="188">
        <v>27</v>
      </c>
      <c r="B36" s="193" t="s">
        <v>154</v>
      </c>
      <c r="C36" s="193" t="s">
        <v>39</v>
      </c>
      <c r="D36" s="190" t="s">
        <v>160</v>
      </c>
      <c r="E36" s="191" t="s">
        <v>161</v>
      </c>
      <c r="F36" s="191" t="s">
        <v>162</v>
      </c>
      <c r="G36" s="191" t="s">
        <v>163</v>
      </c>
      <c r="H36" s="192"/>
      <c r="I36" s="210"/>
      <c r="J36" s="279"/>
      <c r="K36" s="282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18" customHeight="1">
      <c r="A37" s="188">
        <v>28</v>
      </c>
      <c r="B37" s="193" t="s">
        <v>154</v>
      </c>
      <c r="C37" s="193" t="s">
        <v>39</v>
      </c>
      <c r="D37" s="190" t="s">
        <v>40</v>
      </c>
      <c r="E37" s="191" t="s">
        <v>164</v>
      </c>
      <c r="F37" s="191" t="s">
        <v>165</v>
      </c>
      <c r="G37" s="191" t="s">
        <v>166</v>
      </c>
      <c r="H37" s="192"/>
      <c r="I37" s="210"/>
      <c r="J37" s="279" t="s">
        <v>167</v>
      </c>
      <c r="K37" s="308" t="s">
        <v>168</v>
      </c>
      <c r="L37" s="66"/>
      <c r="M37" s="66"/>
      <c r="N37" s="66"/>
      <c r="O37" s="66"/>
      <c r="P37" s="66" t="str">
        <f>CONCATENATE(E200," ",F200," ",G200)</f>
        <v>BATICADOS IVY ELEGARLE</v>
      </c>
      <c r="Q37" s="66" t="str">
        <f>IFERROR(VLOOKUP(P37,[1]Disposition!$AB$9:$AC$495,2,0),"NO RECORD YET")</f>
        <v>EL Dorado Dulo, Brgy. Don Bosco, Better Living Subd., Parañaque City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18" customHeight="1">
      <c r="A38" s="188">
        <v>29</v>
      </c>
      <c r="B38" s="193" t="s">
        <v>169</v>
      </c>
      <c r="C38" s="193" t="s">
        <v>39</v>
      </c>
      <c r="D38" s="190" t="s">
        <v>96</v>
      </c>
      <c r="E38" s="191" t="s">
        <v>170</v>
      </c>
      <c r="F38" s="191" t="s">
        <v>171</v>
      </c>
      <c r="G38" s="191" t="s">
        <v>172</v>
      </c>
      <c r="H38" s="192"/>
      <c r="I38" s="210"/>
      <c r="J38" s="279" t="s">
        <v>173</v>
      </c>
      <c r="K38" s="307" t="s">
        <v>174</v>
      </c>
      <c r="L38" s="66"/>
      <c r="M38" s="66"/>
      <c r="N38" s="66"/>
      <c r="O38" s="66"/>
      <c r="P38" s="66" t="str">
        <f t="shared" ref="P38:P43" si="1">CONCATENATE(E38," ",F38," ",G38)</f>
        <v>QUINTOS ANGELICA AGOR</v>
      </c>
      <c r="Q38" s="66" t="str">
        <f>IFERROR(VLOOKUP(P38,[1]Disposition!$AB$9:$AC$495,2,0),"NO RECORD YET")</f>
        <v>B1 L128 Phase 1F, Sub Urban Village, San Jose, Montalban, Rizal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18" customHeight="1">
      <c r="A39" s="188">
        <v>30</v>
      </c>
      <c r="B39" s="193" t="s">
        <v>169</v>
      </c>
      <c r="C39" s="193" t="s">
        <v>39</v>
      </c>
      <c r="D39" s="190" t="s">
        <v>28</v>
      </c>
      <c r="E39" s="191" t="s">
        <v>175</v>
      </c>
      <c r="F39" s="191" t="s">
        <v>176</v>
      </c>
      <c r="G39" s="191" t="s">
        <v>177</v>
      </c>
      <c r="H39" s="192"/>
      <c r="I39" s="210"/>
      <c r="J39" s="185" t="s">
        <v>178</v>
      </c>
      <c r="K39" s="307" t="s">
        <v>179</v>
      </c>
      <c r="L39" s="66"/>
      <c r="M39" s="66"/>
      <c r="N39" s="66">
        <f>566-554</f>
        <v>12</v>
      </c>
      <c r="O39" s="66"/>
      <c r="P39" s="66" t="str">
        <f t="shared" si="1"/>
        <v>CELARIO RUBY ROSE BUEZA</v>
      </c>
      <c r="Q39" s="66" t="str">
        <f>IFERROR(VLOOKUP(P39,[1]Disposition!$AB$9:$AC$495,2,0),"NO RECORD YET")</f>
        <v>NO RECORD YET</v>
      </c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18" customHeight="1">
      <c r="A40" s="188">
        <v>31</v>
      </c>
      <c r="B40" s="193" t="s">
        <v>169</v>
      </c>
      <c r="C40" s="193" t="s">
        <v>19</v>
      </c>
      <c r="D40" s="190" t="s">
        <v>28</v>
      </c>
      <c r="E40" s="195" t="s">
        <v>180</v>
      </c>
      <c r="F40" s="195" t="s">
        <v>181</v>
      </c>
      <c r="G40" s="195" t="s">
        <v>182</v>
      </c>
      <c r="H40" s="194"/>
      <c r="I40" s="210"/>
      <c r="J40" s="281" t="s">
        <v>183</v>
      </c>
      <c r="K40" s="307" t="s">
        <v>184</v>
      </c>
      <c r="L40" s="66"/>
      <c r="M40" s="66"/>
      <c r="N40" s="66">
        <v>3</v>
      </c>
      <c r="O40" s="66"/>
      <c r="P40" s="66" t="str">
        <f t="shared" si="1"/>
        <v>MANAOG RODNIE CASTILLO</v>
      </c>
      <c r="Q40" s="66" t="str">
        <f>IFERROR(VLOOKUP(P40,[1]Disposition!$AB$9:$AC$495,2,0),"NO RECORD YET")</f>
        <v>NO RECORD YET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18" customHeight="1">
      <c r="A41" s="188">
        <v>32</v>
      </c>
      <c r="B41" s="193" t="s">
        <v>169</v>
      </c>
      <c r="C41" s="193" t="s">
        <v>19</v>
      </c>
      <c r="D41" s="190" t="s">
        <v>40</v>
      </c>
      <c r="E41" s="191" t="s">
        <v>185</v>
      </c>
      <c r="F41" s="191" t="s">
        <v>186</v>
      </c>
      <c r="G41" s="191" t="s">
        <v>187</v>
      </c>
      <c r="H41" s="192"/>
      <c r="I41" s="210"/>
      <c r="J41" s="279" t="s">
        <v>188</v>
      </c>
      <c r="K41" s="307" t="s">
        <v>189</v>
      </c>
      <c r="L41" s="66"/>
      <c r="M41" s="66"/>
      <c r="N41" s="66"/>
      <c r="O41" s="66"/>
      <c r="P41" s="66" t="str">
        <f t="shared" si="1"/>
        <v>DAGTA MARY ANN YAP</v>
      </c>
      <c r="Q41" s="66" t="str">
        <f>IFERROR(VLOOKUP(P41,[1]Disposition!$AB$9:$AC$495,2,0),"NO RECORD YET")</f>
        <v>Blk 3, Lot 20, Amber St., Summit Viwe Subd., Brgy. San Rafael, Rodriguez, Rizal</v>
      </c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18" customHeight="1">
      <c r="A42" s="188">
        <v>33</v>
      </c>
      <c r="B42" s="193" t="s">
        <v>190</v>
      </c>
      <c r="C42" s="193" t="s">
        <v>19</v>
      </c>
      <c r="D42" s="190" t="s">
        <v>57</v>
      </c>
      <c r="E42" s="191" t="s">
        <v>191</v>
      </c>
      <c r="F42" s="191" t="s">
        <v>192</v>
      </c>
      <c r="G42" s="191" t="s">
        <v>146</v>
      </c>
      <c r="H42" s="192"/>
      <c r="I42" s="210"/>
      <c r="J42" s="279" t="s">
        <v>193</v>
      </c>
      <c r="K42" s="307" t="s">
        <v>194</v>
      </c>
      <c r="L42" s="66"/>
      <c r="M42" s="66"/>
      <c r="N42" s="66"/>
      <c r="O42" s="66"/>
      <c r="P42" s="66" t="str">
        <f t="shared" si="1"/>
        <v>PEÑAVERDE PHILIP JAMES RODRIGUEZ</v>
      </c>
      <c r="Q42" s="66" t="str">
        <f>IFERROR(VLOOKUP(P42,[1]Disposition!$AB$9:$AC$495,2,0),"NO RECORD YET")</f>
        <v>Blk 1 Lot 128 P1-F Sub-Urban Village, Saan Jose, Rodriguez, Rizal</v>
      </c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18" customHeight="1">
      <c r="A43" s="188">
        <v>34</v>
      </c>
      <c r="B43" s="193" t="s">
        <v>190</v>
      </c>
      <c r="C43" s="193" t="s">
        <v>19</v>
      </c>
      <c r="D43" s="190" t="s">
        <v>28</v>
      </c>
      <c r="E43" s="195" t="s">
        <v>195</v>
      </c>
      <c r="F43" s="195" t="s">
        <v>196</v>
      </c>
      <c r="G43" s="195" t="s">
        <v>197</v>
      </c>
      <c r="H43" s="194"/>
      <c r="I43" s="210"/>
      <c r="J43" s="281" t="s">
        <v>198</v>
      </c>
      <c r="K43" s="307" t="s">
        <v>199</v>
      </c>
      <c r="L43" s="66"/>
      <c r="M43" s="66"/>
      <c r="N43" s="66">
        <v>4</v>
      </c>
      <c r="O43" s="66"/>
      <c r="P43" s="66" t="str">
        <f t="shared" si="1"/>
        <v>MORTEL ALWYN ALBUFERA</v>
      </c>
      <c r="Q43" s="66" t="str">
        <f>IFERROR(VLOOKUP(P43,[1]Disposition!$AB$9:$AC$495,2,0),"NO RECORD YET")</f>
        <v>NO RECORD YET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18" customHeight="1">
      <c r="A44" s="188">
        <v>35</v>
      </c>
      <c r="B44" s="193" t="s">
        <v>190</v>
      </c>
      <c r="C44" s="193" t="s">
        <v>39</v>
      </c>
      <c r="D44" s="190" t="s">
        <v>40</v>
      </c>
      <c r="E44" s="191" t="s">
        <v>200</v>
      </c>
      <c r="F44" s="191" t="s">
        <v>201</v>
      </c>
      <c r="G44" s="191" t="s">
        <v>202</v>
      </c>
      <c r="H44" s="192"/>
      <c r="I44" s="212"/>
      <c r="J44" s="279" t="s">
        <v>203</v>
      </c>
      <c r="K44" s="308" t="s">
        <v>204</v>
      </c>
      <c r="L44" s="66"/>
      <c r="M44" s="66"/>
      <c r="N44" s="66"/>
      <c r="O44" s="66"/>
      <c r="P44" s="66" t="str">
        <f>CONCATENATE(E414," ",F414," ",G414)</f>
        <v>RAMOS WENCESLAO AGUILAR</v>
      </c>
      <c r="Q44" s="66" t="str">
        <f>IFERROR(VLOOKUP(P44,[1]Disposition!$AB$9:$AC$495,2,0),"NO RECORD YET")</f>
        <v>5-A St.Paul St., Remerville Subd. Baesa, Quezon City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18" customHeight="1">
      <c r="A45" s="188">
        <v>36</v>
      </c>
      <c r="B45" s="193" t="s">
        <v>205</v>
      </c>
      <c r="C45" s="193" t="s">
        <v>19</v>
      </c>
      <c r="D45" s="194" t="s">
        <v>96</v>
      </c>
      <c r="E45" s="191" t="s">
        <v>206</v>
      </c>
      <c r="F45" s="191" t="s">
        <v>207</v>
      </c>
      <c r="G45" s="191" t="s">
        <v>208</v>
      </c>
      <c r="H45" s="192"/>
      <c r="I45" s="210"/>
      <c r="J45" s="279" t="s">
        <v>209</v>
      </c>
      <c r="K45" s="307" t="s">
        <v>210</v>
      </c>
      <c r="L45" s="66"/>
      <c r="M45" s="66"/>
      <c r="N45" s="66"/>
      <c r="O45" s="66"/>
      <c r="P45" s="66" t="str">
        <f t="shared" ref="P45:P116" si="2">CONCATENATE(E45," ",F45," ",G45)</f>
        <v>SOSA GIBSON JOHN ARAOS</v>
      </c>
      <c r="Q45" s="66" t="str">
        <f>IFERROR(VLOOKUP(P45,[1]Disposition!$AB$9:$AC$495,2,0),"NO RECORD YET")</f>
        <v>#10 Singapore, Bastulde, Fil-Inves, Cainta, Rizal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18" customHeight="1">
      <c r="A46" s="188">
        <v>37</v>
      </c>
      <c r="B46" s="193" t="s">
        <v>205</v>
      </c>
      <c r="C46" s="189" t="s">
        <v>19</v>
      </c>
      <c r="D46" s="194" t="s">
        <v>96</v>
      </c>
      <c r="E46" s="191" t="s">
        <v>211</v>
      </c>
      <c r="F46" s="191" t="s">
        <v>212</v>
      </c>
      <c r="G46" s="191" t="s">
        <v>213</v>
      </c>
      <c r="H46" s="192"/>
      <c r="I46" s="210"/>
      <c r="J46" s="279" t="s">
        <v>214</v>
      </c>
      <c r="K46" s="307" t="s">
        <v>215</v>
      </c>
      <c r="L46" s="66"/>
      <c r="M46" s="66"/>
      <c r="N46" s="66"/>
      <c r="O46" s="66"/>
      <c r="P46" s="66" t="str">
        <f t="shared" si="2"/>
        <v>TAN ACHILES YABUT</v>
      </c>
      <c r="Q46" s="66" t="str">
        <f>IFERROR(VLOOKUP(P46,[1]Disposition!$AB$9:$AC$495,2,0),"NO RECORD YET")</f>
        <v>Blk 1 Lot 33, Maunlad Homes Subd., Caingin, Malolos, Bulacan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18" customHeight="1">
      <c r="A47" s="188">
        <v>38</v>
      </c>
      <c r="B47" s="193" t="s">
        <v>205</v>
      </c>
      <c r="C47" s="193" t="s">
        <v>39</v>
      </c>
      <c r="D47" s="194" t="s">
        <v>24</v>
      </c>
      <c r="E47" s="204" t="s">
        <v>216</v>
      </c>
      <c r="F47" s="204" t="s">
        <v>217</v>
      </c>
      <c r="G47" s="204" t="s">
        <v>218</v>
      </c>
      <c r="H47" s="205"/>
      <c r="I47" s="212"/>
      <c r="J47" s="279" t="s">
        <v>219</v>
      </c>
      <c r="K47" s="307" t="s">
        <v>220</v>
      </c>
      <c r="L47" s="66"/>
      <c r="M47" s="66"/>
      <c r="N47" s="66"/>
      <c r="O47" s="66"/>
      <c r="P47" s="66" t="str">
        <f t="shared" si="2"/>
        <v>CLAOR MICHELLE DUGAM</v>
      </c>
      <c r="Q47" s="66" t="str">
        <f>IFERROR(VLOOKUP(P47,[1]Disposition!$AB$9:$AC$495,2,0),"NO RECORD YET")</f>
        <v>Toon, La Paz, Abra</v>
      </c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18" customHeight="1">
      <c r="A48" s="188">
        <v>39</v>
      </c>
      <c r="B48" s="193" t="s">
        <v>221</v>
      </c>
      <c r="C48" s="193" t="s">
        <v>19</v>
      </c>
      <c r="D48" s="190" t="s">
        <v>96</v>
      </c>
      <c r="E48" s="204" t="s">
        <v>222</v>
      </c>
      <c r="F48" s="204" t="s">
        <v>223</v>
      </c>
      <c r="G48" s="204" t="s">
        <v>224</v>
      </c>
      <c r="H48" s="205"/>
      <c r="I48" s="210"/>
      <c r="J48" s="279" t="s">
        <v>225</v>
      </c>
      <c r="K48" s="307" t="s">
        <v>226</v>
      </c>
      <c r="L48" s="66"/>
      <c r="M48" s="66"/>
      <c r="N48" s="66"/>
      <c r="O48" s="66"/>
      <c r="P48" s="66" t="str">
        <f t="shared" si="2"/>
        <v>ALIMAMBO JICK BONUAN</v>
      </c>
      <c r="Q48" s="66" t="str">
        <f>IFERROR(VLOOKUP(P48,[1]Disposition!$AB$9:$AC$495,2,0),"NO RECORD YET")</f>
        <v>72  Pucay Village, Purok I, Bakakeng Norte, Baguio City</v>
      </c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8" customHeight="1">
      <c r="A49" s="188">
        <v>40</v>
      </c>
      <c r="B49" s="193" t="s">
        <v>227</v>
      </c>
      <c r="C49" s="193" t="s">
        <v>19</v>
      </c>
      <c r="D49" s="190" t="s">
        <v>28</v>
      </c>
      <c r="E49" s="195" t="s">
        <v>228</v>
      </c>
      <c r="F49" s="195" t="s">
        <v>229</v>
      </c>
      <c r="G49" s="195" t="s">
        <v>230</v>
      </c>
      <c r="H49" s="194"/>
      <c r="I49" s="212"/>
      <c r="J49" s="297" t="s">
        <v>231</v>
      </c>
      <c r="K49" s="307" t="s">
        <v>232</v>
      </c>
      <c r="L49" s="66"/>
      <c r="M49" s="66"/>
      <c r="N49" s="66"/>
      <c r="O49" s="66"/>
      <c r="P49" s="66" t="str">
        <f t="shared" si="2"/>
        <v>TUBELLEZA JOHN CARLO VILLARINO</v>
      </c>
      <c r="Q49" s="66" t="str">
        <f>IFERROR(VLOOKUP(P49,[1]Disposition!$AB$9:$AC$495,2,0),"NO RECORD YET")</f>
        <v>NO RECORD YET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18" customHeight="1">
      <c r="A50" s="188">
        <v>41</v>
      </c>
      <c r="B50" s="193" t="s">
        <v>233</v>
      </c>
      <c r="C50" s="193" t="s">
        <v>19</v>
      </c>
      <c r="D50" s="194" t="s">
        <v>24</v>
      </c>
      <c r="E50" s="204" t="s">
        <v>234</v>
      </c>
      <c r="F50" s="204" t="s">
        <v>235</v>
      </c>
      <c r="G50" s="204" t="s">
        <v>236</v>
      </c>
      <c r="H50" s="205"/>
      <c r="I50" s="212"/>
      <c r="J50" s="279" t="s">
        <v>237</v>
      </c>
      <c r="K50" s="307" t="s">
        <v>238</v>
      </c>
      <c r="L50" s="66"/>
      <c r="M50" s="66"/>
      <c r="N50" s="66"/>
      <c r="O50" s="66"/>
      <c r="P50" s="66" t="str">
        <f t="shared" si="2"/>
        <v>LUALHATI PAULO ANDREW PUNZALAN</v>
      </c>
      <c r="Q50" s="66" t="str">
        <f>IFERROR(VLOOKUP(P50,[1]Disposition!$AB$9:$AC$495,2,0),"NO RECORD YET")</f>
        <v>33 JW Diokno St., Poblacion 13, Taal, Batangas</v>
      </c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8" customHeight="1">
      <c r="A51" s="188">
        <v>42</v>
      </c>
      <c r="B51" s="193" t="s">
        <v>239</v>
      </c>
      <c r="C51" s="193" t="s">
        <v>39</v>
      </c>
      <c r="D51" s="194" t="s">
        <v>96</v>
      </c>
      <c r="E51" s="191" t="s">
        <v>240</v>
      </c>
      <c r="F51" s="191" t="s">
        <v>241</v>
      </c>
      <c r="G51" s="191" t="s">
        <v>242</v>
      </c>
      <c r="H51" s="192"/>
      <c r="I51" s="210"/>
      <c r="J51" s="279" t="s">
        <v>243</v>
      </c>
      <c r="K51" s="307" t="s">
        <v>244</v>
      </c>
      <c r="L51" s="66"/>
      <c r="M51" s="66"/>
      <c r="N51" s="66"/>
      <c r="O51" s="66"/>
      <c r="P51" s="66" t="str">
        <f t="shared" si="2"/>
        <v>SALAS EUNILAINE SALVADOR</v>
      </c>
      <c r="Q51" s="66" t="str">
        <f>IFERROR(VLOOKUP(P51,[1]Disposition!$AB$9:$AC$495,2,0),"NO RECORD YET")</f>
        <v>131 Wwest Drive St., Narikina Heights, Marikina City</v>
      </c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18" customHeight="1">
      <c r="A52" s="188">
        <v>43</v>
      </c>
      <c r="B52" s="193" t="s">
        <v>245</v>
      </c>
      <c r="C52" s="193" t="s">
        <v>19</v>
      </c>
      <c r="D52" s="190" t="s">
        <v>246</v>
      </c>
      <c r="E52" s="191" t="s">
        <v>247</v>
      </c>
      <c r="F52" s="191" t="s">
        <v>248</v>
      </c>
      <c r="G52" s="191" t="s">
        <v>249</v>
      </c>
      <c r="H52" s="192"/>
      <c r="I52" s="210"/>
      <c r="J52" s="279" t="s">
        <v>250</v>
      </c>
      <c r="K52" s="307" t="s">
        <v>251</v>
      </c>
      <c r="L52" s="66"/>
      <c r="M52" s="66"/>
      <c r="N52" s="66"/>
      <c r="O52" s="66"/>
      <c r="P52" s="66" t="str">
        <f t="shared" si="2"/>
        <v>ECHANO KERWIN RUFON</v>
      </c>
      <c r="Q52" s="66" t="str">
        <f>IFERROR(VLOOKUP(P52,[1]Disposition!$AB$9:$AC$495,2,0),"NO RECORD YET")</f>
        <v>Lot 37-38 BLK.5 Catanauan ST., Vanessa Homes, Bucal, Calamba, Laguna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18" customHeight="1">
      <c r="A53" s="188">
        <v>44</v>
      </c>
      <c r="B53" s="193" t="s">
        <v>252</v>
      </c>
      <c r="C53" s="193" t="s">
        <v>19</v>
      </c>
      <c r="D53" s="194" t="s">
        <v>253</v>
      </c>
      <c r="E53" s="191" t="s">
        <v>254</v>
      </c>
      <c r="F53" s="191" t="s">
        <v>255</v>
      </c>
      <c r="G53" s="191" t="s">
        <v>256</v>
      </c>
      <c r="H53" s="192" t="s">
        <v>55</v>
      </c>
      <c r="I53" s="210"/>
      <c r="J53" s="279" t="s">
        <v>257</v>
      </c>
      <c r="K53" s="307" t="s">
        <v>258</v>
      </c>
      <c r="L53" s="66"/>
      <c r="M53" s="66"/>
      <c r="N53" s="66"/>
      <c r="O53" s="66"/>
      <c r="P53" s="66" t="str">
        <f t="shared" si="2"/>
        <v>LAXAMANA JOSE DELA CRUZ</v>
      </c>
      <c r="Q53" s="66" t="str">
        <f>IFERROR(VLOOKUP(P53,[1]Disposition!$AB$9:$AC$495,2,0),"NO RECORD YET")</f>
        <v>191 Gen. Mascardo St., Bagong Barrio, Caloocan City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8" customHeight="1">
      <c r="A54" s="188">
        <v>45</v>
      </c>
      <c r="B54" s="193" t="s">
        <v>252</v>
      </c>
      <c r="C54" s="193" t="s">
        <v>19</v>
      </c>
      <c r="D54" s="190" t="s">
        <v>28</v>
      </c>
      <c r="E54" s="195" t="s">
        <v>259</v>
      </c>
      <c r="F54" s="195" t="s">
        <v>260</v>
      </c>
      <c r="G54" s="195" t="s">
        <v>261</v>
      </c>
      <c r="H54" s="194"/>
      <c r="I54" s="212"/>
      <c r="J54" s="281" t="s">
        <v>262</v>
      </c>
      <c r="K54" s="307" t="s">
        <v>263</v>
      </c>
      <c r="L54" s="66"/>
      <c r="M54" s="66"/>
      <c r="N54" s="66"/>
      <c r="O54" s="66"/>
      <c r="P54" s="66" t="str">
        <f t="shared" si="2"/>
        <v>AGUILANDO ADAMSON BANDONG</v>
      </c>
      <c r="Q54" s="66" t="str">
        <f>IFERROR(VLOOKUP(P54,[1]Disposition!$AB$9:$AC$495,2,0),"NO RECORD YET")</f>
        <v>NO RECORD YET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8" customHeight="1">
      <c r="A55" s="188">
        <v>46</v>
      </c>
      <c r="B55" s="193" t="s">
        <v>264</v>
      </c>
      <c r="C55" s="193" t="s">
        <v>19</v>
      </c>
      <c r="D55" s="190" t="s">
        <v>28</v>
      </c>
      <c r="E55" s="195" t="s">
        <v>265</v>
      </c>
      <c r="F55" s="195" t="s">
        <v>266</v>
      </c>
      <c r="G55" s="195" t="s">
        <v>267</v>
      </c>
      <c r="H55" s="194" t="s">
        <v>268</v>
      </c>
      <c r="I55" s="212"/>
      <c r="J55" s="185" t="s">
        <v>269</v>
      </c>
      <c r="K55" s="307" t="s">
        <v>270</v>
      </c>
      <c r="L55" s="66"/>
      <c r="M55" s="66"/>
      <c r="N55" s="66"/>
      <c r="O55" s="66"/>
      <c r="P55" s="66" t="str">
        <f t="shared" si="2"/>
        <v>BACATAN FERDINAND JALOVA</v>
      </c>
      <c r="Q55" s="66" t="str">
        <f>IFERROR(VLOOKUP(P55,[1]Disposition!$AB$9:$AC$495,2,0),"NO RECORD YET")</f>
        <v>NO RECORD YET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18" customHeight="1">
      <c r="A56" s="188">
        <v>47</v>
      </c>
      <c r="B56" s="193" t="s">
        <v>271</v>
      </c>
      <c r="C56" s="189" t="s">
        <v>19</v>
      </c>
      <c r="D56" s="190" t="s">
        <v>96</v>
      </c>
      <c r="E56" s="204" t="s">
        <v>272</v>
      </c>
      <c r="F56" s="204" t="s">
        <v>273</v>
      </c>
      <c r="G56" s="204" t="s">
        <v>274</v>
      </c>
      <c r="H56" s="205"/>
      <c r="I56" s="210"/>
      <c r="J56" s="279" t="s">
        <v>275</v>
      </c>
      <c r="K56" s="307" t="s">
        <v>276</v>
      </c>
      <c r="L56" s="66"/>
      <c r="M56" s="66"/>
      <c r="N56" s="66"/>
      <c r="O56" s="66"/>
      <c r="P56" s="66" t="str">
        <f t="shared" si="2"/>
        <v>MUÑOZ RANZ NIKKO BIEN</v>
      </c>
      <c r="Q56" s="66" t="str">
        <f>IFERROR(VLOOKUP(P56,[1]Disposition!$AB$9:$AC$495,2,0),"NO RECORD YET")</f>
        <v>Blk. 15 Lot 22, Viola St., Camella Sorrento, P.F. Espiritu IV, Bacoor, Cavite</v>
      </c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18" customHeight="1">
      <c r="A57" s="188">
        <v>48</v>
      </c>
      <c r="B57" s="193" t="s">
        <v>271</v>
      </c>
      <c r="C57" s="193" t="s">
        <v>19</v>
      </c>
      <c r="D57" s="190" t="s">
        <v>277</v>
      </c>
      <c r="E57" s="191" t="s">
        <v>278</v>
      </c>
      <c r="F57" s="191" t="s">
        <v>279</v>
      </c>
      <c r="G57" s="191" t="s">
        <v>280</v>
      </c>
      <c r="H57" s="192"/>
      <c r="I57" s="212"/>
      <c r="J57" s="279" t="s">
        <v>281</v>
      </c>
      <c r="K57" s="307" t="s">
        <v>282</v>
      </c>
      <c r="L57" s="66"/>
      <c r="M57" s="66"/>
      <c r="N57" s="66"/>
      <c r="O57" s="66"/>
      <c r="P57" s="66" t="str">
        <f t="shared" si="2"/>
        <v>MARAÑON CHRIS JOHN CATALOGO</v>
      </c>
      <c r="Q57" s="66" t="str">
        <f>IFERROR(VLOOKUP(P57,[1]Disposition!$AB$9:$AC$495,2,0),"NO RECORD YET")</f>
        <v>B18 L1 P-J Francisco Homes, SJDM, Bulacan</v>
      </c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18" customHeight="1">
      <c r="A58" s="188">
        <v>49</v>
      </c>
      <c r="B58" s="193" t="s">
        <v>283</v>
      </c>
      <c r="C58" s="193" t="s">
        <v>19</v>
      </c>
      <c r="D58" s="194" t="s">
        <v>253</v>
      </c>
      <c r="E58" s="191" t="s">
        <v>284</v>
      </c>
      <c r="F58" s="191" t="s">
        <v>285</v>
      </c>
      <c r="G58" s="191" t="s">
        <v>286</v>
      </c>
      <c r="H58" s="192"/>
      <c r="I58" s="210"/>
      <c r="J58" s="279" t="s">
        <v>287</v>
      </c>
      <c r="K58" s="307" t="s">
        <v>288</v>
      </c>
      <c r="L58" s="66"/>
      <c r="M58" s="66"/>
      <c r="N58" s="66"/>
      <c r="O58" s="66"/>
      <c r="P58" s="66" t="str">
        <f t="shared" si="2"/>
        <v>AMIT ARIEL DE GUZMAN</v>
      </c>
      <c r="Q58" s="66" t="str">
        <f>IFERROR(VLOOKUP(P58,[1]Disposition!$AB$9:$AC$495,2,0),"NO RECORD YET")</f>
        <v>Manila, Metro Manila</v>
      </c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18" customHeight="1">
      <c r="A59" s="188">
        <v>50</v>
      </c>
      <c r="B59" s="193" t="s">
        <v>283</v>
      </c>
      <c r="C59" s="189" t="s">
        <v>19</v>
      </c>
      <c r="D59" s="190" t="s">
        <v>246</v>
      </c>
      <c r="E59" s="191" t="s">
        <v>289</v>
      </c>
      <c r="F59" s="191" t="s">
        <v>290</v>
      </c>
      <c r="G59" s="191" t="s">
        <v>291</v>
      </c>
      <c r="H59" s="192"/>
      <c r="I59" s="210"/>
      <c r="J59" s="279"/>
      <c r="K59" s="282"/>
      <c r="L59" s="66"/>
      <c r="M59" s="66"/>
      <c r="N59" s="66"/>
      <c r="O59" s="66"/>
      <c r="P59" s="66" t="str">
        <f t="shared" si="2"/>
        <v>ILACAD DIONELL TUGADE</v>
      </c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18" customHeight="1">
      <c r="A60" s="188">
        <v>51</v>
      </c>
      <c r="B60" s="193" t="s">
        <v>283</v>
      </c>
      <c r="C60" s="193" t="s">
        <v>19</v>
      </c>
      <c r="D60" s="190" t="s">
        <v>57</v>
      </c>
      <c r="E60" s="191" t="s">
        <v>292</v>
      </c>
      <c r="F60" s="191" t="s">
        <v>293</v>
      </c>
      <c r="G60" s="191" t="s">
        <v>294</v>
      </c>
      <c r="H60" s="192"/>
      <c r="I60" s="212"/>
      <c r="J60" s="279" t="s">
        <v>295</v>
      </c>
      <c r="K60" s="307" t="s">
        <v>296</v>
      </c>
      <c r="L60" s="66"/>
      <c r="M60" s="66"/>
      <c r="N60" s="66"/>
      <c r="O60" s="66"/>
      <c r="P60" s="66" t="str">
        <f t="shared" si="2"/>
        <v>DULIN JOEY BINARAO</v>
      </c>
      <c r="Q60" s="66" t="str">
        <f>IFERROR(VLOOKUP(P60,[1]Disposition!$AB$9:$AC$495,2,0),"NO RECORD YET")</f>
        <v>155 19th Avenue, East Pembo, Makati City</v>
      </c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18" customHeight="1">
      <c r="A61" s="188">
        <v>52</v>
      </c>
      <c r="B61" s="193" t="s">
        <v>283</v>
      </c>
      <c r="C61" s="193" t="s">
        <v>19</v>
      </c>
      <c r="D61" s="190" t="s">
        <v>24</v>
      </c>
      <c r="E61" s="191" t="s">
        <v>297</v>
      </c>
      <c r="F61" s="191" t="s">
        <v>298</v>
      </c>
      <c r="G61" s="191" t="s">
        <v>286</v>
      </c>
      <c r="H61" s="192"/>
      <c r="I61" s="212"/>
      <c r="J61" s="279" t="s">
        <v>299</v>
      </c>
      <c r="K61" s="307" t="s">
        <v>300</v>
      </c>
      <c r="L61" s="66"/>
      <c r="M61" s="66"/>
      <c r="N61" s="66"/>
      <c r="O61" s="66"/>
      <c r="P61" s="66" t="str">
        <f t="shared" si="2"/>
        <v>DOCTOLERO JOHN NICK DE GUZMAN</v>
      </c>
      <c r="Q61" s="66" t="str">
        <f>IFERROR(VLOOKUP(P61,[1]Disposition!$AB$9:$AC$495,2,0),"NO RECORD YET")</f>
        <v>B25 L5 PH. J, Brgy. Guijo, Francisco Homes, SJDM, Bulacan</v>
      </c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18" customHeight="1">
      <c r="A62" s="188">
        <v>53</v>
      </c>
      <c r="B62" s="193" t="s">
        <v>301</v>
      </c>
      <c r="C62" s="193" t="s">
        <v>19</v>
      </c>
      <c r="D62" s="194" t="s">
        <v>253</v>
      </c>
      <c r="E62" s="191" t="s">
        <v>256</v>
      </c>
      <c r="F62" s="191" t="s">
        <v>302</v>
      </c>
      <c r="G62" s="191" t="s">
        <v>303</v>
      </c>
      <c r="H62" s="192"/>
      <c r="I62" s="210"/>
      <c r="J62" s="279" t="s">
        <v>304</v>
      </c>
      <c r="K62" s="307" t="s">
        <v>305</v>
      </c>
      <c r="L62" s="66"/>
      <c r="M62" s="66"/>
      <c r="N62" s="66"/>
      <c r="O62" s="66"/>
      <c r="P62" s="66" t="str">
        <f t="shared" si="2"/>
        <v>DELA CRUZ ALVIN ORUA</v>
      </c>
      <c r="Q62" s="66" t="str">
        <f>IFERROR(VLOOKUP(P62,[1]Disposition!$AB$9:$AC$495,2,0),"NO RECORD YET")</f>
        <v>#6087 Sto. Rosario St., Mapulang Lupa, Valenzuela City</v>
      </c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18" customHeight="1">
      <c r="A63" s="188">
        <v>54</v>
      </c>
      <c r="B63" s="193" t="s">
        <v>301</v>
      </c>
      <c r="C63" s="193" t="s">
        <v>19</v>
      </c>
      <c r="D63" s="194" t="s">
        <v>253</v>
      </c>
      <c r="E63" s="191" t="s">
        <v>306</v>
      </c>
      <c r="F63" s="191" t="s">
        <v>307</v>
      </c>
      <c r="G63" s="191" t="s">
        <v>308</v>
      </c>
      <c r="H63" s="192"/>
      <c r="I63" s="210"/>
      <c r="J63" s="279" t="s">
        <v>309</v>
      </c>
      <c r="K63" s="307" t="s">
        <v>310</v>
      </c>
      <c r="L63" s="66"/>
      <c r="M63" s="66"/>
      <c r="N63" s="66"/>
      <c r="O63" s="66"/>
      <c r="P63" s="66" t="str">
        <f t="shared" si="2"/>
        <v>DESEO REYNANTE NUYDA</v>
      </c>
      <c r="Q63" s="66" t="str">
        <f>IFERROR(VLOOKUP(P63,[1]Disposition!$AB$9:$AC$495,2,0),"NO RECORD YET")</f>
        <v>Blk 4  L17 Arty in Subdivision, Karuhatan, Valenzueal City</v>
      </c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spans="1:27" ht="18" customHeight="1">
      <c r="A64" s="188">
        <v>55</v>
      </c>
      <c r="B64" s="193" t="s">
        <v>301</v>
      </c>
      <c r="C64" s="193" t="s">
        <v>39</v>
      </c>
      <c r="D64" s="194" t="s">
        <v>24</v>
      </c>
      <c r="E64" s="204" t="s">
        <v>311</v>
      </c>
      <c r="F64" s="204" t="s">
        <v>312</v>
      </c>
      <c r="G64" s="204" t="s">
        <v>313</v>
      </c>
      <c r="H64" s="194"/>
      <c r="I64" s="212"/>
      <c r="J64" s="279" t="s">
        <v>314</v>
      </c>
      <c r="K64" s="307" t="s">
        <v>315</v>
      </c>
      <c r="L64" s="66"/>
      <c r="M64" s="66"/>
      <c r="N64" s="66"/>
      <c r="O64" s="66"/>
      <c r="P64" s="66" t="str">
        <f t="shared" si="2"/>
        <v>CASTRO MARYJANE DIZON</v>
      </c>
      <c r="Q64" s="66" t="str">
        <f>IFERROR(VLOOKUP(P64,[1]Disposition!$AB$9:$AC$495,2,0),"NO RECORD YET")</f>
        <v>Phase 1, Purok 5, Taugtog, Botolan, Zambales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18" customHeight="1">
      <c r="A65" s="188">
        <v>56</v>
      </c>
      <c r="B65" s="193" t="s">
        <v>301</v>
      </c>
      <c r="C65" s="193" t="s">
        <v>19</v>
      </c>
      <c r="D65" s="190" t="s">
        <v>28</v>
      </c>
      <c r="E65" s="195" t="s">
        <v>316</v>
      </c>
      <c r="F65" s="195" t="s">
        <v>317</v>
      </c>
      <c r="G65" s="195" t="s">
        <v>318</v>
      </c>
      <c r="H65" s="194"/>
      <c r="I65" s="212"/>
      <c r="J65" s="281" t="s">
        <v>319</v>
      </c>
      <c r="K65" s="307" t="s">
        <v>320</v>
      </c>
      <c r="L65" s="66"/>
      <c r="M65" s="66"/>
      <c r="N65" s="66"/>
      <c r="O65" s="66"/>
      <c r="P65" s="66" t="str">
        <f t="shared" si="2"/>
        <v>CORTEZ JERWIN AQUINO</v>
      </c>
      <c r="Q65" s="66" t="str">
        <f>IFERROR(VLOOKUP(P65,[1]Disposition!$AB$9:$AC$495,2,0),"NO RECORD YET")</f>
        <v>NO RECORD YET</v>
      </c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18" customHeight="1">
      <c r="A66" s="188">
        <v>57</v>
      </c>
      <c r="B66" s="193" t="s">
        <v>301</v>
      </c>
      <c r="C66" s="193" t="s">
        <v>19</v>
      </c>
      <c r="D66" s="190" t="s">
        <v>28</v>
      </c>
      <c r="E66" s="195" t="s">
        <v>321</v>
      </c>
      <c r="F66" s="195" t="s">
        <v>322</v>
      </c>
      <c r="G66" s="195" t="s">
        <v>323</v>
      </c>
      <c r="H66" s="194"/>
      <c r="I66" s="212"/>
      <c r="J66" s="185" t="s">
        <v>324</v>
      </c>
      <c r="K66" s="307" t="s">
        <v>325</v>
      </c>
      <c r="L66" s="66"/>
      <c r="M66" s="66"/>
      <c r="N66" s="66"/>
      <c r="O66" s="66"/>
      <c r="P66" s="66" t="str">
        <f t="shared" si="2"/>
        <v>MANIQUIZ JEREMY BINUYA</v>
      </c>
      <c r="Q66" s="66" t="str">
        <f>IFERROR(VLOOKUP(P66,[1]Disposition!$AB$9:$AC$495,2,0),"NO RECORD YET")</f>
        <v>NO RECORD YET</v>
      </c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18" customHeight="1">
      <c r="A67" s="188">
        <v>58</v>
      </c>
      <c r="B67" s="193" t="s">
        <v>301</v>
      </c>
      <c r="C67" s="193" t="s">
        <v>39</v>
      </c>
      <c r="D67" s="190" t="s">
        <v>40</v>
      </c>
      <c r="E67" s="191" t="s">
        <v>326</v>
      </c>
      <c r="F67" s="191" t="s">
        <v>327</v>
      </c>
      <c r="G67" s="191" t="s">
        <v>328</v>
      </c>
      <c r="H67" s="192"/>
      <c r="I67" s="210"/>
      <c r="J67" s="279" t="s">
        <v>329</v>
      </c>
      <c r="K67" s="307" t="s">
        <v>330</v>
      </c>
      <c r="L67" s="66"/>
      <c r="M67" s="66"/>
      <c r="N67" s="66"/>
      <c r="O67" s="66"/>
      <c r="P67" s="66" t="str">
        <f t="shared" si="2"/>
        <v>LUMABI GINA TINGALA</v>
      </c>
      <c r="Q67" s="66" t="str">
        <f>IFERROR(VLOOKUP(P67,[1]Disposition!$AB$9:$AC$495,2,0),"NO RECORD YET")</f>
        <v>MB 15 RM 109,  Diego Silang Village, Brgy Ususan, Taguig City</v>
      </c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18" customHeight="1">
      <c r="A68" s="188">
        <v>59</v>
      </c>
      <c r="B68" s="193" t="s">
        <v>301</v>
      </c>
      <c r="C68" s="193" t="s">
        <v>39</v>
      </c>
      <c r="D68" s="190" t="s">
        <v>40</v>
      </c>
      <c r="E68" s="191" t="s">
        <v>331</v>
      </c>
      <c r="F68" s="191" t="s">
        <v>186</v>
      </c>
      <c r="G68" s="191" t="s">
        <v>332</v>
      </c>
      <c r="H68" s="192"/>
      <c r="I68" s="210"/>
      <c r="J68" s="279" t="s">
        <v>333</v>
      </c>
      <c r="K68" s="307" t="s">
        <v>334</v>
      </c>
      <c r="L68" s="66"/>
      <c r="M68" s="66"/>
      <c r="N68" s="66"/>
      <c r="O68" s="66"/>
      <c r="P68" s="66" t="str">
        <f t="shared" si="2"/>
        <v>UBANDO MARY ANN OBENA</v>
      </c>
      <c r="Q68" s="66" t="str">
        <f>IFERROR(VLOOKUP(P68,[1]Disposition!$AB$9:$AC$495,2,0),"NO RECORD YET")</f>
        <v>Blk 13 Lot 14 Phase M,  Francisco Homes, Brgy. Guijo, SJDM, Bulacan</v>
      </c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18" customHeight="1">
      <c r="A69" s="188">
        <v>60</v>
      </c>
      <c r="B69" s="193" t="s">
        <v>335</v>
      </c>
      <c r="C69" s="193" t="s">
        <v>19</v>
      </c>
      <c r="D69" s="190" t="s">
        <v>28</v>
      </c>
      <c r="E69" s="195" t="s">
        <v>336</v>
      </c>
      <c r="F69" s="195" t="s">
        <v>337</v>
      </c>
      <c r="G69" s="195" t="s">
        <v>338</v>
      </c>
      <c r="H69" s="194"/>
      <c r="I69" s="212"/>
      <c r="J69" s="298" t="s">
        <v>339</v>
      </c>
      <c r="K69" s="307" t="s">
        <v>340</v>
      </c>
      <c r="L69" s="66"/>
      <c r="M69" s="66"/>
      <c r="N69" s="66"/>
      <c r="O69" s="66"/>
      <c r="P69" s="66" t="str">
        <f t="shared" si="2"/>
        <v>CAGUITE JOHN REX ALIDO</v>
      </c>
      <c r="Q69" s="66" t="str">
        <f>IFERROR(VLOOKUP(P69,[1]Disposition!$AB$9:$AC$495,2,0),"NO RECORD YET")</f>
        <v>NO RECORD YET</v>
      </c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18" customHeight="1">
      <c r="A70" s="188">
        <v>61</v>
      </c>
      <c r="B70" s="193" t="s">
        <v>335</v>
      </c>
      <c r="C70" s="193" t="s">
        <v>19</v>
      </c>
      <c r="D70" s="190" t="s">
        <v>28</v>
      </c>
      <c r="E70" s="195" t="s">
        <v>341</v>
      </c>
      <c r="F70" s="195" t="s">
        <v>342</v>
      </c>
      <c r="G70" s="195" t="s">
        <v>343</v>
      </c>
      <c r="H70" s="194"/>
      <c r="I70" s="212"/>
      <c r="J70" s="185" t="s">
        <v>344</v>
      </c>
      <c r="K70" s="307" t="s">
        <v>345</v>
      </c>
      <c r="L70" s="66"/>
      <c r="M70" s="66"/>
      <c r="N70" s="66"/>
      <c r="O70" s="66"/>
      <c r="P70" s="66" t="str">
        <f t="shared" si="2"/>
        <v>TAGPAO RAFAEL ALUNDAY</v>
      </c>
      <c r="Q70" s="66" t="str">
        <f>IFERROR(VLOOKUP(P70,[1]Disposition!$AB$9:$AC$495,2,0),"NO RECORD YET")</f>
        <v>NO RECORD YET</v>
      </c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18" customHeight="1">
      <c r="A71" s="188">
        <v>62</v>
      </c>
      <c r="B71" s="193" t="s">
        <v>346</v>
      </c>
      <c r="C71" s="189" t="s">
        <v>19</v>
      </c>
      <c r="D71" s="190" t="s">
        <v>28</v>
      </c>
      <c r="E71" s="195" t="s">
        <v>347</v>
      </c>
      <c r="F71" s="195" t="s">
        <v>348</v>
      </c>
      <c r="G71" s="195" t="s">
        <v>349</v>
      </c>
      <c r="H71" s="194"/>
      <c r="I71" s="212"/>
      <c r="J71" s="185" t="s">
        <v>350</v>
      </c>
      <c r="K71" s="307" t="s">
        <v>351</v>
      </c>
      <c r="L71" s="66"/>
      <c r="M71" s="66"/>
      <c r="N71" s="66"/>
      <c r="O71" s="66"/>
      <c r="P71" s="66" t="str">
        <f t="shared" si="2"/>
        <v>VILLEGAS NAIF STA ANA</v>
      </c>
      <c r="Q71" s="66" t="str">
        <f>IFERROR(VLOOKUP(P71,[1]Disposition!$AB$9:$AC$495,2,0),"NO RECORD YET")</f>
        <v>NO RECORD YET</v>
      </c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18" customHeight="1">
      <c r="A72" s="188">
        <v>63</v>
      </c>
      <c r="B72" s="193" t="s">
        <v>352</v>
      </c>
      <c r="C72" s="193" t="s">
        <v>19</v>
      </c>
      <c r="D72" s="194" t="s">
        <v>253</v>
      </c>
      <c r="E72" s="191" t="s">
        <v>353</v>
      </c>
      <c r="F72" s="191" t="s">
        <v>354</v>
      </c>
      <c r="G72" s="191" t="s">
        <v>355</v>
      </c>
      <c r="H72" s="192"/>
      <c r="I72" s="210"/>
      <c r="J72" s="279" t="s">
        <v>356</v>
      </c>
      <c r="K72" s="307" t="s">
        <v>357</v>
      </c>
      <c r="L72" s="66"/>
      <c r="M72" s="66"/>
      <c r="N72" s="66"/>
      <c r="O72" s="66"/>
      <c r="P72" s="66" t="str">
        <f t="shared" si="2"/>
        <v>NOBRES ROY DANGSI</v>
      </c>
      <c r="Q72" s="66" t="str">
        <f>IFERROR(VLOOKUP(P72,[1]Disposition!$AB$9:$AC$495,2,0),"NO RECORD YET")</f>
        <v>Lot 4-Lot 5 Metro Royale Homes Burgos, Montalban, Rizal</v>
      </c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18" customHeight="1">
      <c r="A73" s="188">
        <v>64</v>
      </c>
      <c r="B73" s="193" t="s">
        <v>352</v>
      </c>
      <c r="C73" s="193" t="s">
        <v>19</v>
      </c>
      <c r="D73" s="190" t="s">
        <v>246</v>
      </c>
      <c r="E73" s="204" t="s">
        <v>358</v>
      </c>
      <c r="F73" s="204" t="s">
        <v>359</v>
      </c>
      <c r="G73" s="204" t="s">
        <v>360</v>
      </c>
      <c r="H73" s="194"/>
      <c r="I73" s="210"/>
      <c r="J73" s="279" t="s">
        <v>361</v>
      </c>
      <c r="K73" s="307" t="s">
        <v>362</v>
      </c>
      <c r="L73" s="66"/>
      <c r="M73" s="66"/>
      <c r="N73" s="66"/>
      <c r="O73" s="66"/>
      <c r="P73" s="66" t="str">
        <f t="shared" si="2"/>
        <v>ABO MARK JESSIE MELITANTE</v>
      </c>
      <c r="Q73" s="66" t="str">
        <f>IFERROR(VLOOKUP(P73,[1]Disposition!$AB$9:$AC$495,2,0),"NO RECORD YET")</f>
        <v>Unit 909, Amaia Skies Cuibao, P. Tuazon Ave., Socorro, Quezon City</v>
      </c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18" customHeight="1">
      <c r="A74" s="188">
        <v>65</v>
      </c>
      <c r="B74" s="193" t="s">
        <v>352</v>
      </c>
      <c r="C74" s="193" t="s">
        <v>19</v>
      </c>
      <c r="D74" s="190" t="s">
        <v>246</v>
      </c>
      <c r="E74" s="204" t="s">
        <v>363</v>
      </c>
      <c r="F74" s="204" t="s">
        <v>364</v>
      </c>
      <c r="G74" s="204" t="s">
        <v>365</v>
      </c>
      <c r="H74" s="194" t="s">
        <v>268</v>
      </c>
      <c r="I74" s="210"/>
      <c r="J74" s="279"/>
      <c r="K74" s="282"/>
      <c r="L74" s="66"/>
      <c r="M74" s="66"/>
      <c r="N74" s="66"/>
      <c r="O74" s="66"/>
      <c r="P74" s="66" t="str">
        <f t="shared" si="2"/>
        <v>GALAMGAM RAMON DIAZ</v>
      </c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18" customHeight="1">
      <c r="A75" s="188">
        <v>66</v>
      </c>
      <c r="B75" s="193" t="s">
        <v>352</v>
      </c>
      <c r="C75" s="193" t="s">
        <v>19</v>
      </c>
      <c r="D75" s="190" t="s">
        <v>366</v>
      </c>
      <c r="E75" s="191" t="s">
        <v>367</v>
      </c>
      <c r="F75" s="191" t="s">
        <v>368</v>
      </c>
      <c r="G75" s="191" t="s">
        <v>369</v>
      </c>
      <c r="H75" s="192"/>
      <c r="I75" s="212"/>
      <c r="J75" s="279" t="s">
        <v>370</v>
      </c>
      <c r="K75" s="307" t="s">
        <v>371</v>
      </c>
      <c r="L75" s="66"/>
      <c r="M75" s="66"/>
      <c r="N75" s="66"/>
      <c r="O75" s="66"/>
      <c r="P75" s="66" t="str">
        <f t="shared" si="2"/>
        <v>TACTAY HENRY GOLINO</v>
      </c>
      <c r="Q75" s="66" t="str">
        <f>IFERROR(VLOOKUP(P75,[1]Disposition!$AB$9:$AC$495,2,0),"NO RECORD YET")</f>
        <v>41 Quimmarayan, Sto. Domingo, Ilocos Sur</v>
      </c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18" customHeight="1">
      <c r="A76" s="188">
        <v>67</v>
      </c>
      <c r="B76" s="193" t="s">
        <v>352</v>
      </c>
      <c r="C76" s="193" t="s">
        <v>39</v>
      </c>
      <c r="D76" s="190" t="s">
        <v>28</v>
      </c>
      <c r="E76" s="191" t="s">
        <v>372</v>
      </c>
      <c r="F76" s="191" t="s">
        <v>373</v>
      </c>
      <c r="G76" s="191" t="s">
        <v>374</v>
      </c>
      <c r="H76" s="192"/>
      <c r="I76" s="212"/>
      <c r="J76" s="185" t="s">
        <v>375</v>
      </c>
      <c r="K76" s="307" t="s">
        <v>376</v>
      </c>
      <c r="L76" s="66"/>
      <c r="M76" s="66"/>
      <c r="N76" s="66"/>
      <c r="O76" s="66"/>
      <c r="P76" s="66" t="str">
        <f t="shared" si="2"/>
        <v>ABRIAM ANNETH VALERIE MALNAT</v>
      </c>
      <c r="Q76" s="66" t="str">
        <f>IFERROR(VLOOKUP(P76,[1]Disposition!$AB$9:$AC$495,2,0),"NO RECORD YET")</f>
        <v>NO RECORD YET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18" customHeight="1">
      <c r="A77" s="188">
        <v>68</v>
      </c>
      <c r="B77" s="193" t="s">
        <v>352</v>
      </c>
      <c r="C77" s="193" t="s">
        <v>39</v>
      </c>
      <c r="D77" s="190" t="s">
        <v>28</v>
      </c>
      <c r="E77" s="191" t="s">
        <v>377</v>
      </c>
      <c r="F77" s="191" t="s">
        <v>378</v>
      </c>
      <c r="G77" s="191" t="s">
        <v>379</v>
      </c>
      <c r="H77" s="192"/>
      <c r="I77" s="212"/>
      <c r="J77" s="281" t="s">
        <v>380</v>
      </c>
      <c r="K77" s="307" t="s">
        <v>381</v>
      </c>
      <c r="L77" s="66"/>
      <c r="M77" s="66"/>
      <c r="N77" s="66"/>
      <c r="O77" s="66"/>
      <c r="P77" s="66" t="str">
        <f t="shared" si="2"/>
        <v>SAET MITZI ANNE BESA</v>
      </c>
      <c r="Q77" s="66" t="str">
        <f>IFERROR(VLOOKUP(P77,[1]Disposition!$AB$9:$AC$495,2,0),"NO RECORD YET")</f>
        <v>NO RECORD YET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18" customHeight="1">
      <c r="A78" s="188">
        <v>69</v>
      </c>
      <c r="B78" s="193" t="s">
        <v>352</v>
      </c>
      <c r="C78" s="193" t="s">
        <v>19</v>
      </c>
      <c r="D78" s="190" t="s">
        <v>28</v>
      </c>
      <c r="E78" s="195" t="s">
        <v>382</v>
      </c>
      <c r="F78" s="195" t="s">
        <v>383</v>
      </c>
      <c r="G78" s="195" t="s">
        <v>384</v>
      </c>
      <c r="H78" s="194"/>
      <c r="I78" s="212"/>
      <c r="J78" s="281" t="s">
        <v>385</v>
      </c>
      <c r="K78" s="307" t="s">
        <v>386</v>
      </c>
      <c r="L78" s="66"/>
      <c r="M78" s="66"/>
      <c r="N78" s="66"/>
      <c r="O78" s="66"/>
      <c r="P78" s="66" t="str">
        <f t="shared" si="2"/>
        <v>SALES JAFET ANINAO</v>
      </c>
      <c r="Q78" s="66" t="str">
        <f>IFERROR(VLOOKUP(P78,[1]Disposition!$AB$9:$AC$495,2,0),"NO RECORD YET")</f>
        <v>NO RECORD YET</v>
      </c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18" customHeight="1">
      <c r="A79" s="188">
        <v>70</v>
      </c>
      <c r="B79" s="193" t="s">
        <v>352</v>
      </c>
      <c r="C79" s="193" t="s">
        <v>19</v>
      </c>
      <c r="D79" s="190" t="s">
        <v>40</v>
      </c>
      <c r="E79" s="191" t="s">
        <v>387</v>
      </c>
      <c r="F79" s="191" t="s">
        <v>388</v>
      </c>
      <c r="G79" s="191" t="s">
        <v>389</v>
      </c>
      <c r="H79" s="192"/>
      <c r="I79" s="210"/>
      <c r="J79" s="279" t="s">
        <v>390</v>
      </c>
      <c r="K79" s="307" t="s">
        <v>391</v>
      </c>
      <c r="L79" s="66"/>
      <c r="M79" s="66"/>
      <c r="N79" s="66"/>
      <c r="O79" s="66"/>
      <c r="P79" s="66" t="str">
        <f t="shared" si="2"/>
        <v>TACORDA JASON ABRAHAM ABION</v>
      </c>
      <c r="Q79" s="66" t="str">
        <f>IFERROR(VLOOKUP(P79,[1]Disposition!$AB$9:$AC$495,2,0),"NO RECORD YET")</f>
        <v>2315 T2 Amaia Skies, Cubao, 5the Ave. cor P Tuazon Ave., Brgy. Socorro, Quezon City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18" customHeight="1">
      <c r="A80" s="188">
        <v>71</v>
      </c>
      <c r="B80" s="193" t="s">
        <v>392</v>
      </c>
      <c r="C80" s="193" t="s">
        <v>19</v>
      </c>
      <c r="D80" s="194" t="s">
        <v>253</v>
      </c>
      <c r="E80" s="191" t="s">
        <v>393</v>
      </c>
      <c r="F80" s="191" t="s">
        <v>394</v>
      </c>
      <c r="G80" s="191" t="s">
        <v>395</v>
      </c>
      <c r="H80" s="192"/>
      <c r="I80" s="210"/>
      <c r="J80" s="279" t="s">
        <v>396</v>
      </c>
      <c r="K80" s="307" t="s">
        <v>397</v>
      </c>
      <c r="L80" s="66"/>
      <c r="M80" s="66"/>
      <c r="N80" s="66"/>
      <c r="O80" s="66"/>
      <c r="P80" s="66" t="str">
        <f t="shared" si="2"/>
        <v>NICOLAS JAY-R TADEO</v>
      </c>
      <c r="Q80" s="66" t="str">
        <f>IFERROR(VLOOKUP(P80,[1]Disposition!$AB$9:$AC$495,2,0),"NO RECORD YET")</f>
        <v>#143 Asin West., Malasigue, Pangasinan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18" customHeight="1">
      <c r="A81" s="188">
        <v>72</v>
      </c>
      <c r="B81" s="193" t="s">
        <v>398</v>
      </c>
      <c r="C81" s="193" t="s">
        <v>19</v>
      </c>
      <c r="D81" s="194" t="s">
        <v>253</v>
      </c>
      <c r="E81" s="191" t="s">
        <v>399</v>
      </c>
      <c r="F81" s="191" t="s">
        <v>400</v>
      </c>
      <c r="G81" s="191" t="s">
        <v>401</v>
      </c>
      <c r="H81" s="192"/>
      <c r="I81" s="210"/>
      <c r="J81" s="279">
        <v>4</v>
      </c>
      <c r="K81" s="307" t="s">
        <v>402</v>
      </c>
      <c r="L81" s="66"/>
      <c r="M81" s="66"/>
      <c r="N81" s="66"/>
      <c r="O81" s="66"/>
      <c r="P81" s="66" t="str">
        <f t="shared" si="2"/>
        <v>SY CHRISTIAN ONG</v>
      </c>
      <c r="Q81" s="66" t="str">
        <f>IFERROR(VLOOKUP(P81,[1]Disposition!$AB$9:$AC$495,2,0),"NO RECORD YET")</f>
        <v>B3 L4 Ephesians St., Sta. Monica Heights, Suqui, Calapan City, Oriental Mindoro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18" customHeight="1">
      <c r="A82" s="188">
        <v>73</v>
      </c>
      <c r="B82" s="193" t="s">
        <v>398</v>
      </c>
      <c r="C82" s="193" t="s">
        <v>19</v>
      </c>
      <c r="D82" s="190" t="s">
        <v>28</v>
      </c>
      <c r="E82" s="195" t="s">
        <v>403</v>
      </c>
      <c r="F82" s="195" t="s">
        <v>404</v>
      </c>
      <c r="G82" s="195" t="s">
        <v>405</v>
      </c>
      <c r="H82" s="194"/>
      <c r="I82" s="212"/>
      <c r="J82" s="185" t="s">
        <v>406</v>
      </c>
      <c r="K82" s="307" t="s">
        <v>407</v>
      </c>
      <c r="L82" s="66"/>
      <c r="M82" s="66"/>
      <c r="N82" s="66"/>
      <c r="O82" s="66"/>
      <c r="P82" s="66" t="str">
        <f t="shared" si="2"/>
        <v>OBOG JOHN  MARLO MAGRAMO</v>
      </c>
      <c r="Q82" s="66" t="str">
        <f>IFERROR(VLOOKUP(P82,[1]Disposition!$AB$9:$AC$495,2,0),"NO RECORD YET")</f>
        <v>NO RECORD YET</v>
      </c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18" customHeight="1">
      <c r="A83" s="188">
        <v>74</v>
      </c>
      <c r="B83" s="193" t="s">
        <v>398</v>
      </c>
      <c r="C83" s="193" t="s">
        <v>19</v>
      </c>
      <c r="D83" s="194" t="s">
        <v>40</v>
      </c>
      <c r="E83" s="204" t="s">
        <v>408</v>
      </c>
      <c r="F83" s="204" t="s">
        <v>409</v>
      </c>
      <c r="G83" s="204" t="s">
        <v>410</v>
      </c>
      <c r="H83" s="205"/>
      <c r="I83" s="210"/>
      <c r="J83" s="285"/>
      <c r="K83" s="282"/>
      <c r="L83" s="66"/>
      <c r="M83" s="66"/>
      <c r="N83" s="66"/>
      <c r="O83" s="66"/>
      <c r="P83" s="66" t="str">
        <f t="shared" si="2"/>
        <v>BUENSUCESO NEIL PAUL BAUTISTA</v>
      </c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18" customHeight="1">
      <c r="A84" s="188">
        <v>75</v>
      </c>
      <c r="B84" s="193" t="s">
        <v>411</v>
      </c>
      <c r="C84" s="189" t="s">
        <v>19</v>
      </c>
      <c r="D84" s="194" t="s">
        <v>253</v>
      </c>
      <c r="E84" s="191" t="s">
        <v>412</v>
      </c>
      <c r="F84" s="191" t="s">
        <v>413</v>
      </c>
      <c r="G84" s="191" t="s">
        <v>414</v>
      </c>
      <c r="H84" s="192"/>
      <c r="I84" s="210"/>
      <c r="J84" s="279" t="s">
        <v>415</v>
      </c>
      <c r="K84" s="307" t="s">
        <v>416</v>
      </c>
      <c r="L84" s="66"/>
      <c r="M84" s="66"/>
      <c r="N84" s="66"/>
      <c r="O84" s="66"/>
      <c r="P84" s="66" t="str">
        <f t="shared" si="2"/>
        <v>DULA JOEL MANALANSAN</v>
      </c>
      <c r="Q84" s="66" t="str">
        <f>IFERROR(VLOOKUP(P84,[1]Disposition!$AB$9:$AC$495,2,0),"NO RECORD YET")</f>
        <v>407 Purok 7, New San Juan, Dinalupihan, Bataan</v>
      </c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18" customHeight="1">
      <c r="A85" s="188">
        <v>76</v>
      </c>
      <c r="B85" s="193" t="s">
        <v>411</v>
      </c>
      <c r="C85" s="193" t="s">
        <v>39</v>
      </c>
      <c r="D85" s="190" t="s">
        <v>96</v>
      </c>
      <c r="E85" s="204" t="s">
        <v>417</v>
      </c>
      <c r="F85" s="204" t="s">
        <v>418</v>
      </c>
      <c r="G85" s="204" t="s">
        <v>419</v>
      </c>
      <c r="H85" s="205"/>
      <c r="I85" s="210"/>
      <c r="J85" s="279" t="s">
        <v>420</v>
      </c>
      <c r="K85" s="286"/>
      <c r="L85" s="66"/>
      <c r="M85" s="66"/>
      <c r="N85" s="66"/>
      <c r="O85" s="66"/>
      <c r="P85" s="66" t="str">
        <f t="shared" si="2"/>
        <v>DIMASANGKAY SORAIYA MUSAID</v>
      </c>
      <c r="Q85" s="66" t="str">
        <f>IFERROR(VLOOKUP(P85,[1]Disposition!$AB$9:$AC$495,2,0),"NO RECORD YET")</f>
        <v>NO RECORD YET</v>
      </c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18" customHeight="1">
      <c r="A86" s="188">
        <v>77</v>
      </c>
      <c r="B86" s="193" t="s">
        <v>411</v>
      </c>
      <c r="C86" s="193" t="s">
        <v>39</v>
      </c>
      <c r="D86" s="190" t="s">
        <v>40</v>
      </c>
      <c r="E86" s="191" t="s">
        <v>421</v>
      </c>
      <c r="F86" s="191" t="s">
        <v>422</v>
      </c>
      <c r="G86" s="191" t="s">
        <v>423</v>
      </c>
      <c r="H86" s="192"/>
      <c r="I86" s="210"/>
      <c r="J86" s="279" t="s">
        <v>424</v>
      </c>
      <c r="K86" s="307" t="s">
        <v>425</v>
      </c>
      <c r="L86" s="66"/>
      <c r="M86" s="66"/>
      <c r="N86" s="66"/>
      <c r="O86" s="66"/>
      <c r="P86" s="66" t="str">
        <f t="shared" si="2"/>
        <v>JEPOLLO JOCELYN TAMONDONG</v>
      </c>
      <c r="Q86" s="66" t="str">
        <f>IFERROR(VLOOKUP(P86,[1]Disposition!$AB$9:$AC$495,2,0),"NO RECORD YET")</f>
        <v>#7 4TH Avenue, Bagong Lipunan, Crame, Quezon City</v>
      </c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18" customHeight="1">
      <c r="A87" s="188">
        <v>78</v>
      </c>
      <c r="B87" s="193" t="s">
        <v>411</v>
      </c>
      <c r="C87" s="193" t="s">
        <v>39</v>
      </c>
      <c r="D87" s="190" t="s">
        <v>40</v>
      </c>
      <c r="E87" s="191" t="s">
        <v>426</v>
      </c>
      <c r="F87" s="191" t="s">
        <v>427</v>
      </c>
      <c r="G87" s="191" t="s">
        <v>423</v>
      </c>
      <c r="H87" s="192"/>
      <c r="I87" s="210"/>
      <c r="J87" s="279" t="s">
        <v>428</v>
      </c>
      <c r="K87" s="307" t="s">
        <v>429</v>
      </c>
      <c r="L87" s="66"/>
      <c r="M87" s="66"/>
      <c r="N87" s="66"/>
      <c r="O87" s="66"/>
      <c r="P87" s="66" t="str">
        <f t="shared" si="2"/>
        <v>TODA MA CRISTINA TAMONDONG</v>
      </c>
      <c r="Q87" s="66" t="str">
        <f>IFERROR(VLOOKUP(P87,[1]Disposition!$AB$9:$AC$495,2,0),"NO RECORD YET")</f>
        <v>19 A J Ocampo St., Project 4, Quezon City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18" customHeight="1">
      <c r="A88" s="188">
        <v>79</v>
      </c>
      <c r="B88" s="193" t="s">
        <v>430</v>
      </c>
      <c r="C88" s="193" t="s">
        <v>19</v>
      </c>
      <c r="D88" s="190" t="s">
        <v>96</v>
      </c>
      <c r="E88" s="204" t="s">
        <v>431</v>
      </c>
      <c r="F88" s="204" t="s">
        <v>432</v>
      </c>
      <c r="G88" s="204" t="s">
        <v>433</v>
      </c>
      <c r="H88" s="205" t="s">
        <v>268</v>
      </c>
      <c r="I88" s="210"/>
      <c r="J88" s="279" t="s">
        <v>434</v>
      </c>
      <c r="K88" s="307" t="s">
        <v>435</v>
      </c>
      <c r="L88" s="66"/>
      <c r="M88" s="66"/>
      <c r="N88" s="66"/>
      <c r="O88" s="66"/>
      <c r="P88" s="66" t="str">
        <f t="shared" si="2"/>
        <v>BALLENAS ROBERTO ALPAS</v>
      </c>
      <c r="Q88" s="66" t="str">
        <f>IFERROR(VLOOKUP(P88,[1]Disposition!$AB$9:$AC$495,2,0),"NO RECORD YET")</f>
        <v>Purok Masipag, Buayan, M'lang, Cotabato, North Cotabato</v>
      </c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18" customHeight="1">
      <c r="A89" s="188">
        <v>80</v>
      </c>
      <c r="B89" s="193" t="s">
        <v>430</v>
      </c>
      <c r="C89" s="193" t="s">
        <v>39</v>
      </c>
      <c r="D89" s="194" t="s">
        <v>28</v>
      </c>
      <c r="E89" s="204" t="s">
        <v>436</v>
      </c>
      <c r="F89" s="204" t="s">
        <v>437</v>
      </c>
      <c r="G89" s="204" t="s">
        <v>438</v>
      </c>
      <c r="H89" s="205"/>
      <c r="I89" s="212"/>
      <c r="J89" s="279" t="s">
        <v>439</v>
      </c>
      <c r="K89" s="307" t="s">
        <v>440</v>
      </c>
      <c r="L89" s="66"/>
      <c r="M89" s="66"/>
      <c r="N89" s="66"/>
      <c r="O89" s="66"/>
      <c r="P89" s="66" t="str">
        <f t="shared" si="2"/>
        <v>GUAVINO CHE-YENNE LAZARITO</v>
      </c>
      <c r="Q89" s="66" t="str">
        <f>IFERROR(VLOOKUP(P89,[1]Disposition!$AB$9:$AC$495,2,0),"NO RECORD YET")</f>
        <v>Apartment 23, EMQ Camp Crame, Bagong Lipunan ng Crame, Qauezon City</v>
      </c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18" customHeight="1">
      <c r="A90" s="188">
        <v>81</v>
      </c>
      <c r="B90" s="193" t="s">
        <v>430</v>
      </c>
      <c r="C90" s="193" t="s">
        <v>19</v>
      </c>
      <c r="D90" s="194" t="s">
        <v>28</v>
      </c>
      <c r="E90" s="204" t="s">
        <v>441</v>
      </c>
      <c r="F90" s="204" t="s">
        <v>442</v>
      </c>
      <c r="G90" s="204" t="s">
        <v>443</v>
      </c>
      <c r="H90" s="205"/>
      <c r="I90" s="212"/>
      <c r="J90" s="279" t="s">
        <v>444</v>
      </c>
      <c r="K90" s="307" t="s">
        <v>445</v>
      </c>
      <c r="L90" s="66"/>
      <c r="M90" s="66"/>
      <c r="N90" s="66"/>
      <c r="O90" s="66"/>
      <c r="P90" s="66" t="str">
        <f t="shared" si="2"/>
        <v>INALVEZ NEIL ADRIAN NUCOM</v>
      </c>
      <c r="Q90" s="66" t="str">
        <f>IFERROR(VLOOKUP(P90,[1]Disposition!$AB$9:$AC$495,2,0),"NO RECORD YET")</f>
        <v>676 Purok KB3, Maugat, San Antonio, Nueva Ecija,</v>
      </c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18" customHeight="1">
      <c r="A91" s="188">
        <v>82</v>
      </c>
      <c r="B91" s="193" t="s">
        <v>446</v>
      </c>
      <c r="C91" s="193" t="s">
        <v>39</v>
      </c>
      <c r="D91" s="190" t="s">
        <v>96</v>
      </c>
      <c r="E91" s="191" t="s">
        <v>447</v>
      </c>
      <c r="F91" s="191" t="s">
        <v>448</v>
      </c>
      <c r="G91" s="191" t="s">
        <v>449</v>
      </c>
      <c r="H91" s="192"/>
      <c r="I91" s="210"/>
      <c r="J91" s="279" t="s">
        <v>450</v>
      </c>
      <c r="K91" s="307" t="s">
        <v>451</v>
      </c>
      <c r="L91" s="66"/>
      <c r="M91" s="66"/>
      <c r="N91" s="66"/>
      <c r="O91" s="66"/>
      <c r="P91" s="66" t="str">
        <f t="shared" si="2"/>
        <v>BUHAIN DOROTHY VILLALOBOS</v>
      </c>
      <c r="Q91" s="66" t="str">
        <f>IFERROR(VLOOKUP(P91,[1]Disposition!$AB$9:$AC$495,2,0),"NO RECORD YET")</f>
        <v>301 Masagana Subd., Gumamela St., San Francisco, Bulacan</v>
      </c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18" customHeight="1">
      <c r="A92" s="188">
        <v>83</v>
      </c>
      <c r="B92" s="193" t="s">
        <v>446</v>
      </c>
      <c r="C92" s="193" t="s">
        <v>19</v>
      </c>
      <c r="D92" s="190" t="s">
        <v>366</v>
      </c>
      <c r="E92" s="191" t="s">
        <v>452</v>
      </c>
      <c r="F92" s="191" t="s">
        <v>453</v>
      </c>
      <c r="G92" s="191" t="s">
        <v>454</v>
      </c>
      <c r="H92" s="192"/>
      <c r="I92" s="210"/>
      <c r="J92" s="279" t="s">
        <v>455</v>
      </c>
      <c r="K92" s="307" t="s">
        <v>456</v>
      </c>
      <c r="L92" s="257"/>
      <c r="M92" s="257"/>
      <c r="N92" s="257"/>
      <c r="O92" s="257"/>
      <c r="P92" s="257" t="str">
        <f t="shared" si="2"/>
        <v>SIBAYAN REYGIE PIAGAN</v>
      </c>
      <c r="Q92" s="257" t="str">
        <f>IFERROR(VLOOKUP(P92,[1]Disposition!$AB$9:$AC$495,2,0),"NO RECORD YET")</f>
        <v>Giron St., BRGY NO. 2, Santa Joaquina, Laoag City, Ilocos Norte</v>
      </c>
      <c r="R92" s="257"/>
      <c r="S92" s="257"/>
      <c r="T92" s="257"/>
      <c r="U92" s="257"/>
      <c r="V92" s="257"/>
      <c r="W92" s="257"/>
      <c r="X92" s="257"/>
      <c r="Y92" s="257"/>
      <c r="Z92" s="257"/>
      <c r="AA92" s="257"/>
    </row>
    <row r="93" spans="1:27" ht="18" customHeight="1">
      <c r="A93" s="188">
        <v>84</v>
      </c>
      <c r="B93" s="193" t="s">
        <v>446</v>
      </c>
      <c r="C93" s="193" t="s">
        <v>19</v>
      </c>
      <c r="D93" s="190" t="s">
        <v>28</v>
      </c>
      <c r="E93" s="195" t="s">
        <v>457</v>
      </c>
      <c r="F93" s="195" t="s">
        <v>458</v>
      </c>
      <c r="G93" s="195" t="s">
        <v>459</v>
      </c>
      <c r="H93" s="194"/>
      <c r="I93" s="212"/>
      <c r="J93" s="281" t="s">
        <v>460</v>
      </c>
      <c r="K93" s="307" t="s">
        <v>461</v>
      </c>
      <c r="L93" s="66"/>
      <c r="M93" s="66"/>
      <c r="N93" s="66"/>
      <c r="O93" s="66"/>
      <c r="P93" s="66" t="str">
        <f t="shared" si="2"/>
        <v>CORDERO EARLBON JIMENEZ</v>
      </c>
      <c r="Q93" s="66" t="str">
        <f>IFERROR(VLOOKUP(P93,[1]Disposition!$AB$9:$AC$495,2,0),"NO RECORD YET")</f>
        <v>NO RECORD YET</v>
      </c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18" customHeight="1">
      <c r="A94" s="188">
        <v>85</v>
      </c>
      <c r="B94" s="193" t="s">
        <v>446</v>
      </c>
      <c r="C94" s="193" t="s">
        <v>19</v>
      </c>
      <c r="D94" s="190" t="s">
        <v>28</v>
      </c>
      <c r="E94" s="195" t="s">
        <v>462</v>
      </c>
      <c r="F94" s="195" t="s">
        <v>463</v>
      </c>
      <c r="G94" s="195" t="s">
        <v>464</v>
      </c>
      <c r="H94" s="194" t="s">
        <v>268</v>
      </c>
      <c r="I94" s="212"/>
      <c r="J94" s="281" t="s">
        <v>465</v>
      </c>
      <c r="K94" s="307" t="s">
        <v>466</v>
      </c>
      <c r="L94" s="66"/>
      <c r="M94" s="66"/>
      <c r="N94" s="66"/>
      <c r="O94" s="66"/>
      <c r="P94" s="66" t="str">
        <f t="shared" si="2"/>
        <v>ORLANDA BERNABE MACADANGDANG</v>
      </c>
      <c r="Q94" s="66" t="str">
        <f>IFERROR(VLOOKUP(P94,[1]Disposition!$AB$9:$AC$495,2,0),"NO RECORD YET")</f>
        <v>NO RECORD YET</v>
      </c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18" customHeight="1">
      <c r="A95" s="188">
        <v>86</v>
      </c>
      <c r="B95" s="189" t="s">
        <v>467</v>
      </c>
      <c r="C95" s="189" t="s">
        <v>19</v>
      </c>
      <c r="D95" s="190" t="s">
        <v>160</v>
      </c>
      <c r="E95" s="191" t="s">
        <v>468</v>
      </c>
      <c r="F95" s="191" t="s">
        <v>469</v>
      </c>
      <c r="G95" s="191" t="s">
        <v>470</v>
      </c>
      <c r="H95" s="192"/>
      <c r="I95" s="210"/>
      <c r="J95" s="279" t="s">
        <v>471</v>
      </c>
      <c r="K95" s="307" t="s">
        <v>472</v>
      </c>
      <c r="L95" s="66"/>
      <c r="M95" s="66"/>
      <c r="N95" s="66"/>
      <c r="O95" s="66"/>
      <c r="P95" s="66" t="str">
        <f t="shared" si="2"/>
        <v>SEVILLA JERALD MANUZON</v>
      </c>
      <c r="Q95" s="66" t="str">
        <f>IFERROR(VLOOKUP(P95,[1]Disposition!$AB$9:$AC$495,2,0),"NO RECORD YET")</f>
        <v>B-38 L-20 Violeta St., Pembo, Makati City</v>
      </c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18" customHeight="1">
      <c r="A96" s="188">
        <v>87</v>
      </c>
      <c r="B96" s="193" t="s">
        <v>473</v>
      </c>
      <c r="C96" s="193" t="s">
        <v>39</v>
      </c>
      <c r="D96" s="190" t="s">
        <v>96</v>
      </c>
      <c r="E96" s="204" t="s">
        <v>474</v>
      </c>
      <c r="F96" s="204" t="s">
        <v>475</v>
      </c>
      <c r="G96" s="204" t="s">
        <v>476</v>
      </c>
      <c r="H96" s="205"/>
      <c r="I96" s="210"/>
      <c r="J96" s="279" t="s">
        <v>477</v>
      </c>
      <c r="K96" s="307" t="s">
        <v>478</v>
      </c>
      <c r="L96" s="66"/>
      <c r="M96" s="66"/>
      <c r="N96" s="66"/>
      <c r="O96" s="66"/>
      <c r="P96" s="66" t="str">
        <f t="shared" si="2"/>
        <v>SUAYA RAFFY JANE ALIDAO</v>
      </c>
      <c r="Q96" s="66" t="str">
        <f>IFERROR(VLOOKUP(P96,[1]Disposition!$AB$9:$AC$495,2,0),"NO RECORD YET")</f>
        <v>#25 C Purok 1, Lower Liwanag, Liwanag-Loakan, Baguio City, Benguet</v>
      </c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18" customHeight="1">
      <c r="A97" s="188">
        <v>88</v>
      </c>
      <c r="B97" s="193" t="s">
        <v>479</v>
      </c>
      <c r="C97" s="193" t="s">
        <v>39</v>
      </c>
      <c r="D97" s="194" t="s">
        <v>96</v>
      </c>
      <c r="E97" s="191" t="s">
        <v>480</v>
      </c>
      <c r="F97" s="191" t="s">
        <v>481</v>
      </c>
      <c r="G97" s="191" t="s">
        <v>482</v>
      </c>
      <c r="H97" s="192"/>
      <c r="I97" s="210"/>
      <c r="J97" s="279" t="s">
        <v>483</v>
      </c>
      <c r="K97" s="307" t="s">
        <v>484</v>
      </c>
      <c r="L97" s="66"/>
      <c r="M97" s="66"/>
      <c r="N97" s="66"/>
      <c r="O97" s="66"/>
      <c r="P97" s="66" t="str">
        <f t="shared" si="2"/>
        <v>REVALE EDELLENE BABAGAY</v>
      </c>
      <c r="Q97" s="66" t="str">
        <f>IFERROR(VLOOKUP(P97,[1]Disposition!$AB$9:$AC$495,2,0),"NO RECORD YET")</f>
        <v>P3 Brgy. Ems Barrio, Legaspi City, Albay</v>
      </c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18" customHeight="1">
      <c r="A98" s="188">
        <v>89</v>
      </c>
      <c r="B98" s="193" t="s">
        <v>479</v>
      </c>
      <c r="C98" s="193" t="s">
        <v>19</v>
      </c>
      <c r="D98" s="194" t="s">
        <v>96</v>
      </c>
      <c r="E98" s="191" t="s">
        <v>485</v>
      </c>
      <c r="F98" s="191" t="s">
        <v>486</v>
      </c>
      <c r="G98" s="191" t="s">
        <v>487</v>
      </c>
      <c r="H98" s="192"/>
      <c r="I98" s="210"/>
      <c r="J98" s="279" t="s">
        <v>488</v>
      </c>
      <c r="K98" s="307" t="s">
        <v>489</v>
      </c>
      <c r="L98" s="66"/>
      <c r="M98" s="66"/>
      <c r="N98" s="66"/>
      <c r="O98" s="66"/>
      <c r="P98" s="66" t="str">
        <f t="shared" si="2"/>
        <v>SOBREVILLA RAYMUND CHRISTOPHER DECIPULO</v>
      </c>
      <c r="Q98" s="66" t="str">
        <f>IFERROR(VLOOKUP(P98,[1]Disposition!$AB$9:$AC$495,2,0),"NO RECORD YET")</f>
        <v>15 F Int. Del Pilar ST., Purok Bougambilla, Brgy. Bagja Mother, Cotabato City</v>
      </c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18" customHeight="1">
      <c r="A99" s="188">
        <v>90</v>
      </c>
      <c r="B99" s="193" t="s">
        <v>479</v>
      </c>
      <c r="C99" s="193" t="s">
        <v>39</v>
      </c>
      <c r="D99" s="190" t="s">
        <v>96</v>
      </c>
      <c r="E99" s="204" t="s">
        <v>490</v>
      </c>
      <c r="F99" s="204" t="s">
        <v>491</v>
      </c>
      <c r="G99" s="204" t="s">
        <v>492</v>
      </c>
      <c r="H99" s="194"/>
      <c r="I99" s="210"/>
      <c r="J99" s="279" t="s">
        <v>493</v>
      </c>
      <c r="K99" s="307" t="s">
        <v>494</v>
      </c>
      <c r="L99" s="66"/>
      <c r="M99" s="66"/>
      <c r="N99" s="66"/>
      <c r="O99" s="66"/>
      <c r="P99" s="66" t="str">
        <f t="shared" si="2"/>
        <v>ESTRADA MICAELLA ALLYSSA MONTES</v>
      </c>
      <c r="Q99" s="66" t="str">
        <f>IFERROR(VLOOKUP(P99,[1]Disposition!$AB$9:$AC$495,2,0),"NO RECORD YET")</f>
        <v>15 Jonathan St., Brgy. 55, Tondo, Manila</v>
      </c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18" customHeight="1">
      <c r="A100" s="188">
        <v>91</v>
      </c>
      <c r="B100" s="193" t="s">
        <v>479</v>
      </c>
      <c r="C100" s="193" t="s">
        <v>19</v>
      </c>
      <c r="D100" s="190" t="s">
        <v>28</v>
      </c>
      <c r="E100" s="195" t="s">
        <v>495</v>
      </c>
      <c r="F100" s="195" t="s">
        <v>496</v>
      </c>
      <c r="G100" s="195" t="s">
        <v>497</v>
      </c>
      <c r="H100" s="194"/>
      <c r="I100" s="212"/>
      <c r="J100" s="281" t="s">
        <v>498</v>
      </c>
      <c r="K100" s="307" t="s">
        <v>499</v>
      </c>
      <c r="L100" s="66"/>
      <c r="M100" s="66"/>
      <c r="N100" s="66"/>
      <c r="O100" s="66"/>
      <c r="P100" s="66" t="str">
        <f t="shared" si="2"/>
        <v>CODIMO SOLOMON MADLAENG</v>
      </c>
      <c r="Q100" s="66" t="str">
        <f>IFERROR(VLOOKUP(P100,[1]Disposition!$AB$9:$AC$495,2,0),"NO RECORD YET")</f>
        <v>NO RECORD YET</v>
      </c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18" customHeight="1">
      <c r="A101" s="188">
        <v>92</v>
      </c>
      <c r="B101" s="193" t="s">
        <v>479</v>
      </c>
      <c r="C101" s="193" t="s">
        <v>19</v>
      </c>
      <c r="D101" s="190" t="s">
        <v>28</v>
      </c>
      <c r="E101" s="195" t="s">
        <v>500</v>
      </c>
      <c r="F101" s="195" t="s">
        <v>501</v>
      </c>
      <c r="G101" s="195" t="s">
        <v>502</v>
      </c>
      <c r="H101" s="194"/>
      <c r="I101" s="212"/>
      <c r="J101" s="281" t="s">
        <v>503</v>
      </c>
      <c r="K101" s="307" t="s">
        <v>504</v>
      </c>
      <c r="L101" s="66"/>
      <c r="M101" s="66"/>
      <c r="N101" s="66"/>
      <c r="O101" s="66"/>
      <c r="P101" s="66" t="str">
        <f t="shared" si="2"/>
        <v>MANGOBA ROMMEL JAZMIN</v>
      </c>
      <c r="Q101" s="66" t="str">
        <f>IFERROR(VLOOKUP(P101,[1]Disposition!$AB$9:$AC$495,2,0),"NO RECORD YET")</f>
        <v>NO RECORD YET</v>
      </c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18" customHeight="1">
      <c r="A102" s="188">
        <v>93</v>
      </c>
      <c r="B102" s="193" t="s">
        <v>505</v>
      </c>
      <c r="C102" s="193" t="s">
        <v>39</v>
      </c>
      <c r="D102" s="194" t="s">
        <v>28</v>
      </c>
      <c r="E102" s="204" t="s">
        <v>506</v>
      </c>
      <c r="F102" s="204" t="s">
        <v>507</v>
      </c>
      <c r="G102" s="204" t="s">
        <v>508</v>
      </c>
      <c r="H102" s="205"/>
      <c r="I102" s="212"/>
      <c r="J102" s="279" t="s">
        <v>509</v>
      </c>
      <c r="K102" s="307" t="s">
        <v>510</v>
      </c>
      <c r="L102" s="66"/>
      <c r="M102" s="66"/>
      <c r="N102" s="66"/>
      <c r="O102" s="66"/>
      <c r="P102" s="66" t="str">
        <f t="shared" si="2"/>
        <v>MARASIGAN MIA ANGELA CORNEJO</v>
      </c>
      <c r="Q102" s="66" t="str">
        <f>IFERROR(VLOOKUP(P102,[1]Disposition!$AB$9:$AC$495,2,0),"NO RECORD YET")</f>
        <v>121G 14TH Ave., Socorro, Quezon City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18" customHeight="1">
      <c r="A103" s="188">
        <v>94</v>
      </c>
      <c r="B103" s="193" t="s">
        <v>479</v>
      </c>
      <c r="C103" s="193" t="s">
        <v>39</v>
      </c>
      <c r="D103" s="194" t="s">
        <v>28</v>
      </c>
      <c r="E103" s="204" t="s">
        <v>511</v>
      </c>
      <c r="F103" s="204" t="s">
        <v>512</v>
      </c>
      <c r="G103" s="204" t="s">
        <v>513</v>
      </c>
      <c r="H103" s="205"/>
      <c r="I103" s="212"/>
      <c r="J103" s="279" t="s">
        <v>514</v>
      </c>
      <c r="K103" s="307" t="s">
        <v>515</v>
      </c>
      <c r="L103" s="66"/>
      <c r="M103" s="66"/>
      <c r="N103" s="66"/>
      <c r="O103" s="66"/>
      <c r="P103" s="66" t="str">
        <f t="shared" si="2"/>
        <v>RADA KRIZTELA FEY LIM</v>
      </c>
      <c r="Q103" s="66" t="str">
        <f>IFERROR(VLOOKUP(P103,[1]Disposition!$AB$9:$AC$495,2,0),"NO RECORD YET")</f>
        <v>Pili, San Fernando, Romblon</v>
      </c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18" customHeight="1">
      <c r="A104" s="188">
        <v>95</v>
      </c>
      <c r="B104" s="193" t="s">
        <v>479</v>
      </c>
      <c r="C104" s="193" t="s">
        <v>19</v>
      </c>
      <c r="D104" s="190" t="s">
        <v>28</v>
      </c>
      <c r="E104" s="195" t="s">
        <v>516</v>
      </c>
      <c r="F104" s="195" t="s">
        <v>517</v>
      </c>
      <c r="G104" s="195" t="s">
        <v>518</v>
      </c>
      <c r="H104" s="194"/>
      <c r="I104" s="212"/>
      <c r="J104" s="185" t="s">
        <v>519</v>
      </c>
      <c r="K104" s="307" t="s">
        <v>520</v>
      </c>
      <c r="L104" s="66"/>
      <c r="M104" s="66"/>
      <c r="N104" s="66"/>
      <c r="O104" s="66"/>
      <c r="P104" s="66" t="str">
        <f t="shared" si="2"/>
        <v>VILLABRIGA TIMOTHY HORNOZ</v>
      </c>
      <c r="Q104" s="66" t="str">
        <f>IFERROR(VLOOKUP(P104,[1]Disposition!$AB$9:$AC$495,2,0),"NO RECORD YET")</f>
        <v>NO RECORD YET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18" customHeight="1">
      <c r="A105" s="188">
        <v>96</v>
      </c>
      <c r="B105" s="193" t="s">
        <v>479</v>
      </c>
      <c r="C105" s="193" t="s">
        <v>39</v>
      </c>
      <c r="D105" s="190" t="s">
        <v>40</v>
      </c>
      <c r="E105" s="191" t="s">
        <v>521</v>
      </c>
      <c r="F105" s="191" t="s">
        <v>522</v>
      </c>
      <c r="G105" s="191" t="s">
        <v>523</v>
      </c>
      <c r="H105" s="192"/>
      <c r="I105" s="210"/>
      <c r="J105" s="279" t="s">
        <v>524</v>
      </c>
      <c r="K105" s="307" t="s">
        <v>525</v>
      </c>
      <c r="L105" s="66"/>
      <c r="M105" s="66"/>
      <c r="N105" s="66"/>
      <c r="O105" s="66"/>
      <c r="P105" s="66" t="str">
        <f t="shared" si="2"/>
        <v>MAISO PRISCILLA DAMO</v>
      </c>
      <c r="Q105" s="66" t="str">
        <f>IFERROR(VLOOKUP(P105,[1]Disposition!$AB$9:$AC$495,2,0),"NO RECORD YET")</f>
        <v>116-15th  Avenue, San Roque, Murphy Cubao, Quezon City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18" customHeight="1">
      <c r="A106" s="188">
        <v>97</v>
      </c>
      <c r="B106" s="193" t="s">
        <v>479</v>
      </c>
      <c r="C106" s="193" t="s">
        <v>19</v>
      </c>
      <c r="D106" s="190" t="s">
        <v>40</v>
      </c>
      <c r="E106" s="191" t="s">
        <v>526</v>
      </c>
      <c r="F106" s="191" t="s">
        <v>527</v>
      </c>
      <c r="G106" s="191" t="s">
        <v>528</v>
      </c>
      <c r="H106" s="192"/>
      <c r="I106" s="210"/>
      <c r="J106" s="279" t="s">
        <v>529</v>
      </c>
      <c r="K106" s="307" t="s">
        <v>530</v>
      </c>
      <c r="L106" s="66"/>
      <c r="M106" s="66"/>
      <c r="N106" s="66"/>
      <c r="O106" s="66"/>
      <c r="P106" s="66" t="str">
        <f t="shared" si="2"/>
        <v>MENDOZA GENESIS TEODORO</v>
      </c>
      <c r="Q106" s="66" t="str">
        <f>IFERROR(VLOOKUP(P106,[1]Disposition!$AB$9:$AC$495,2,0),"NO RECORD YET")</f>
        <v>13 A-Col. Salgado St, Kamias, Quezon City</v>
      </c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18" customHeight="1">
      <c r="A107" s="188">
        <v>98</v>
      </c>
      <c r="B107" s="193" t="s">
        <v>531</v>
      </c>
      <c r="C107" s="193" t="s">
        <v>19</v>
      </c>
      <c r="D107" s="190" t="s">
        <v>96</v>
      </c>
      <c r="E107" s="204" t="s">
        <v>532</v>
      </c>
      <c r="F107" s="204" t="s">
        <v>533</v>
      </c>
      <c r="G107" s="204" t="s">
        <v>534</v>
      </c>
      <c r="H107" s="194"/>
      <c r="I107" s="210"/>
      <c r="J107" s="279" t="s">
        <v>535</v>
      </c>
      <c r="K107" s="307" t="s">
        <v>536</v>
      </c>
      <c r="L107" s="66"/>
      <c r="M107" s="66"/>
      <c r="N107" s="66"/>
      <c r="O107" s="66"/>
      <c r="P107" s="66" t="str">
        <f t="shared" si="2"/>
        <v>GOZE JONATHAN SISON</v>
      </c>
      <c r="Q107" s="66" t="str">
        <f>IFERROR(VLOOKUP(P107,[1]Disposition!$AB$9:$AC$495,2,0),"NO RECORD YET")</f>
        <v>207 B Purok 1,  Luzon Avenue, Culiat, Quezon City</v>
      </c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18" customHeight="1">
      <c r="A108" s="188">
        <v>99</v>
      </c>
      <c r="B108" s="199" t="s">
        <v>537</v>
      </c>
      <c r="C108" s="199" t="s">
        <v>19</v>
      </c>
      <c r="D108" s="287" t="s">
        <v>96</v>
      </c>
      <c r="E108" s="201" t="s">
        <v>538</v>
      </c>
      <c r="F108" s="201" t="s">
        <v>539</v>
      </c>
      <c r="G108" s="201" t="s">
        <v>540</v>
      </c>
      <c r="H108" s="202"/>
      <c r="I108" s="228"/>
      <c r="J108" s="288" t="s">
        <v>541</v>
      </c>
      <c r="K108" s="309" t="s">
        <v>542</v>
      </c>
      <c r="L108" s="256"/>
      <c r="M108" s="256"/>
      <c r="N108" s="256"/>
      <c r="O108" s="256"/>
      <c r="P108" s="256" t="str">
        <f t="shared" si="2"/>
        <v>MALAKI ROFEL GEN TIMBAL</v>
      </c>
      <c r="Q108" s="256" t="str">
        <f>IFERROR(VLOOKUP(P108,[1]Disposition!$AB$9:$AC$495,2,0),"NO RECORD YET")</f>
        <v>Calle Nueva, Brgy. Labrador, Hinunangan, Southern Leyte</v>
      </c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</row>
    <row r="109" spans="1:27" ht="18" customHeight="1">
      <c r="A109" s="188">
        <v>100</v>
      </c>
      <c r="B109" s="193" t="s">
        <v>531</v>
      </c>
      <c r="C109" s="193" t="s">
        <v>39</v>
      </c>
      <c r="D109" s="190" t="s">
        <v>57</v>
      </c>
      <c r="E109" s="191" t="s">
        <v>543</v>
      </c>
      <c r="F109" s="191" t="s">
        <v>544</v>
      </c>
      <c r="G109" s="191" t="s">
        <v>545</v>
      </c>
      <c r="H109" s="192"/>
      <c r="I109" s="212"/>
      <c r="J109" s="279" t="s">
        <v>546</v>
      </c>
      <c r="K109" s="307" t="s">
        <v>547</v>
      </c>
      <c r="L109" s="66"/>
      <c r="M109" s="66"/>
      <c r="N109" s="66"/>
      <c r="O109" s="66"/>
      <c r="P109" s="66" t="str">
        <f t="shared" si="2"/>
        <v>INFANTE BEVERLY PASAMBA</v>
      </c>
      <c r="Q109" s="66" t="str">
        <f>IFERROR(VLOOKUP(P109,[1]Disposition!$AB$9:$AC$495,2,0),"NO RECORD YET")</f>
        <v>333 Verdar St., Sampaloc, Manila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18" customHeight="1">
      <c r="A110" s="188">
        <v>101</v>
      </c>
      <c r="B110" s="193" t="s">
        <v>531</v>
      </c>
      <c r="C110" s="193" t="s">
        <v>19</v>
      </c>
      <c r="D110" s="194" t="s">
        <v>24</v>
      </c>
      <c r="E110" s="204" t="s">
        <v>365</v>
      </c>
      <c r="F110" s="204" t="s">
        <v>548</v>
      </c>
      <c r="G110" s="204" t="s">
        <v>549</v>
      </c>
      <c r="H110" s="205"/>
      <c r="I110" s="212"/>
      <c r="J110" s="279" t="s">
        <v>550</v>
      </c>
      <c r="K110" s="307" t="s">
        <v>551</v>
      </c>
      <c r="L110" s="66"/>
      <c r="M110" s="66"/>
      <c r="N110" s="66"/>
      <c r="O110" s="66"/>
      <c r="P110" s="66" t="str">
        <f t="shared" si="2"/>
        <v>DIAZ STEPHEN PAUL BAUZON</v>
      </c>
      <c r="Q110" s="66" t="str">
        <f>IFERROR(VLOOKUP(P110,[1]Disposition!$AB$9:$AC$495,2,0),"NO RECORD YET")</f>
        <v>Conrazon, Bansud, Oriental Mindoro</v>
      </c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8" customHeight="1">
      <c r="A111" s="188">
        <v>102</v>
      </c>
      <c r="B111" s="193" t="s">
        <v>531</v>
      </c>
      <c r="C111" s="193" t="s">
        <v>19</v>
      </c>
      <c r="D111" s="194" t="s">
        <v>24</v>
      </c>
      <c r="E111" s="204" t="s">
        <v>552</v>
      </c>
      <c r="F111" s="204" t="s">
        <v>553</v>
      </c>
      <c r="G111" s="204" t="s">
        <v>554</v>
      </c>
      <c r="H111" s="205"/>
      <c r="I111" s="212"/>
      <c r="J111" s="279" t="s">
        <v>555</v>
      </c>
      <c r="K111" s="307" t="s">
        <v>556</v>
      </c>
      <c r="L111" s="66"/>
      <c r="M111" s="66"/>
      <c r="N111" s="66"/>
      <c r="O111" s="66"/>
      <c r="P111" s="66" t="str">
        <f t="shared" si="2"/>
        <v>SARMIENTO ERIC BUDY</v>
      </c>
      <c r="Q111" s="66" t="str">
        <f>IFERROR(VLOOKUP(P111,[1]Disposition!$AB$9:$AC$495,2,0),"NO RECORD YET")</f>
        <v>067, Constantino (Pob), Virac, Catanduanes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18" customHeight="1">
      <c r="A112" s="188">
        <v>103</v>
      </c>
      <c r="B112" s="193" t="s">
        <v>531</v>
      </c>
      <c r="C112" s="193" t="s">
        <v>19</v>
      </c>
      <c r="D112" s="190" t="s">
        <v>28</v>
      </c>
      <c r="E112" s="195" t="s">
        <v>557</v>
      </c>
      <c r="F112" s="195" t="s">
        <v>558</v>
      </c>
      <c r="G112" s="195" t="s">
        <v>559</v>
      </c>
      <c r="H112" s="194"/>
      <c r="I112" s="212"/>
      <c r="J112" s="185" t="s">
        <v>560</v>
      </c>
      <c r="K112" s="307" t="s">
        <v>561</v>
      </c>
      <c r="L112" s="66"/>
      <c r="M112" s="66"/>
      <c r="N112" s="66"/>
      <c r="O112" s="66"/>
      <c r="P112" s="66" t="str">
        <f t="shared" si="2"/>
        <v>ARGAWANON JUNREY BOOC</v>
      </c>
      <c r="Q112" s="66" t="str">
        <f>IFERROR(VLOOKUP(P112,[1]Disposition!$AB$9:$AC$495,2,0),"NO RECORD YET")</f>
        <v>NO RECORD YET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18" customHeight="1">
      <c r="A113" s="188">
        <v>104</v>
      </c>
      <c r="B113" s="193" t="s">
        <v>531</v>
      </c>
      <c r="C113" s="193" t="s">
        <v>19</v>
      </c>
      <c r="D113" s="190" t="s">
        <v>28</v>
      </c>
      <c r="E113" s="195" t="s">
        <v>562</v>
      </c>
      <c r="F113" s="195" t="s">
        <v>22</v>
      </c>
      <c r="G113" s="195" t="s">
        <v>563</v>
      </c>
      <c r="H113" s="194" t="s">
        <v>268</v>
      </c>
      <c r="I113" s="212"/>
      <c r="J113" s="281" t="s">
        <v>564</v>
      </c>
      <c r="K113" s="307" t="s">
        <v>565</v>
      </c>
      <c r="L113" s="66"/>
      <c r="M113" s="66"/>
      <c r="N113" s="66"/>
      <c r="O113" s="66"/>
      <c r="P113" s="66" t="str">
        <f t="shared" si="2"/>
        <v>MACAWILE ROMY INCISO</v>
      </c>
      <c r="Q113" s="66" t="str">
        <f>IFERROR(VLOOKUP(P113,[1]Disposition!$AB$9:$AC$495,2,0),"NO RECORD YET")</f>
        <v>NO RECORD YET</v>
      </c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18" customHeight="1">
      <c r="A114" s="188">
        <v>105</v>
      </c>
      <c r="B114" s="193" t="s">
        <v>531</v>
      </c>
      <c r="C114" s="189" t="s">
        <v>19</v>
      </c>
      <c r="D114" s="190" t="s">
        <v>28</v>
      </c>
      <c r="E114" s="195" t="s">
        <v>566</v>
      </c>
      <c r="F114" s="195" t="s">
        <v>567</v>
      </c>
      <c r="G114" s="195" t="s">
        <v>568</v>
      </c>
      <c r="H114" s="194"/>
      <c r="I114" s="212"/>
      <c r="J114" s="185" t="s">
        <v>569</v>
      </c>
      <c r="K114" s="307" t="s">
        <v>570</v>
      </c>
      <c r="L114" s="66"/>
      <c r="M114" s="66"/>
      <c r="N114" s="66"/>
      <c r="O114" s="66"/>
      <c r="P114" s="66" t="str">
        <f t="shared" si="2"/>
        <v>PAISTE MARL JAYSON JOVES</v>
      </c>
      <c r="Q114" s="66" t="str">
        <f>IFERROR(VLOOKUP(P114,[1]Disposition!$AB$9:$AC$495,2,0),"NO RECORD YET")</f>
        <v>NO RECORD YET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18" customHeight="1">
      <c r="A115" s="188">
        <v>106</v>
      </c>
      <c r="B115" s="193" t="s">
        <v>531</v>
      </c>
      <c r="C115" s="193" t="s">
        <v>19</v>
      </c>
      <c r="D115" s="190" t="s">
        <v>28</v>
      </c>
      <c r="E115" s="195" t="s">
        <v>571</v>
      </c>
      <c r="F115" s="195" t="s">
        <v>572</v>
      </c>
      <c r="G115" s="195" t="s">
        <v>573</v>
      </c>
      <c r="H115" s="194"/>
      <c r="I115" s="212"/>
      <c r="J115" s="281" t="s">
        <v>574</v>
      </c>
      <c r="K115" s="307" t="s">
        <v>575</v>
      </c>
      <c r="L115" s="66"/>
      <c r="M115" s="66"/>
      <c r="N115" s="66"/>
      <c r="O115" s="66"/>
      <c r="P115" s="66" t="str">
        <f t="shared" si="2"/>
        <v>PARALLAG MAX CASSANDER SINIGUIAN</v>
      </c>
      <c r="Q115" s="66" t="str">
        <f>IFERROR(VLOOKUP(P115,[1]Disposition!$AB$9:$AC$495,2,0),"NO RECORD YET")</f>
        <v>NO RECORD YET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18" customHeight="1">
      <c r="A116" s="188">
        <v>107</v>
      </c>
      <c r="B116" s="189" t="s">
        <v>576</v>
      </c>
      <c r="C116" s="189" t="s">
        <v>19</v>
      </c>
      <c r="D116" s="190" t="s">
        <v>246</v>
      </c>
      <c r="E116" s="204" t="s">
        <v>577</v>
      </c>
      <c r="F116" s="204" t="s">
        <v>578</v>
      </c>
      <c r="G116" s="204" t="s">
        <v>579</v>
      </c>
      <c r="H116" s="205"/>
      <c r="I116" s="210"/>
      <c r="J116" s="279"/>
      <c r="K116" s="282"/>
      <c r="L116" s="66"/>
      <c r="M116" s="66"/>
      <c r="N116" s="66"/>
      <c r="O116" s="66"/>
      <c r="P116" s="66" t="str">
        <f t="shared" si="2"/>
        <v>RETAZO RIZALDY ISIDORO</v>
      </c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18" customHeight="1">
      <c r="A117" s="188">
        <v>108</v>
      </c>
      <c r="B117" s="193" t="s">
        <v>580</v>
      </c>
      <c r="C117" s="189" t="s">
        <v>19</v>
      </c>
      <c r="D117" s="190" t="s">
        <v>366</v>
      </c>
      <c r="E117" s="191" t="s">
        <v>581</v>
      </c>
      <c r="F117" s="191" t="s">
        <v>582</v>
      </c>
      <c r="G117" s="191" t="s">
        <v>393</v>
      </c>
      <c r="H117" s="192"/>
      <c r="I117" s="212"/>
      <c r="J117" s="279" t="s">
        <v>583</v>
      </c>
      <c r="K117" s="307" t="s">
        <v>584</v>
      </c>
      <c r="L117" s="66"/>
      <c r="M117" s="66"/>
      <c r="N117" s="66"/>
      <c r="O117" s="66"/>
      <c r="P117" s="66" t="str">
        <f>CONCATENATE(E212," ",F212," ",G212)</f>
        <v>LOPEZ JOEL MORATALLA</v>
      </c>
      <c r="Q117" s="66" t="str">
        <f>IFERROR(VLOOKUP(P117,[1]Disposition!$AB$9:$AC$495,2,0),"NO RECORD YET")</f>
        <v>Block 9 396 Kalayaan Avenue, West Rembo, Makati, Metro Manila</v>
      </c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18" customHeight="1">
      <c r="A118" s="188">
        <v>109</v>
      </c>
      <c r="B118" s="193" t="s">
        <v>580</v>
      </c>
      <c r="C118" s="189" t="s">
        <v>19</v>
      </c>
      <c r="D118" s="194" t="s">
        <v>28</v>
      </c>
      <c r="E118" s="204" t="s">
        <v>585</v>
      </c>
      <c r="F118" s="204" t="s">
        <v>586</v>
      </c>
      <c r="G118" s="204" t="s">
        <v>587</v>
      </c>
      <c r="H118" s="205" t="s">
        <v>268</v>
      </c>
      <c r="I118" s="210"/>
      <c r="J118" s="279"/>
      <c r="K118" s="282"/>
      <c r="L118" s="66"/>
      <c r="M118" s="66"/>
      <c r="N118" s="66"/>
      <c r="O118" s="66"/>
      <c r="P118" s="66" t="str">
        <f t="shared" ref="P118:P158" si="3">CONCATENATE(E118," ",F118," ",G118)</f>
        <v>AGOS CELSO TAPONG</v>
      </c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spans="1:27" ht="18" customHeight="1">
      <c r="A119" s="188">
        <v>110</v>
      </c>
      <c r="B119" s="193" t="s">
        <v>580</v>
      </c>
      <c r="C119" s="294" t="s">
        <v>19</v>
      </c>
      <c r="D119" s="190" t="s">
        <v>28</v>
      </c>
      <c r="E119" s="195" t="s">
        <v>588</v>
      </c>
      <c r="F119" s="195" t="s">
        <v>589</v>
      </c>
      <c r="G119" s="195" t="s">
        <v>590</v>
      </c>
      <c r="H119" s="194"/>
      <c r="I119" s="212"/>
      <c r="J119" s="281" t="s">
        <v>591</v>
      </c>
      <c r="K119" s="307" t="s">
        <v>592</v>
      </c>
      <c r="L119" s="66"/>
      <c r="M119" s="66"/>
      <c r="N119" s="66"/>
      <c r="O119" s="66"/>
      <c r="P119" s="66" t="str">
        <f t="shared" si="3"/>
        <v>CABADING ELIJAH VINCENT SERANDON</v>
      </c>
      <c r="Q119" s="66" t="str">
        <f>IFERROR(VLOOKUP(P119,[1]Disposition!$AB$9:$AC$495,2,0),"NO RECORD YET")</f>
        <v>NO RECORD YET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18" customHeight="1">
      <c r="A120" s="188">
        <v>111</v>
      </c>
      <c r="B120" s="193" t="s">
        <v>580</v>
      </c>
      <c r="C120" s="189" t="s">
        <v>19</v>
      </c>
      <c r="D120" s="190" t="s">
        <v>28</v>
      </c>
      <c r="E120" s="195" t="s">
        <v>593</v>
      </c>
      <c r="F120" s="195" t="s">
        <v>594</v>
      </c>
      <c r="G120" s="195" t="s">
        <v>595</v>
      </c>
      <c r="H120" s="194"/>
      <c r="I120" s="212"/>
      <c r="J120" s="281" t="s">
        <v>596</v>
      </c>
      <c r="K120" s="307" t="s">
        <v>597</v>
      </c>
      <c r="L120" s="66"/>
      <c r="M120" s="66"/>
      <c r="N120" s="66"/>
      <c r="O120" s="66"/>
      <c r="P120" s="66" t="str">
        <f t="shared" si="3"/>
        <v>PADILLA KEM EDNYLL MACARINE</v>
      </c>
      <c r="Q120" s="66" t="str">
        <f>IFERROR(VLOOKUP(P120,[1]Disposition!$AB$9:$AC$495,2,0),"NO RECORD YET")</f>
        <v>NO RECORD YET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18" customHeight="1">
      <c r="A121" s="188">
        <v>112</v>
      </c>
      <c r="B121" s="193" t="s">
        <v>580</v>
      </c>
      <c r="C121" s="189" t="s">
        <v>19</v>
      </c>
      <c r="D121" s="190" t="s">
        <v>40</v>
      </c>
      <c r="E121" s="191" t="s">
        <v>256</v>
      </c>
      <c r="F121" s="191" t="s">
        <v>598</v>
      </c>
      <c r="G121" s="191" t="s">
        <v>256</v>
      </c>
      <c r="H121" s="192"/>
      <c r="I121" s="212"/>
      <c r="J121" s="279" t="s">
        <v>599</v>
      </c>
      <c r="K121" s="308" t="s">
        <v>600</v>
      </c>
      <c r="L121" s="66"/>
      <c r="M121" s="66"/>
      <c r="N121" s="66"/>
      <c r="O121" s="66"/>
      <c r="P121" s="66" t="str">
        <f t="shared" si="3"/>
        <v>DELA CRUZ CHARLES ISAAK DELA CRUZ</v>
      </c>
      <c r="Q121" s="66" t="str">
        <f>IFERROR(VLOOKUP(P121,[1]Disposition!$AB$9:$AC$495,2,0),"NO RECORD YET")</f>
        <v>Blk 3 Lot 13,  Carnation St., Brgy. Graceville II, CSJDM, Bulacan</v>
      </c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18" customHeight="1">
      <c r="A122" s="188">
        <v>113</v>
      </c>
      <c r="B122" s="193" t="s">
        <v>601</v>
      </c>
      <c r="C122" s="193" t="s">
        <v>19</v>
      </c>
      <c r="D122" s="190" t="s">
        <v>160</v>
      </c>
      <c r="E122" s="191" t="s">
        <v>602</v>
      </c>
      <c r="F122" s="191" t="s">
        <v>603</v>
      </c>
      <c r="G122" s="191" t="s">
        <v>604</v>
      </c>
      <c r="H122" s="192"/>
      <c r="I122" s="210"/>
      <c r="J122" s="279" t="s">
        <v>605</v>
      </c>
      <c r="K122" s="307" t="s">
        <v>606</v>
      </c>
      <c r="L122" s="66"/>
      <c r="M122" s="66"/>
      <c r="N122" s="66"/>
      <c r="O122" s="66"/>
      <c r="P122" s="66" t="str">
        <f t="shared" si="3"/>
        <v>FERRANCULLO JOHN PAUL PAZ</v>
      </c>
      <c r="Q122" s="66" t="str">
        <f>IFERROR(VLOOKUP(P122,[1]Disposition!$AB$9:$AC$495,2,0),"NO RECORD YET")</f>
        <v>103 Hernandez St., Old Zaniga, Mandaluyong CityN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18" customHeight="1">
      <c r="A123" s="188">
        <v>114</v>
      </c>
      <c r="B123" s="193" t="s">
        <v>607</v>
      </c>
      <c r="C123" s="193" t="s">
        <v>19</v>
      </c>
      <c r="D123" s="194" t="s">
        <v>28</v>
      </c>
      <c r="E123" s="204" t="s">
        <v>608</v>
      </c>
      <c r="F123" s="204" t="s">
        <v>609</v>
      </c>
      <c r="G123" s="204" t="s">
        <v>610</v>
      </c>
      <c r="H123" s="194" t="s">
        <v>268</v>
      </c>
      <c r="I123" s="210"/>
      <c r="J123" s="279" t="s">
        <v>611</v>
      </c>
      <c r="K123" s="307" t="s">
        <v>612</v>
      </c>
      <c r="L123" s="66"/>
      <c r="M123" s="66"/>
      <c r="N123" s="66"/>
      <c r="O123" s="66"/>
      <c r="P123" s="66" t="str">
        <f t="shared" si="3"/>
        <v>GILL AJIT MENOR</v>
      </c>
      <c r="Q123" s="66" t="str">
        <f>IFERROR(VLOOKUP(P123,[1]Disposition!$AB$9:$AC$495,2,0),"NO RECORD YET")</f>
        <v>Phase 1 Blk 12 Lot 14 LOT 7, San Isidro, Rodriguez, Rizal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18" customHeight="1">
      <c r="A124" s="188">
        <v>115</v>
      </c>
      <c r="B124" s="193" t="s">
        <v>607</v>
      </c>
      <c r="C124" s="193" t="s">
        <v>39</v>
      </c>
      <c r="D124" s="190" t="s">
        <v>40</v>
      </c>
      <c r="E124" s="191" t="s">
        <v>365</v>
      </c>
      <c r="F124" s="191" t="s">
        <v>613</v>
      </c>
      <c r="G124" s="191" t="s">
        <v>614</v>
      </c>
      <c r="H124" s="192"/>
      <c r="I124" s="210"/>
      <c r="J124" s="279" t="s">
        <v>615</v>
      </c>
      <c r="K124" s="307" t="s">
        <v>616</v>
      </c>
      <c r="L124" s="66"/>
      <c r="M124" s="66"/>
      <c r="N124" s="66"/>
      <c r="O124" s="66"/>
      <c r="P124" s="66" t="str">
        <f t="shared" si="3"/>
        <v>DIAZ LEILA URTOLA</v>
      </c>
      <c r="Q124" s="66" t="str">
        <f>IFERROR(VLOOKUP(P124,[1]Disposition!$AB$9:$AC$495,2,0),"NO RECORD YET")</f>
        <v>L3 Rd7 PHASE 4, Cogeo Village, Antipolo City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18" customHeight="1">
      <c r="A125" s="188">
        <v>116</v>
      </c>
      <c r="B125" s="193" t="s">
        <v>617</v>
      </c>
      <c r="C125" s="193" t="s">
        <v>19</v>
      </c>
      <c r="D125" s="190" t="s">
        <v>96</v>
      </c>
      <c r="E125" s="204" t="s">
        <v>618</v>
      </c>
      <c r="F125" s="204" t="s">
        <v>619</v>
      </c>
      <c r="G125" s="204" t="s">
        <v>620</v>
      </c>
      <c r="H125" s="205"/>
      <c r="I125" s="210"/>
      <c r="J125" s="279" t="s">
        <v>621</v>
      </c>
      <c r="K125" s="307" t="s">
        <v>622</v>
      </c>
      <c r="L125" s="66"/>
      <c r="M125" s="66"/>
      <c r="N125" s="66"/>
      <c r="O125" s="66"/>
      <c r="P125" s="66" t="str">
        <f t="shared" si="3"/>
        <v>VENTURA JOSEPH SAMONTE</v>
      </c>
      <c r="Q125" s="66" t="str">
        <f>IFERROR(VLOOKUP(P125,[1]Disposition!$AB$9:$AC$495,2,0),"NO RECORD YET")</f>
        <v>04 Angoluan, Atulayan Norte, Tuguegarao City, Cagayan Valley</v>
      </c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18" customHeight="1">
      <c r="A126" s="188">
        <v>117</v>
      </c>
      <c r="B126" s="193" t="s">
        <v>623</v>
      </c>
      <c r="C126" s="193" t="s">
        <v>19</v>
      </c>
      <c r="D126" s="190" t="s">
        <v>96</v>
      </c>
      <c r="E126" s="204" t="s">
        <v>624</v>
      </c>
      <c r="F126" s="204" t="s">
        <v>255</v>
      </c>
      <c r="G126" s="204" t="s">
        <v>625</v>
      </c>
      <c r="H126" s="205" t="s">
        <v>268</v>
      </c>
      <c r="I126" s="210"/>
      <c r="J126" s="279" t="s">
        <v>626</v>
      </c>
      <c r="K126" s="307" t="s">
        <v>627</v>
      </c>
      <c r="L126" s="66"/>
      <c r="M126" s="66"/>
      <c r="N126" s="66"/>
      <c r="O126" s="66"/>
      <c r="P126" s="66" t="str">
        <f t="shared" si="3"/>
        <v>BALICAG JOSE DAKETAN</v>
      </c>
      <c r="Q126" s="66" t="str">
        <f>IFERROR(VLOOKUP(P126,[1]Disposition!$AB$9:$AC$495,2,0),"NO RECORD YET")</f>
        <v>Block 3, D Molintas, Bulanao, Tabuk City Kalinga</v>
      </c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18" customHeight="1">
      <c r="A127" s="188">
        <v>118</v>
      </c>
      <c r="B127" s="193" t="s">
        <v>623</v>
      </c>
      <c r="C127" s="193" t="s">
        <v>19</v>
      </c>
      <c r="D127" s="190" t="s">
        <v>40</v>
      </c>
      <c r="E127" s="191" t="s">
        <v>628</v>
      </c>
      <c r="F127" s="191" t="s">
        <v>629</v>
      </c>
      <c r="G127" s="191" t="s">
        <v>630</v>
      </c>
      <c r="H127" s="192"/>
      <c r="I127" s="210"/>
      <c r="J127" s="279" t="s">
        <v>631</v>
      </c>
      <c r="K127" s="307" t="s">
        <v>632</v>
      </c>
      <c r="L127" s="66"/>
      <c r="M127" s="66"/>
      <c r="N127" s="66"/>
      <c r="O127" s="66"/>
      <c r="P127" s="66" t="str">
        <f t="shared" si="3"/>
        <v>DIÑO ELVIN ELDEN SEBASTIAN</v>
      </c>
      <c r="Q127" s="66" t="str">
        <f>IFERROR(VLOOKUP(P127,[1]Disposition!$AB$9:$AC$495,2,0),"NO RECORD YET")</f>
        <v>Blk6 Lot 26 Adelina Homes, Brgy San isidro, Cainta, Rizal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18" customHeight="1">
      <c r="A128" s="188">
        <v>119</v>
      </c>
      <c r="B128" s="193" t="s">
        <v>633</v>
      </c>
      <c r="C128" s="193" t="s">
        <v>39</v>
      </c>
      <c r="D128" s="190" t="s">
        <v>246</v>
      </c>
      <c r="E128" s="204" t="s">
        <v>634</v>
      </c>
      <c r="F128" s="204" t="s">
        <v>635</v>
      </c>
      <c r="G128" s="204" t="s">
        <v>636</v>
      </c>
      <c r="H128" s="205"/>
      <c r="I128" s="210"/>
      <c r="J128" s="279" t="s">
        <v>637</v>
      </c>
      <c r="K128" s="307" t="s">
        <v>638</v>
      </c>
      <c r="L128" s="66"/>
      <c r="M128" s="66"/>
      <c r="N128" s="66"/>
      <c r="O128" s="66"/>
      <c r="P128" s="66" t="str">
        <f t="shared" si="3"/>
        <v>GUSTILO THOBORNE THER SANTOS</v>
      </c>
      <c r="Q128" s="66" t="str">
        <f>IFERROR(VLOOKUP(P128,[1]Disposition!$AB$9:$AC$495,2,0),"NO RECORD YET")</f>
        <v>Blk 5 Lot 4 Phase-M, Francisco Homes- Guijo, SJDM, Bulacan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18" customHeight="1">
      <c r="A129" s="188">
        <v>120</v>
      </c>
      <c r="B129" s="193" t="s">
        <v>633</v>
      </c>
      <c r="C129" s="193" t="s">
        <v>19</v>
      </c>
      <c r="D129" s="190" t="s">
        <v>28</v>
      </c>
      <c r="E129" s="195" t="s">
        <v>639</v>
      </c>
      <c r="F129" s="195" t="s">
        <v>640</v>
      </c>
      <c r="G129" s="195" t="s">
        <v>256</v>
      </c>
      <c r="H129" s="194"/>
      <c r="I129" s="212"/>
      <c r="J129" s="185" t="s">
        <v>641</v>
      </c>
      <c r="K129" s="307" t="s">
        <v>642</v>
      </c>
      <c r="L129" s="66"/>
      <c r="M129" s="66"/>
      <c r="N129" s="66"/>
      <c r="O129" s="66"/>
      <c r="P129" s="66" t="str">
        <f t="shared" si="3"/>
        <v>FONTANILLA JASON PATRICK DELA CRUZ</v>
      </c>
      <c r="Q129" s="66" t="str">
        <f>IFERROR(VLOOKUP(P129,[1]Disposition!$AB$9:$AC$495,2,0),"NO RECORD YET")</f>
        <v>NO RECORD YET</v>
      </c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18" customHeight="1">
      <c r="A130" s="188">
        <v>121</v>
      </c>
      <c r="B130" s="193" t="s">
        <v>643</v>
      </c>
      <c r="C130" s="193" t="s">
        <v>19</v>
      </c>
      <c r="D130" s="190" t="s">
        <v>644</v>
      </c>
      <c r="E130" s="191" t="s">
        <v>645</v>
      </c>
      <c r="F130" s="191" t="s">
        <v>646</v>
      </c>
      <c r="G130" s="191" t="s">
        <v>647</v>
      </c>
      <c r="H130" s="192"/>
      <c r="I130" s="212"/>
      <c r="J130" s="279" t="s">
        <v>648</v>
      </c>
      <c r="K130" s="307" t="s">
        <v>649</v>
      </c>
      <c r="L130" s="66"/>
      <c r="M130" s="66"/>
      <c r="N130" s="66"/>
      <c r="O130" s="66"/>
      <c r="P130" s="66" t="str">
        <f t="shared" si="3"/>
        <v>ZAMORA MELVIN PANGANIBAN</v>
      </c>
      <c r="Q130" s="66" t="str">
        <f>IFERROR(VLOOKUP(P130,[1]Disposition!$AB$9:$AC$495,2,0),"NO RECORD YET")</f>
        <v>Light Residences, Mandaluyong City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18" customHeight="1">
      <c r="A131" s="188">
        <v>122</v>
      </c>
      <c r="B131" s="193" t="s">
        <v>650</v>
      </c>
      <c r="C131" s="193" t="s">
        <v>19</v>
      </c>
      <c r="D131" s="194" t="s">
        <v>253</v>
      </c>
      <c r="E131" s="191" t="s">
        <v>651</v>
      </c>
      <c r="F131" s="191" t="s">
        <v>652</v>
      </c>
      <c r="G131" s="203" t="s">
        <v>653</v>
      </c>
      <c r="H131" s="192" t="s">
        <v>268</v>
      </c>
      <c r="I131" s="210"/>
      <c r="J131" s="279" t="s">
        <v>654</v>
      </c>
      <c r="K131" s="307" t="s">
        <v>655</v>
      </c>
      <c r="L131" s="66"/>
      <c r="M131" s="66"/>
      <c r="N131" s="66"/>
      <c r="O131" s="66"/>
      <c r="P131" s="66" t="str">
        <f t="shared" si="3"/>
        <v>OCAMPO AMADO BISCAYDA</v>
      </c>
      <c r="Q131" s="66" t="str">
        <f>IFERROR(VLOOKUP(P131,[1]Disposition!$AB$9:$AC$495,2,0),"NO RECORD YET")</f>
        <v>39 Constabulary St., Vet Village, Quezon City</v>
      </c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18" customHeight="1">
      <c r="A132" s="188">
        <v>123</v>
      </c>
      <c r="B132" s="193" t="s">
        <v>650</v>
      </c>
      <c r="C132" s="193" t="s">
        <v>19</v>
      </c>
      <c r="D132" s="194" t="s">
        <v>24</v>
      </c>
      <c r="E132" s="204" t="s">
        <v>656</v>
      </c>
      <c r="F132" s="204" t="s">
        <v>657</v>
      </c>
      <c r="G132" s="204" t="s">
        <v>658</v>
      </c>
      <c r="H132" s="205"/>
      <c r="I132" s="212"/>
      <c r="J132" s="279" t="s">
        <v>659</v>
      </c>
      <c r="K132" s="282"/>
      <c r="L132" s="66"/>
      <c r="M132" s="66"/>
      <c r="N132" s="66"/>
      <c r="O132" s="66"/>
      <c r="P132" s="66" t="str">
        <f t="shared" si="3"/>
        <v>BUENO CHIER BRYAN MARCOS</v>
      </c>
      <c r="Q132" s="66">
        <f>IFERROR(VLOOKUP(P132,[1]Disposition!$AB$9:$AC$495,2,0),"NO RECORD YET")</f>
        <v>0</v>
      </c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18" customHeight="1">
      <c r="A133" s="188">
        <v>124</v>
      </c>
      <c r="B133" s="193" t="s">
        <v>660</v>
      </c>
      <c r="C133" s="193" t="s">
        <v>39</v>
      </c>
      <c r="D133" s="190" t="s">
        <v>246</v>
      </c>
      <c r="E133" s="191" t="s">
        <v>661</v>
      </c>
      <c r="F133" s="191" t="s">
        <v>662</v>
      </c>
      <c r="G133" s="191" t="s">
        <v>663</v>
      </c>
      <c r="H133" s="192"/>
      <c r="I133" s="210"/>
      <c r="J133" s="279" t="s">
        <v>664</v>
      </c>
      <c r="K133" s="282"/>
      <c r="L133" s="66"/>
      <c r="M133" s="66"/>
      <c r="N133" s="66"/>
      <c r="O133" s="66"/>
      <c r="P133" s="66" t="str">
        <f t="shared" si="3"/>
        <v>ESPEDIDO IBON GAY DACUMOS</v>
      </c>
      <c r="Q133" s="66" t="str">
        <f>IFERROR(VLOOKUP(P133,[1]Disposition!$AB$9:$AC$495,2,0),"NO RECORD YET")</f>
        <v>NO RECORD YET</v>
      </c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18" customHeight="1">
      <c r="A134" s="188">
        <v>125</v>
      </c>
      <c r="B134" s="193" t="s">
        <v>665</v>
      </c>
      <c r="C134" s="193" t="s">
        <v>19</v>
      </c>
      <c r="D134" s="190" t="s">
        <v>96</v>
      </c>
      <c r="E134" s="204" t="s">
        <v>666</v>
      </c>
      <c r="F134" s="204" t="s">
        <v>667</v>
      </c>
      <c r="G134" s="204" t="s">
        <v>668</v>
      </c>
      <c r="H134" s="194"/>
      <c r="I134" s="210"/>
      <c r="J134" s="279" t="s">
        <v>669</v>
      </c>
      <c r="K134" s="307" t="s">
        <v>670</v>
      </c>
      <c r="L134" s="66"/>
      <c r="M134" s="66"/>
      <c r="N134" s="66"/>
      <c r="O134" s="66"/>
      <c r="P134" s="66" t="str">
        <f t="shared" si="3"/>
        <v>MAGALONG DAREN NATIVIDAD</v>
      </c>
      <c r="Q134" s="66" t="str">
        <f>IFERROR(VLOOKUP(P134,[1]Disposition!$AB$9:$AC$495,2,0),"NO RECORD YET")</f>
        <v>696 Brgy KitaKita, San Jose City, Nueva Ecija</v>
      </c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18" customHeight="1">
      <c r="A135" s="188">
        <v>126</v>
      </c>
      <c r="B135" s="193" t="s">
        <v>665</v>
      </c>
      <c r="C135" s="193" t="s">
        <v>19</v>
      </c>
      <c r="D135" s="190" t="s">
        <v>28</v>
      </c>
      <c r="E135" s="195" t="s">
        <v>671</v>
      </c>
      <c r="F135" s="195" t="s">
        <v>672</v>
      </c>
      <c r="G135" s="195" t="s">
        <v>673</v>
      </c>
      <c r="H135" s="194" t="s">
        <v>268</v>
      </c>
      <c r="I135" s="210"/>
      <c r="J135" s="185" t="s">
        <v>674</v>
      </c>
      <c r="K135" s="307" t="s">
        <v>675</v>
      </c>
      <c r="L135" s="66"/>
      <c r="M135" s="66"/>
      <c r="N135" s="66"/>
      <c r="O135" s="66"/>
      <c r="P135" s="66" t="str">
        <f t="shared" si="3"/>
        <v>BOLISLIS JIMMY BANG-AS</v>
      </c>
      <c r="Q135" s="66" t="str">
        <f>IFERROR(VLOOKUP(P135,[1]Disposition!$AB$9:$AC$495,2,0),"NO RECORD YET")</f>
        <v>NO RECORD YET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18" customHeight="1">
      <c r="A136" s="188">
        <v>127</v>
      </c>
      <c r="B136" s="193" t="s">
        <v>676</v>
      </c>
      <c r="C136" s="189" t="s">
        <v>19</v>
      </c>
      <c r="D136" s="190" t="s">
        <v>96</v>
      </c>
      <c r="E136" s="204" t="s">
        <v>677</v>
      </c>
      <c r="F136" s="204" t="s">
        <v>678</v>
      </c>
      <c r="G136" s="204" t="s">
        <v>679</v>
      </c>
      <c r="H136" s="205"/>
      <c r="I136" s="210"/>
      <c r="J136" s="279" t="s">
        <v>680</v>
      </c>
      <c r="K136" s="307" t="s">
        <v>681</v>
      </c>
      <c r="L136" s="66"/>
      <c r="M136" s="66"/>
      <c r="N136" s="66"/>
      <c r="O136" s="66"/>
      <c r="P136" s="66" t="str">
        <f t="shared" si="3"/>
        <v>ABUAN DICKSON CLEMENTE</v>
      </c>
      <c r="Q136" s="66" t="str">
        <f>IFERROR(VLOOKUP(P136,[1]Disposition!$AB$9:$AC$495,2,0),"NO RECORD YET")</f>
        <v>735 Purok 4B, Lucnab Baguio City</v>
      </c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18" customHeight="1">
      <c r="A137" s="188">
        <v>128</v>
      </c>
      <c r="B137" s="193" t="s">
        <v>682</v>
      </c>
      <c r="C137" s="193" t="s">
        <v>19</v>
      </c>
      <c r="D137" s="190" t="s">
        <v>160</v>
      </c>
      <c r="E137" s="191" t="s">
        <v>683</v>
      </c>
      <c r="F137" s="191" t="s">
        <v>684</v>
      </c>
      <c r="G137" s="191" t="s">
        <v>685</v>
      </c>
      <c r="H137" s="192"/>
      <c r="I137" s="210"/>
      <c r="J137" s="279" t="s">
        <v>686</v>
      </c>
      <c r="K137" s="307" t="s">
        <v>687</v>
      </c>
      <c r="L137" s="66"/>
      <c r="M137" s="66"/>
      <c r="N137" s="66"/>
      <c r="O137" s="66"/>
      <c r="P137" s="66" t="str">
        <f t="shared" si="3"/>
        <v>IGNACIO MICHAEL TINTE</v>
      </c>
      <c r="Q137" s="66" t="str">
        <f>IFERROR(VLOOKUP(P137,[1]Disposition!$AB$9:$AC$495,2,0),"NO RECORD YET")</f>
        <v>38 Aganan St., Zone 6, NIA Village, Quezon City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18" customHeight="1">
      <c r="A138" s="188">
        <v>129</v>
      </c>
      <c r="B138" s="189" t="s">
        <v>688</v>
      </c>
      <c r="C138" s="189" t="s">
        <v>19</v>
      </c>
      <c r="D138" s="190" t="s">
        <v>96</v>
      </c>
      <c r="E138" s="204" t="s">
        <v>689</v>
      </c>
      <c r="F138" s="204" t="s">
        <v>690</v>
      </c>
      <c r="G138" s="204" t="s">
        <v>691</v>
      </c>
      <c r="H138" s="205"/>
      <c r="I138" s="210"/>
      <c r="J138" s="279" t="s">
        <v>692</v>
      </c>
      <c r="K138" s="307" t="s">
        <v>693</v>
      </c>
      <c r="L138" s="66"/>
      <c r="M138" s="66"/>
      <c r="N138" s="66"/>
      <c r="O138" s="66"/>
      <c r="P138" s="66" t="str">
        <f t="shared" si="3"/>
        <v>NAPOD GILBERT OLIQUINO</v>
      </c>
      <c r="Q138" s="66" t="str">
        <f>IFERROR(VLOOKUP(P138,[1]Disposition!$AB$9:$AC$495,2,0),"NO RECORD YET")</f>
        <v>Lot 39 Blk 9 Purok 3, Deano St., Central Bicutan, Taguig City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18" customHeight="1">
      <c r="A139" s="188">
        <v>130</v>
      </c>
      <c r="B139" s="193" t="s">
        <v>694</v>
      </c>
      <c r="C139" s="193" t="s">
        <v>19</v>
      </c>
      <c r="D139" s="190" t="s">
        <v>246</v>
      </c>
      <c r="E139" s="191" t="s">
        <v>695</v>
      </c>
      <c r="F139" s="191" t="s">
        <v>364</v>
      </c>
      <c r="G139" s="191" t="s">
        <v>696</v>
      </c>
      <c r="H139" s="192" t="s">
        <v>268</v>
      </c>
      <c r="I139" s="210"/>
      <c r="J139" s="279" t="s">
        <v>697</v>
      </c>
      <c r="K139" s="282"/>
      <c r="L139" s="66"/>
      <c r="M139" s="66"/>
      <c r="N139" s="66"/>
      <c r="O139" s="66"/>
      <c r="P139" s="66" t="str">
        <f t="shared" si="3"/>
        <v>DULNUAN RAMON CUYANGCO</v>
      </c>
      <c r="Q139" s="66" t="str">
        <f>IFERROR(VLOOKUP(P139,[1]Disposition!$AB$9:$AC$495,2,0),"NO RECORD YET")</f>
        <v>NO RECORD YET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18" customHeight="1">
      <c r="A140" s="188">
        <v>131</v>
      </c>
      <c r="B140" s="193" t="s">
        <v>694</v>
      </c>
      <c r="C140" s="193" t="s">
        <v>19</v>
      </c>
      <c r="D140" s="190" t="s">
        <v>28</v>
      </c>
      <c r="E140" s="195" t="s">
        <v>698</v>
      </c>
      <c r="F140" s="195" t="s">
        <v>699</v>
      </c>
      <c r="G140" s="195" t="s">
        <v>700</v>
      </c>
      <c r="H140" s="194"/>
      <c r="I140" s="212"/>
      <c r="J140" s="185" t="s">
        <v>701</v>
      </c>
      <c r="K140" s="307" t="s">
        <v>702</v>
      </c>
      <c r="L140" s="66"/>
      <c r="M140" s="66"/>
      <c r="N140" s="66"/>
      <c r="O140" s="66"/>
      <c r="P140" s="66" t="str">
        <f t="shared" si="3"/>
        <v>GALLARDE SUNNY BOY GALUYO</v>
      </c>
      <c r="Q140" s="66" t="str">
        <f>IFERROR(VLOOKUP(P140,[1]Disposition!$AB$9:$AC$495,2,0),"NO RECORD YET")</f>
        <v>NO RECORD YET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18" customHeight="1">
      <c r="A141" s="188">
        <v>132</v>
      </c>
      <c r="B141" s="189" t="s">
        <v>703</v>
      </c>
      <c r="C141" s="193" t="s">
        <v>39</v>
      </c>
      <c r="D141" s="190" t="s">
        <v>96</v>
      </c>
      <c r="E141" s="204" t="s">
        <v>704</v>
      </c>
      <c r="F141" s="204" t="s">
        <v>705</v>
      </c>
      <c r="G141" s="204" t="s">
        <v>706</v>
      </c>
      <c r="H141" s="205"/>
      <c r="I141" s="210"/>
      <c r="J141" s="279" t="s">
        <v>707</v>
      </c>
      <c r="K141" s="307" t="s">
        <v>708</v>
      </c>
      <c r="L141" s="66"/>
      <c r="M141" s="66"/>
      <c r="N141" s="66"/>
      <c r="O141" s="66"/>
      <c r="P141" s="66" t="str">
        <f t="shared" si="3"/>
        <v>EVANGELISTA RHEA TADURAN</v>
      </c>
      <c r="Q141" s="66" t="str">
        <f>IFERROR(VLOOKUP(P141,[1]Disposition!$AB$9:$AC$495,2,0),"NO RECORD YET")</f>
        <v>39 Col. Bonny Serrano Ave, Bagong Lipunan Ng Crame, Quezon City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18" customHeight="1">
      <c r="A142" s="188">
        <v>133</v>
      </c>
      <c r="B142" s="189" t="s">
        <v>703</v>
      </c>
      <c r="C142" s="193" t="s">
        <v>19</v>
      </c>
      <c r="D142" s="190" t="s">
        <v>28</v>
      </c>
      <c r="E142" s="195" t="s">
        <v>709</v>
      </c>
      <c r="F142" s="195" t="s">
        <v>710</v>
      </c>
      <c r="G142" s="195" t="s">
        <v>711</v>
      </c>
      <c r="H142" s="194"/>
      <c r="I142" s="212"/>
      <c r="J142" s="185" t="s">
        <v>712</v>
      </c>
      <c r="K142" s="307" t="s">
        <v>713</v>
      </c>
      <c r="L142" s="66"/>
      <c r="M142" s="66"/>
      <c r="N142" s="66"/>
      <c r="O142" s="66"/>
      <c r="P142" s="66" t="str">
        <f t="shared" si="3"/>
        <v>BERMUDEZ PAUL ARNIE VIC DINEROS</v>
      </c>
      <c r="Q142" s="66" t="str">
        <f>IFERROR(VLOOKUP(P142,[1]Disposition!$AB$9:$AC$495,2,0),"NO RECORD YET")</f>
        <v>NO RECORD YET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18" customHeight="1">
      <c r="A143" s="188">
        <v>134</v>
      </c>
      <c r="B143" s="193" t="s">
        <v>714</v>
      </c>
      <c r="C143" s="193" t="s">
        <v>19</v>
      </c>
      <c r="D143" s="190" t="s">
        <v>246</v>
      </c>
      <c r="E143" s="191" t="s">
        <v>715</v>
      </c>
      <c r="F143" s="191" t="s">
        <v>716</v>
      </c>
      <c r="G143" s="191" t="s">
        <v>717</v>
      </c>
      <c r="H143" s="192"/>
      <c r="I143" s="210"/>
      <c r="J143" s="279" t="s">
        <v>718</v>
      </c>
      <c r="K143" s="282"/>
      <c r="L143" s="66"/>
      <c r="M143" s="66"/>
      <c r="N143" s="66"/>
      <c r="O143" s="66"/>
      <c r="P143" s="66" t="str">
        <f t="shared" si="3"/>
        <v>AREVALO RALPH LYNDON RESUELLO</v>
      </c>
      <c r="Q143" s="66" t="str">
        <f>IFERROR(VLOOKUP(P143,[1]Disposition!$AB$9:$AC$495,2,0),"NO RECORD YET")</f>
        <v>NO RECORD YET</v>
      </c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18" customHeight="1">
      <c r="A144" s="188">
        <v>135</v>
      </c>
      <c r="B144" s="193" t="s">
        <v>719</v>
      </c>
      <c r="C144" s="189" t="s">
        <v>19</v>
      </c>
      <c r="D144" s="194" t="s">
        <v>96</v>
      </c>
      <c r="E144" s="191" t="s">
        <v>720</v>
      </c>
      <c r="F144" s="191" t="s">
        <v>721</v>
      </c>
      <c r="G144" s="191" t="s">
        <v>722</v>
      </c>
      <c r="H144" s="192"/>
      <c r="I144" s="210"/>
      <c r="J144" s="279" t="s">
        <v>723</v>
      </c>
      <c r="K144" s="307" t="s">
        <v>724</v>
      </c>
      <c r="L144" s="66"/>
      <c r="M144" s="66"/>
      <c r="N144" s="66"/>
      <c r="O144" s="66"/>
      <c r="P144" s="66" t="str">
        <f t="shared" si="3"/>
        <v>TAEZA ERIKSON TE</v>
      </c>
      <c r="Q144" s="66" t="str">
        <f>IFERROR(VLOOKUP(P144,[1]Disposition!$AB$9:$AC$495,2,0),"NO RECORD YET")</f>
        <v>20 Alley 1,  Project 6, Quezon City</v>
      </c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18" customHeight="1">
      <c r="A145" s="188">
        <v>136</v>
      </c>
      <c r="B145" s="193" t="s">
        <v>719</v>
      </c>
      <c r="C145" s="193" t="s">
        <v>19</v>
      </c>
      <c r="D145" s="190" t="s">
        <v>40</v>
      </c>
      <c r="E145" s="191" t="s">
        <v>636</v>
      </c>
      <c r="F145" s="191" t="s">
        <v>725</v>
      </c>
      <c r="G145" s="191" t="s">
        <v>726</v>
      </c>
      <c r="H145" s="192"/>
      <c r="I145" s="210"/>
      <c r="J145" s="279" t="s">
        <v>727</v>
      </c>
      <c r="K145" s="307" t="s">
        <v>728</v>
      </c>
      <c r="L145" s="66"/>
      <c r="M145" s="66"/>
      <c r="N145" s="66"/>
      <c r="O145" s="66"/>
      <c r="P145" s="66" t="str">
        <f t="shared" si="3"/>
        <v>SANTOS NATHANELLE SEMINIANO</v>
      </c>
      <c r="Q145" s="66" t="str">
        <f>IFERROR(VLOOKUP(P145,[1]Disposition!$AB$9:$AC$495,2,0),"NO RECORD YET")</f>
        <v>32-1 Avocado St, Sto. Nino, San Mateo, Rizal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18" customHeight="1">
      <c r="A146" s="188">
        <v>137</v>
      </c>
      <c r="B146" s="193" t="s">
        <v>729</v>
      </c>
      <c r="C146" s="193" t="s">
        <v>19</v>
      </c>
      <c r="D146" s="194" t="s">
        <v>253</v>
      </c>
      <c r="E146" s="191" t="s">
        <v>730</v>
      </c>
      <c r="F146" s="191" t="s">
        <v>731</v>
      </c>
      <c r="G146" s="191" t="s">
        <v>732</v>
      </c>
      <c r="H146" s="192"/>
      <c r="I146" s="210"/>
      <c r="J146" s="279" t="s">
        <v>733</v>
      </c>
      <c r="K146" s="307" t="s">
        <v>734</v>
      </c>
      <c r="L146" s="66"/>
      <c r="M146" s="66"/>
      <c r="N146" s="66"/>
      <c r="O146" s="66"/>
      <c r="P146" s="66" t="str">
        <f t="shared" si="3"/>
        <v>ESCABOSA GEROGIL SALAZAR</v>
      </c>
      <c r="Q146" s="66" t="str">
        <f>IFERROR(VLOOKUP(P146,[1]Disposition!$AB$9:$AC$495,2,0),"NO RECORD YET")</f>
        <v>Blk 110 Lot 17 K-57 Kalinisan ST., Karangalan V illage, San Isidro Village, Cainta, Rizal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18" customHeight="1">
      <c r="A147" s="188">
        <v>138</v>
      </c>
      <c r="B147" s="193" t="s">
        <v>729</v>
      </c>
      <c r="C147" s="193" t="s">
        <v>19</v>
      </c>
      <c r="D147" s="190" t="s">
        <v>28</v>
      </c>
      <c r="E147" s="195" t="s">
        <v>735</v>
      </c>
      <c r="F147" s="195" t="s">
        <v>736</v>
      </c>
      <c r="G147" s="195" t="s">
        <v>737</v>
      </c>
      <c r="H147" s="194"/>
      <c r="I147" s="212"/>
      <c r="J147" s="185" t="s">
        <v>738</v>
      </c>
      <c r="K147" s="307" t="s">
        <v>739</v>
      </c>
      <c r="L147" s="66"/>
      <c r="M147" s="66"/>
      <c r="N147" s="66"/>
      <c r="O147" s="66"/>
      <c r="P147" s="66" t="str">
        <f t="shared" si="3"/>
        <v>ANABON LEVI ABAGGUE</v>
      </c>
      <c r="Q147" s="66" t="str">
        <f>IFERROR(VLOOKUP(P147,[1]Disposition!$AB$9:$AC$495,2,0),"NO RECORD YET")</f>
        <v>NO RECORD YET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18" customHeight="1">
      <c r="A148" s="188">
        <v>139</v>
      </c>
      <c r="B148" s="193" t="s">
        <v>740</v>
      </c>
      <c r="C148" s="189" t="s">
        <v>19</v>
      </c>
      <c r="D148" s="194" t="s">
        <v>96</v>
      </c>
      <c r="E148" s="191" t="s">
        <v>741</v>
      </c>
      <c r="F148" s="191" t="s">
        <v>742</v>
      </c>
      <c r="G148" s="191" t="s">
        <v>743</v>
      </c>
      <c r="H148" s="192"/>
      <c r="I148" s="210"/>
      <c r="J148" s="279" t="s">
        <v>744</v>
      </c>
      <c r="K148" s="307" t="s">
        <v>745</v>
      </c>
      <c r="L148" s="66"/>
      <c r="M148" s="66"/>
      <c r="N148" s="66"/>
      <c r="O148" s="66"/>
      <c r="P148" s="66" t="str">
        <f t="shared" si="3"/>
        <v>BAYAUA ANGELO ZALUN</v>
      </c>
      <c r="Q148" s="66" t="str">
        <f>IFERROR(VLOOKUP(P148,[1]Disposition!$AB$9:$AC$495,2,0),"NO RECORD YET")</f>
        <v>B10 L23 P-H Guijo, Francisco Homes , SJDM, Bulacan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18" customHeight="1">
      <c r="A149" s="188">
        <v>140</v>
      </c>
      <c r="B149" s="189" t="s">
        <v>746</v>
      </c>
      <c r="C149" s="189" t="s">
        <v>19</v>
      </c>
      <c r="D149" s="190" t="s">
        <v>96</v>
      </c>
      <c r="E149" s="204" t="s">
        <v>747</v>
      </c>
      <c r="F149" s="204" t="s">
        <v>748</v>
      </c>
      <c r="G149" s="204" t="s">
        <v>749</v>
      </c>
      <c r="H149" s="205"/>
      <c r="I149" s="210"/>
      <c r="J149" s="279" t="s">
        <v>750</v>
      </c>
      <c r="K149" s="307" t="s">
        <v>751</v>
      </c>
      <c r="L149" s="66"/>
      <c r="M149" s="66"/>
      <c r="N149" s="66"/>
      <c r="O149" s="66"/>
      <c r="P149" s="66" t="str">
        <f t="shared" si="3"/>
        <v>OBORDO JOEDHEL LLOYD EYAO</v>
      </c>
      <c r="Q149" s="66" t="str">
        <f>IFERROR(VLOOKUP(P149,[1]Disposition!$AB$9:$AC$495,2,0),"NO RECORD YET")</f>
        <v>Maninang, SAPI-AN, Capiz</v>
      </c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18" customHeight="1">
      <c r="A150" s="188">
        <v>141</v>
      </c>
      <c r="B150" s="193" t="s">
        <v>752</v>
      </c>
      <c r="C150" s="193" t="s">
        <v>19</v>
      </c>
      <c r="D150" s="190" t="s">
        <v>96</v>
      </c>
      <c r="E150" s="191" t="s">
        <v>753</v>
      </c>
      <c r="F150" s="191" t="s">
        <v>754</v>
      </c>
      <c r="G150" s="191" t="s">
        <v>755</v>
      </c>
      <c r="H150" s="192"/>
      <c r="I150" s="210"/>
      <c r="J150" s="279" t="s">
        <v>756</v>
      </c>
      <c r="K150" s="307" t="s">
        <v>757</v>
      </c>
      <c r="L150" s="66"/>
      <c r="M150" s="66"/>
      <c r="N150" s="66"/>
      <c r="O150" s="66"/>
      <c r="P150" s="66" t="str">
        <f t="shared" si="3"/>
        <v>VILLAGONZALO RYAN VILLARIN</v>
      </c>
      <c r="Q150" s="66" t="str">
        <f>IFERROR(VLOOKUP(P150,[1]Disposition!$AB$9:$AC$495,2,0),"NO RECORD YET")</f>
        <v>NO RECORD YET</v>
      </c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18" customHeight="1">
      <c r="A151" s="188">
        <v>142</v>
      </c>
      <c r="B151" s="193" t="s">
        <v>758</v>
      </c>
      <c r="C151" s="193" t="s">
        <v>19</v>
      </c>
      <c r="D151" s="190" t="s">
        <v>96</v>
      </c>
      <c r="E151" s="204" t="s">
        <v>759</v>
      </c>
      <c r="F151" s="204" t="s">
        <v>124</v>
      </c>
      <c r="G151" s="204" t="s">
        <v>760</v>
      </c>
      <c r="H151" s="205"/>
      <c r="I151" s="210"/>
      <c r="J151" s="279" t="s">
        <v>761</v>
      </c>
      <c r="K151" s="307" t="s">
        <v>762</v>
      </c>
      <c r="L151" s="66"/>
      <c r="M151" s="66"/>
      <c r="N151" s="66"/>
      <c r="O151" s="66"/>
      <c r="P151" s="66" t="str">
        <f t="shared" si="3"/>
        <v>GUEVARRA JAYSON GALANG</v>
      </c>
      <c r="Q151" s="66" t="str">
        <f>IFERROR(VLOOKUP(P151,[1]Disposition!$AB$9:$AC$495,2,0),"NO RECORD YET")</f>
        <v>240 ZONE-2, Mangga-Cacutud, Arayat, Pampanga</v>
      </c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18" customHeight="1">
      <c r="A152" s="188">
        <v>143</v>
      </c>
      <c r="B152" s="193" t="s">
        <v>763</v>
      </c>
      <c r="C152" s="193" t="s">
        <v>19</v>
      </c>
      <c r="D152" s="190" t="s">
        <v>57</v>
      </c>
      <c r="E152" s="191" t="s">
        <v>764</v>
      </c>
      <c r="F152" s="191" t="s">
        <v>765</v>
      </c>
      <c r="G152" s="191" t="s">
        <v>766</v>
      </c>
      <c r="H152" s="192" t="s">
        <v>55</v>
      </c>
      <c r="I152" s="212"/>
      <c r="J152" s="279" t="s">
        <v>767</v>
      </c>
      <c r="K152" s="307" t="s">
        <v>768</v>
      </c>
      <c r="L152" s="66"/>
      <c r="M152" s="66"/>
      <c r="N152" s="66"/>
      <c r="O152" s="66"/>
      <c r="P152" s="66" t="str">
        <f t="shared" si="3"/>
        <v>BALINGIT JOSE JEFFERSON LACSAM</v>
      </c>
      <c r="Q152" s="66" t="str">
        <f>IFERROR(VLOOKUP(P152,[1]Disposition!$AB$9:$AC$495,2,0),"NO RECORD YET")</f>
        <v>B153 L9 Amorseco St., Rizal, Makati City</v>
      </c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18" customHeight="1">
      <c r="A153" s="188">
        <v>144</v>
      </c>
      <c r="B153" s="193" t="s">
        <v>763</v>
      </c>
      <c r="C153" s="193" t="s">
        <v>19</v>
      </c>
      <c r="D153" s="190" t="s">
        <v>28</v>
      </c>
      <c r="E153" s="195" t="s">
        <v>769</v>
      </c>
      <c r="F153" s="195" t="s">
        <v>770</v>
      </c>
      <c r="G153" s="195" t="s">
        <v>771</v>
      </c>
      <c r="H153" s="194"/>
      <c r="I153" s="212"/>
      <c r="J153" s="185" t="s">
        <v>772</v>
      </c>
      <c r="K153" s="307" t="s">
        <v>773</v>
      </c>
      <c r="L153" s="66"/>
      <c r="M153" s="66"/>
      <c r="N153" s="66"/>
      <c r="O153" s="66"/>
      <c r="P153" s="66" t="str">
        <f t="shared" si="3"/>
        <v>BALDOS MARK ANTHONY BUNGAG</v>
      </c>
      <c r="Q153" s="66" t="str">
        <f>IFERROR(VLOOKUP(P153,[1]Disposition!$AB$9:$AC$495,2,0),"NO RECORD YET")</f>
        <v>NO RECORD YET</v>
      </c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18" customHeight="1">
      <c r="A154" s="188">
        <v>145</v>
      </c>
      <c r="B154" s="193" t="s">
        <v>763</v>
      </c>
      <c r="C154" s="193" t="s">
        <v>39</v>
      </c>
      <c r="D154" s="190" t="s">
        <v>40</v>
      </c>
      <c r="E154" s="191" t="s">
        <v>774</v>
      </c>
      <c r="F154" s="191" t="s">
        <v>775</v>
      </c>
      <c r="G154" s="191" t="s">
        <v>776</v>
      </c>
      <c r="H154" s="192"/>
      <c r="I154" s="210"/>
      <c r="J154" s="279" t="s">
        <v>777</v>
      </c>
      <c r="K154" s="307" t="s">
        <v>778</v>
      </c>
      <c r="L154" s="66"/>
      <c r="M154" s="66"/>
      <c r="N154" s="66"/>
      <c r="O154" s="66"/>
      <c r="P154" s="66" t="str">
        <f t="shared" si="3"/>
        <v>MALLILLIN MARICAR CABIGAS</v>
      </c>
      <c r="Q154" s="66" t="str">
        <f>IFERROR(VLOOKUP(P154,[1]Disposition!$AB$9:$AC$495,2,0),"NO RECORD YET")</f>
        <v>10 Longhorn St., Rancho 4 East, Brgy Concepcion Dos, Marikina City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18" customHeight="1">
      <c r="A155" s="188">
        <v>146</v>
      </c>
      <c r="B155" s="193" t="s">
        <v>779</v>
      </c>
      <c r="C155" s="193" t="s">
        <v>19</v>
      </c>
      <c r="D155" s="194" t="s">
        <v>253</v>
      </c>
      <c r="E155" s="191" t="s">
        <v>780</v>
      </c>
      <c r="F155" s="191" t="s">
        <v>781</v>
      </c>
      <c r="G155" s="191" t="s">
        <v>782</v>
      </c>
      <c r="H155" s="192"/>
      <c r="I155" s="210"/>
      <c r="J155" s="279" t="s">
        <v>783</v>
      </c>
      <c r="K155" s="307" t="s">
        <v>784</v>
      </c>
      <c r="L155" s="66"/>
      <c r="M155" s="66"/>
      <c r="N155" s="66"/>
      <c r="O155" s="66"/>
      <c r="P155" s="66" t="str">
        <f t="shared" si="3"/>
        <v>ANDANAR JON JASON GORGOLON</v>
      </c>
      <c r="Q155" s="66" t="str">
        <f>IFERROR(VLOOKUP(P155,[1]Disposition!$AB$9:$AC$495,2,0),"NO RECORD YET")</f>
        <v>B6, L2, Kingstown Subd., Brgy. 171, Caloocan City</v>
      </c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18" customHeight="1">
      <c r="A156" s="188">
        <v>147</v>
      </c>
      <c r="B156" s="193" t="s">
        <v>785</v>
      </c>
      <c r="C156" s="193" t="s">
        <v>19</v>
      </c>
      <c r="D156" s="190" t="s">
        <v>246</v>
      </c>
      <c r="E156" s="191" t="s">
        <v>256</v>
      </c>
      <c r="F156" s="191" t="s">
        <v>786</v>
      </c>
      <c r="G156" s="191" t="s">
        <v>787</v>
      </c>
      <c r="H156" s="192"/>
      <c r="I156" s="210"/>
      <c r="J156" s="279" t="s">
        <v>788</v>
      </c>
      <c r="K156" s="307" t="s">
        <v>789</v>
      </c>
      <c r="L156" s="66"/>
      <c r="M156" s="66"/>
      <c r="N156" s="66"/>
      <c r="O156" s="66"/>
      <c r="P156" s="66" t="str">
        <f t="shared" si="3"/>
        <v>DELA CRUZ ASHTER TIBURCIO</v>
      </c>
      <c r="Q156" s="66" t="str">
        <f>IFERROR(VLOOKUP(P156,[1]Disposition!$AB$9:$AC$495,2,0),"NO RECORD YET")</f>
        <v>227 Sta, Cruz, Zaragisa, Nueva Ecija</v>
      </c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18" customHeight="1">
      <c r="A157" s="188">
        <v>148</v>
      </c>
      <c r="B157" s="193" t="s">
        <v>790</v>
      </c>
      <c r="C157" s="193" t="s">
        <v>19</v>
      </c>
      <c r="D157" s="190" t="s">
        <v>246</v>
      </c>
      <c r="E157" s="191" t="s">
        <v>791</v>
      </c>
      <c r="F157" s="191" t="s">
        <v>792</v>
      </c>
      <c r="G157" s="191" t="s">
        <v>793</v>
      </c>
      <c r="H157" s="192"/>
      <c r="I157" s="210"/>
      <c r="J157" s="279" t="s">
        <v>794</v>
      </c>
      <c r="K157" s="282"/>
      <c r="L157" s="66"/>
      <c r="M157" s="66"/>
      <c r="N157" s="66"/>
      <c r="O157" s="66"/>
      <c r="P157" s="66" t="str">
        <f t="shared" si="3"/>
        <v>ORTIZ JULIUS SEMITARA</v>
      </c>
      <c r="Q157" s="66" t="str">
        <f>IFERROR(VLOOKUP(P157,[1]Disposition!$AB$9:$AC$495,2,0),"NO RECORD YET")</f>
        <v>NO RECORD YET</v>
      </c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18" customHeight="1">
      <c r="A158" s="188">
        <v>149</v>
      </c>
      <c r="B158" s="193" t="s">
        <v>795</v>
      </c>
      <c r="C158" s="193" t="s">
        <v>39</v>
      </c>
      <c r="D158" s="190" t="s">
        <v>96</v>
      </c>
      <c r="E158" s="191" t="s">
        <v>796</v>
      </c>
      <c r="F158" s="191" t="s">
        <v>797</v>
      </c>
      <c r="G158" s="191" t="s">
        <v>798</v>
      </c>
      <c r="H158" s="192"/>
      <c r="I158" s="210"/>
      <c r="J158" s="279" t="s">
        <v>799</v>
      </c>
      <c r="K158" s="307" t="s">
        <v>800</v>
      </c>
      <c r="L158" s="66"/>
      <c r="M158" s="66"/>
      <c r="N158" s="66"/>
      <c r="O158" s="66"/>
      <c r="P158" s="66" t="str">
        <f t="shared" si="3"/>
        <v>LACSON VINEAH DIMO</v>
      </c>
      <c r="Q158" s="66" t="str">
        <f>IFERROR(VLOOKUP(P158,[1]Disposition!$AB$9:$AC$495,2,0),"NO RECORD YET")</f>
        <v>50 Goldrock ST., San Roque, Navotas City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18" customHeight="1">
      <c r="A159" s="188">
        <v>150</v>
      </c>
      <c r="B159" s="189" t="s">
        <v>801</v>
      </c>
      <c r="C159" s="189" t="s">
        <v>19</v>
      </c>
      <c r="D159" s="190" t="s">
        <v>20</v>
      </c>
      <c r="E159" s="191" t="s">
        <v>802</v>
      </c>
      <c r="F159" s="191" t="s">
        <v>803</v>
      </c>
      <c r="G159" s="191" t="s">
        <v>804</v>
      </c>
      <c r="H159" s="192" t="s">
        <v>268</v>
      </c>
      <c r="I159" s="210"/>
      <c r="J159" s="279" t="s">
        <v>805</v>
      </c>
      <c r="K159" s="307" t="s">
        <v>806</v>
      </c>
      <c r="L159" s="66">
        <f>2024-87</f>
        <v>1937</v>
      </c>
      <c r="M159" s="66"/>
      <c r="N159" s="66"/>
      <c r="O159" s="66"/>
      <c r="P159" s="66" t="e">
        <f>CONCATENATE(#REF!," ",#REF!," ",#REF!)</f>
        <v>#REF!</v>
      </c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18" customHeight="1">
      <c r="A160" s="188">
        <v>151</v>
      </c>
      <c r="B160" s="189" t="s">
        <v>801</v>
      </c>
      <c r="C160" s="193" t="s">
        <v>39</v>
      </c>
      <c r="D160" s="190" t="s">
        <v>160</v>
      </c>
      <c r="E160" s="191" t="s">
        <v>807</v>
      </c>
      <c r="F160" s="191" t="s">
        <v>808</v>
      </c>
      <c r="G160" s="191" t="s">
        <v>809</v>
      </c>
      <c r="H160" s="192"/>
      <c r="I160" s="210"/>
      <c r="J160" s="279" t="s">
        <v>810</v>
      </c>
      <c r="K160" s="307" t="s">
        <v>811</v>
      </c>
      <c r="L160" s="66"/>
      <c r="M160" s="66"/>
      <c r="N160" s="66"/>
      <c r="O160" s="66"/>
      <c r="P160" s="66" t="str">
        <f t="shared" ref="P160:P199" si="4">CONCATENATE(E160," ",F160," ",G160)</f>
        <v>SUCGANG ROSE ANNE ROXAS</v>
      </c>
      <c r="Q160" s="66" t="str">
        <f>IFERROR(VLOOKUP(P160,[1]Disposition!$AB$9:$AC$495,2,0),"NO RECORD YET")</f>
        <v># 203 JP Rizal St., San Roque, Marikina City</v>
      </c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18" customHeight="1">
      <c r="A161" s="188">
        <v>152</v>
      </c>
      <c r="B161" s="193" t="s">
        <v>801</v>
      </c>
      <c r="C161" s="193" t="s">
        <v>19</v>
      </c>
      <c r="D161" s="190" t="s">
        <v>277</v>
      </c>
      <c r="E161" s="191" t="s">
        <v>812</v>
      </c>
      <c r="F161" s="191" t="s">
        <v>813</v>
      </c>
      <c r="G161" s="191" t="s">
        <v>814</v>
      </c>
      <c r="H161" s="192"/>
      <c r="I161" s="210"/>
      <c r="J161" s="279" t="s">
        <v>815</v>
      </c>
      <c r="K161" s="307" t="s">
        <v>816</v>
      </c>
      <c r="L161" s="66"/>
      <c r="M161" s="66"/>
      <c r="N161" s="66"/>
      <c r="O161" s="66"/>
      <c r="P161" s="66" t="str">
        <f t="shared" si="4"/>
        <v>MELCHOR JUNVI PASCUAL</v>
      </c>
      <c r="Q161" s="66" t="str">
        <f>IFERROR(VLOOKUP(P161,[1]Disposition!$AB$9:$AC$495,2,0),"NO RECORD YET")</f>
        <v>47C Session Road, Talanay Area C, Batasan Hills, Quezon City</v>
      </c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18" customHeight="1">
      <c r="A162" s="188">
        <v>153</v>
      </c>
      <c r="B162" s="189" t="s">
        <v>817</v>
      </c>
      <c r="C162" s="189" t="s">
        <v>19</v>
      </c>
      <c r="D162" s="190" t="s">
        <v>57</v>
      </c>
      <c r="E162" s="191" t="s">
        <v>818</v>
      </c>
      <c r="F162" s="191" t="s">
        <v>432</v>
      </c>
      <c r="G162" s="191" t="s">
        <v>819</v>
      </c>
      <c r="H162" s="192" t="s">
        <v>268</v>
      </c>
      <c r="I162" s="210"/>
      <c r="J162" s="279" t="s">
        <v>820</v>
      </c>
      <c r="K162" s="307" t="s">
        <v>821</v>
      </c>
      <c r="L162" s="66"/>
      <c r="M162" s="66"/>
      <c r="N162" s="66"/>
      <c r="O162" s="66"/>
      <c r="P162" s="66" t="str">
        <f t="shared" si="4"/>
        <v>CANJA ROBERTO GINETA</v>
      </c>
      <c r="Q162" s="66" t="str">
        <f>IFERROR(VLOOKUP(P162,[1]Disposition!$AB$9:$AC$495,2,0),"NO RECORD YET")</f>
        <v>Brgy. Mambabanga, Luna, Isabela</v>
      </c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18" customHeight="1">
      <c r="A163" s="188">
        <v>154</v>
      </c>
      <c r="B163" s="193" t="s">
        <v>801</v>
      </c>
      <c r="C163" s="193"/>
      <c r="D163" s="190" t="s">
        <v>644</v>
      </c>
      <c r="E163" s="191" t="s">
        <v>822</v>
      </c>
      <c r="F163" s="191" t="s">
        <v>823</v>
      </c>
      <c r="G163" s="191" t="s">
        <v>824</v>
      </c>
      <c r="H163" s="192"/>
      <c r="I163" s="210"/>
      <c r="J163" s="279"/>
      <c r="K163" s="282"/>
      <c r="L163" s="66"/>
      <c r="M163" s="66"/>
      <c r="N163" s="66"/>
      <c r="O163" s="66"/>
      <c r="P163" s="66" t="str">
        <f t="shared" si="4"/>
        <v>MANUEL MARK  ALMONTE</v>
      </c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18" customHeight="1">
      <c r="A164" s="188">
        <v>155</v>
      </c>
      <c r="B164" s="193" t="s">
        <v>801</v>
      </c>
      <c r="C164" s="193" t="s">
        <v>39</v>
      </c>
      <c r="D164" s="194" t="s">
        <v>24</v>
      </c>
      <c r="E164" s="204" t="s">
        <v>825</v>
      </c>
      <c r="F164" s="204" t="s">
        <v>826</v>
      </c>
      <c r="G164" s="204" t="s">
        <v>827</v>
      </c>
      <c r="H164" s="205"/>
      <c r="I164" s="210"/>
      <c r="J164" s="279" t="s">
        <v>828</v>
      </c>
      <c r="K164" s="307" t="s">
        <v>551</v>
      </c>
      <c r="L164" s="66"/>
      <c r="M164" s="66"/>
      <c r="N164" s="66"/>
      <c r="O164" s="66"/>
      <c r="P164" s="66" t="str">
        <f t="shared" si="4"/>
        <v>CRUZAT MARIEL ARELLANO</v>
      </c>
      <c r="Q164" s="66" t="str">
        <f>IFERROR(VLOOKUP(P164,[1]Disposition!$AB$9:$AC$495,2,0),"NO RECORD YET")</f>
        <v>Brgy. Conrazon, Bansud, Oriental Mindoro</v>
      </c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18" customHeight="1">
      <c r="A165" s="188">
        <v>156</v>
      </c>
      <c r="B165" s="193" t="s">
        <v>801</v>
      </c>
      <c r="C165" s="193" t="s">
        <v>39</v>
      </c>
      <c r="D165" s="194" t="s">
        <v>24</v>
      </c>
      <c r="E165" s="204" t="s">
        <v>829</v>
      </c>
      <c r="F165" s="204" t="s">
        <v>830</v>
      </c>
      <c r="G165" s="204" t="s">
        <v>831</v>
      </c>
      <c r="H165" s="205"/>
      <c r="I165" s="210"/>
      <c r="J165" s="279" t="s">
        <v>832</v>
      </c>
      <c r="K165" s="307" t="s">
        <v>833</v>
      </c>
      <c r="L165" s="66"/>
      <c r="M165" s="66"/>
      <c r="N165" s="66"/>
      <c r="O165" s="66"/>
      <c r="P165" s="66" t="str">
        <f t="shared" si="4"/>
        <v>MERQUE JUDE ANN GRIEGO</v>
      </c>
      <c r="Q165" s="66" t="str">
        <f>IFERROR(VLOOKUP(P165,[1]Disposition!$AB$9:$AC$495,2,0),"NO RECORD YET")</f>
        <v>Riverside, Victoria, Roxas, Oriental Mindoro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18" customHeight="1">
      <c r="A166" s="188">
        <v>157</v>
      </c>
      <c r="B166" s="193" t="s">
        <v>801</v>
      </c>
      <c r="C166" s="193" t="s">
        <v>39</v>
      </c>
      <c r="D166" s="190" t="s">
        <v>40</v>
      </c>
      <c r="E166" s="191" t="s">
        <v>834</v>
      </c>
      <c r="F166" s="191" t="s">
        <v>835</v>
      </c>
      <c r="G166" s="191" t="s">
        <v>836</v>
      </c>
      <c r="H166" s="192"/>
      <c r="I166" s="210"/>
      <c r="J166" s="285"/>
      <c r="K166" s="282"/>
      <c r="L166" s="66"/>
      <c r="M166" s="66"/>
      <c r="N166" s="66"/>
      <c r="O166" s="66"/>
      <c r="P166" s="66" t="str">
        <f t="shared" si="4"/>
        <v>FAJARDO JAMELA CRUZ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spans="1:27" ht="18" customHeight="1">
      <c r="A167" s="188">
        <v>158</v>
      </c>
      <c r="B167" s="193" t="s">
        <v>837</v>
      </c>
      <c r="C167" s="193" t="s">
        <v>19</v>
      </c>
      <c r="D167" s="190" t="s">
        <v>96</v>
      </c>
      <c r="E167" s="204" t="s">
        <v>838</v>
      </c>
      <c r="F167" s="204" t="s">
        <v>839</v>
      </c>
      <c r="G167" s="204" t="s">
        <v>840</v>
      </c>
      <c r="H167" s="205"/>
      <c r="I167" s="210"/>
      <c r="J167" s="279" t="s">
        <v>841</v>
      </c>
      <c r="K167" s="307" t="s">
        <v>842</v>
      </c>
      <c r="L167" s="66"/>
      <c r="M167" s="66"/>
      <c r="N167" s="66"/>
      <c r="O167" s="66"/>
      <c r="P167" s="66" t="str">
        <f t="shared" si="4"/>
        <v>SYTICO JAMES ALCERA</v>
      </c>
      <c r="Q167" s="66" t="str">
        <f>IFERROR(VLOOKUP(P167,[1]Disposition!$AB$9:$AC$495,2,0),"NO RECORD YET")</f>
        <v>Estillero St., Commonwealth, Roario, Northern Samar</v>
      </c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18" customHeight="1">
      <c r="A168" s="188">
        <v>159</v>
      </c>
      <c r="B168" s="193" t="s">
        <v>837</v>
      </c>
      <c r="C168" s="193" t="s">
        <v>19</v>
      </c>
      <c r="D168" s="190" t="s">
        <v>28</v>
      </c>
      <c r="E168" s="195" t="s">
        <v>843</v>
      </c>
      <c r="F168" s="195" t="s">
        <v>844</v>
      </c>
      <c r="G168" s="195" t="s">
        <v>845</v>
      </c>
      <c r="H168" s="194"/>
      <c r="I168" s="210"/>
      <c r="J168" s="281" t="s">
        <v>846</v>
      </c>
      <c r="K168" s="307" t="s">
        <v>847</v>
      </c>
      <c r="L168" s="66"/>
      <c r="M168" s="66"/>
      <c r="N168" s="66"/>
      <c r="O168" s="66"/>
      <c r="P168" s="66" t="str">
        <f t="shared" si="4"/>
        <v>APALLA RUEL AMPIS</v>
      </c>
      <c r="Q168" s="66" t="str">
        <f>IFERROR(VLOOKUP(P168,[1]Disposition!$AB$9:$AC$495,2,0),"NO RECORD YET")</f>
        <v>NO RECORD YET</v>
      </c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18" customHeight="1">
      <c r="A169" s="188">
        <v>160</v>
      </c>
      <c r="B169" s="193" t="s">
        <v>837</v>
      </c>
      <c r="C169" s="193" t="s">
        <v>19</v>
      </c>
      <c r="D169" s="190" t="s">
        <v>28</v>
      </c>
      <c r="E169" s="195" t="s">
        <v>848</v>
      </c>
      <c r="F169" s="195" t="s">
        <v>849</v>
      </c>
      <c r="G169" s="195" t="s">
        <v>146</v>
      </c>
      <c r="H169" s="194"/>
      <c r="I169" s="210"/>
      <c r="J169" s="281" t="s">
        <v>850</v>
      </c>
      <c r="K169" s="307" t="s">
        <v>851</v>
      </c>
      <c r="L169" s="66"/>
      <c r="M169" s="66"/>
      <c r="N169" s="66"/>
      <c r="O169" s="66"/>
      <c r="P169" s="66" t="str">
        <f t="shared" si="4"/>
        <v>DICO JOEMAR RODRIGUEZ</v>
      </c>
      <c r="Q169" s="66" t="str">
        <f>IFERROR(VLOOKUP(P169,[1]Disposition!$AB$9:$AC$495,2,0),"NO RECORD YET")</f>
        <v>NO RECORD YET</v>
      </c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18" customHeight="1">
      <c r="A170" s="188">
        <v>161</v>
      </c>
      <c r="B170" s="193" t="s">
        <v>837</v>
      </c>
      <c r="C170" s="193" t="s">
        <v>19</v>
      </c>
      <c r="D170" s="190" t="s">
        <v>28</v>
      </c>
      <c r="E170" s="195" t="s">
        <v>852</v>
      </c>
      <c r="F170" s="195" t="s">
        <v>853</v>
      </c>
      <c r="G170" s="195" t="s">
        <v>854</v>
      </c>
      <c r="H170" s="194"/>
      <c r="I170" s="210"/>
      <c r="J170" s="281" t="s">
        <v>855</v>
      </c>
      <c r="K170" s="307" t="s">
        <v>856</v>
      </c>
      <c r="L170" s="66"/>
      <c r="M170" s="66"/>
      <c r="N170" s="66"/>
      <c r="O170" s="66"/>
      <c r="P170" s="66" t="str">
        <f t="shared" si="4"/>
        <v>FRANK JEFF BRIAN RUIZ</v>
      </c>
      <c r="Q170" s="66" t="str">
        <f>IFERROR(VLOOKUP(P170,[1]Disposition!$AB$9:$AC$495,2,0),"NO RECORD YET")</f>
        <v>NO RECORD YET</v>
      </c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18" customHeight="1">
      <c r="A171" s="188">
        <v>162</v>
      </c>
      <c r="B171" s="193" t="s">
        <v>837</v>
      </c>
      <c r="C171" s="193" t="s">
        <v>19</v>
      </c>
      <c r="D171" s="190" t="s">
        <v>28</v>
      </c>
      <c r="E171" s="195" t="s">
        <v>857</v>
      </c>
      <c r="F171" s="195" t="s">
        <v>858</v>
      </c>
      <c r="G171" s="195" t="s">
        <v>401</v>
      </c>
      <c r="H171" s="194"/>
      <c r="I171" s="210"/>
      <c r="J171" s="185" t="s">
        <v>859</v>
      </c>
      <c r="K171" s="307" t="s">
        <v>860</v>
      </c>
      <c r="L171" s="66"/>
      <c r="M171" s="66"/>
      <c r="N171" s="66"/>
      <c r="O171" s="66"/>
      <c r="P171" s="66" t="str">
        <f t="shared" si="4"/>
        <v>TAGUINOD DANNY BOY ONG</v>
      </c>
      <c r="Q171" s="66" t="str">
        <f>IFERROR(VLOOKUP(P171,[1]Disposition!$AB$9:$AC$495,2,0),"NO RECORD YET")</f>
        <v>NO RECORD YET</v>
      </c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18" customHeight="1">
      <c r="A172" s="188">
        <v>163</v>
      </c>
      <c r="B172" s="193" t="s">
        <v>837</v>
      </c>
      <c r="C172" s="193" t="s">
        <v>39</v>
      </c>
      <c r="D172" s="190" t="s">
        <v>40</v>
      </c>
      <c r="E172" s="191" t="s">
        <v>861</v>
      </c>
      <c r="F172" s="191" t="s">
        <v>862</v>
      </c>
      <c r="G172" s="191" t="s">
        <v>863</v>
      </c>
      <c r="H172" s="192"/>
      <c r="I172" s="210"/>
      <c r="J172" s="279" t="s">
        <v>864</v>
      </c>
      <c r="K172" s="307" t="s">
        <v>865</v>
      </c>
      <c r="L172" s="66"/>
      <c r="M172" s="66"/>
      <c r="N172" s="66"/>
      <c r="O172" s="66"/>
      <c r="P172" s="66" t="str">
        <f t="shared" si="4"/>
        <v>ANARNA DARIA CALAMAYA</v>
      </c>
      <c r="Q172" s="66" t="str">
        <f>IFERROR(VLOOKUP(P172,[1]Disposition!$AB$9:$AC$495,2,0),"NO RECORD YET")</f>
        <v>79 Narra St., Marikina Heights, Marikina City.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18" customHeight="1">
      <c r="A173" s="188">
        <v>164</v>
      </c>
      <c r="B173" s="193" t="s">
        <v>837</v>
      </c>
      <c r="C173" s="193" t="s">
        <v>39</v>
      </c>
      <c r="D173" s="190" t="s">
        <v>40</v>
      </c>
      <c r="E173" s="191" t="s">
        <v>866</v>
      </c>
      <c r="F173" s="191" t="s">
        <v>867</v>
      </c>
      <c r="G173" s="191" t="s">
        <v>868</v>
      </c>
      <c r="H173" s="192"/>
      <c r="I173" s="210"/>
      <c r="J173" s="279" t="s">
        <v>869</v>
      </c>
      <c r="K173" s="307" t="s">
        <v>870</v>
      </c>
      <c r="L173" s="66"/>
      <c r="M173" s="66"/>
      <c r="N173" s="66"/>
      <c r="O173" s="66"/>
      <c r="P173" s="66" t="str">
        <f t="shared" si="4"/>
        <v>GUALVEZ ANABELLE BAYONA</v>
      </c>
      <c r="Q173" s="66" t="str">
        <f>IFERROR(VLOOKUP(P173,[1]Disposition!$AB$9:$AC$495,2,0),"NO RECORD YET")</f>
        <v>161 Kanlaon St, Maharlika, Quezon City</v>
      </c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18" customHeight="1">
      <c r="A174" s="188">
        <v>165</v>
      </c>
      <c r="B174" s="193" t="s">
        <v>837</v>
      </c>
      <c r="C174" s="193" t="s">
        <v>39</v>
      </c>
      <c r="D174" s="190" t="s">
        <v>40</v>
      </c>
      <c r="E174" s="191" t="s">
        <v>871</v>
      </c>
      <c r="F174" s="191" t="s">
        <v>872</v>
      </c>
      <c r="G174" s="191" t="s">
        <v>873</v>
      </c>
      <c r="H174" s="192"/>
      <c r="I174" s="228"/>
      <c r="J174" s="285"/>
      <c r="K174" s="282"/>
      <c r="L174" s="66"/>
      <c r="M174" s="66"/>
      <c r="N174" s="66"/>
      <c r="O174" s="66"/>
      <c r="P174" s="66" t="str">
        <f t="shared" si="4"/>
        <v>LAGGUI DANIELLA MARIE ALLAUIGAN</v>
      </c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18" customHeight="1">
      <c r="A175" s="188">
        <v>166</v>
      </c>
      <c r="B175" s="193" t="s">
        <v>837</v>
      </c>
      <c r="C175" s="193" t="s">
        <v>39</v>
      </c>
      <c r="D175" s="190" t="s">
        <v>40</v>
      </c>
      <c r="E175" s="191" t="s">
        <v>874</v>
      </c>
      <c r="F175" s="191" t="s">
        <v>875</v>
      </c>
      <c r="G175" s="191" t="s">
        <v>876</v>
      </c>
      <c r="H175" s="192"/>
      <c r="I175" s="210"/>
      <c r="J175" s="279" t="s">
        <v>877</v>
      </c>
      <c r="K175" s="307" t="s">
        <v>878</v>
      </c>
      <c r="L175" s="66"/>
      <c r="M175" s="66"/>
      <c r="N175" s="66"/>
      <c r="O175" s="66"/>
      <c r="P175" s="66" t="str">
        <f t="shared" si="4"/>
        <v>MISTICA MA FELIRITA SUBIDO</v>
      </c>
      <c r="Q175" s="66" t="str">
        <f>IFERROR(VLOOKUP(P175,[1]Disposition!$AB$9:$AC$495,2,0),"NO RECORD YET")</f>
        <v>44 San Isidro St, Santol, Brgy. Sto Nino, Quezon City</v>
      </c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18" customHeight="1">
      <c r="A176" s="188">
        <v>167</v>
      </c>
      <c r="B176" s="193" t="s">
        <v>837</v>
      </c>
      <c r="C176" s="193" t="s">
        <v>39</v>
      </c>
      <c r="D176" s="190" t="s">
        <v>40</v>
      </c>
      <c r="E176" s="191" t="s">
        <v>879</v>
      </c>
      <c r="F176" s="191" t="s">
        <v>880</v>
      </c>
      <c r="G176" s="191" t="s">
        <v>881</v>
      </c>
      <c r="H176" s="202"/>
      <c r="I176" s="212"/>
      <c r="J176" s="279" t="s">
        <v>882</v>
      </c>
      <c r="K176" s="307" t="s">
        <v>883</v>
      </c>
      <c r="L176" s="66"/>
      <c r="M176" s="66"/>
      <c r="N176" s="66"/>
      <c r="O176" s="66"/>
      <c r="P176" s="66" t="str">
        <f t="shared" si="4"/>
        <v>NIEVA AILEEN SABELA</v>
      </c>
      <c r="Q176" s="66" t="str">
        <f>IFERROR(VLOOKUP(P176,[1]Disposition!$AB$9:$AC$495,2,0),"NO RECORD YET")</f>
        <v>Blk 10 Lot 42 Phase 1, E.P. Village, Brgy. Pinagsama, Taguig City</v>
      </c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18" customHeight="1">
      <c r="A177" s="188">
        <v>168</v>
      </c>
      <c r="B177" s="193" t="s">
        <v>837</v>
      </c>
      <c r="C177" s="193" t="s">
        <v>39</v>
      </c>
      <c r="D177" s="194" t="s">
        <v>40</v>
      </c>
      <c r="E177" s="204" t="s">
        <v>884</v>
      </c>
      <c r="F177" s="204" t="s">
        <v>885</v>
      </c>
      <c r="G177" s="204" t="s">
        <v>886</v>
      </c>
      <c r="H177" s="205"/>
      <c r="I177" s="212"/>
      <c r="J177" s="279"/>
      <c r="K177" s="282"/>
      <c r="L177" s="66"/>
      <c r="M177" s="66"/>
      <c r="N177" s="66"/>
      <c r="O177" s="66"/>
      <c r="P177" s="66" t="str">
        <f t="shared" si="4"/>
        <v>PILAR JESSA KRIS CORDOVA</v>
      </c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18" customHeight="1">
      <c r="A178" s="188">
        <v>169</v>
      </c>
      <c r="B178" s="193" t="s">
        <v>837</v>
      </c>
      <c r="C178" s="193" t="s">
        <v>39</v>
      </c>
      <c r="D178" s="190" t="s">
        <v>40</v>
      </c>
      <c r="E178" s="191" t="s">
        <v>887</v>
      </c>
      <c r="F178" s="191" t="s">
        <v>888</v>
      </c>
      <c r="G178" s="191" t="s">
        <v>639</v>
      </c>
      <c r="H178" s="192"/>
      <c r="I178" s="212"/>
      <c r="J178" s="279" t="s">
        <v>889</v>
      </c>
      <c r="K178" s="307" t="s">
        <v>890</v>
      </c>
      <c r="L178" s="66"/>
      <c r="M178" s="66"/>
      <c r="N178" s="66"/>
      <c r="O178" s="66"/>
      <c r="P178" s="66" t="str">
        <f t="shared" si="4"/>
        <v>TURALBA KIMBERLY JOYCE FONTANILLA</v>
      </c>
      <c r="Q178" s="66" t="str">
        <f>IFERROR(VLOOKUP(P178,[1]Disposition!$AB$9:$AC$495,2,0),"NO RECORD YET")</f>
        <v>Blk  30 Lot 31-32 Expansion 2, Heroesville 1 Subd., Gaya-gaya, SJDM, Bulacan</v>
      </c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18" customHeight="1">
      <c r="A179" s="188">
        <v>170</v>
      </c>
      <c r="B179" s="189" t="s">
        <v>891</v>
      </c>
      <c r="C179" s="193" t="s">
        <v>39</v>
      </c>
      <c r="D179" s="190" t="s">
        <v>246</v>
      </c>
      <c r="E179" s="191" t="s">
        <v>892</v>
      </c>
      <c r="F179" s="191" t="s">
        <v>422</v>
      </c>
      <c r="G179" s="191" t="s">
        <v>893</v>
      </c>
      <c r="H179" s="192"/>
      <c r="I179" s="210"/>
      <c r="J179" s="279"/>
      <c r="K179" s="282"/>
      <c r="L179" s="257"/>
      <c r="M179" s="257"/>
      <c r="N179" s="257"/>
      <c r="O179" s="257"/>
      <c r="P179" s="257" t="str">
        <f t="shared" si="4"/>
        <v>PAMITTAN JOCELYN LATTAO</v>
      </c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  <c r="AA179" s="257"/>
    </row>
    <row r="180" spans="1:27" ht="18" customHeight="1">
      <c r="A180" s="188">
        <v>171</v>
      </c>
      <c r="B180" s="189" t="s">
        <v>891</v>
      </c>
      <c r="C180" s="193" t="s">
        <v>19</v>
      </c>
      <c r="D180" s="190" t="s">
        <v>28</v>
      </c>
      <c r="E180" s="195" t="s">
        <v>894</v>
      </c>
      <c r="F180" s="195" t="s">
        <v>895</v>
      </c>
      <c r="G180" s="195" t="s">
        <v>896</v>
      </c>
      <c r="H180" s="194"/>
      <c r="I180" s="210"/>
      <c r="J180" s="65" t="s">
        <v>897</v>
      </c>
      <c r="K180" s="307" t="s">
        <v>898</v>
      </c>
      <c r="L180" s="66"/>
      <c r="M180" s="66"/>
      <c r="N180" s="66"/>
      <c r="O180" s="66"/>
      <c r="P180" s="66" t="str">
        <f t="shared" si="4"/>
        <v>VALLEJOS DRANREB GAPAL</v>
      </c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18" customHeight="1">
      <c r="A181" s="188">
        <v>172</v>
      </c>
      <c r="B181" s="189" t="s">
        <v>891</v>
      </c>
      <c r="C181" s="189" t="s">
        <v>19</v>
      </c>
      <c r="D181" s="190" t="s">
        <v>40</v>
      </c>
      <c r="E181" s="191" t="s">
        <v>899</v>
      </c>
      <c r="F181" s="191" t="s">
        <v>900</v>
      </c>
      <c r="G181" s="191" t="s">
        <v>901</v>
      </c>
      <c r="H181" s="192"/>
      <c r="I181" s="210"/>
      <c r="J181" s="279" t="s">
        <v>902</v>
      </c>
      <c r="K181" s="307" t="s">
        <v>903</v>
      </c>
      <c r="L181" s="66"/>
      <c r="M181" s="66"/>
      <c r="N181" s="66"/>
      <c r="O181" s="66"/>
      <c r="P181" s="66" t="str">
        <f t="shared" si="4"/>
        <v>ACORDA ELPIDIO PALARCA</v>
      </c>
      <c r="Q181" s="66" t="str">
        <f>IFERROR(VLOOKUP(P181,[1]Disposition!$AB$9:$AC$495,2,0),"NO RECORD YET")</f>
        <v>44 - T Llano St., Brgy. Sangandaan, Tandang Sora, Quezon City</v>
      </c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18" customHeight="1">
      <c r="A182" s="188">
        <v>173</v>
      </c>
      <c r="B182" s="189" t="s">
        <v>891</v>
      </c>
      <c r="C182" s="193" t="s">
        <v>39</v>
      </c>
      <c r="D182" s="190" t="s">
        <v>40</v>
      </c>
      <c r="E182" s="191" t="s">
        <v>904</v>
      </c>
      <c r="F182" s="191" t="s">
        <v>905</v>
      </c>
      <c r="G182" s="191" t="s">
        <v>906</v>
      </c>
      <c r="H182" s="192"/>
      <c r="I182" s="212"/>
      <c r="J182" s="279" t="s">
        <v>907</v>
      </c>
      <c r="K182" s="307" t="s">
        <v>908</v>
      </c>
      <c r="L182" s="66"/>
      <c r="M182" s="66"/>
      <c r="N182" s="66"/>
      <c r="O182" s="66"/>
      <c r="P182" s="66" t="str">
        <f t="shared" si="4"/>
        <v>BACLIG NEILJANE ADONA</v>
      </c>
      <c r="Q182" s="66" t="str">
        <f>IFERROR(VLOOKUP(P182,[1]Disposition!$AB$9:$AC$495,2,0),"NO RECORD YET")</f>
        <v>Blk 9 Lot 19,  Rosario Complex, San Pedro, Laguna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18" customHeight="1">
      <c r="A183" s="188">
        <v>174</v>
      </c>
      <c r="B183" s="189" t="s">
        <v>891</v>
      </c>
      <c r="C183" s="193" t="s">
        <v>39</v>
      </c>
      <c r="D183" s="190" t="s">
        <v>40</v>
      </c>
      <c r="E183" s="191" t="s">
        <v>909</v>
      </c>
      <c r="F183" s="191" t="s">
        <v>910</v>
      </c>
      <c r="G183" s="191" t="s">
        <v>911</v>
      </c>
      <c r="H183" s="192"/>
      <c r="I183" s="210"/>
      <c r="J183" s="279" t="s">
        <v>912</v>
      </c>
      <c r="K183" s="307" t="s">
        <v>913</v>
      </c>
      <c r="L183" s="66"/>
      <c r="M183" s="66"/>
      <c r="N183" s="66"/>
      <c r="O183" s="66"/>
      <c r="P183" s="66" t="str">
        <f t="shared" si="4"/>
        <v>HERRERA PACIVICA BAYHON</v>
      </c>
      <c r="Q183" s="66" t="str">
        <f>IFERROR(VLOOKUP(P183,[1]Disposition!$AB$9:$AC$495,2,0),"NO RECORD YET")</f>
        <v>30 L Woodd St., Balara, Quezon City</v>
      </c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18" customHeight="1">
      <c r="A184" s="188">
        <v>175</v>
      </c>
      <c r="B184" s="189" t="s">
        <v>891</v>
      </c>
      <c r="C184" s="193" t="s">
        <v>39</v>
      </c>
      <c r="D184" s="190" t="s">
        <v>40</v>
      </c>
      <c r="E184" s="191" t="s">
        <v>914</v>
      </c>
      <c r="F184" s="191" t="s">
        <v>915</v>
      </c>
      <c r="G184" s="191" t="s">
        <v>916</v>
      </c>
      <c r="H184" s="192"/>
      <c r="I184" s="210"/>
      <c r="J184" s="279" t="s">
        <v>917</v>
      </c>
      <c r="K184" s="307" t="s">
        <v>918</v>
      </c>
      <c r="L184" s="66"/>
      <c r="M184" s="66"/>
      <c r="N184" s="66"/>
      <c r="O184" s="66"/>
      <c r="P184" s="66" t="str">
        <f t="shared" si="4"/>
        <v>LEE MARIA ELISA SUERO</v>
      </c>
      <c r="Q184" s="66" t="str">
        <f>IFERROR(VLOOKUP(P184,[1]Disposition!$AB$9:$AC$495,2,0),"NO RECORD YET")</f>
        <v>36 Mindanao St., Filipinas Village, Marikina</v>
      </c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18" customHeight="1">
      <c r="A185" s="188">
        <v>176</v>
      </c>
      <c r="B185" s="189" t="s">
        <v>919</v>
      </c>
      <c r="C185" s="189" t="s">
        <v>19</v>
      </c>
      <c r="D185" s="190" t="s">
        <v>160</v>
      </c>
      <c r="E185" s="191" t="s">
        <v>920</v>
      </c>
      <c r="F185" s="191" t="s">
        <v>501</v>
      </c>
      <c r="G185" s="191" t="s">
        <v>921</v>
      </c>
      <c r="H185" s="192"/>
      <c r="I185" s="210"/>
      <c r="J185" s="279" t="s">
        <v>922</v>
      </c>
      <c r="K185" s="307" t="s">
        <v>923</v>
      </c>
      <c r="L185" s="66"/>
      <c r="M185" s="66"/>
      <c r="N185" s="66"/>
      <c r="O185" s="66"/>
      <c r="P185" s="66" t="str">
        <f t="shared" si="4"/>
        <v>BALMACEDA ROMMEL BANGUILAN</v>
      </c>
      <c r="Q185" s="66">
        <f>IFERROR(VLOOKUP(P185,[1]Disposition!$AB$9:$AC$495,2,0),"NO RECORD YET")</f>
        <v>0</v>
      </c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spans="1:27" ht="18" customHeight="1">
      <c r="A186" s="188">
        <v>177</v>
      </c>
      <c r="B186" s="189" t="s">
        <v>924</v>
      </c>
      <c r="C186" s="189" t="s">
        <v>19</v>
      </c>
      <c r="D186" s="190" t="s">
        <v>160</v>
      </c>
      <c r="E186" s="191" t="s">
        <v>318</v>
      </c>
      <c r="F186" s="191" t="s">
        <v>925</v>
      </c>
      <c r="G186" s="191" t="s">
        <v>926</v>
      </c>
      <c r="H186" s="192"/>
      <c r="I186" s="210"/>
      <c r="J186" s="279" t="s">
        <v>927</v>
      </c>
      <c r="K186" s="307" t="s">
        <v>928</v>
      </c>
      <c r="L186" s="66"/>
      <c r="M186" s="66"/>
      <c r="N186" s="66"/>
      <c r="O186" s="66"/>
      <c r="P186" s="66" t="str">
        <f t="shared" si="4"/>
        <v>AQUINO JOHANNES GOLD LUCERO</v>
      </c>
      <c r="Q186" s="66" t="str">
        <f>IFERROR(VLOOKUP(P186,[1]Disposition!$AB$9:$AC$495,2,0),"NO RECORD YET")</f>
        <v>L11A B43 Galaxy St., Rancho Estate 3,  Concepcion Dos, Marikina City</v>
      </c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18" customHeight="1">
      <c r="A187" s="188">
        <v>178</v>
      </c>
      <c r="B187" s="189" t="s">
        <v>919</v>
      </c>
      <c r="C187" s="189" t="s">
        <v>19</v>
      </c>
      <c r="D187" s="190" t="s">
        <v>366</v>
      </c>
      <c r="E187" s="191" t="s">
        <v>929</v>
      </c>
      <c r="F187" s="191" t="s">
        <v>930</v>
      </c>
      <c r="G187" s="191" t="s">
        <v>931</v>
      </c>
      <c r="H187" s="192"/>
      <c r="I187" s="210"/>
      <c r="J187" s="279" t="s">
        <v>932</v>
      </c>
      <c r="K187" s="307" t="s">
        <v>933</v>
      </c>
      <c r="L187" s="66"/>
      <c r="M187" s="66"/>
      <c r="N187" s="66"/>
      <c r="O187" s="66"/>
      <c r="P187" s="66" t="str">
        <f t="shared" si="4"/>
        <v>PALISOC PREMIER HAROLD TABUÑAR</v>
      </c>
      <c r="Q187" s="66" t="str">
        <f>IFERROR(VLOOKUP(P187,[1]Disposition!$AB$9:$AC$495,2,0),"NO RECORD YET")</f>
        <v>81 Felipe Calderon St., Pussuac, Sto Domingo, Ilocos sur,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spans="1:27" ht="18" customHeight="1">
      <c r="A188" s="188">
        <v>179</v>
      </c>
      <c r="B188" s="189" t="s">
        <v>919</v>
      </c>
      <c r="C188" s="189" t="s">
        <v>19</v>
      </c>
      <c r="D188" s="190" t="s">
        <v>28</v>
      </c>
      <c r="E188" s="195" t="s">
        <v>934</v>
      </c>
      <c r="F188" s="195" t="s">
        <v>935</v>
      </c>
      <c r="G188" s="195" t="s">
        <v>936</v>
      </c>
      <c r="H188" s="194"/>
      <c r="I188" s="210"/>
      <c r="J188" s="185" t="s">
        <v>937</v>
      </c>
      <c r="K188" s="307" t="s">
        <v>938</v>
      </c>
      <c r="L188" s="66"/>
      <c r="M188" s="66"/>
      <c r="N188" s="66"/>
      <c r="O188" s="66"/>
      <c r="P188" s="66" t="str">
        <f t="shared" si="4"/>
        <v>MOLINA DOMINICK EZRA GACES</v>
      </c>
      <c r="Q188" s="66" t="str">
        <f>IFERROR(VLOOKUP(P188,[1]Disposition!$AB$9:$AC$495,2,0),"NO RECORD YET")</f>
        <v>NO RECORD YET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spans="1:27" ht="18" customHeight="1">
      <c r="A189" s="188">
        <v>180</v>
      </c>
      <c r="B189" s="189" t="s">
        <v>919</v>
      </c>
      <c r="C189" s="193" t="s">
        <v>39</v>
      </c>
      <c r="D189" s="190" t="s">
        <v>40</v>
      </c>
      <c r="E189" s="191" t="s">
        <v>939</v>
      </c>
      <c r="F189" s="191" t="s">
        <v>940</v>
      </c>
      <c r="G189" s="191" t="s">
        <v>941</v>
      </c>
      <c r="H189" s="192"/>
      <c r="I189" s="210"/>
      <c r="J189" s="279"/>
      <c r="K189" s="282"/>
      <c r="L189" s="66"/>
      <c r="M189" s="66"/>
      <c r="N189" s="66"/>
      <c r="O189" s="66"/>
      <c r="P189" s="66" t="str">
        <f t="shared" si="4"/>
        <v>ALCANTARA JHINNA-LOU SAN ESTEBAN</v>
      </c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spans="1:27" ht="18" customHeight="1">
      <c r="A190" s="188">
        <v>181</v>
      </c>
      <c r="B190" s="189" t="s">
        <v>919</v>
      </c>
      <c r="C190" s="193" t="s">
        <v>39</v>
      </c>
      <c r="D190" s="190" t="s">
        <v>40</v>
      </c>
      <c r="E190" s="191" t="s">
        <v>942</v>
      </c>
      <c r="F190" s="191" t="s">
        <v>943</v>
      </c>
      <c r="G190" s="191" t="s">
        <v>944</v>
      </c>
      <c r="H190" s="192"/>
      <c r="I190" s="210"/>
      <c r="J190" s="279" t="s">
        <v>945</v>
      </c>
      <c r="K190" s="307" t="s">
        <v>946</v>
      </c>
      <c r="L190" s="66"/>
      <c r="M190" s="66"/>
      <c r="N190" s="66"/>
      <c r="O190" s="66"/>
      <c r="P190" s="66" t="str">
        <f t="shared" si="4"/>
        <v>MATEO MARIAN AILEEN R'JOSE</v>
      </c>
      <c r="Q190" s="66" t="str">
        <f>IFERROR(VLOOKUP(P190,[1]Disposition!$AB$9:$AC$495,2,0),"NO RECORD YET")</f>
        <v>369 Dalisay St., Bacood, Sta. Mesa, Manila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spans="1:27" ht="18" customHeight="1">
      <c r="A191" s="188">
        <v>182</v>
      </c>
      <c r="B191" s="189" t="s">
        <v>919</v>
      </c>
      <c r="C191" s="193" t="s">
        <v>39</v>
      </c>
      <c r="D191" s="194" t="s">
        <v>40</v>
      </c>
      <c r="E191" s="204" t="s">
        <v>947</v>
      </c>
      <c r="F191" s="204" t="s">
        <v>948</v>
      </c>
      <c r="G191" s="204" t="s">
        <v>949</v>
      </c>
      <c r="H191" s="194"/>
      <c r="I191" s="228"/>
      <c r="J191" s="279"/>
      <c r="K191" s="282"/>
      <c r="L191" s="66"/>
      <c r="M191" s="66"/>
      <c r="N191" s="66"/>
      <c r="O191" s="66"/>
      <c r="P191" s="66" t="str">
        <f t="shared" si="4"/>
        <v>PAREDES CONNIE VALDEZ</v>
      </c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spans="1:27" ht="18" customHeight="1">
      <c r="A192" s="188">
        <v>183</v>
      </c>
      <c r="B192" s="189" t="s">
        <v>919</v>
      </c>
      <c r="C192" s="193" t="s">
        <v>39</v>
      </c>
      <c r="D192" s="190" t="s">
        <v>40</v>
      </c>
      <c r="E192" s="191" t="s">
        <v>950</v>
      </c>
      <c r="F192" s="191" t="s">
        <v>951</v>
      </c>
      <c r="G192" s="191" t="s">
        <v>952</v>
      </c>
      <c r="H192" s="192"/>
      <c r="I192" s="210"/>
      <c r="J192" s="279" t="s">
        <v>953</v>
      </c>
      <c r="K192" s="307" t="s">
        <v>954</v>
      </c>
      <c r="L192" s="66"/>
      <c r="M192" s="66"/>
      <c r="N192" s="66"/>
      <c r="O192" s="66"/>
      <c r="P192" s="66" t="str">
        <f t="shared" si="4"/>
        <v>RECLA SILVINA LLANTO</v>
      </c>
      <c r="Q192" s="66" t="str">
        <f>IFERROR(VLOOKUP(P192,[1]Disposition!$AB$9:$AC$495,2,0),"NO RECORD YET")</f>
        <v>Cluster 5,14B Greehills Garden Square Condominium, Bonnie Serrano Ave., Quezon City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spans="1:27" ht="18" customHeight="1">
      <c r="A193" s="188">
        <v>184</v>
      </c>
      <c r="B193" s="189" t="s">
        <v>919</v>
      </c>
      <c r="C193" s="193" t="s">
        <v>39</v>
      </c>
      <c r="D193" s="190" t="s">
        <v>40</v>
      </c>
      <c r="E193" s="191" t="s">
        <v>955</v>
      </c>
      <c r="F193" s="191" t="s">
        <v>956</v>
      </c>
      <c r="G193" s="191" t="s">
        <v>957</v>
      </c>
      <c r="H193" s="192"/>
      <c r="I193" s="210"/>
      <c r="J193" s="279" t="s">
        <v>958</v>
      </c>
      <c r="K193" s="307" t="s">
        <v>959</v>
      </c>
      <c r="L193" s="66"/>
      <c r="M193" s="66"/>
      <c r="N193" s="66"/>
      <c r="O193" s="66"/>
      <c r="P193" s="66" t="str">
        <f t="shared" si="4"/>
        <v>RUMBAOA SHIRLY CABUSORA</v>
      </c>
      <c r="Q193" s="66" t="str">
        <f>IFERROR(VLOOKUP(P193,[1]Disposition!$AB$9:$AC$495,2,0),"NO RECORD YET")</f>
        <v>13A 1st Avenue, Brgy Bagong Lipunan ng Crame, Quezon City</v>
      </c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ht="18" customHeight="1">
      <c r="A194" s="188">
        <v>185</v>
      </c>
      <c r="B194" s="189" t="s">
        <v>919</v>
      </c>
      <c r="C194" s="193" t="s">
        <v>39</v>
      </c>
      <c r="D194" s="190" t="s">
        <v>40</v>
      </c>
      <c r="E194" s="191" t="s">
        <v>960</v>
      </c>
      <c r="F194" s="191" t="s">
        <v>961</v>
      </c>
      <c r="G194" s="191" t="s">
        <v>962</v>
      </c>
      <c r="H194" s="192"/>
      <c r="I194" s="210"/>
      <c r="J194" s="279" t="s">
        <v>963</v>
      </c>
      <c r="K194" s="307" t="s">
        <v>964</v>
      </c>
      <c r="L194" s="66"/>
      <c r="M194" s="66"/>
      <c r="N194" s="66"/>
      <c r="O194" s="66"/>
      <c r="P194" s="66" t="str">
        <f t="shared" si="4"/>
        <v>UNTALAN RACHEL  GUTIERREZ</v>
      </c>
      <c r="Q194" s="66" t="str">
        <f>IFERROR(VLOOKUP(P194,[1]Disposition!$AB$9:$AC$495,2,0),"NO RECORD YET")</f>
        <v>Mahacot West,  Batangas City</v>
      </c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spans="1:27" ht="18" customHeight="1">
      <c r="A195" s="188">
        <v>186</v>
      </c>
      <c r="B195" s="189" t="s">
        <v>965</v>
      </c>
      <c r="C195" s="193" t="s">
        <v>19</v>
      </c>
      <c r="D195" s="190" t="s">
        <v>277</v>
      </c>
      <c r="E195" s="191" t="s">
        <v>966</v>
      </c>
      <c r="F195" s="191" t="s">
        <v>967</v>
      </c>
      <c r="G195" s="191" t="s">
        <v>968</v>
      </c>
      <c r="H195" s="192"/>
      <c r="I195" s="212"/>
      <c r="J195" s="279" t="s">
        <v>969</v>
      </c>
      <c r="K195" s="307" t="s">
        <v>970</v>
      </c>
      <c r="L195" s="66"/>
      <c r="M195" s="66"/>
      <c r="N195" s="66"/>
      <c r="O195" s="66"/>
      <c r="P195" s="66" t="str">
        <f t="shared" si="4"/>
        <v>MINA EDGAR LABIAO</v>
      </c>
      <c r="Q195" s="66" t="str">
        <f>IFERROR(VLOOKUP(P195,[1]Disposition!$AB$9:$AC$495,2,0),"NO RECORD YET")</f>
        <v>Adarna St., Brgy. Commonwealth, Quezon City</v>
      </c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spans="1:27" ht="18" customHeight="1">
      <c r="A196" s="188">
        <v>187</v>
      </c>
      <c r="B196" s="189" t="s">
        <v>965</v>
      </c>
      <c r="C196" s="189" t="s">
        <v>19</v>
      </c>
      <c r="D196" s="190" t="s">
        <v>644</v>
      </c>
      <c r="E196" s="191" t="s">
        <v>971</v>
      </c>
      <c r="F196" s="191" t="s">
        <v>972</v>
      </c>
      <c r="G196" s="191" t="s">
        <v>973</v>
      </c>
      <c r="H196" s="192"/>
      <c r="I196" s="228"/>
      <c r="J196" s="279" t="s">
        <v>974</v>
      </c>
      <c r="K196" s="307" t="s">
        <v>975</v>
      </c>
      <c r="L196" s="66"/>
      <c r="M196" s="66"/>
      <c r="N196" s="66"/>
      <c r="O196" s="66"/>
      <c r="P196" s="66" t="str">
        <f t="shared" si="4"/>
        <v>AGUILAR JAMES BENEDICT GALVEZ</v>
      </c>
      <c r="Q196" s="66" t="str">
        <f>IFERROR(VLOOKUP(P196,[1]Disposition!$AB$9:$AC$495,2,0),"NO RECORD YET")</f>
        <v>528 Sampaguit St., San Juan Ildefonso, Bulacan</v>
      </c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spans="1:27" ht="18" customHeight="1">
      <c r="A197" s="188">
        <v>188</v>
      </c>
      <c r="B197" s="189" t="s">
        <v>965</v>
      </c>
      <c r="C197" s="189" t="s">
        <v>19</v>
      </c>
      <c r="D197" s="190" t="s">
        <v>24</v>
      </c>
      <c r="E197" s="191" t="s">
        <v>976</v>
      </c>
      <c r="F197" s="191" t="s">
        <v>977</v>
      </c>
      <c r="G197" s="191" t="s">
        <v>242</v>
      </c>
      <c r="H197" s="192"/>
      <c r="I197" s="212"/>
      <c r="J197" s="279" t="s">
        <v>978</v>
      </c>
      <c r="K197" s="307" t="s">
        <v>979</v>
      </c>
      <c r="L197" s="66"/>
      <c r="M197" s="66"/>
      <c r="N197" s="66"/>
      <c r="O197" s="66"/>
      <c r="P197" s="66" t="str">
        <f t="shared" si="4"/>
        <v>TAMANIO ANTHONY ELKING SALVADOR</v>
      </c>
      <c r="Q197" s="66" t="str">
        <f>IFERROR(VLOOKUP(P197,[1]Disposition!$AB$9:$AC$495,2,0),"NO RECORD YET")</f>
        <v>Blk 42 L 25 Ascencsion Ave., Brgy. Grater Lagro, Quezon City</v>
      </c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spans="1:27" ht="18" customHeight="1">
      <c r="A198" s="188">
        <v>189</v>
      </c>
      <c r="B198" s="189" t="s">
        <v>965</v>
      </c>
      <c r="C198" s="189" t="s">
        <v>19</v>
      </c>
      <c r="D198" s="190" t="s">
        <v>28</v>
      </c>
      <c r="E198" s="195" t="s">
        <v>980</v>
      </c>
      <c r="F198" s="195" t="s">
        <v>981</v>
      </c>
      <c r="G198" s="195" t="s">
        <v>982</v>
      </c>
      <c r="H198" s="194"/>
      <c r="I198" s="212"/>
      <c r="J198" s="185" t="s">
        <v>126</v>
      </c>
      <c r="K198" s="307" t="s">
        <v>983</v>
      </c>
      <c r="L198" s="66"/>
      <c r="M198" s="66"/>
      <c r="N198" s="66"/>
      <c r="O198" s="66"/>
      <c r="P198" s="66" t="str">
        <f t="shared" si="4"/>
        <v>BARQUIN CHRISTIAN PAUL SAN VICENTE</v>
      </c>
      <c r="Q198" s="66" t="str">
        <f>IFERROR(VLOOKUP(P198,[1]Disposition!$AB$9:$AC$495,2,0),"NO RECORD YET")</f>
        <v>NO RECORD YET</v>
      </c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spans="1:27" ht="18" customHeight="1">
      <c r="A199" s="188">
        <v>190</v>
      </c>
      <c r="B199" s="189" t="s">
        <v>965</v>
      </c>
      <c r="C199" s="193" t="s">
        <v>19</v>
      </c>
      <c r="D199" s="190" t="s">
        <v>28</v>
      </c>
      <c r="E199" s="195" t="s">
        <v>984</v>
      </c>
      <c r="F199" s="195" t="s">
        <v>985</v>
      </c>
      <c r="G199" s="195" t="s">
        <v>986</v>
      </c>
      <c r="H199" s="194"/>
      <c r="I199" s="210"/>
      <c r="J199" s="185" t="s">
        <v>987</v>
      </c>
      <c r="K199" s="307" t="s">
        <v>988</v>
      </c>
      <c r="L199" s="66"/>
      <c r="M199" s="66"/>
      <c r="N199" s="66"/>
      <c r="O199" s="66"/>
      <c r="P199" s="66" t="str">
        <f t="shared" si="4"/>
        <v>GUINAOWA JAYMAR GUDAREN</v>
      </c>
      <c r="Q199" s="66" t="str">
        <f>IFERROR(VLOOKUP(P199,[1]Disposition!$AB$9:$AC$495,2,0),"NO RECORD YET")</f>
        <v>NO RECORD YET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spans="1:27" ht="18" customHeight="1">
      <c r="A200" s="188">
        <v>191</v>
      </c>
      <c r="B200" s="189" t="s">
        <v>965</v>
      </c>
      <c r="C200" s="193" t="s">
        <v>39</v>
      </c>
      <c r="D200" s="190" t="s">
        <v>40</v>
      </c>
      <c r="E200" s="191" t="s">
        <v>989</v>
      </c>
      <c r="F200" s="191" t="s">
        <v>990</v>
      </c>
      <c r="G200" s="191" t="s">
        <v>991</v>
      </c>
      <c r="H200" s="192"/>
      <c r="I200" s="210"/>
      <c r="J200" s="279" t="s">
        <v>992</v>
      </c>
      <c r="K200" s="308" t="s">
        <v>993</v>
      </c>
      <c r="L200" s="66"/>
      <c r="M200" s="66"/>
      <c r="N200" s="66"/>
      <c r="O200" s="66"/>
      <c r="P200" s="66" t="str">
        <f>CONCATENATE('DISPO Att (2)'!D230," ",'DISPO Att (2)'!E230," ",'DISPO Att (2)'!F230)</f>
        <v>PCPT FERMANTEZ DINA</v>
      </c>
      <c r="Q200" s="66" t="str">
        <f>IFERROR(VLOOKUP(P200,[1]Disposition!$AB$9:$AC$495,2,0),"NO RECORD YET")</f>
        <v>NO RECORD YET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18" customHeight="1">
      <c r="A201" s="188">
        <v>192</v>
      </c>
      <c r="B201" s="189" t="s">
        <v>965</v>
      </c>
      <c r="C201" s="189" t="s">
        <v>19</v>
      </c>
      <c r="D201" s="190" t="s">
        <v>40</v>
      </c>
      <c r="E201" s="191" t="s">
        <v>994</v>
      </c>
      <c r="F201" s="191" t="s">
        <v>995</v>
      </c>
      <c r="G201" s="191" t="s">
        <v>996</v>
      </c>
      <c r="H201" s="192"/>
      <c r="I201" s="210"/>
      <c r="J201" s="279"/>
      <c r="K201" s="282"/>
      <c r="L201" s="66"/>
      <c r="M201" s="66"/>
      <c r="N201" s="66"/>
      <c r="O201" s="66"/>
      <c r="P201" s="66" t="str">
        <f t="shared" ref="P201:P211" si="5">CONCATENATE(E201," ",F201," ",G201)</f>
        <v>BUITRE TIMOTHY JOSEPH SIPIN</v>
      </c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18" customHeight="1">
      <c r="A202" s="188">
        <v>193</v>
      </c>
      <c r="B202" s="189" t="s">
        <v>965</v>
      </c>
      <c r="C202" s="193" t="s">
        <v>39</v>
      </c>
      <c r="D202" s="190" t="s">
        <v>40</v>
      </c>
      <c r="E202" s="191" t="s">
        <v>997</v>
      </c>
      <c r="F202" s="191" t="s">
        <v>998</v>
      </c>
      <c r="G202" s="191" t="s">
        <v>999</v>
      </c>
      <c r="H202" s="192"/>
      <c r="I202" s="210"/>
      <c r="J202" s="285"/>
      <c r="K202" s="282"/>
      <c r="L202" s="66"/>
      <c r="M202" s="66"/>
      <c r="N202" s="66"/>
      <c r="O202" s="66"/>
      <c r="P202" s="66" t="str">
        <f t="shared" si="5"/>
        <v>ENRIQUEZ ARIANE GRACE DE LEON</v>
      </c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18" customHeight="1">
      <c r="A203" s="188">
        <v>194</v>
      </c>
      <c r="B203" s="189" t="s">
        <v>965</v>
      </c>
      <c r="C203" s="189" t="s">
        <v>19</v>
      </c>
      <c r="D203" s="190" t="s">
        <v>40</v>
      </c>
      <c r="E203" s="191" t="s">
        <v>1000</v>
      </c>
      <c r="F203" s="191" t="s">
        <v>1001</v>
      </c>
      <c r="G203" s="191" t="s">
        <v>1002</v>
      </c>
      <c r="H203" s="192"/>
      <c r="I203" s="210"/>
      <c r="J203" s="279" t="s">
        <v>1003</v>
      </c>
      <c r="K203" s="307" t="s">
        <v>1004</v>
      </c>
      <c r="L203" s="66"/>
      <c r="M203" s="66"/>
      <c r="N203" s="66"/>
      <c r="O203" s="66"/>
      <c r="P203" s="66" t="str">
        <f t="shared" si="5"/>
        <v>HAPAN IAN CARLO VILLANUEVA</v>
      </c>
      <c r="Q203" s="66" t="str">
        <f>IFERROR(VLOOKUP(P203,[1]Disposition!$AB$9:$AC$495,2,0),"NO RECORD YET")</f>
        <v>Blk 6 Lot 3Phase K1, Francisco Homes, Brgy. Yakal, San Jose Del Monte, Bulacan</v>
      </c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18" customHeight="1">
      <c r="A204" s="188">
        <v>195</v>
      </c>
      <c r="B204" s="189" t="s">
        <v>1005</v>
      </c>
      <c r="C204" s="193" t="s">
        <v>39</v>
      </c>
      <c r="D204" s="190" t="s">
        <v>246</v>
      </c>
      <c r="E204" s="191" t="s">
        <v>151</v>
      </c>
      <c r="F204" s="191" t="s">
        <v>1006</v>
      </c>
      <c r="G204" s="191" t="s">
        <v>1007</v>
      </c>
      <c r="H204" s="192"/>
      <c r="I204" s="210"/>
      <c r="J204" s="279"/>
      <c r="K204" s="282"/>
      <c r="L204" s="66"/>
      <c r="M204" s="66"/>
      <c r="N204" s="66"/>
      <c r="O204" s="66"/>
      <c r="P204" s="66" t="str">
        <f t="shared" si="5"/>
        <v>RAMOS CHRISHELLE SAGUN</v>
      </c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18" customHeight="1">
      <c r="A205" s="188">
        <v>196</v>
      </c>
      <c r="B205" s="189" t="s">
        <v>1008</v>
      </c>
      <c r="C205" s="189" t="s">
        <v>19</v>
      </c>
      <c r="D205" s="190" t="s">
        <v>644</v>
      </c>
      <c r="E205" s="191" t="s">
        <v>1009</v>
      </c>
      <c r="F205" s="191" t="s">
        <v>1010</v>
      </c>
      <c r="G205" s="191" t="s">
        <v>1011</v>
      </c>
      <c r="H205" s="192"/>
      <c r="I205" s="212"/>
      <c r="J205" s="279" t="s">
        <v>1012</v>
      </c>
      <c r="K205" s="307" t="s">
        <v>1013</v>
      </c>
      <c r="L205" s="66"/>
      <c r="M205" s="66"/>
      <c r="N205" s="66"/>
      <c r="O205" s="66"/>
      <c r="P205" s="66" t="str">
        <f t="shared" si="5"/>
        <v>FRONDA JIMMSON CILOCILO</v>
      </c>
      <c r="Q205" s="66" t="str">
        <f>IFERROR(VLOOKUP(P205,[1]Disposition!$AB$9:$AC$495,2,0),"NO RECORD YET")</f>
        <v>31 NHA Delpan Bliss, Tondo, Manila</v>
      </c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18" customHeight="1">
      <c r="A206" s="188">
        <v>197</v>
      </c>
      <c r="B206" s="189" t="s">
        <v>1008</v>
      </c>
      <c r="C206" s="189" t="s">
        <v>19</v>
      </c>
      <c r="D206" s="190" t="s">
        <v>40</v>
      </c>
      <c r="E206" s="191" t="s">
        <v>1014</v>
      </c>
      <c r="F206" s="191" t="s">
        <v>1015</v>
      </c>
      <c r="G206" s="191" t="s">
        <v>91</v>
      </c>
      <c r="H206" s="192"/>
      <c r="I206" s="212"/>
      <c r="J206" s="279" t="s">
        <v>1016</v>
      </c>
      <c r="K206" s="307" t="s">
        <v>1017</v>
      </c>
      <c r="L206" s="66"/>
      <c r="M206" s="66"/>
      <c r="N206" s="66"/>
      <c r="O206" s="66"/>
      <c r="P206" s="66" t="str">
        <f t="shared" si="5"/>
        <v>AQUINO  ROGELIO PATIÑO</v>
      </c>
      <c r="Q206" s="66" t="str">
        <f>IFERROR(VLOOKUP(P206,[1]Disposition!$AB$9:$AC$495,2,0),"NO RECORD YET")</f>
        <v>556 Kaunlaran St., Brgy. Commonwealth, Quezon City</v>
      </c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18" customHeight="1">
      <c r="A207" s="188">
        <v>198</v>
      </c>
      <c r="B207" s="189" t="s">
        <v>1008</v>
      </c>
      <c r="C207" s="189" t="s">
        <v>19</v>
      </c>
      <c r="D207" s="190" t="s">
        <v>40</v>
      </c>
      <c r="E207" s="191" t="s">
        <v>1018</v>
      </c>
      <c r="F207" s="191" t="s">
        <v>754</v>
      </c>
      <c r="G207" s="191" t="s">
        <v>1019</v>
      </c>
      <c r="H207" s="192"/>
      <c r="I207" s="212"/>
      <c r="J207" s="279"/>
      <c r="K207" s="282"/>
      <c r="L207" s="66"/>
      <c r="M207" s="66"/>
      <c r="N207" s="66"/>
      <c r="O207" s="66"/>
      <c r="P207" s="66" t="str">
        <f t="shared" si="5"/>
        <v>CATANEO RYAN VINLUAN</v>
      </c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18" customHeight="1">
      <c r="A208" s="188">
        <v>199</v>
      </c>
      <c r="B208" s="189" t="s">
        <v>1008</v>
      </c>
      <c r="C208" s="189" t="s">
        <v>19</v>
      </c>
      <c r="D208" s="190" t="s">
        <v>40</v>
      </c>
      <c r="E208" s="191" t="s">
        <v>1020</v>
      </c>
      <c r="F208" s="191" t="s">
        <v>528</v>
      </c>
      <c r="G208" s="191" t="s">
        <v>1021</v>
      </c>
      <c r="H208" s="192"/>
      <c r="I208" s="212"/>
      <c r="J208" s="279" t="s">
        <v>1022</v>
      </c>
      <c r="K208" s="307" t="s">
        <v>1023</v>
      </c>
      <c r="L208" s="66"/>
      <c r="M208" s="66"/>
      <c r="N208" s="66"/>
      <c r="O208" s="66"/>
      <c r="P208" s="66" t="str">
        <f t="shared" si="5"/>
        <v>CELADIÑA TEODORO CUISON</v>
      </c>
      <c r="Q208" s="66" t="str">
        <f>IFERROR(VLOOKUP(P208,[1]Disposition!$AB$9:$AC$495,2,0),"NO RECORD YET")</f>
        <v>Balud, San Fernando, Cebu</v>
      </c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18" customHeight="1">
      <c r="A209" s="188">
        <v>200</v>
      </c>
      <c r="B209" s="189" t="s">
        <v>1008</v>
      </c>
      <c r="C209" s="189" t="s">
        <v>19</v>
      </c>
      <c r="D209" s="190" t="s">
        <v>40</v>
      </c>
      <c r="E209" s="191" t="s">
        <v>1024</v>
      </c>
      <c r="F209" s="191" t="s">
        <v>1025</v>
      </c>
      <c r="G209" s="191" t="s">
        <v>1026</v>
      </c>
      <c r="H209" s="242"/>
      <c r="I209" s="212"/>
      <c r="J209" s="279" t="s">
        <v>1027</v>
      </c>
      <c r="K209" s="307" t="s">
        <v>148</v>
      </c>
      <c r="L209" s="66"/>
      <c r="M209" s="66"/>
      <c r="N209" s="66"/>
      <c r="O209" s="66"/>
      <c r="P209" s="66" t="str">
        <f t="shared" si="5"/>
        <v>FERNANDEZ ROWEN BON</v>
      </c>
      <c r="Q209" s="66" t="str">
        <f>IFERROR(VLOOKUP(P209,[1]Disposition!$AB$9:$AC$495,2,0),"NO RECORD YET")</f>
        <v>Blk 17 LOT 8 Heroesville 1Subd.,  Phase 1. BRGY. Gaya-Gaya, San Jose Del Monte, Bulacan</v>
      </c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spans="1:27" ht="18" customHeight="1">
      <c r="A210" s="188">
        <v>201</v>
      </c>
      <c r="B210" s="189" t="s">
        <v>1008</v>
      </c>
      <c r="C210" s="189" t="s">
        <v>19</v>
      </c>
      <c r="D210" s="190" t="s">
        <v>40</v>
      </c>
      <c r="E210" s="191" t="s">
        <v>636</v>
      </c>
      <c r="F210" s="191" t="s">
        <v>1028</v>
      </c>
      <c r="G210" s="191" t="s">
        <v>1029</v>
      </c>
      <c r="H210" s="202"/>
      <c r="I210" s="212"/>
      <c r="J210" s="279" t="s">
        <v>1030</v>
      </c>
      <c r="K210" s="307" t="s">
        <v>1031</v>
      </c>
      <c r="L210" s="66"/>
      <c r="M210" s="66"/>
      <c r="N210" s="66"/>
      <c r="O210" s="66"/>
      <c r="P210" s="66" t="str">
        <f t="shared" si="5"/>
        <v>SANTOS ALLAN SASUTA</v>
      </c>
      <c r="Q210" s="66" t="str">
        <f>IFERROR(VLOOKUP(P210,[1]Disposition!$AB$9:$AC$495,2,0),"NO RECORD YET")</f>
        <v>Rd 25 B36 L49 Brgy. Bagong Nayon, Cogeo Vill., Antipolo</v>
      </c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18" customHeight="1">
      <c r="A211" s="188">
        <v>202</v>
      </c>
      <c r="B211" s="189" t="s">
        <v>1008</v>
      </c>
      <c r="C211" s="193" t="s">
        <v>39</v>
      </c>
      <c r="D211" s="190" t="s">
        <v>40</v>
      </c>
      <c r="E211" s="191" t="s">
        <v>1032</v>
      </c>
      <c r="F211" s="191" t="s">
        <v>1033</v>
      </c>
      <c r="G211" s="191" t="s">
        <v>1034</v>
      </c>
      <c r="H211" s="242"/>
      <c r="I211" s="212"/>
      <c r="J211" s="279" t="s">
        <v>1035</v>
      </c>
      <c r="K211" s="307" t="s">
        <v>1036</v>
      </c>
      <c r="L211" s="66"/>
      <c r="M211" s="66"/>
      <c r="N211" s="66"/>
      <c r="O211" s="66"/>
      <c r="P211" s="66" t="str">
        <f t="shared" si="5"/>
        <v>SANCHEZ SHERYL  PALLONES</v>
      </c>
      <c r="Q211" s="66" t="str">
        <f>IFERROR(VLOOKUP(P211,[1]Disposition!$AB$9:$AC$495,2,0),"NO RECORD YET")</f>
        <v>NO RECORD YET</v>
      </c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18" customHeight="1">
      <c r="A212" s="188">
        <v>203</v>
      </c>
      <c r="B212" s="193" t="s">
        <v>1037</v>
      </c>
      <c r="C212" s="189" t="s">
        <v>19</v>
      </c>
      <c r="D212" s="190" t="s">
        <v>96</v>
      </c>
      <c r="E212" s="191" t="s">
        <v>1038</v>
      </c>
      <c r="F212" s="191" t="s">
        <v>413</v>
      </c>
      <c r="G212" s="191" t="s">
        <v>1039</v>
      </c>
      <c r="H212" s="192" t="s">
        <v>268</v>
      </c>
      <c r="I212" s="210" t="s">
        <v>1040</v>
      </c>
      <c r="J212" s="279" t="s">
        <v>1041</v>
      </c>
      <c r="K212" s="307" t="s">
        <v>1042</v>
      </c>
      <c r="L212" s="66"/>
      <c r="M212" s="66"/>
      <c r="N212" s="66"/>
      <c r="O212" s="66"/>
      <c r="P212" s="66" t="str">
        <f>CONCATENATE(E283," ",F283," ",G283)</f>
        <v>DE LEON YVETTE VILLAVERDE</v>
      </c>
      <c r="Q212" s="66" t="str">
        <f>IFERROR(VLOOKUP(P212,[1]Disposition!$AB$9:$AC$495,2,0),"NO RECORD YET")</f>
        <v>140 N. Domingo St., Brgy. Pedro Cruz, San Juan City</v>
      </c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18" customHeight="1">
      <c r="A213" s="188">
        <v>204</v>
      </c>
      <c r="B213" s="193" t="s">
        <v>1037</v>
      </c>
      <c r="C213" s="193" t="s">
        <v>39</v>
      </c>
      <c r="D213" s="190" t="s">
        <v>1043</v>
      </c>
      <c r="E213" s="191" t="s">
        <v>1044</v>
      </c>
      <c r="F213" s="191" t="s">
        <v>1045</v>
      </c>
      <c r="G213" s="191" t="s">
        <v>1046</v>
      </c>
      <c r="H213" s="192"/>
      <c r="I213" s="210" t="s">
        <v>1047</v>
      </c>
      <c r="J213" s="279" t="s">
        <v>1048</v>
      </c>
      <c r="K213" s="307" t="s">
        <v>1049</v>
      </c>
      <c r="L213" s="66"/>
      <c r="M213" s="66"/>
      <c r="N213" s="66"/>
      <c r="O213" s="66"/>
      <c r="P213" s="66" t="str">
        <f t="shared" ref="P213:P216" si="6">CONCATENATE(E213," ",F213," ",G213)</f>
        <v>GASCON MARIA LUZ BUMAGAT</v>
      </c>
      <c r="Q213" s="66" t="str">
        <f>IFERROR(VLOOKUP(P213,[1]Disposition!$AB$9:$AC$495,2,0),"NO RECORD YET")</f>
        <v>3065 Abucay St., Manuguit Subd., Tondo, Manila</v>
      </c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18" customHeight="1">
      <c r="A214" s="188">
        <v>205</v>
      </c>
      <c r="B214" s="193" t="s">
        <v>1037</v>
      </c>
      <c r="C214" s="189" t="s">
        <v>19</v>
      </c>
      <c r="D214" s="190" t="s">
        <v>366</v>
      </c>
      <c r="E214" s="191" t="s">
        <v>1050</v>
      </c>
      <c r="F214" s="191" t="s">
        <v>1051</v>
      </c>
      <c r="G214" s="191" t="s">
        <v>1052</v>
      </c>
      <c r="H214" s="192"/>
      <c r="I214" s="210" t="s">
        <v>1047</v>
      </c>
      <c r="J214" s="279" t="s">
        <v>1053</v>
      </c>
      <c r="K214" s="307" t="s">
        <v>1054</v>
      </c>
      <c r="L214" s="66"/>
      <c r="M214" s="66"/>
      <c r="N214" s="66"/>
      <c r="O214" s="66"/>
      <c r="P214" s="66" t="str">
        <f t="shared" si="6"/>
        <v>TABAFUNDA RONNEL NACIS</v>
      </c>
      <c r="Q214" s="66" t="str">
        <f>IFERROR(VLOOKUP(P214,[1]Disposition!$AB$9:$AC$495,2,0),"NO RECORD YET")</f>
        <v>Brgy. Paagan, Bacnotan, La Union</v>
      </c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18" customHeight="1">
      <c r="A215" s="188">
        <v>206</v>
      </c>
      <c r="B215" s="193" t="s">
        <v>1037</v>
      </c>
      <c r="C215" s="189" t="s">
        <v>19</v>
      </c>
      <c r="D215" s="190" t="s">
        <v>366</v>
      </c>
      <c r="E215" s="191" t="s">
        <v>1055</v>
      </c>
      <c r="F215" s="191" t="s">
        <v>690</v>
      </c>
      <c r="G215" s="191" t="s">
        <v>1056</v>
      </c>
      <c r="H215" s="192"/>
      <c r="I215" s="210" t="s">
        <v>1047</v>
      </c>
      <c r="J215" s="279" t="s">
        <v>1057</v>
      </c>
      <c r="K215" s="307" t="s">
        <v>1058</v>
      </c>
      <c r="L215" s="66"/>
      <c r="M215" s="66"/>
      <c r="N215" s="66"/>
      <c r="O215" s="66"/>
      <c r="P215" s="66" t="str">
        <f t="shared" si="6"/>
        <v>WALIS GILBERT JACKSON</v>
      </c>
      <c r="Q215" s="66" t="str">
        <f>IFERROR(VLOOKUP(P215,[1]Disposition!$AB$9:$AC$495,2,0),"NO RECORD YET")</f>
        <v>713 Babasit, Manaoag, Pangasinan</v>
      </c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18" customHeight="1">
      <c r="A216" s="188">
        <v>207</v>
      </c>
      <c r="B216" s="193" t="s">
        <v>1037</v>
      </c>
      <c r="C216" s="189" t="s">
        <v>19</v>
      </c>
      <c r="D216" s="194" t="s">
        <v>28</v>
      </c>
      <c r="E216" s="204" t="s">
        <v>1059</v>
      </c>
      <c r="F216" s="204" t="s">
        <v>1060</v>
      </c>
      <c r="G216" s="204" t="s">
        <v>1061</v>
      </c>
      <c r="H216" s="205"/>
      <c r="I216" s="212" t="s">
        <v>1062</v>
      </c>
      <c r="J216" s="279" t="s">
        <v>1063</v>
      </c>
      <c r="K216" s="307" t="s">
        <v>1064</v>
      </c>
      <c r="L216" s="66"/>
      <c r="M216" s="66"/>
      <c r="N216" s="66"/>
      <c r="O216" s="66"/>
      <c r="P216" s="66" t="str">
        <f t="shared" si="6"/>
        <v>MAMENTA CRISTOPHER ALLAS</v>
      </c>
      <c r="Q216" s="66" t="str">
        <f>IFERROR(VLOOKUP(P216,[1]Disposition!$AB$9:$AC$495,2,0),"NO RECORD YET")</f>
        <v>Zone 4, Legaspi, Tayug, Pangasinan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18" customHeight="1">
      <c r="A217" s="188">
        <v>208</v>
      </c>
      <c r="B217" s="193" t="s">
        <v>1065</v>
      </c>
      <c r="C217" s="193" t="s">
        <v>39</v>
      </c>
      <c r="D217" s="190" t="s">
        <v>20</v>
      </c>
      <c r="E217" s="191" t="s">
        <v>1066</v>
      </c>
      <c r="F217" s="191" t="s">
        <v>1067</v>
      </c>
      <c r="G217" s="191" t="s">
        <v>1068</v>
      </c>
      <c r="H217" s="192"/>
      <c r="I217" s="210"/>
      <c r="J217" s="279" t="s">
        <v>1069</v>
      </c>
      <c r="K217" s="308" t="s">
        <v>1070</v>
      </c>
      <c r="L217" s="66"/>
      <c r="M217" s="66"/>
      <c r="N217" s="66"/>
      <c r="O217" s="66"/>
      <c r="P217" s="66" t="str">
        <f>CONCATENATE(E390," ",F390," ",G390)</f>
        <v>PEÑAVERDE SHARMAINE RODRIGUEZ</v>
      </c>
      <c r="Q217" s="66" t="str">
        <f>IFERROR(VLOOKUP(P217,[1]Disposition!$AB$9:$AC$495,2,0),"NO RECORD YET")</f>
        <v>Blk 1 Lot 126 Phase 1F Sub Urban San Jose Rodriguez Rizal</v>
      </c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18" customHeight="1">
      <c r="A218" s="188">
        <v>209</v>
      </c>
      <c r="B218" s="193" t="s">
        <v>1065</v>
      </c>
      <c r="C218" s="193" t="s">
        <v>19</v>
      </c>
      <c r="D218" s="194" t="s">
        <v>20</v>
      </c>
      <c r="E218" s="195" t="s">
        <v>1071</v>
      </c>
      <c r="F218" s="195" t="s">
        <v>1072</v>
      </c>
      <c r="G218" s="195" t="s">
        <v>1073</v>
      </c>
      <c r="H218" s="194"/>
      <c r="I218" s="212"/>
      <c r="J218" s="281"/>
      <c r="K218" s="282"/>
      <c r="L218" s="66"/>
      <c r="M218" s="66"/>
      <c r="N218" s="66"/>
      <c r="O218" s="66"/>
      <c r="P218" s="66" t="str">
        <f>CONCATENATE('DISPO Att (2)'!D218," ",'DISPO Att (2)'!E218," ",'DISPO Att (2)'!F218)</f>
        <v>PCOL ESCOBAL CARLO JOSEPH</v>
      </c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18" customHeight="1">
      <c r="A219" s="188">
        <v>210</v>
      </c>
      <c r="B219" s="193" t="s">
        <v>1065</v>
      </c>
      <c r="C219" s="193" t="s">
        <v>19</v>
      </c>
      <c r="D219" s="194" t="s">
        <v>20</v>
      </c>
      <c r="E219" s="191" t="s">
        <v>936</v>
      </c>
      <c r="F219" s="191" t="s">
        <v>1074</v>
      </c>
      <c r="G219" s="191" t="s">
        <v>1075</v>
      </c>
      <c r="H219" s="192" t="s">
        <v>268</v>
      </c>
      <c r="I219" s="210"/>
      <c r="J219" s="279"/>
      <c r="K219" s="282"/>
      <c r="L219" s="66"/>
      <c r="M219" s="66"/>
      <c r="N219" s="66"/>
      <c r="O219" s="66"/>
      <c r="P219" s="66" t="str">
        <f>CONCATENATE('DISPO Att (2)'!D219," ",'DISPO Att (2)'!E219," ",'DISPO Att (2)'!F219)</f>
        <v>PCOL GACES JUANITO</v>
      </c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18" customHeight="1">
      <c r="A220" s="188">
        <v>211</v>
      </c>
      <c r="B220" s="193" t="s">
        <v>1065</v>
      </c>
      <c r="C220" s="189" t="s">
        <v>19</v>
      </c>
      <c r="D220" s="190" t="s">
        <v>160</v>
      </c>
      <c r="E220" s="191" t="s">
        <v>1076</v>
      </c>
      <c r="F220" s="191" t="s">
        <v>1077</v>
      </c>
      <c r="G220" s="191" t="s">
        <v>647</v>
      </c>
      <c r="H220" s="192"/>
      <c r="I220" s="210"/>
      <c r="J220" s="279" t="s">
        <v>1078</v>
      </c>
      <c r="K220" s="307" t="s">
        <v>1079</v>
      </c>
      <c r="L220" s="66"/>
      <c r="M220" s="66"/>
      <c r="N220" s="66"/>
      <c r="O220" s="66"/>
      <c r="P220" s="66" t="str">
        <f>CONCATENATE('DISPO Att (2)'!D220," ",'DISPO Att (2)'!E220," ",'DISPO Att (2)'!F220)</f>
        <v>PLTCOL BORJA BRIAN THEO</v>
      </c>
      <c r="Q220" s="66" t="str">
        <f>IFERROR(VLOOKUP(P220,[1]Disposition!$AB$9:$AC$495,2,0),"NO RECORD YET")</f>
        <v>NO RECORD YET</v>
      </c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18" customHeight="1">
      <c r="A221" s="188">
        <v>212</v>
      </c>
      <c r="B221" s="43" t="s">
        <v>1080</v>
      </c>
      <c r="C221" s="254" t="s">
        <v>19</v>
      </c>
      <c r="D221" s="194" t="s">
        <v>160</v>
      </c>
      <c r="E221" s="195" t="s">
        <v>1081</v>
      </c>
      <c r="F221" s="195" t="s">
        <v>1082</v>
      </c>
      <c r="G221" s="195" t="s">
        <v>1083</v>
      </c>
      <c r="H221" s="192"/>
      <c r="I221" s="229"/>
      <c r="J221" s="283"/>
      <c r="K221" s="282"/>
      <c r="L221" s="174"/>
      <c r="M221" s="174"/>
      <c r="N221" s="174"/>
      <c r="O221" s="174"/>
      <c r="P221" s="174" t="str">
        <f>CONCATENATE(E221," ",F221," ",G221)</f>
        <v>FONCARDAS MARK REYES</v>
      </c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</row>
    <row r="222" spans="1:27" ht="18" customHeight="1">
      <c r="A222" s="188">
        <v>213</v>
      </c>
      <c r="B222" s="193" t="s">
        <v>1065</v>
      </c>
      <c r="C222" s="193" t="s">
        <v>39</v>
      </c>
      <c r="D222" s="190" t="s">
        <v>160</v>
      </c>
      <c r="E222" s="191" t="s">
        <v>1084</v>
      </c>
      <c r="F222" s="191" t="s">
        <v>1085</v>
      </c>
      <c r="G222" s="191" t="s">
        <v>256</v>
      </c>
      <c r="H222" s="192"/>
      <c r="I222" s="210"/>
      <c r="J222" s="279"/>
      <c r="K222" s="282"/>
      <c r="L222" s="66"/>
      <c r="M222" s="66"/>
      <c r="N222" s="66"/>
      <c r="O222" s="66"/>
      <c r="P222" s="66" t="str">
        <f>CONCATENATE('DISPO Att (2)'!D222," ",'DISPO Att (2)'!E222," ",'DISPO Att (2)'!F222)</f>
        <v>PLTCOL MARAMAG MARCIANA</v>
      </c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18" customHeight="1">
      <c r="A223" s="188">
        <v>214</v>
      </c>
      <c r="B223" s="193" t="s">
        <v>1065</v>
      </c>
      <c r="C223" s="189" t="s">
        <v>19</v>
      </c>
      <c r="D223" s="190" t="s">
        <v>160</v>
      </c>
      <c r="E223" s="191" t="s">
        <v>1083</v>
      </c>
      <c r="F223" s="191" t="s">
        <v>1086</v>
      </c>
      <c r="G223" s="191" t="s">
        <v>1087</v>
      </c>
      <c r="H223" s="192"/>
      <c r="I223" s="210"/>
      <c r="J223" s="279" t="s">
        <v>1088</v>
      </c>
      <c r="K223" s="307" t="s">
        <v>1089</v>
      </c>
      <c r="L223" s="66"/>
      <c r="M223" s="66"/>
      <c r="N223" s="66"/>
      <c r="O223" s="66"/>
      <c r="P223" s="66" t="str">
        <f>CONCATENATE('DISPO Att (2)'!D223," ",'DISPO Att (2)'!E223," ",'DISPO Att (2)'!F223)</f>
        <v>PLTCOL REYES ROBERT</v>
      </c>
      <c r="Q223" s="66" t="str">
        <f>IFERROR(VLOOKUP(P223,[1]Disposition!$AB$9:$AC$495,2,0),"NO RECORD YET")</f>
        <v>NO RECORD YET</v>
      </c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18" customHeight="1">
      <c r="A224" s="188">
        <v>215</v>
      </c>
      <c r="B224" s="193" t="s">
        <v>1065</v>
      </c>
      <c r="C224" s="193" t="s">
        <v>39</v>
      </c>
      <c r="D224" s="190" t="s">
        <v>253</v>
      </c>
      <c r="E224" s="191" t="s">
        <v>1090</v>
      </c>
      <c r="F224" s="191" t="s">
        <v>1091</v>
      </c>
      <c r="G224" s="191" t="s">
        <v>1092</v>
      </c>
      <c r="H224" s="192"/>
      <c r="I224" s="210"/>
      <c r="J224" s="279" t="s">
        <v>1093</v>
      </c>
      <c r="K224" s="307" t="s">
        <v>1094</v>
      </c>
      <c r="L224" s="66"/>
      <c r="M224" s="66"/>
      <c r="N224" s="66"/>
      <c r="O224" s="66"/>
      <c r="P224" s="66" t="str">
        <f>CONCATENATE('DISPO Att (2)'!D224," ",'DISPO Att (2)'!E224," ",'DISPO Att (2)'!F224)</f>
        <v>PMAJ BELLY JOCELYN</v>
      </c>
      <c r="Q224" s="66" t="str">
        <f>IFERROR(VLOOKUP(P224,[1]Disposition!$AB$9:$AC$495,2,0),"NO RECORD YET")</f>
        <v>NO RECORD YET</v>
      </c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18" customHeight="1">
      <c r="A225" s="188">
        <v>216</v>
      </c>
      <c r="B225" s="193" t="s">
        <v>1065</v>
      </c>
      <c r="C225" s="193" t="s">
        <v>39</v>
      </c>
      <c r="D225" s="190" t="s">
        <v>253</v>
      </c>
      <c r="E225" s="191" t="s">
        <v>836</v>
      </c>
      <c r="F225" s="191" t="s">
        <v>1095</v>
      </c>
      <c r="G225" s="191" t="s">
        <v>1096</v>
      </c>
      <c r="H225" s="192"/>
      <c r="I225" s="210"/>
      <c r="J225" s="279" t="s">
        <v>1097</v>
      </c>
      <c r="K225" s="307" t="s">
        <v>1098</v>
      </c>
      <c r="L225" s="66"/>
      <c r="M225" s="66"/>
      <c r="N225" s="66"/>
      <c r="O225" s="66"/>
      <c r="P225" s="66" t="str">
        <f>CONCATENATE('DISPO Att (2)'!D225," ",'DISPO Att (2)'!E225," ",'DISPO Att (2)'!F225)</f>
        <v>PMAJ CRUZ MARICON</v>
      </c>
      <c r="Q225" s="66" t="str">
        <f>IFERROR(VLOOKUP(P225,[1]Disposition!$AB$9:$AC$495,2,0),"NO RECORD YET")</f>
        <v>NO RECORD YET</v>
      </c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18" customHeight="1">
      <c r="A226" s="188">
        <v>217</v>
      </c>
      <c r="B226" s="193" t="s">
        <v>1065</v>
      </c>
      <c r="C226" s="231" t="s">
        <v>19</v>
      </c>
      <c r="D226" s="190" t="s">
        <v>253</v>
      </c>
      <c r="E226" s="191" t="s">
        <v>211</v>
      </c>
      <c r="F226" s="191" t="s">
        <v>1086</v>
      </c>
      <c r="G226" s="191" t="s">
        <v>1099</v>
      </c>
      <c r="H226" s="192"/>
      <c r="I226" s="210"/>
      <c r="J226" s="279" t="s">
        <v>1100</v>
      </c>
      <c r="K226" s="307" t="s">
        <v>1101</v>
      </c>
      <c r="L226" s="66"/>
      <c r="M226" s="66"/>
      <c r="N226" s="66"/>
      <c r="O226" s="66"/>
      <c r="P226" s="66" t="str">
        <f>CONCATENATE('DISPO Att (2)'!D226," ",'DISPO Att (2)'!E226," ",'DISPO Att (2)'!F226)</f>
        <v>PMAJ TAN ROBERT</v>
      </c>
      <c r="Q226" s="66" t="str">
        <f>IFERROR(VLOOKUP(P226,[1]Disposition!$AB$9:$AC$495,2,0),"NO RECORD YET")</f>
        <v>NO RECORD YET</v>
      </c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18" customHeight="1">
      <c r="A227" s="188">
        <v>218</v>
      </c>
      <c r="B227" s="193" t="s">
        <v>1065</v>
      </c>
      <c r="C227" s="231" t="s">
        <v>19</v>
      </c>
      <c r="D227" s="190" t="s">
        <v>96</v>
      </c>
      <c r="E227" s="191" t="s">
        <v>1102</v>
      </c>
      <c r="F227" s="191" t="s">
        <v>1103</v>
      </c>
      <c r="G227" s="191" t="s">
        <v>1104</v>
      </c>
      <c r="H227" s="192" t="s">
        <v>1105</v>
      </c>
      <c r="I227" s="210"/>
      <c r="J227" s="279" t="s">
        <v>1106</v>
      </c>
      <c r="K227" s="307" t="s">
        <v>1107</v>
      </c>
      <c r="L227" s="66"/>
      <c r="M227" s="66"/>
      <c r="N227" s="66"/>
      <c r="O227" s="66"/>
      <c r="P227" s="66" t="str">
        <f>CONCATENATE('DISPO Att (2)'!D227," ",'DISPO Att (2)'!E227," ",'DISPO Att (2)'!F227)</f>
        <v>PCPT BATALLER SHERWIN SOLOMON</v>
      </c>
      <c r="Q227" s="66" t="str">
        <f>IFERROR(VLOOKUP(P227,[1]Disposition!$AB$9:$AC$495,2,0),"NO RECORD YET")</f>
        <v>NO RECORD YET</v>
      </c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18" customHeight="1">
      <c r="A228" s="188">
        <v>219</v>
      </c>
      <c r="B228" s="193" t="s">
        <v>1065</v>
      </c>
      <c r="C228" s="189" t="s">
        <v>19</v>
      </c>
      <c r="D228" s="190" t="s">
        <v>96</v>
      </c>
      <c r="E228" s="204" t="s">
        <v>1108</v>
      </c>
      <c r="F228" s="204" t="s">
        <v>1109</v>
      </c>
      <c r="G228" s="204" t="s">
        <v>759</v>
      </c>
      <c r="H228" s="205" t="s">
        <v>268</v>
      </c>
      <c r="I228" s="210"/>
      <c r="J228" s="279" t="s">
        <v>1110</v>
      </c>
      <c r="K228" s="307" t="s">
        <v>1111</v>
      </c>
      <c r="L228" s="66"/>
      <c r="M228" s="66"/>
      <c r="N228" s="66"/>
      <c r="O228" s="66"/>
      <c r="P228" s="66" t="str">
        <f>CONCATENATE('DISPO Att (2)'!D228," ",'DISPO Att (2)'!E228," ",'DISPO Att (2)'!F228)</f>
        <v>PCPT CABATIN ROGEL VERGEL</v>
      </c>
      <c r="Q228" s="66" t="str">
        <f>IFERROR(VLOOKUP(P228,[1]Disposition!$AB$9:$AC$495,2,0),"NO RECORD YET")</f>
        <v>NO RECORD YET</v>
      </c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18" customHeight="1">
      <c r="A229" s="188">
        <v>220</v>
      </c>
      <c r="B229" s="193" t="s">
        <v>1065</v>
      </c>
      <c r="C229" s="193" t="s">
        <v>39</v>
      </c>
      <c r="D229" s="190" t="s">
        <v>96</v>
      </c>
      <c r="E229" s="204" t="s">
        <v>836</v>
      </c>
      <c r="F229" s="204" t="s">
        <v>1112</v>
      </c>
      <c r="G229" s="204" t="s">
        <v>1113</v>
      </c>
      <c r="H229" s="205"/>
      <c r="I229" s="210"/>
      <c r="J229" s="279" t="s">
        <v>1114</v>
      </c>
      <c r="K229" s="307" t="s">
        <v>1115</v>
      </c>
      <c r="L229" s="66"/>
      <c r="M229" s="66"/>
      <c r="N229" s="66"/>
      <c r="O229" s="66"/>
      <c r="P229" s="66" t="str">
        <f>CONCATENATE('DISPO Att (2)'!D229," ",'DISPO Att (2)'!E229," ",'DISPO Att (2)'!F229)</f>
        <v>PCPT CRUZ CRISTINA JOY</v>
      </c>
      <c r="Q229" s="66" t="str">
        <f>IFERROR(VLOOKUP(P229,[1]Disposition!$AB$9:$AC$495,2,0),"NO RECORD YET")</f>
        <v>NO RECORD YET</v>
      </c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18" customHeight="1">
      <c r="A230" s="188">
        <v>221</v>
      </c>
      <c r="B230" s="193" t="s">
        <v>1065</v>
      </c>
      <c r="C230" s="193" t="s">
        <v>39</v>
      </c>
      <c r="D230" s="190" t="s">
        <v>96</v>
      </c>
      <c r="E230" s="204" t="s">
        <v>1116</v>
      </c>
      <c r="F230" s="204" t="s">
        <v>1117</v>
      </c>
      <c r="G230" s="204" t="s">
        <v>1118</v>
      </c>
      <c r="H230" s="194"/>
      <c r="I230" s="210"/>
      <c r="J230" s="279" t="s">
        <v>1119</v>
      </c>
      <c r="K230" s="307" t="s">
        <v>1120</v>
      </c>
      <c r="L230" s="66"/>
      <c r="M230" s="66"/>
      <c r="N230" s="66"/>
      <c r="O230" s="66"/>
      <c r="P230" s="66" t="str">
        <f>CONCATENATE(E392," ",F392," ",G392)</f>
        <v>JOAQUIN ROMEO LISING</v>
      </c>
      <c r="Q230" s="66" t="str">
        <f>IFERROR(VLOOKUP(P230,[1]Disposition!$AB$9:$AC$495,2,0),"NO RECORD YET")</f>
        <v>Unit 203 MB21, Diego Silang Vill, Ususa, Taguig City</v>
      </c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18" customHeight="1">
      <c r="A231" s="188">
        <v>222</v>
      </c>
      <c r="B231" s="193" t="s">
        <v>1065</v>
      </c>
      <c r="C231" s="193" t="s">
        <v>39</v>
      </c>
      <c r="D231" s="190" t="s">
        <v>96</v>
      </c>
      <c r="E231" s="191" t="s">
        <v>1121</v>
      </c>
      <c r="F231" s="191" t="s">
        <v>1122</v>
      </c>
      <c r="G231" s="191" t="s">
        <v>1123</v>
      </c>
      <c r="H231" s="192"/>
      <c r="I231" s="210"/>
      <c r="J231" s="279" t="s">
        <v>1124</v>
      </c>
      <c r="K231" s="307" t="s">
        <v>1125</v>
      </c>
      <c r="L231" s="66"/>
      <c r="M231" s="66"/>
      <c r="N231" s="66"/>
      <c r="O231" s="66"/>
      <c r="P231" s="66" t="str">
        <f>CONCATENATE('DISPO Att (2)'!D231," ",'DISPO Att (2)'!E231," ",'DISPO Att (2)'!F231)</f>
        <v>PCPT JAVIER ROGINA</v>
      </c>
      <c r="Q231" s="66" t="str">
        <f>IFERROR(VLOOKUP(P231,[1]Disposition!$AB$9:$AC$495,2,0),"NO RECORD YET")</f>
        <v>NO RECORD YET</v>
      </c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18" customHeight="1">
      <c r="A232" s="188">
        <v>223</v>
      </c>
      <c r="B232" s="193" t="s">
        <v>1065</v>
      </c>
      <c r="C232" s="189" t="s">
        <v>19</v>
      </c>
      <c r="D232" s="190" t="s">
        <v>96</v>
      </c>
      <c r="E232" s="204" t="s">
        <v>1126</v>
      </c>
      <c r="F232" s="204" t="s">
        <v>1127</v>
      </c>
      <c r="G232" s="204" t="s">
        <v>1128</v>
      </c>
      <c r="H232" s="205"/>
      <c r="I232" s="210"/>
      <c r="J232" s="279" t="s">
        <v>1129</v>
      </c>
      <c r="K232" s="307" t="s">
        <v>1130</v>
      </c>
      <c r="L232" s="66"/>
      <c r="M232" s="66"/>
      <c r="N232" s="66"/>
      <c r="O232" s="66"/>
      <c r="P232" s="66" t="str">
        <f>CONCATENATE('DISPO Att (2)'!D232," ",'DISPO Att (2)'!E232," ",'DISPO Att (2)'!F232)</f>
        <v>PCPT QUIDEZ BRYAN MARK</v>
      </c>
      <c r="Q232" s="66" t="str">
        <f>IFERROR(VLOOKUP(P232,[1]Disposition!$AB$9:$AC$495,2,0),"NO RECORD YET")</f>
        <v>NO RECORD YET</v>
      </c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18" customHeight="1">
      <c r="A233" s="188">
        <v>224</v>
      </c>
      <c r="B233" s="193" t="s">
        <v>1131</v>
      </c>
      <c r="C233" s="193" t="s">
        <v>39</v>
      </c>
      <c r="D233" s="190" t="s">
        <v>96</v>
      </c>
      <c r="E233" s="191" t="s">
        <v>1132</v>
      </c>
      <c r="F233" s="191" t="s">
        <v>1133</v>
      </c>
      <c r="G233" s="191" t="s">
        <v>1134</v>
      </c>
      <c r="H233" s="192"/>
      <c r="I233" s="210"/>
      <c r="J233" s="279" t="s">
        <v>1135</v>
      </c>
      <c r="K233" s="307" t="s">
        <v>1136</v>
      </c>
      <c r="L233" s="66"/>
      <c r="M233" s="66"/>
      <c r="N233" s="66"/>
      <c r="O233" s="66"/>
      <c r="P233" s="66" t="str">
        <f>CONCATENATE('DISPO Att (2)'!D233," ",'DISPO Att (2)'!E233," ",'DISPO Att (2)'!F233)</f>
        <v>PCPT TAJON VERONICA</v>
      </c>
      <c r="Q233" s="66" t="str">
        <f>IFERROR(VLOOKUP(P233,[1]Disposition!$AB$9:$AC$495,2,0),"NO RECORD YET")</f>
        <v>NO RECORD YET</v>
      </c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18" customHeight="1">
      <c r="A234" s="188">
        <v>225</v>
      </c>
      <c r="B234" s="193" t="s">
        <v>1065</v>
      </c>
      <c r="C234" s="189" t="s">
        <v>19</v>
      </c>
      <c r="D234" s="205" t="s">
        <v>246</v>
      </c>
      <c r="E234" s="204" t="s">
        <v>1137</v>
      </c>
      <c r="F234" s="204" t="s">
        <v>1138</v>
      </c>
      <c r="G234" s="204" t="s">
        <v>1139</v>
      </c>
      <c r="H234" s="194"/>
      <c r="I234" s="210"/>
      <c r="J234" s="279" t="s">
        <v>1140</v>
      </c>
      <c r="K234" s="307" t="s">
        <v>1141</v>
      </c>
      <c r="L234" s="66"/>
      <c r="M234" s="66"/>
      <c r="N234" s="66"/>
      <c r="O234" s="66"/>
      <c r="P234" s="66" t="str">
        <f>CONCATENATE('DISPO Att (2)'!D234," ",'DISPO Att (2)'!E234," ",'DISPO Att (2)'!F234)</f>
        <v>PLT SIA ENARD</v>
      </c>
      <c r="Q234" s="66" t="str">
        <f>IFERROR(VLOOKUP(P234,[1]Disposition!$AB$9:$AC$495,2,0),"NO RECORD YET")</f>
        <v>NO RECORD YET</v>
      </c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18" customHeight="1">
      <c r="A235" s="188">
        <v>226</v>
      </c>
      <c r="B235" s="193" t="s">
        <v>1065</v>
      </c>
      <c r="C235" s="189" t="s">
        <v>19</v>
      </c>
      <c r="D235" s="190" t="s">
        <v>277</v>
      </c>
      <c r="E235" s="191" t="s">
        <v>1142</v>
      </c>
      <c r="F235" s="191" t="s">
        <v>1143</v>
      </c>
      <c r="G235" s="191" t="s">
        <v>1144</v>
      </c>
      <c r="H235" s="192"/>
      <c r="I235" s="212"/>
      <c r="J235" s="301" t="s">
        <v>1145</v>
      </c>
      <c r="K235" s="307" t="s">
        <v>1146</v>
      </c>
      <c r="L235" s="66"/>
      <c r="M235" s="66"/>
      <c r="N235" s="66"/>
      <c r="O235" s="66"/>
      <c r="P235" s="66" t="str">
        <f>CONCATENATE('DISPO Att (2)'!D235," ",'DISPO Att (2)'!E235," ",'DISPO Att (2)'!F235)</f>
        <v>PCMS SABIO SHERWIN</v>
      </c>
      <c r="Q235" s="66" t="str">
        <f>IFERROR(VLOOKUP(P235,[1]Disposition!$AB$9:$AC$495,2,0),"NO RECORD YET")</f>
        <v>NO RECORD YET</v>
      </c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18" customHeight="1">
      <c r="A236" s="188">
        <v>227</v>
      </c>
      <c r="B236" s="193" t="s">
        <v>1065</v>
      </c>
      <c r="C236" s="189" t="s">
        <v>19</v>
      </c>
      <c r="D236" s="190" t="s">
        <v>366</v>
      </c>
      <c r="E236" s="191" t="s">
        <v>1147</v>
      </c>
      <c r="F236" s="191" t="s">
        <v>322</v>
      </c>
      <c r="G236" s="191" t="s">
        <v>1148</v>
      </c>
      <c r="H236" s="192"/>
      <c r="I236" s="212"/>
      <c r="J236" s="279" t="s">
        <v>1149</v>
      </c>
      <c r="K236" s="307" t="s">
        <v>1150</v>
      </c>
      <c r="L236" s="66"/>
      <c r="M236" s="66"/>
      <c r="N236" s="66"/>
      <c r="O236" s="66"/>
      <c r="P236" s="66" t="str">
        <f>CONCATENATE('DISPO Att (2)'!D236," ",'DISPO Att (2)'!E236," ",'DISPO Att (2)'!F236)</f>
        <v>PSMS DIÑA JEREMY</v>
      </c>
      <c r="Q236" s="66" t="str">
        <f>IFERROR(VLOOKUP(P236,[1]Disposition!$AB$9:$AC$495,2,0),"NO RECORD YET")</f>
        <v>NO RECORD YET</v>
      </c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18" customHeight="1">
      <c r="A237" s="188">
        <v>228</v>
      </c>
      <c r="B237" s="193" t="s">
        <v>1065</v>
      </c>
      <c r="C237" s="189" t="s">
        <v>19</v>
      </c>
      <c r="D237" s="190" t="s">
        <v>366</v>
      </c>
      <c r="E237" s="191" t="s">
        <v>1151</v>
      </c>
      <c r="F237" s="191" t="s">
        <v>1152</v>
      </c>
      <c r="G237" s="191" t="s">
        <v>1153</v>
      </c>
      <c r="H237" s="192"/>
      <c r="I237" s="212"/>
      <c r="J237" s="279" t="s">
        <v>1154</v>
      </c>
      <c r="K237" s="307" t="s">
        <v>1155</v>
      </c>
      <c r="L237" s="66"/>
      <c r="M237" s="66"/>
      <c r="N237" s="66"/>
      <c r="O237" s="66"/>
      <c r="P237" s="66" t="str">
        <f>CONCATENATE('DISPO Att (2)'!D237," ",'DISPO Att (2)'!E237," ",'DISPO Att (2)'!F237)</f>
        <v>PSMS SIGGAYO WILLARD</v>
      </c>
      <c r="Q237" s="66" t="str">
        <f>IFERROR(VLOOKUP(P237,[1]Disposition!$AB$9:$AC$495,2,0),"NO RECORD YET")</f>
        <v>NO RECORD YET</v>
      </c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18" customHeight="1">
      <c r="A238" s="188">
        <v>229</v>
      </c>
      <c r="B238" s="193" t="s">
        <v>1065</v>
      </c>
      <c r="C238" s="193" t="s">
        <v>39</v>
      </c>
      <c r="D238" s="190" t="s">
        <v>366</v>
      </c>
      <c r="E238" s="191" t="s">
        <v>1128</v>
      </c>
      <c r="F238" s="191" t="s">
        <v>1156</v>
      </c>
      <c r="G238" s="191" t="s">
        <v>906</v>
      </c>
      <c r="H238" s="192"/>
      <c r="I238" s="212"/>
      <c r="J238" s="279" t="s">
        <v>1157</v>
      </c>
      <c r="K238" s="307" t="s">
        <v>1158</v>
      </c>
      <c r="L238" s="66"/>
      <c r="M238" s="66"/>
      <c r="N238" s="66"/>
      <c r="O238" s="66"/>
      <c r="P238" s="66" t="str">
        <f>CONCATENATE('DISPO Att (2)'!D238," ",'DISPO Att (2)'!E238," ",'DISPO Att (2)'!F238)</f>
        <v>PSMS SORIANO NEPTHALIE</v>
      </c>
      <c r="Q238" s="66" t="str">
        <f>IFERROR(VLOOKUP(P238,[1]Disposition!$AB$9:$AC$495,2,0),"NO RECORD YET")</f>
        <v>NO RECORD YET</v>
      </c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18" customHeight="1">
      <c r="A239" s="188">
        <v>230</v>
      </c>
      <c r="B239" s="193" t="s">
        <v>1065</v>
      </c>
      <c r="C239" s="189" t="s">
        <v>19</v>
      </c>
      <c r="D239" s="190" t="s">
        <v>366</v>
      </c>
      <c r="E239" s="191" t="s">
        <v>1159</v>
      </c>
      <c r="F239" s="191" t="s">
        <v>754</v>
      </c>
      <c r="G239" s="191" t="s">
        <v>1160</v>
      </c>
      <c r="H239" s="192"/>
      <c r="I239" s="212"/>
      <c r="J239" s="279" t="s">
        <v>1161</v>
      </c>
      <c r="K239" s="307" t="s">
        <v>1162</v>
      </c>
      <c r="L239" s="66"/>
      <c r="M239" s="66"/>
      <c r="N239" s="66"/>
      <c r="O239" s="66"/>
      <c r="P239" s="66" t="str">
        <f>CONCATENATE('DISPO Att (2)'!D239," ",'DISPO Att (2)'!E239," ",'DISPO Att (2)'!F239)</f>
        <v>PSMS ECHEGOYEN RYAN</v>
      </c>
      <c r="Q239" s="66" t="str">
        <f>IFERROR(VLOOKUP(P239,[1]Disposition!$AB$9:$AC$495,2,0),"NO RECORD YET")</f>
        <v>NO RECORD YET</v>
      </c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18" customHeight="1">
      <c r="A240" s="188">
        <v>231</v>
      </c>
      <c r="B240" s="193" t="s">
        <v>1065</v>
      </c>
      <c r="C240" s="189" t="s">
        <v>19</v>
      </c>
      <c r="D240" s="190" t="s">
        <v>644</v>
      </c>
      <c r="E240" s="191" t="s">
        <v>1163</v>
      </c>
      <c r="F240" s="191" t="s">
        <v>690</v>
      </c>
      <c r="G240" s="191" t="s">
        <v>1164</v>
      </c>
      <c r="H240" s="192"/>
      <c r="I240" s="212"/>
      <c r="J240" s="279" t="s">
        <v>1165</v>
      </c>
      <c r="K240" s="307" t="s">
        <v>1166</v>
      </c>
      <c r="L240" s="66"/>
      <c r="M240" s="66"/>
      <c r="N240" s="66"/>
      <c r="O240" s="66"/>
      <c r="P240" s="66" t="str">
        <f>CONCATENATE('DISPO Att (2)'!D240," ",'DISPO Att (2)'!E240," ",'DISPO Att (2)'!F240)</f>
        <v>PSSg TABUYO GILBERT</v>
      </c>
      <c r="Q240" s="66" t="str">
        <f>IFERROR(VLOOKUP(P240,[1]Disposition!$AB$9:$AC$495,2,0),"NO RECORD YET")</f>
        <v>NO RECORD YET</v>
      </c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18" customHeight="1">
      <c r="A241" s="188">
        <v>232</v>
      </c>
      <c r="B241" s="193" t="s">
        <v>1065</v>
      </c>
      <c r="C241" s="189" t="s">
        <v>19</v>
      </c>
      <c r="D241" s="190" t="s">
        <v>24</v>
      </c>
      <c r="E241" s="191" t="s">
        <v>1167</v>
      </c>
      <c r="F241" s="191" t="s">
        <v>1168</v>
      </c>
      <c r="G241" s="191" t="s">
        <v>1169</v>
      </c>
      <c r="H241" s="192"/>
      <c r="I241" s="210"/>
      <c r="J241" s="279" t="s">
        <v>1170</v>
      </c>
      <c r="K241" s="307" t="s">
        <v>1171</v>
      </c>
      <c r="L241" s="66"/>
      <c r="M241" s="66"/>
      <c r="N241" s="66"/>
      <c r="O241" s="66"/>
      <c r="P241" s="66" t="str">
        <f>CONCATENATE('DISPO Att (2)'!D241," ",'DISPO Att (2)'!E241," ",'DISPO Att (2)'!F241)</f>
        <v>PCpl ARCANGEL OLIVER</v>
      </c>
      <c r="Q241" s="66" t="str">
        <f>IFERROR(VLOOKUP(P241,[1]Disposition!$AB$9:$AC$495,2,0),"NO RECORD YET")</f>
        <v>NO RECORD YET</v>
      </c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18" customHeight="1">
      <c r="A242" s="188">
        <v>233</v>
      </c>
      <c r="B242" s="193" t="s">
        <v>1065</v>
      </c>
      <c r="C242" s="193" t="s">
        <v>19</v>
      </c>
      <c r="D242" s="190" t="s">
        <v>24</v>
      </c>
      <c r="E242" s="191" t="s">
        <v>1172</v>
      </c>
      <c r="F242" s="191" t="s">
        <v>1173</v>
      </c>
      <c r="G242" s="191" t="s">
        <v>1174</v>
      </c>
      <c r="H242" s="192"/>
      <c r="I242" s="212"/>
      <c r="J242" s="279" t="s">
        <v>1175</v>
      </c>
      <c r="K242" s="307" t="s">
        <v>1176</v>
      </c>
      <c r="L242" s="66"/>
      <c r="M242" s="66"/>
      <c r="N242" s="66"/>
      <c r="O242" s="66"/>
      <c r="P242" s="66" t="str">
        <f>CONCATENATE(E242," ",F242," ",G242)</f>
        <v>GOMEZ RICH MICHAEL LIBU</v>
      </c>
      <c r="Q242" s="66" t="str">
        <f>IFERROR(VLOOKUP(P242,[1]Disposition!$AB$9:$AC$495,2,0),"NO RECORD YET")</f>
        <v>482 Mali St., Cutcut, Angeles City, Pampanga</v>
      </c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18" customHeight="1">
      <c r="A243" s="188">
        <v>234</v>
      </c>
      <c r="B243" s="193" t="s">
        <v>1065</v>
      </c>
      <c r="C243" s="189" t="s">
        <v>19</v>
      </c>
      <c r="D243" s="194" t="s">
        <v>28</v>
      </c>
      <c r="E243" s="195" t="s">
        <v>1177</v>
      </c>
      <c r="F243" s="195" t="s">
        <v>432</v>
      </c>
      <c r="G243" s="195" t="s">
        <v>1178</v>
      </c>
      <c r="H243" s="194" t="s">
        <v>268</v>
      </c>
      <c r="I243" s="210"/>
      <c r="J243" s="281" t="s">
        <v>1179</v>
      </c>
      <c r="K243" s="307" t="s">
        <v>1180</v>
      </c>
      <c r="L243" s="66"/>
      <c r="M243" s="66"/>
      <c r="N243" s="66"/>
      <c r="O243" s="66"/>
      <c r="P243" s="66" t="str">
        <f>CONCATENATE('DISPO Att (2)'!D243," ",'DISPO Att (2)'!E243," ",'DISPO Att (2)'!F243)</f>
        <v>Pat CARIAGA ROBERTO</v>
      </c>
      <c r="Q243" s="66" t="str">
        <f>IFERROR(VLOOKUP(P243,[1]Disposition!$AB$9:$AC$495,2,0),"NO RECORD YET")</f>
        <v>NO RECORD YET</v>
      </c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18" customHeight="1">
      <c r="A244" s="188">
        <v>235</v>
      </c>
      <c r="B244" s="193" t="s">
        <v>1065</v>
      </c>
      <c r="C244" s="189" t="s">
        <v>19</v>
      </c>
      <c r="D244" s="194" t="s">
        <v>28</v>
      </c>
      <c r="E244" s="195" t="s">
        <v>1181</v>
      </c>
      <c r="F244" s="195" t="s">
        <v>1182</v>
      </c>
      <c r="G244" s="195" t="s">
        <v>1183</v>
      </c>
      <c r="H244" s="194"/>
      <c r="I244" s="212"/>
      <c r="J244" s="281" t="s">
        <v>1184</v>
      </c>
      <c r="K244" s="307" t="s">
        <v>1185</v>
      </c>
      <c r="L244" s="66"/>
      <c r="M244" s="66"/>
      <c r="N244" s="66"/>
      <c r="O244" s="66"/>
      <c r="P244" s="66" t="str">
        <f>CONCATENATE('DISPO Att (2)'!D244," ",'DISPO Att (2)'!E244," ",'DISPO Att (2)'!F244)</f>
        <v>Pat COSISI FREDERICK</v>
      </c>
      <c r="Q244" s="66" t="str">
        <f>IFERROR(VLOOKUP(P244,[1]Disposition!$AB$9:$AC$495,2,0),"NO RECORD YET")</f>
        <v>NO RECORD YET</v>
      </c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18" customHeight="1">
      <c r="A245" s="188">
        <v>236</v>
      </c>
      <c r="B245" s="193" t="s">
        <v>1065</v>
      </c>
      <c r="C245" s="189" t="s">
        <v>19</v>
      </c>
      <c r="D245" s="194" t="s">
        <v>28</v>
      </c>
      <c r="E245" s="195" t="s">
        <v>999</v>
      </c>
      <c r="F245" s="195" t="s">
        <v>1186</v>
      </c>
      <c r="G245" s="195" t="s">
        <v>1187</v>
      </c>
      <c r="H245" s="194"/>
      <c r="I245" s="212"/>
      <c r="J245" s="281" t="s">
        <v>1188</v>
      </c>
      <c r="K245" s="307" t="s">
        <v>1189</v>
      </c>
      <c r="L245" s="66"/>
      <c r="M245" s="66"/>
      <c r="N245" s="66"/>
      <c r="O245" s="66"/>
      <c r="P245" s="66" t="str">
        <f>CONCATENATE('DISPO Att (2)'!D245," ",'DISPO Att (2)'!E245," ",'DISPO Att (2)'!F245)</f>
        <v>Pat DE LEON CHRISTOPHER</v>
      </c>
      <c r="Q245" s="66" t="str">
        <f>IFERROR(VLOOKUP(P245,[1]Disposition!$AB$9:$AC$495,2,0),"NO RECORD YET")</f>
        <v>NO RECORD YET</v>
      </c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18" customHeight="1">
      <c r="A246" s="188">
        <v>237</v>
      </c>
      <c r="B246" s="193" t="s">
        <v>1065</v>
      </c>
      <c r="C246" s="189" t="s">
        <v>19</v>
      </c>
      <c r="D246" s="194" t="s">
        <v>28</v>
      </c>
      <c r="E246" s="195" t="s">
        <v>135</v>
      </c>
      <c r="F246" s="195" t="s">
        <v>1190</v>
      </c>
      <c r="G246" s="195" t="s">
        <v>1191</v>
      </c>
      <c r="H246" s="194"/>
      <c r="I246" s="212"/>
      <c r="J246" s="281" t="s">
        <v>1192</v>
      </c>
      <c r="K246" s="307" t="s">
        <v>1193</v>
      </c>
      <c r="L246" s="66"/>
      <c r="M246" s="66"/>
      <c r="N246" s="66"/>
      <c r="O246" s="66"/>
      <c r="P246" s="66" t="str">
        <f>CONCATENATE('DISPO Att (2)'!D246," ",'DISPO Att (2)'!E246," ",'DISPO Att (2)'!F246)</f>
        <v>Pat DEL ROSARIO BRIGGS</v>
      </c>
      <c r="Q246" s="66" t="str">
        <f>IFERROR(VLOOKUP(P246,[1]Disposition!$AB$9:$AC$495,2,0),"NO RECORD YET")</f>
        <v>NO RECORD YET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18" customHeight="1">
      <c r="A247" s="188">
        <v>238</v>
      </c>
      <c r="B247" s="193" t="s">
        <v>1065</v>
      </c>
      <c r="C247" s="193" t="s">
        <v>39</v>
      </c>
      <c r="D247" s="190" t="s">
        <v>28</v>
      </c>
      <c r="E247" s="191" t="s">
        <v>1194</v>
      </c>
      <c r="F247" s="191" t="s">
        <v>108</v>
      </c>
      <c r="G247" s="191" t="s">
        <v>822</v>
      </c>
      <c r="H247" s="192"/>
      <c r="I247" s="212"/>
      <c r="J247" s="281" t="s">
        <v>1195</v>
      </c>
      <c r="K247" s="307" t="s">
        <v>1196</v>
      </c>
      <c r="L247" s="66"/>
      <c r="M247" s="66"/>
      <c r="N247" s="66"/>
      <c r="O247" s="66"/>
      <c r="P247" s="66" t="str">
        <f>CONCATENATE(E247," ",F247," ",G247)</f>
        <v>MELGAR CATHERINE MANUEL</v>
      </c>
      <c r="Q247" s="66" t="str">
        <f>IFERROR(VLOOKUP(P247,[1]Disposition!$AB$9:$AC$495,2,0),"NO RECORD YET")</f>
        <v>NO RECORD YET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18" customHeight="1">
      <c r="A248" s="188">
        <v>239</v>
      </c>
      <c r="B248" s="193" t="s">
        <v>1065</v>
      </c>
      <c r="C248" s="193" t="s">
        <v>39</v>
      </c>
      <c r="D248" s="190" t="s">
        <v>40</v>
      </c>
      <c r="E248" s="191" t="s">
        <v>1197</v>
      </c>
      <c r="F248" s="191" t="s">
        <v>1198</v>
      </c>
      <c r="G248" s="191" t="s">
        <v>1199</v>
      </c>
      <c r="H248" s="192"/>
      <c r="I248" s="210"/>
      <c r="J248" s="279" t="s">
        <v>1200</v>
      </c>
      <c r="K248" s="307" t="s">
        <v>1201</v>
      </c>
      <c r="L248" s="66"/>
      <c r="M248" s="66"/>
      <c r="N248" s="66"/>
      <c r="O248" s="66"/>
      <c r="P248" s="66" t="str">
        <f>CONCATENATE('DISPO Att (2)'!D248," ",'DISPO Att (2)'!E248," ",'DISPO Att (2)'!F248)</f>
        <v>NUP ALFONSO IRANIE</v>
      </c>
      <c r="Q248" s="66" t="str">
        <f>IFERROR(VLOOKUP(P248,[1]Disposition!$AB$9:$AC$495,2,0),"NO RECORD YET")</f>
        <v>NO RECORD YET</v>
      </c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18" customHeight="1">
      <c r="A249" s="188">
        <v>240</v>
      </c>
      <c r="B249" s="193" t="s">
        <v>1202</v>
      </c>
      <c r="C249" s="193" t="s">
        <v>39</v>
      </c>
      <c r="D249" s="190" t="s">
        <v>40</v>
      </c>
      <c r="E249" s="191" t="s">
        <v>1203</v>
      </c>
      <c r="F249" s="191" t="s">
        <v>1204</v>
      </c>
      <c r="G249" s="191" t="s">
        <v>1205</v>
      </c>
      <c r="H249" s="192"/>
      <c r="I249" s="210"/>
      <c r="J249" s="279" t="s">
        <v>1206</v>
      </c>
      <c r="K249" s="307" t="s">
        <v>1207</v>
      </c>
      <c r="L249" s="66"/>
      <c r="M249" s="66"/>
      <c r="N249" s="66"/>
      <c r="O249" s="66"/>
      <c r="P249" s="66" t="str">
        <f>CONCATENATE('DISPO Att (2)'!D249," ",'DISPO Att (2)'!E249," ",'DISPO Att (2)'!F249)</f>
        <v>NUP BUSTARDE MA GOUDELIA</v>
      </c>
      <c r="Q249" s="66" t="str">
        <f>IFERROR(VLOOKUP(P249,[1]Disposition!$AB$9:$AC$495,2,0),"NO RECORD YET")</f>
        <v>NO RECORD YET</v>
      </c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18" customHeight="1">
      <c r="A250" s="188">
        <v>241</v>
      </c>
      <c r="B250" s="193" t="s">
        <v>1065</v>
      </c>
      <c r="C250" s="193" t="s">
        <v>39</v>
      </c>
      <c r="D250" s="190" t="s">
        <v>40</v>
      </c>
      <c r="E250" s="191" t="s">
        <v>256</v>
      </c>
      <c r="F250" s="191" t="s">
        <v>1208</v>
      </c>
      <c r="G250" s="191" t="s">
        <v>1209</v>
      </c>
      <c r="H250" s="192"/>
      <c r="I250" s="223"/>
      <c r="J250" s="279" t="s">
        <v>1210</v>
      </c>
      <c r="K250" s="307" t="s">
        <v>1211</v>
      </c>
      <c r="L250" s="66"/>
      <c r="M250" s="66"/>
      <c r="N250" s="66"/>
      <c r="O250" s="66"/>
      <c r="P250" s="66" t="str">
        <f>CONCATENATE('DISPO Att (2)'!D250," ",'DISPO Att (2)'!E250," ",'DISPO Att (2)'!F250)</f>
        <v>NUP DELA CRUZ MELANIA</v>
      </c>
      <c r="Q250" s="66" t="str">
        <f>IFERROR(VLOOKUP(P250,[1]Disposition!$AB$9:$AC$495,2,0),"NO RECORD YET")</f>
        <v>NO RECORD YET</v>
      </c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18" customHeight="1">
      <c r="A251" s="188">
        <v>242</v>
      </c>
      <c r="B251" s="193" t="s">
        <v>1065</v>
      </c>
      <c r="C251" s="189" t="s">
        <v>19</v>
      </c>
      <c r="D251" s="190" t="s">
        <v>40</v>
      </c>
      <c r="E251" s="191" t="s">
        <v>1212</v>
      </c>
      <c r="F251" s="191" t="s">
        <v>1213</v>
      </c>
      <c r="G251" s="191" t="s">
        <v>1214</v>
      </c>
      <c r="H251" s="192"/>
      <c r="I251" s="223"/>
      <c r="J251" s="279"/>
      <c r="K251" s="282"/>
      <c r="L251" s="66"/>
      <c r="M251" s="66"/>
      <c r="N251" s="66"/>
      <c r="O251" s="66"/>
      <c r="P251" s="66" t="str">
        <f>CONCATENATE('DISPO Att (2)'!D251," ",'DISPO Att (2)'!E251," ",'DISPO Att (2)'!F251)</f>
        <v>NUP DE LANA XZYRON</v>
      </c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18" customHeight="1">
      <c r="A252" s="188">
        <v>243</v>
      </c>
      <c r="B252" s="193" t="s">
        <v>1065</v>
      </c>
      <c r="C252" s="193" t="s">
        <v>39</v>
      </c>
      <c r="D252" s="190" t="s">
        <v>40</v>
      </c>
      <c r="E252" s="191" t="s">
        <v>1215</v>
      </c>
      <c r="F252" s="191" t="s">
        <v>1216</v>
      </c>
      <c r="G252" s="191" t="s">
        <v>1217</v>
      </c>
      <c r="H252" s="192"/>
      <c r="I252" s="210"/>
      <c r="J252" s="279" t="s">
        <v>1218</v>
      </c>
      <c r="K252" s="308" t="s">
        <v>1219</v>
      </c>
      <c r="L252" s="66"/>
      <c r="M252" s="66"/>
      <c r="N252" s="66"/>
      <c r="O252" s="66"/>
      <c r="P252" s="66" t="str">
        <f>CONCATENATE('DISPO Att (2)'!D252," ",'DISPO Att (2)'!E252," ",'DISPO Att (2)'!F252)</f>
        <v>NUP MANDAL BIBIANA</v>
      </c>
      <c r="Q252" s="66" t="str">
        <f>IFERROR(VLOOKUP(P252,[1]Disposition!$AB$9:$AC$495,2,0),"NO RECORD YET")</f>
        <v>NO RECORD YET</v>
      </c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18" customHeight="1">
      <c r="A253" s="188">
        <v>244</v>
      </c>
      <c r="B253" s="193" t="s">
        <v>1065</v>
      </c>
      <c r="C253" s="193" t="s">
        <v>39</v>
      </c>
      <c r="D253" s="190" t="s">
        <v>40</v>
      </c>
      <c r="E253" s="191" t="s">
        <v>1220</v>
      </c>
      <c r="F253" s="191" t="s">
        <v>1221</v>
      </c>
      <c r="G253" s="191" t="s">
        <v>836</v>
      </c>
      <c r="H253" s="192"/>
      <c r="I253" s="223"/>
      <c r="J253" s="279" t="s">
        <v>1222</v>
      </c>
      <c r="K253" s="307" t="s">
        <v>1223</v>
      </c>
      <c r="L253" s="66"/>
      <c r="M253" s="66"/>
      <c r="N253" s="66"/>
      <c r="O253" s="66"/>
      <c r="P253" s="66" t="str">
        <f>CONCATENATE('DISPO Att (2)'!D253," ",'DISPO Att (2)'!E253," ",'DISPO Att (2)'!F253)</f>
        <v>NUP MEJIA GIRLIE</v>
      </c>
      <c r="Q253" s="66" t="str">
        <f>IFERROR(VLOOKUP(P253,[1]Disposition!$AB$9:$AC$495,2,0),"NO RECORD YET")</f>
        <v>NO RECORD YET</v>
      </c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18" customHeight="1">
      <c r="A254" s="188">
        <v>245</v>
      </c>
      <c r="B254" s="193" t="s">
        <v>1065</v>
      </c>
      <c r="C254" s="193" t="s">
        <v>39</v>
      </c>
      <c r="D254" s="190" t="s">
        <v>40</v>
      </c>
      <c r="E254" s="191" t="s">
        <v>1224</v>
      </c>
      <c r="F254" s="191" t="s">
        <v>1225</v>
      </c>
      <c r="G254" s="191" t="s">
        <v>1226</v>
      </c>
      <c r="H254" s="192"/>
      <c r="I254" s="210"/>
      <c r="J254" s="279" t="s">
        <v>1227</v>
      </c>
      <c r="K254" s="307" t="s">
        <v>1228</v>
      </c>
      <c r="L254" s="66"/>
      <c r="M254" s="66"/>
      <c r="N254" s="66"/>
      <c r="O254" s="66"/>
      <c r="P254" s="66" t="str">
        <f>CONCATENATE('DISPO Att (2)'!D254," ",'DISPO Att (2)'!E254," ",'DISPO Att (2)'!F254)</f>
        <v>NUP VASQUEZ ANNIE</v>
      </c>
      <c r="Q254" s="66" t="str">
        <f>IFERROR(VLOOKUP(P254,[1]Disposition!$AB$9:$AC$495,2,0),"NO RECORD YET")</f>
        <v>NO RECORD YET</v>
      </c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18" customHeight="1">
      <c r="A255" s="188">
        <v>246</v>
      </c>
      <c r="B255" s="193" t="s">
        <v>1229</v>
      </c>
      <c r="C255" s="193" t="s">
        <v>39</v>
      </c>
      <c r="D255" s="205" t="s">
        <v>96</v>
      </c>
      <c r="E255" s="204" t="s">
        <v>1230</v>
      </c>
      <c r="F255" s="204" t="s">
        <v>171</v>
      </c>
      <c r="G255" s="204" t="s">
        <v>1231</v>
      </c>
      <c r="H255" s="205"/>
      <c r="I255" s="210"/>
      <c r="J255" s="279" t="s">
        <v>1232</v>
      </c>
      <c r="K255" s="307" t="s">
        <v>1233</v>
      </c>
      <c r="L255" s="66"/>
      <c r="M255" s="66"/>
      <c r="N255" s="66"/>
      <c r="O255" s="66"/>
      <c r="P255" s="66" t="str">
        <f>CONCATENATE('DISPO Att (2)'!D255," ",'DISPO Att (2)'!E255," ",'DISPO Att (2)'!F255)</f>
        <v>PCPT MARTINEZ ANGELICA</v>
      </c>
      <c r="Q255" s="66" t="str">
        <f>IFERROR(VLOOKUP(P255,[1]Disposition!$AB$9:$AC$495,2,0),"NO RECORD YET")</f>
        <v>NO RECORD YET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18" customHeight="1">
      <c r="A256" s="188">
        <v>247</v>
      </c>
      <c r="B256" s="193" t="s">
        <v>1229</v>
      </c>
      <c r="C256" s="189" t="s">
        <v>19</v>
      </c>
      <c r="D256" s="205" t="s">
        <v>96</v>
      </c>
      <c r="E256" s="204" t="s">
        <v>1234</v>
      </c>
      <c r="F256" s="204" t="s">
        <v>1235</v>
      </c>
      <c r="G256" s="204" t="s">
        <v>1236</v>
      </c>
      <c r="H256" s="194"/>
      <c r="I256" s="210"/>
      <c r="J256" s="279" t="s">
        <v>1237</v>
      </c>
      <c r="K256" s="307" t="s">
        <v>1238</v>
      </c>
      <c r="L256" s="66"/>
      <c r="M256" s="66"/>
      <c r="N256" s="66"/>
      <c r="O256" s="66"/>
      <c r="P256" s="66" t="str">
        <f>CONCATENATE('DISPO Att (2)'!D256," ",'DISPO Att (2)'!E256," ",'DISPO Att (2)'!F256)</f>
        <v>PCPT PILASPILAS MARK JAYSON</v>
      </c>
      <c r="Q256" s="66" t="str">
        <f>IFERROR(VLOOKUP(P256,[1]Disposition!$AB$9:$AC$495,2,0),"NO RECORD YET")</f>
        <v>NO RECORD YET</v>
      </c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18" customHeight="1">
      <c r="A257" s="188">
        <v>248</v>
      </c>
      <c r="B257" s="193" t="s">
        <v>1229</v>
      </c>
      <c r="C257" s="189" t="s">
        <v>19</v>
      </c>
      <c r="D257" s="205" t="s">
        <v>246</v>
      </c>
      <c r="E257" s="204" t="s">
        <v>1239</v>
      </c>
      <c r="F257" s="204" t="s">
        <v>1240</v>
      </c>
      <c r="G257" s="204" t="s">
        <v>1128</v>
      </c>
      <c r="H257" s="205"/>
      <c r="I257" s="210"/>
      <c r="J257" s="279" t="s">
        <v>1241</v>
      </c>
      <c r="K257" s="307" t="s">
        <v>1242</v>
      </c>
      <c r="L257" s="66"/>
      <c r="M257" s="66"/>
      <c r="N257" s="66"/>
      <c r="O257" s="66"/>
      <c r="P257" s="66" t="str">
        <f>CONCATENATE('DISPO Att (2)'!D257," ",'DISPO Att (2)'!E257," ",'DISPO Att (2)'!F257)</f>
        <v>PLT BILLOTE KYLE BENEDICT</v>
      </c>
      <c r="Q257" s="66" t="str">
        <f>IFERROR(VLOOKUP(P257,[1]Disposition!$AB$9:$AC$495,2,0),"NO RECORD YET")</f>
        <v>NO RECORD YET</v>
      </c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spans="1:27" ht="18" customHeight="1">
      <c r="A258" s="188">
        <v>249</v>
      </c>
      <c r="B258" s="193" t="s">
        <v>1229</v>
      </c>
      <c r="C258" s="189" t="s">
        <v>19</v>
      </c>
      <c r="D258" s="194" t="s">
        <v>28</v>
      </c>
      <c r="E258" s="195" t="s">
        <v>1243</v>
      </c>
      <c r="F258" s="195" t="s">
        <v>1244</v>
      </c>
      <c r="G258" s="195" t="s">
        <v>1245</v>
      </c>
      <c r="H258" s="194"/>
      <c r="I258" s="210"/>
      <c r="J258" s="281" t="s">
        <v>1246</v>
      </c>
      <c r="K258" s="307" t="s">
        <v>1247</v>
      </c>
      <c r="L258" s="66"/>
      <c r="M258" s="66"/>
      <c r="N258" s="66"/>
      <c r="O258" s="66"/>
      <c r="P258" s="66" t="str">
        <f>CONCATENATE('DISPO Att (2)'!D258," ",'DISPO Att (2)'!E258," ",'DISPO Att (2)'!F258)</f>
        <v>Pat BURIGSAY MARC IVOR JAN</v>
      </c>
      <c r="Q258" s="66" t="str">
        <f>IFERROR(VLOOKUP(P258,[1]Disposition!$AB$9:$AC$495,2,0),"NO RECORD YET")</f>
        <v>NO RECORD YET</v>
      </c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spans="1:27" ht="18" customHeight="1">
      <c r="A259" s="188">
        <v>250</v>
      </c>
      <c r="B259" s="193" t="s">
        <v>1229</v>
      </c>
      <c r="C259" s="189" t="s">
        <v>19</v>
      </c>
      <c r="D259" s="194" t="s">
        <v>28</v>
      </c>
      <c r="E259" s="195" t="s">
        <v>311</v>
      </c>
      <c r="F259" s="195" t="s">
        <v>1248</v>
      </c>
      <c r="G259" s="195" t="s">
        <v>1249</v>
      </c>
      <c r="H259" s="194"/>
      <c r="I259" s="210"/>
      <c r="J259" s="185" t="s">
        <v>1250</v>
      </c>
      <c r="K259" s="307" t="s">
        <v>1251</v>
      </c>
      <c r="L259" s="66"/>
      <c r="M259" s="66"/>
      <c r="N259" s="66"/>
      <c r="O259" s="66"/>
      <c r="P259" s="66" t="str">
        <f>CONCATENATE('DISPO Att (2)'!D259," ",'DISPO Att (2)'!E259," ",'DISPO Att (2)'!F259)</f>
        <v>Pat CASTRO VOLTAIRE</v>
      </c>
      <c r="Q259" s="66" t="str">
        <f>IFERROR(VLOOKUP(P259,[1]Disposition!$AB$9:$AC$495,2,0),"NO RECORD YET")</f>
        <v>NO RECORD YET</v>
      </c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spans="1:27" ht="18" customHeight="1">
      <c r="A260" s="188">
        <v>251</v>
      </c>
      <c r="B260" s="193" t="s">
        <v>1229</v>
      </c>
      <c r="C260" s="189" t="s">
        <v>19</v>
      </c>
      <c r="D260" s="194" t="s">
        <v>28</v>
      </c>
      <c r="E260" s="195" t="s">
        <v>1252</v>
      </c>
      <c r="F260" s="195" t="s">
        <v>1253</v>
      </c>
      <c r="G260" s="195" t="s">
        <v>311</v>
      </c>
      <c r="H260" s="194" t="s">
        <v>268</v>
      </c>
      <c r="I260" s="212"/>
      <c r="J260" s="281" t="s">
        <v>1254</v>
      </c>
      <c r="K260" s="307" t="s">
        <v>1255</v>
      </c>
      <c r="L260" s="66"/>
      <c r="M260" s="66"/>
      <c r="N260" s="66"/>
      <c r="O260" s="66"/>
      <c r="P260" s="66" t="str">
        <f>CONCATENATE('DISPO Att (2)'!D260," ",'DISPO Att (2)'!E260," ",'DISPO Att (2)'!F260)</f>
        <v>Pat HERRERA  EDGARDO</v>
      </c>
      <c r="Q260" s="66" t="str">
        <f>IFERROR(VLOOKUP(P260,[1]Disposition!$AB$9:$AC$495,2,0),"NO RECORD YET")</f>
        <v>NO RECORD YET</v>
      </c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spans="1:27" ht="18" customHeight="1">
      <c r="A261" s="188">
        <v>252</v>
      </c>
      <c r="B261" s="193" t="s">
        <v>1229</v>
      </c>
      <c r="C261" s="231" t="s">
        <v>19</v>
      </c>
      <c r="D261" s="194" t="s">
        <v>28</v>
      </c>
      <c r="E261" s="204" t="s">
        <v>87</v>
      </c>
      <c r="F261" s="204" t="s">
        <v>1256</v>
      </c>
      <c r="G261" s="204" t="s">
        <v>914</v>
      </c>
      <c r="H261" s="205"/>
      <c r="I261" s="212"/>
      <c r="J261" s="279" t="s">
        <v>1257</v>
      </c>
      <c r="K261" s="307" t="s">
        <v>1258</v>
      </c>
      <c r="L261" s="66"/>
      <c r="M261" s="66"/>
      <c r="N261" s="66"/>
      <c r="O261" s="66"/>
      <c r="P261" s="66" t="str">
        <f>CONCATENATE('DISPO Att (2)'!D261," ",'DISPO Att (2)'!E261," ",'DISPO Att (2)'!F261)</f>
        <v>Pat LLANEZA MARC</v>
      </c>
      <c r="Q261" s="66" t="str">
        <f>IFERROR(VLOOKUP(P261,[1]Disposition!$AB$9:$AC$495,2,0),"NO RECORD YET")</f>
        <v>NO RECORD YET</v>
      </c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spans="1:27" ht="18" customHeight="1">
      <c r="A262" s="188">
        <v>253</v>
      </c>
      <c r="B262" s="193" t="s">
        <v>1229</v>
      </c>
      <c r="C262" s="189" t="s">
        <v>19</v>
      </c>
      <c r="D262" s="194" t="s">
        <v>28</v>
      </c>
      <c r="E262" s="195" t="s">
        <v>1259</v>
      </c>
      <c r="F262" s="195" t="s">
        <v>1260</v>
      </c>
      <c r="G262" s="195" t="s">
        <v>962</v>
      </c>
      <c r="H262" s="194"/>
      <c r="I262" s="212"/>
      <c r="J262" s="281" t="s">
        <v>1261</v>
      </c>
      <c r="K262" s="307" t="s">
        <v>1262</v>
      </c>
      <c r="L262" s="66"/>
      <c r="M262" s="66"/>
      <c r="N262" s="66"/>
      <c r="O262" s="66"/>
      <c r="P262" s="66" t="str">
        <f>CONCATENATE('DISPO Att (2)'!D262," ",'DISPO Att (2)'!E262," ",'DISPO Att (2)'!F262)</f>
        <v>Pat MONTIGO MARKIN</v>
      </c>
      <c r="Q262" s="66" t="str">
        <f>IFERROR(VLOOKUP(P262,[1]Disposition!$AB$9:$AC$495,2,0),"NO RECORD YET")</f>
        <v>NO RECORD YET</v>
      </c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spans="1:27" ht="18" customHeight="1">
      <c r="A263" s="188">
        <v>254</v>
      </c>
      <c r="B263" s="193" t="s">
        <v>1229</v>
      </c>
      <c r="C263" s="189" t="s">
        <v>19</v>
      </c>
      <c r="D263" s="194" t="s">
        <v>28</v>
      </c>
      <c r="E263" s="195" t="s">
        <v>423</v>
      </c>
      <c r="F263" s="195" t="s">
        <v>1263</v>
      </c>
      <c r="G263" s="195" t="s">
        <v>1264</v>
      </c>
      <c r="H263" s="194"/>
      <c r="I263" s="212"/>
      <c r="J263" s="281" t="s">
        <v>1265</v>
      </c>
      <c r="K263" s="307" t="s">
        <v>1266</v>
      </c>
      <c r="L263" s="66"/>
      <c r="M263" s="66"/>
      <c r="N263" s="66"/>
      <c r="O263" s="66"/>
      <c r="P263" s="66" t="str">
        <f>CONCATENATE('DISPO Att (2)'!D263," ",'DISPO Att (2)'!E263," ",'DISPO Att (2)'!F263)</f>
        <v>Pat TAMONDONG ALEXIS</v>
      </c>
      <c r="Q263" s="66" t="str">
        <f>IFERROR(VLOOKUP(P263,[1]Disposition!$AB$9:$AC$495,2,0),"NO RECORD YET")</f>
        <v>NO RECORD YET</v>
      </c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spans="1:27" ht="18" customHeight="1">
      <c r="A264" s="188">
        <v>255</v>
      </c>
      <c r="B264" s="193" t="s">
        <v>1229</v>
      </c>
      <c r="C264" s="193" t="s">
        <v>39</v>
      </c>
      <c r="D264" s="190" t="s">
        <v>40</v>
      </c>
      <c r="E264" s="191" t="s">
        <v>1267</v>
      </c>
      <c r="F264" s="191" t="s">
        <v>1268</v>
      </c>
      <c r="G264" s="191" t="s">
        <v>155</v>
      </c>
      <c r="H264" s="192"/>
      <c r="I264" s="228"/>
      <c r="J264" s="279" t="s">
        <v>1269</v>
      </c>
      <c r="K264" s="307" t="s">
        <v>1270</v>
      </c>
      <c r="L264" s="66"/>
      <c r="M264" s="66"/>
      <c r="N264" s="66"/>
      <c r="O264" s="66"/>
      <c r="P264" s="66" t="str">
        <f>CONCATENATE(E369," ",F369," ",G369)</f>
        <v>MORALES MARIA MARGARITA ROSARIO GARCIA</v>
      </c>
      <c r="Q264" s="66" t="str">
        <f>IFERROR(VLOOKUP(P264,[1]Disposition!$AB$9:$AC$495,2,0),"NO RECORD YET")</f>
        <v>34 Sto. Rosario St., Republic Avenue, Brgy. Holy Spirit, Quezon City</v>
      </c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spans="1:27" ht="18" customHeight="1">
      <c r="A265" s="188">
        <v>256</v>
      </c>
      <c r="B265" s="193" t="s">
        <v>1229</v>
      </c>
      <c r="C265" s="189" t="s">
        <v>19</v>
      </c>
      <c r="D265" s="190" t="s">
        <v>40</v>
      </c>
      <c r="E265" s="191" t="s">
        <v>1271</v>
      </c>
      <c r="F265" s="191" t="s">
        <v>1272</v>
      </c>
      <c r="G265" s="191" t="s">
        <v>1273</v>
      </c>
      <c r="H265" s="192"/>
      <c r="I265" s="223"/>
      <c r="J265" s="279"/>
      <c r="K265" s="282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spans="1:27" ht="18" customHeight="1">
      <c r="A266" s="188">
        <v>257</v>
      </c>
      <c r="B266" s="193" t="s">
        <v>1229</v>
      </c>
      <c r="C266" s="193" t="s">
        <v>39</v>
      </c>
      <c r="D266" s="190" t="s">
        <v>40</v>
      </c>
      <c r="E266" s="191" t="s">
        <v>929</v>
      </c>
      <c r="F266" s="191" t="s">
        <v>1274</v>
      </c>
      <c r="G266" s="191" t="s">
        <v>206</v>
      </c>
      <c r="H266" s="192"/>
      <c r="I266" s="223"/>
      <c r="J266" s="279"/>
      <c r="K266" s="282"/>
      <c r="L266" s="66"/>
      <c r="M266" s="66"/>
      <c r="N266" s="66"/>
      <c r="O266" s="66"/>
      <c r="P266" s="66" t="str">
        <f>CONCATENATE('DISPO Att (2)'!D266," ",'DISPO Att (2)'!E266," ",'DISPO Att (2)'!F266)</f>
        <v>NUP PALISOC ALYSSA ALEXANDRIA</v>
      </c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ht="18" customHeight="1">
      <c r="A267" s="188">
        <v>258</v>
      </c>
      <c r="B267" s="193" t="s">
        <v>1229</v>
      </c>
      <c r="C267" s="189" t="s">
        <v>19</v>
      </c>
      <c r="D267" s="190" t="s">
        <v>40</v>
      </c>
      <c r="E267" s="191" t="s">
        <v>1275</v>
      </c>
      <c r="F267" s="191" t="s">
        <v>1276</v>
      </c>
      <c r="G267" s="191" t="s">
        <v>1277</v>
      </c>
      <c r="H267" s="192"/>
      <c r="I267" s="210"/>
      <c r="J267" s="279" t="s">
        <v>1278</v>
      </c>
      <c r="K267" s="308" t="s">
        <v>1279</v>
      </c>
      <c r="L267" s="66"/>
      <c r="M267" s="66"/>
      <c r="N267" s="66"/>
      <c r="O267" s="66"/>
      <c r="P267" s="66" t="str">
        <f>CONCATENATE(E407," ",F407," ",G407)</f>
        <v>PINEDA PRECIOUS PEARL  PACTAO</v>
      </c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ht="18" customHeight="1">
      <c r="A268" s="188">
        <v>259</v>
      </c>
      <c r="B268" s="193" t="s">
        <v>1229</v>
      </c>
      <c r="C268" s="193" t="s">
        <v>39</v>
      </c>
      <c r="D268" s="190" t="s">
        <v>40</v>
      </c>
      <c r="E268" s="191" t="s">
        <v>423</v>
      </c>
      <c r="F268" s="191" t="s">
        <v>1280</v>
      </c>
      <c r="G268" s="191" t="s">
        <v>1281</v>
      </c>
      <c r="H268" s="192"/>
      <c r="I268" s="210"/>
      <c r="J268" s="279" t="s">
        <v>1282</v>
      </c>
      <c r="K268" s="307" t="s">
        <v>1283</v>
      </c>
      <c r="L268" s="66"/>
      <c r="M268" s="66"/>
      <c r="N268" s="66"/>
      <c r="O268" s="66"/>
      <c r="P268" s="66" t="str">
        <f>CONCATENATE('DISPO Att (2)'!D268," ",'DISPO Att (2)'!E268," ",'DISPO Att (2)'!F268)</f>
        <v>NUP TAMONDONG MELANIE JANE</v>
      </c>
      <c r="Q268" s="66" t="str">
        <f>IFERROR(VLOOKUP(P268,[1]Disposition!$AB$9:$AC$495,2,0),"NO RECORD YET")</f>
        <v>NO RECORD YET</v>
      </c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spans="1:27" ht="18" customHeight="1">
      <c r="A269" s="188">
        <v>260</v>
      </c>
      <c r="B269" s="189" t="s">
        <v>1284</v>
      </c>
      <c r="C269" s="193" t="s">
        <v>19</v>
      </c>
      <c r="D269" s="194" t="s">
        <v>96</v>
      </c>
      <c r="E269" s="191" t="s">
        <v>1285</v>
      </c>
      <c r="F269" s="191" t="s">
        <v>1286</v>
      </c>
      <c r="G269" s="191" t="s">
        <v>1287</v>
      </c>
      <c r="H269" s="192"/>
      <c r="I269" s="210"/>
      <c r="J269" s="279" t="s">
        <v>1288</v>
      </c>
      <c r="K269" s="307" t="s">
        <v>1289</v>
      </c>
      <c r="L269" s="66"/>
      <c r="M269" s="66"/>
      <c r="N269" s="66"/>
      <c r="O269" s="66"/>
      <c r="P269" s="66" t="str">
        <f t="shared" ref="P269:P282" si="7">CONCATENATE(E269," ",F269," ",G269)</f>
        <v>ANURAN ADRIAN MIRASOL</v>
      </c>
      <c r="Q269" s="66" t="str">
        <f>IFERROR(VLOOKUP(P269,[1]Disposition!$AB$9:$AC$495,2,0),"NO RECORD YET")</f>
        <v>57 A Delas Alas St., Zone 13, Taal, Batangas</v>
      </c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spans="1:27" ht="18" customHeight="1">
      <c r="A270" s="188">
        <v>261</v>
      </c>
      <c r="B270" s="189" t="s">
        <v>1290</v>
      </c>
      <c r="C270" s="193" t="s">
        <v>19</v>
      </c>
      <c r="D270" s="190" t="s">
        <v>160</v>
      </c>
      <c r="E270" s="191" t="s">
        <v>1291</v>
      </c>
      <c r="F270" s="191" t="s">
        <v>1292</v>
      </c>
      <c r="G270" s="191" t="s">
        <v>1293</v>
      </c>
      <c r="H270" s="192"/>
      <c r="I270" s="210"/>
      <c r="J270" s="279" t="s">
        <v>1294</v>
      </c>
      <c r="K270" s="307" t="s">
        <v>1295</v>
      </c>
      <c r="L270" s="66"/>
      <c r="M270" s="66"/>
      <c r="N270" s="66"/>
      <c r="O270" s="66"/>
      <c r="P270" s="66" t="str">
        <f t="shared" si="7"/>
        <v>RIMANDO JUVENAL AFOS</v>
      </c>
      <c r="Q270" s="66" t="str">
        <f>IFERROR(VLOOKUP(P270,[1]Disposition!$AB$9:$AC$495,2,0),"NO RECORD YET")</f>
        <v>B12 L5 Phase M, Francisco Homes, SJDM, Bulacan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18" customHeight="1">
      <c r="A271" s="188">
        <v>262</v>
      </c>
      <c r="B271" s="189" t="s">
        <v>1296</v>
      </c>
      <c r="C271" s="193" t="s">
        <v>19</v>
      </c>
      <c r="D271" s="190" t="s">
        <v>40</v>
      </c>
      <c r="E271" s="191" t="s">
        <v>1297</v>
      </c>
      <c r="F271" s="191" t="s">
        <v>1298</v>
      </c>
      <c r="G271" s="191" t="s">
        <v>1299</v>
      </c>
      <c r="H271" s="192" t="s">
        <v>268</v>
      </c>
      <c r="I271" s="210"/>
      <c r="J271" s="279" t="s">
        <v>1300</v>
      </c>
      <c r="K271" s="307" t="s">
        <v>1301</v>
      </c>
      <c r="L271" s="66"/>
      <c r="M271" s="66"/>
      <c r="N271" s="66"/>
      <c r="O271" s="66"/>
      <c r="P271" s="66" t="str">
        <f t="shared" si="7"/>
        <v>RARO EMILIO GARADO</v>
      </c>
      <c r="Q271" s="66" t="str">
        <f>IFERROR(VLOOKUP(P271,[1]Disposition!$AB$9:$AC$495,2,0),"NO RECORD YET")</f>
        <v>12W RD 8, 1st West, Crame, San Juan City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18" customHeight="1">
      <c r="A272" s="188">
        <v>263</v>
      </c>
      <c r="B272" s="189" t="s">
        <v>1296</v>
      </c>
      <c r="C272" s="189" t="s">
        <v>19</v>
      </c>
      <c r="D272" s="190" t="s">
        <v>96</v>
      </c>
      <c r="E272" s="204" t="s">
        <v>1302</v>
      </c>
      <c r="F272" s="204" t="s">
        <v>1303</v>
      </c>
      <c r="G272" s="204" t="s">
        <v>1304</v>
      </c>
      <c r="H272" s="205"/>
      <c r="I272" s="210"/>
      <c r="J272" s="279" t="s">
        <v>1305</v>
      </c>
      <c r="K272" s="307" t="s">
        <v>1306</v>
      </c>
      <c r="L272" s="66"/>
      <c r="M272" s="66"/>
      <c r="N272" s="66"/>
      <c r="O272" s="66"/>
      <c r="P272" s="66" t="str">
        <f t="shared" si="7"/>
        <v>ANISCO ARCHIE STO.DOMINGO</v>
      </c>
      <c r="Q272" s="66" t="str">
        <f>IFERROR(VLOOKUP(P272,[1]Disposition!$AB$9:$AC$495,2,0),"NO RECORD YET")</f>
        <v>103 Lacson Street, Tondo, Manila</v>
      </c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18" customHeight="1">
      <c r="A273" s="188">
        <v>264</v>
      </c>
      <c r="B273" s="189" t="s">
        <v>1296</v>
      </c>
      <c r="C273" s="193" t="s">
        <v>39</v>
      </c>
      <c r="D273" s="190" t="s">
        <v>96</v>
      </c>
      <c r="E273" s="204" t="s">
        <v>1307</v>
      </c>
      <c r="F273" s="204" t="s">
        <v>1308</v>
      </c>
      <c r="G273" s="204" t="s">
        <v>151</v>
      </c>
      <c r="H273" s="205"/>
      <c r="I273" s="210"/>
      <c r="J273" s="279" t="s">
        <v>1309</v>
      </c>
      <c r="K273" s="307" t="s">
        <v>1310</v>
      </c>
      <c r="L273" s="66"/>
      <c r="M273" s="66"/>
      <c r="N273" s="66"/>
      <c r="O273" s="66"/>
      <c r="P273" s="66" t="str">
        <f t="shared" si="7"/>
        <v>CAROLINO JERALYNE RAMOS</v>
      </c>
      <c r="Q273" s="66" t="str">
        <f>IFERROR(VLOOKUP(P273,[1]Disposition!$AB$9:$AC$495,2,0),"NO RECORD YET")</f>
        <v>Block 6 Lot 2, Kingstown 2 Subdivision, Barangay 171, Caloocan City</v>
      </c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18" customHeight="1">
      <c r="A274" s="188">
        <v>265</v>
      </c>
      <c r="B274" s="189" t="s">
        <v>1296</v>
      </c>
      <c r="C274" s="189" t="s">
        <v>19</v>
      </c>
      <c r="D274" s="190" t="s">
        <v>96</v>
      </c>
      <c r="E274" s="204" t="s">
        <v>1311</v>
      </c>
      <c r="F274" s="204" t="s">
        <v>1312</v>
      </c>
      <c r="G274" s="204" t="s">
        <v>1313</v>
      </c>
      <c r="H274" s="205"/>
      <c r="I274" s="210"/>
      <c r="J274" s="279" t="s">
        <v>1314</v>
      </c>
      <c r="K274" s="307" t="s">
        <v>1315</v>
      </c>
      <c r="L274" s="66"/>
      <c r="M274" s="66"/>
      <c r="N274" s="66"/>
      <c r="O274" s="66"/>
      <c r="P274" s="66" t="str">
        <f t="shared" si="7"/>
        <v>PAPIÑA PATRICK LYNDON PARCAREY</v>
      </c>
      <c r="Q274" s="66" t="str">
        <f>IFERROR(VLOOKUP(P274,[1]Disposition!$AB$9:$AC$495,2,0),"NO RECORD YET")</f>
        <v>E Glinoga, Castillo (Pob.), Pitogo, Quezon</v>
      </c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18" customHeight="1">
      <c r="A275" s="188">
        <v>266</v>
      </c>
      <c r="B275" s="189" t="s">
        <v>1296</v>
      </c>
      <c r="C275" s="189" t="s">
        <v>19</v>
      </c>
      <c r="D275" s="190" t="s">
        <v>96</v>
      </c>
      <c r="E275" s="204" t="s">
        <v>1316</v>
      </c>
      <c r="F275" s="204" t="s">
        <v>1317</v>
      </c>
      <c r="G275" s="204" t="s">
        <v>1318</v>
      </c>
      <c r="H275" s="205"/>
      <c r="I275" s="210"/>
      <c r="J275" s="279" t="s">
        <v>1319</v>
      </c>
      <c r="K275" s="307" t="s">
        <v>1320</v>
      </c>
      <c r="L275" s="66"/>
      <c r="M275" s="66"/>
      <c r="N275" s="66"/>
      <c r="O275" s="66"/>
      <c r="P275" s="66" t="str">
        <f t="shared" si="7"/>
        <v>ULPINDO KRISANTO TAPIA</v>
      </c>
      <c r="Q275" s="66" t="str">
        <f>IFERROR(VLOOKUP(P275,[1]Disposition!$AB$9:$AC$495,2,0),"NO RECORD YET")</f>
        <v>Block 12 Lot 33 Hamburg St., Mercedes Executive Village, San Andres (Pob.), Cainta, Rizal</v>
      </c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18" customHeight="1">
      <c r="A276" s="188">
        <v>267</v>
      </c>
      <c r="B276" s="189" t="s">
        <v>1296</v>
      </c>
      <c r="C276" s="189" t="s">
        <v>19</v>
      </c>
      <c r="D276" s="190" t="s">
        <v>246</v>
      </c>
      <c r="E276" s="191" t="s">
        <v>1321</v>
      </c>
      <c r="F276" s="191" t="s">
        <v>1322</v>
      </c>
      <c r="G276" s="191" t="s">
        <v>1323</v>
      </c>
      <c r="H276" s="192"/>
      <c r="I276" s="210"/>
      <c r="J276" s="279" t="s">
        <v>1324</v>
      </c>
      <c r="K276" s="282"/>
      <c r="L276" s="66"/>
      <c r="M276" s="66"/>
      <c r="N276" s="66"/>
      <c r="O276" s="66"/>
      <c r="P276" s="66" t="str">
        <f t="shared" si="7"/>
        <v>PARRE WINSTON SAFLOR</v>
      </c>
      <c r="Q276" s="66" t="str">
        <f>IFERROR(VLOOKUP(P276,[1]Disposition!$AB$9:$AC$495,2,0),"NO RECORD YET")</f>
        <v>NO RECORD YET</v>
      </c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18" customHeight="1">
      <c r="A277" s="188">
        <v>268</v>
      </c>
      <c r="B277" s="189" t="s">
        <v>1296</v>
      </c>
      <c r="C277" s="193" t="s">
        <v>39</v>
      </c>
      <c r="D277" s="190" t="s">
        <v>40</v>
      </c>
      <c r="E277" s="191" t="s">
        <v>1325</v>
      </c>
      <c r="F277" s="191" t="s">
        <v>1326</v>
      </c>
      <c r="G277" s="191" t="s">
        <v>1327</v>
      </c>
      <c r="H277" s="192"/>
      <c r="I277" s="210"/>
      <c r="J277" s="279" t="s">
        <v>1328</v>
      </c>
      <c r="K277" s="307" t="s">
        <v>1329</v>
      </c>
      <c r="L277" s="66"/>
      <c r="M277" s="66"/>
      <c r="N277" s="66"/>
      <c r="O277" s="66"/>
      <c r="P277" s="66" t="str">
        <f t="shared" si="7"/>
        <v>LUANSING DIANALYN MAGLIPON</v>
      </c>
      <c r="Q277" s="66" t="str">
        <f>IFERROR(VLOOKUP(P277,[1]Disposition!$AB$9:$AC$495,2,0),"NO RECORD YET")</f>
        <v>61 F. Manalo St., Calzada Tipas, Taguig City\</v>
      </c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18" customHeight="1">
      <c r="A278" s="188">
        <v>269</v>
      </c>
      <c r="B278" s="189" t="s">
        <v>1330</v>
      </c>
      <c r="C278" s="189" t="s">
        <v>19</v>
      </c>
      <c r="D278" s="190" t="s">
        <v>40</v>
      </c>
      <c r="E278" s="191" t="s">
        <v>1331</v>
      </c>
      <c r="F278" s="191" t="s">
        <v>1332</v>
      </c>
      <c r="G278" s="191" t="s">
        <v>1333</v>
      </c>
      <c r="H278" s="192"/>
      <c r="I278" s="210"/>
      <c r="J278" s="279" t="s">
        <v>1334</v>
      </c>
      <c r="K278" s="307" t="s">
        <v>1335</v>
      </c>
      <c r="L278" s="66"/>
      <c r="M278" s="66"/>
      <c r="N278" s="66"/>
      <c r="O278" s="66"/>
      <c r="P278" s="66" t="str">
        <f t="shared" si="7"/>
        <v>LANUZA ARNOLD  ZABATE</v>
      </c>
      <c r="Q278" s="66" t="str">
        <f>IFERROR(VLOOKUP(P278,[1]Disposition!$AB$9:$AC$495,2,0),"NO RECORD YET")</f>
        <v>12 Catleya St., Macaria Village, Binan, Laguna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18" customHeight="1">
      <c r="A279" s="188">
        <v>270</v>
      </c>
      <c r="B279" s="189" t="s">
        <v>1330</v>
      </c>
      <c r="C279" s="189" t="s">
        <v>19</v>
      </c>
      <c r="D279" s="190" t="s">
        <v>28</v>
      </c>
      <c r="E279" s="191" t="s">
        <v>1336</v>
      </c>
      <c r="F279" s="191" t="s">
        <v>1337</v>
      </c>
      <c r="G279" s="191" t="s">
        <v>1338</v>
      </c>
      <c r="H279" s="192"/>
      <c r="I279" s="210"/>
      <c r="J279" s="185" t="s">
        <v>1339</v>
      </c>
      <c r="K279" s="307" t="s">
        <v>1340</v>
      </c>
      <c r="L279" s="66"/>
      <c r="M279" s="66"/>
      <c r="N279" s="66"/>
      <c r="O279" s="66"/>
      <c r="P279" s="66" t="str">
        <f t="shared" si="7"/>
        <v>BRONZAL BRUCE KELLY  LOZANO</v>
      </c>
      <c r="Q279" s="66" t="str">
        <f>IFERROR(VLOOKUP(P279,[1]Disposition!$AB$9:$AC$495,2,0),"NO RECORD YET")</f>
        <v>NO RECORD YET</v>
      </c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18" customHeight="1">
      <c r="A280" s="188">
        <v>271</v>
      </c>
      <c r="B280" s="189" t="s">
        <v>1330</v>
      </c>
      <c r="C280" s="189" t="s">
        <v>19</v>
      </c>
      <c r="D280" s="194" t="s">
        <v>28</v>
      </c>
      <c r="E280" s="204" t="s">
        <v>973</v>
      </c>
      <c r="F280" s="204" t="s">
        <v>1341</v>
      </c>
      <c r="G280" s="204" t="s">
        <v>1342</v>
      </c>
      <c r="H280" s="205"/>
      <c r="I280" s="210"/>
      <c r="J280" s="279"/>
      <c r="K280" s="282"/>
      <c r="L280" s="66"/>
      <c r="M280" s="66"/>
      <c r="N280" s="66"/>
      <c r="O280" s="66"/>
      <c r="P280" s="66" t="str">
        <f t="shared" si="7"/>
        <v>GALVEZ MARK RHOMMEL  MDRIAGA</v>
      </c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18" customHeight="1">
      <c r="A281" s="188">
        <v>272</v>
      </c>
      <c r="B281" s="189" t="s">
        <v>1330</v>
      </c>
      <c r="C281" s="193" t="s">
        <v>39</v>
      </c>
      <c r="D281" s="190" t="s">
        <v>40</v>
      </c>
      <c r="E281" s="191" t="s">
        <v>1343</v>
      </c>
      <c r="F281" s="191" t="s">
        <v>1344</v>
      </c>
      <c r="G281" s="191" t="s">
        <v>1345</v>
      </c>
      <c r="H281" s="192"/>
      <c r="I281" s="210"/>
      <c r="J281" s="279" t="s">
        <v>1346</v>
      </c>
      <c r="K281" s="307" t="s">
        <v>1347</v>
      </c>
      <c r="L281" s="66"/>
      <c r="M281" s="66"/>
      <c r="N281" s="66"/>
      <c r="O281" s="66"/>
      <c r="P281" s="66" t="str">
        <f t="shared" si="7"/>
        <v>ALMACHAR ARLENE ACIERTO</v>
      </c>
      <c r="Q281" s="66" t="str">
        <f>IFERROR(VLOOKUP(P281,[1]Disposition!$AB$9:$AC$495,2,0),"NO RECORD YET")</f>
        <v>175 Daisy St., Garden Vill., Subd, P:ilong Buhangin, Sta. Maria, Bulacan</v>
      </c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18" customHeight="1">
      <c r="A282" s="188">
        <v>273</v>
      </c>
      <c r="B282" s="189" t="s">
        <v>1348</v>
      </c>
      <c r="C282" s="193" t="s">
        <v>39</v>
      </c>
      <c r="D282" s="190" t="s">
        <v>40</v>
      </c>
      <c r="E282" s="191" t="s">
        <v>1349</v>
      </c>
      <c r="F282" s="191" t="s">
        <v>1350</v>
      </c>
      <c r="G282" s="191" t="s">
        <v>1351</v>
      </c>
      <c r="H282" s="192"/>
      <c r="I282" s="210"/>
      <c r="J282" s="279" t="s">
        <v>1352</v>
      </c>
      <c r="K282" s="307" t="s">
        <v>1353</v>
      </c>
      <c r="L282" s="66"/>
      <c r="M282" s="66"/>
      <c r="N282" s="66"/>
      <c r="O282" s="66"/>
      <c r="P282" s="66" t="str">
        <f t="shared" si="7"/>
        <v>CABAÑAS MARY JOY DUTERTE</v>
      </c>
      <c r="Q282" s="66" t="str">
        <f>IFERROR(VLOOKUP(P282,[1]Disposition!$AB$9:$AC$495,2,0),"NO RECORD YET")</f>
        <v>13A1 1st Ave., Brgy. Bagong Lipunan ng Crame, Quezon City</v>
      </c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18" customHeight="1">
      <c r="A283" s="188">
        <v>274</v>
      </c>
      <c r="B283" s="189" t="s">
        <v>1348</v>
      </c>
      <c r="C283" s="193" t="s">
        <v>39</v>
      </c>
      <c r="D283" s="190" t="s">
        <v>40</v>
      </c>
      <c r="E283" s="191" t="s">
        <v>999</v>
      </c>
      <c r="F283" s="191" t="s">
        <v>1354</v>
      </c>
      <c r="G283" s="191" t="s">
        <v>1355</v>
      </c>
      <c r="H283" s="192"/>
      <c r="I283" s="210"/>
      <c r="J283" s="279" t="s">
        <v>1356</v>
      </c>
      <c r="K283" s="307" t="s">
        <v>1357</v>
      </c>
      <c r="L283" s="66"/>
      <c r="M283" s="66"/>
      <c r="N283" s="66"/>
      <c r="O283" s="66"/>
      <c r="P283" s="66" t="str">
        <f>CONCATENATE(E331," ",F331," ",G331)</f>
        <v>ROSETE ROSENA NICOLAS</v>
      </c>
      <c r="Q283" s="66" t="str">
        <f>IFERROR(VLOOKUP(P283,[1]Disposition!$AB$9:$AC$495,2,0),"NO RECORD YET")</f>
        <v>Phase 3 Blk 73 Lot 16, Eastwood Residences, Brgy. San Isidro, Rodriguez, Rizal</v>
      </c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18" customHeight="1">
      <c r="A284" s="188">
        <v>275</v>
      </c>
      <c r="B284" s="189" t="s">
        <v>1348</v>
      </c>
      <c r="C284" s="193" t="s">
        <v>39</v>
      </c>
      <c r="D284" s="190" t="s">
        <v>40</v>
      </c>
      <c r="E284" s="191" t="s">
        <v>1358</v>
      </c>
      <c r="F284" s="191" t="s">
        <v>1359</v>
      </c>
      <c r="G284" s="191" t="s">
        <v>1360</v>
      </c>
      <c r="H284" s="192"/>
      <c r="I284" s="210"/>
      <c r="J284" s="279" t="s">
        <v>1361</v>
      </c>
      <c r="K284" s="307" t="s">
        <v>1362</v>
      </c>
      <c r="L284" s="66"/>
      <c r="M284" s="66"/>
      <c r="N284" s="66"/>
      <c r="O284" s="66"/>
      <c r="P284" s="66" t="str">
        <f t="shared" ref="P284:P294" si="8">CONCATENATE(E284," ",F284," ",G284)</f>
        <v>SABLAY HAZEL DILLOZA</v>
      </c>
      <c r="Q284" s="66" t="str">
        <f>IFERROR(VLOOKUP(P284,[1]Disposition!$AB$9:$AC$495,2,0),"NO RECORD YET")</f>
        <v>259 IBP Road, Brgy. Commonwealth, Q.C.</v>
      </c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18" customHeight="1">
      <c r="A285" s="188">
        <v>276</v>
      </c>
      <c r="B285" s="189" t="s">
        <v>1348</v>
      </c>
      <c r="C285" s="193" t="s">
        <v>39</v>
      </c>
      <c r="D285" s="190" t="s">
        <v>40</v>
      </c>
      <c r="E285" s="191" t="s">
        <v>1363</v>
      </c>
      <c r="F285" s="191" t="s">
        <v>1364</v>
      </c>
      <c r="G285" s="191" t="s">
        <v>1365</v>
      </c>
      <c r="H285" s="192"/>
      <c r="I285" s="210"/>
      <c r="J285" s="279" t="s">
        <v>1366</v>
      </c>
      <c r="K285" s="307" t="s">
        <v>1367</v>
      </c>
      <c r="L285" s="66"/>
      <c r="M285" s="66"/>
      <c r="N285" s="66"/>
      <c r="O285" s="66"/>
      <c r="P285" s="66" t="str">
        <f t="shared" si="8"/>
        <v>SOLON RENA ELENA  OCCIANO</v>
      </c>
      <c r="Q285" s="66" t="str">
        <f>IFERROR(VLOOKUP(P285,[1]Disposition!$AB$9:$AC$495,2,0),"NO RECORD YET")</f>
        <v>L4 B7 Executive Homes I, Greenpark Village, Cainta, Rizal</v>
      </c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18" customHeight="1">
      <c r="A286" s="188">
        <v>277</v>
      </c>
      <c r="B286" s="189" t="s">
        <v>1368</v>
      </c>
      <c r="C286" s="193" t="s">
        <v>39</v>
      </c>
      <c r="D286" s="190" t="s">
        <v>40</v>
      </c>
      <c r="E286" s="191" t="s">
        <v>1369</v>
      </c>
      <c r="F286" s="191" t="s">
        <v>1370</v>
      </c>
      <c r="G286" s="191" t="s">
        <v>630</v>
      </c>
      <c r="H286" s="192"/>
      <c r="I286" s="210"/>
      <c r="J286" s="279" t="s">
        <v>1371</v>
      </c>
      <c r="K286" s="307" t="s">
        <v>1372</v>
      </c>
      <c r="L286" s="66"/>
      <c r="M286" s="66"/>
      <c r="N286" s="66"/>
      <c r="O286" s="66"/>
      <c r="P286" s="66" t="str">
        <f t="shared" si="8"/>
        <v>PONCE JASMIN SEBASTIAN</v>
      </c>
      <c r="Q286" s="66" t="str">
        <f>IFERROR(VLOOKUP(P286,[1]Disposition!$AB$9:$AC$495,2,0),"NO RECORD YET")</f>
        <v>40 Bravo St., Zone 5, Central Signal Village, Taguig City</v>
      </c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18" customHeight="1">
      <c r="A287" s="188">
        <v>278</v>
      </c>
      <c r="B287" s="189" t="s">
        <v>1368</v>
      </c>
      <c r="C287" s="189" t="s">
        <v>19</v>
      </c>
      <c r="D287" s="190" t="s">
        <v>24</v>
      </c>
      <c r="E287" s="191" t="s">
        <v>1373</v>
      </c>
      <c r="F287" s="191" t="s">
        <v>1374</v>
      </c>
      <c r="G287" s="191" t="s">
        <v>1375</v>
      </c>
      <c r="H287" s="192"/>
      <c r="I287" s="210"/>
      <c r="J287" s="279" t="s">
        <v>1376</v>
      </c>
      <c r="K287" s="307" t="s">
        <v>1377</v>
      </c>
      <c r="L287" s="66"/>
      <c r="M287" s="66"/>
      <c r="N287" s="66"/>
      <c r="O287" s="66"/>
      <c r="P287" s="66" t="str">
        <f t="shared" si="8"/>
        <v>TOLENTINO NATHANIEL MELEGRITO</v>
      </c>
      <c r="Q287" s="66" t="str">
        <f>IFERROR(VLOOKUP(P287,[1]Disposition!$AB$9:$AC$495,2,0),"NO RECORD YET")</f>
        <v>B4 L1 Escopa IV, Project 4, Quezon City.</v>
      </c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18" customHeight="1">
      <c r="A288" s="188">
        <v>279</v>
      </c>
      <c r="B288" s="189" t="s">
        <v>1368</v>
      </c>
      <c r="C288" s="189" t="s">
        <v>19</v>
      </c>
      <c r="D288" s="190" t="s">
        <v>28</v>
      </c>
      <c r="E288" s="195" t="s">
        <v>1378</v>
      </c>
      <c r="F288" s="195" t="s">
        <v>1379</v>
      </c>
      <c r="G288" s="195" t="s">
        <v>1380</v>
      </c>
      <c r="H288" s="194"/>
      <c r="I288" s="210"/>
      <c r="J288" s="185" t="s">
        <v>1381</v>
      </c>
      <c r="K288" s="307" t="s">
        <v>1382</v>
      </c>
      <c r="L288" s="66"/>
      <c r="M288" s="66"/>
      <c r="N288" s="66"/>
      <c r="O288" s="66"/>
      <c r="P288" s="66" t="str">
        <f t="shared" si="8"/>
        <v>PAQUIZ JOHN ANTHONY BATO</v>
      </c>
      <c r="Q288" s="66" t="str">
        <f>IFERROR(VLOOKUP(P288,[1]Disposition!$AB$9:$AC$495,2,0),"NO RECORD YET")</f>
        <v>NO RECORD YET</v>
      </c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18" customHeight="1">
      <c r="A289" s="188">
        <v>280</v>
      </c>
      <c r="B289" s="189" t="s">
        <v>1368</v>
      </c>
      <c r="C289" s="189" t="s">
        <v>19</v>
      </c>
      <c r="D289" s="190" t="s">
        <v>40</v>
      </c>
      <c r="E289" s="191" t="s">
        <v>1383</v>
      </c>
      <c r="F289" s="191" t="s">
        <v>1384</v>
      </c>
      <c r="G289" s="191" t="s">
        <v>1061</v>
      </c>
      <c r="H289" s="192"/>
      <c r="I289" s="210"/>
      <c r="J289" s="279" t="s">
        <v>1385</v>
      </c>
      <c r="K289" s="307" t="s">
        <v>1386</v>
      </c>
      <c r="L289" s="66"/>
      <c r="M289" s="66"/>
      <c r="N289" s="66"/>
      <c r="O289" s="66"/>
      <c r="P289" s="66" t="str">
        <f t="shared" si="8"/>
        <v>HUERNO JOHN ELMAR ALLAS</v>
      </c>
      <c r="Q289" s="66" t="str">
        <f>IFERROR(VLOOKUP(P289,[1]Disposition!$AB$9:$AC$495,2,0),"NO RECORD YET")</f>
        <v>#23 St. John St., Graceland Subd., Ampid 2, San Mateo, Rizal\</v>
      </c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18" customHeight="1">
      <c r="A290" s="188">
        <v>281</v>
      </c>
      <c r="B290" s="189" t="s">
        <v>1368</v>
      </c>
      <c r="C290" s="189" t="s">
        <v>19</v>
      </c>
      <c r="D290" s="190" t="s">
        <v>40</v>
      </c>
      <c r="E290" s="191" t="s">
        <v>526</v>
      </c>
      <c r="F290" s="191" t="s">
        <v>1387</v>
      </c>
      <c r="G290" s="191" t="s">
        <v>1388</v>
      </c>
      <c r="H290" s="192" t="s">
        <v>268</v>
      </c>
      <c r="I290" s="210"/>
      <c r="J290" s="279" t="s">
        <v>1389</v>
      </c>
      <c r="K290" s="307" t="s">
        <v>1390</v>
      </c>
      <c r="L290" s="66"/>
      <c r="M290" s="66"/>
      <c r="N290" s="66"/>
      <c r="O290" s="66"/>
      <c r="P290" s="66" t="str">
        <f t="shared" si="8"/>
        <v>MENDOZA RONILO BERNARDINO</v>
      </c>
      <c r="Q290" s="66" t="str">
        <f>IFERROR(VLOOKUP(P290,[1]Disposition!$AB$9:$AC$495,2,0),"NO RECORD YET")</f>
        <v>149 V. Lara St., Sumilang, Pasig City</v>
      </c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18" customHeight="1">
      <c r="A291" s="188">
        <v>282</v>
      </c>
      <c r="B291" s="189" t="s">
        <v>1368</v>
      </c>
      <c r="C291" s="193" t="s">
        <v>39</v>
      </c>
      <c r="D291" s="190" t="s">
        <v>40</v>
      </c>
      <c r="E291" s="191" t="s">
        <v>1391</v>
      </c>
      <c r="F291" s="191" t="s">
        <v>1392</v>
      </c>
      <c r="G291" s="191" t="s">
        <v>1393</v>
      </c>
      <c r="H291" s="192"/>
      <c r="I291" s="210"/>
      <c r="J291" s="279" t="s">
        <v>1394</v>
      </c>
      <c r="K291" s="307" t="s">
        <v>1395</v>
      </c>
      <c r="L291" s="66"/>
      <c r="M291" s="66"/>
      <c r="N291" s="66"/>
      <c r="O291" s="66"/>
      <c r="P291" s="66" t="str">
        <f t="shared" si="8"/>
        <v>PARANADA DIANA VALMIDIANO</v>
      </c>
      <c r="Q291" s="66" t="str">
        <f>IFERROR(VLOOKUP(P291,[1]Disposition!$AB$9:$AC$495,2,0),"NO RECORD YET")</f>
        <v>Brgy. Taleb, Bantay, Ilocos Sur/#8 Don Jose St., Brgy. San Roque, Cubao, Quezon City</v>
      </c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18" customHeight="1">
      <c r="A292" s="188">
        <v>283</v>
      </c>
      <c r="B292" s="189" t="s">
        <v>1396</v>
      </c>
      <c r="C292" s="189" t="s">
        <v>19</v>
      </c>
      <c r="D292" s="190" t="s">
        <v>40</v>
      </c>
      <c r="E292" s="191" t="s">
        <v>774</v>
      </c>
      <c r="F292" s="191" t="s">
        <v>1397</v>
      </c>
      <c r="G292" s="191" t="s">
        <v>1398</v>
      </c>
      <c r="H292" s="192"/>
      <c r="I292" s="210"/>
      <c r="J292" s="279" t="s">
        <v>1399</v>
      </c>
      <c r="K292" s="307" t="s">
        <v>1400</v>
      </c>
      <c r="L292" s="66"/>
      <c r="M292" s="66"/>
      <c r="N292" s="66"/>
      <c r="O292" s="66"/>
      <c r="P292" s="66" t="str">
        <f t="shared" si="8"/>
        <v>MALLILLIN MARVIN SALINAS</v>
      </c>
      <c r="Q292" s="66" t="str">
        <f>IFERROR(VLOOKUP(P292,[1]Disposition!$AB$9:$AC$495,2,0),"NO RECORD YET")</f>
        <v>10 Longhorn St., Rancho Estate IV East, Concepcion Dos, Marikina City</v>
      </c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18" customHeight="1">
      <c r="A293" s="188">
        <v>284</v>
      </c>
      <c r="B293" s="189" t="s">
        <v>1396</v>
      </c>
      <c r="C293" s="193" t="s">
        <v>39</v>
      </c>
      <c r="D293" s="190" t="s">
        <v>40</v>
      </c>
      <c r="E293" s="191" t="s">
        <v>1401</v>
      </c>
      <c r="F293" s="191" t="s">
        <v>1402</v>
      </c>
      <c r="G293" s="191" t="s">
        <v>1403</v>
      </c>
      <c r="H293" s="192"/>
      <c r="I293" s="210"/>
      <c r="J293" s="279" t="s">
        <v>1404</v>
      </c>
      <c r="K293" s="307" t="s">
        <v>1405</v>
      </c>
      <c r="L293" s="66"/>
      <c r="M293" s="66"/>
      <c r="N293" s="66"/>
      <c r="O293" s="66"/>
      <c r="P293" s="66" t="str">
        <f t="shared" si="8"/>
        <v>ACUESTA ANA JUNE FORRO</v>
      </c>
      <c r="Q293" s="66" t="str">
        <f>IFERROR(VLOOKUP(P293,[1]Disposition!$AB$9:$AC$495,2,0),"NO RECORD YET")</f>
        <v>Blk 52 Lot 5, Robinson"s Homes East, San Jose, Antipolo City</v>
      </c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18" customHeight="1">
      <c r="A294" s="188">
        <v>285</v>
      </c>
      <c r="B294" s="189" t="s">
        <v>1396</v>
      </c>
      <c r="C294" s="193" t="s">
        <v>39</v>
      </c>
      <c r="D294" s="190" t="s">
        <v>40</v>
      </c>
      <c r="E294" s="191" t="s">
        <v>1406</v>
      </c>
      <c r="F294" s="263" t="s">
        <v>1407</v>
      </c>
      <c r="G294" s="191" t="s">
        <v>1408</v>
      </c>
      <c r="H294" s="192"/>
      <c r="I294" s="210"/>
      <c r="J294" s="279" t="s">
        <v>1409</v>
      </c>
      <c r="K294" s="307" t="s">
        <v>1410</v>
      </c>
      <c r="L294" s="66"/>
      <c r="M294" s="66"/>
      <c r="N294" s="66"/>
      <c r="O294" s="66"/>
      <c r="P294" s="66" t="str">
        <f t="shared" si="8"/>
        <v>ARCE MARIE FRANCISSE THERESE ARMAMENTO</v>
      </c>
      <c r="Q294" s="66" t="str">
        <f>IFERROR(VLOOKUP(P294,[1]Disposition!$AB$9:$AC$495,2,0),"NO RECORD YET")</f>
        <v>Blk 8 Lot 13 Shelterville Subd., Bagumbong, Caloocan City</v>
      </c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18" customHeight="1">
      <c r="A295" s="188">
        <v>286</v>
      </c>
      <c r="B295" s="189" t="s">
        <v>1396</v>
      </c>
      <c r="C295" s="189" t="s">
        <v>19</v>
      </c>
      <c r="D295" s="190" t="s">
        <v>40</v>
      </c>
      <c r="E295" s="191" t="s">
        <v>1411</v>
      </c>
      <c r="F295" s="191" t="s">
        <v>1412</v>
      </c>
      <c r="G295" s="191" t="s">
        <v>1413</v>
      </c>
      <c r="H295" s="192"/>
      <c r="I295" s="210"/>
      <c r="J295" s="279"/>
      <c r="K295" s="280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18" customHeight="1">
      <c r="A296" s="188">
        <v>287</v>
      </c>
      <c r="B296" s="189" t="s">
        <v>1396</v>
      </c>
      <c r="C296" s="193" t="s">
        <v>39</v>
      </c>
      <c r="D296" s="194" t="s">
        <v>40</v>
      </c>
      <c r="E296" s="204" t="s">
        <v>256</v>
      </c>
      <c r="F296" s="204" t="s">
        <v>1414</v>
      </c>
      <c r="G296" s="204" t="s">
        <v>1415</v>
      </c>
      <c r="H296" s="205"/>
      <c r="I296" s="210"/>
      <c r="J296" s="285"/>
      <c r="K296" s="282"/>
      <c r="L296" s="66"/>
      <c r="M296" s="66"/>
      <c r="N296" s="66"/>
      <c r="O296" s="66"/>
      <c r="P296" s="66" t="str">
        <f t="shared" ref="P296:P307" si="9">CONCATENATE(E296," ",F296," ",G296)</f>
        <v>DELA CRUZ ALTHEA CELY PARA</v>
      </c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18" customHeight="1">
      <c r="A297" s="188">
        <v>288</v>
      </c>
      <c r="B297" s="189" t="s">
        <v>1396</v>
      </c>
      <c r="C297" s="189" t="s">
        <v>19</v>
      </c>
      <c r="D297" s="190" t="s">
        <v>40</v>
      </c>
      <c r="E297" s="191" t="s">
        <v>1416</v>
      </c>
      <c r="F297" s="191" t="s">
        <v>1417</v>
      </c>
      <c r="G297" s="191" t="s">
        <v>1418</v>
      </c>
      <c r="H297" s="192"/>
      <c r="I297" s="210"/>
      <c r="J297" s="279" t="s">
        <v>1419</v>
      </c>
      <c r="K297" s="307" t="s">
        <v>1420</v>
      </c>
      <c r="L297" s="66"/>
      <c r="M297" s="66"/>
      <c r="N297" s="66"/>
      <c r="O297" s="66"/>
      <c r="P297" s="66" t="str">
        <f t="shared" si="9"/>
        <v>MONAR CHRISTIAN MEL OLOR</v>
      </c>
      <c r="Q297" s="66" t="str">
        <f>IFERROR(VLOOKUP(P297,[1]Disposition!$AB$9:$AC$495,2,0),"NO RECORD YET")</f>
        <v>Bagong Lipunan Ng Crame, Quezon City</v>
      </c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18" customHeight="1">
      <c r="A298" s="188">
        <v>289</v>
      </c>
      <c r="B298" s="189" t="s">
        <v>1396</v>
      </c>
      <c r="C298" s="189" t="s">
        <v>19</v>
      </c>
      <c r="D298" s="190" t="s">
        <v>40</v>
      </c>
      <c r="E298" s="191" t="s">
        <v>1421</v>
      </c>
      <c r="F298" s="191" t="s">
        <v>1422</v>
      </c>
      <c r="G298" s="191" t="s">
        <v>1423</v>
      </c>
      <c r="H298" s="192"/>
      <c r="I298" s="210"/>
      <c r="J298" s="279" t="s">
        <v>1424</v>
      </c>
      <c r="K298" s="307" t="s">
        <v>1425</v>
      </c>
      <c r="L298" s="66"/>
      <c r="M298" s="66"/>
      <c r="N298" s="66"/>
      <c r="O298" s="66"/>
      <c r="P298" s="66" t="str">
        <f t="shared" si="9"/>
        <v>PACOL JEPHTE TENORIA</v>
      </c>
      <c r="Q298" s="66" t="str">
        <f>IFERROR(VLOOKUP(P298,[1]Disposition!$AB$9:$AC$495,2,0),"NO RECORD YET")</f>
        <v>Blk 3 Lot 10, GML Phase 1, Barcelo St., Lingunan, Valenzuela City</v>
      </c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18" customHeight="1">
      <c r="A299" s="188">
        <v>290</v>
      </c>
      <c r="B299" s="189" t="s">
        <v>1348</v>
      </c>
      <c r="C299" s="193" t="s">
        <v>39</v>
      </c>
      <c r="D299" s="190" t="s">
        <v>40</v>
      </c>
      <c r="E299" s="191" t="s">
        <v>1426</v>
      </c>
      <c r="F299" s="191" t="s">
        <v>1427</v>
      </c>
      <c r="G299" s="191" t="s">
        <v>1428</v>
      </c>
      <c r="H299" s="192"/>
      <c r="I299" s="210"/>
      <c r="J299" s="279" t="s">
        <v>1429</v>
      </c>
      <c r="K299" s="307" t="s">
        <v>1430</v>
      </c>
      <c r="L299" s="66"/>
      <c r="M299" s="66"/>
      <c r="N299" s="66"/>
      <c r="O299" s="66"/>
      <c r="P299" s="66" t="str">
        <f t="shared" si="9"/>
        <v>RIDULME ANNA LEA ARCEO</v>
      </c>
      <c r="Q299" s="66" t="str">
        <f>IFERROR(VLOOKUP(P299,[1]Disposition!$AB$9:$AC$495,2,0),"NO RECORD YET")</f>
        <v>Blk 39 Lot 26 Soldiers Hills, Muntilupa City</v>
      </c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18" customHeight="1">
      <c r="A300" s="188">
        <v>291</v>
      </c>
      <c r="B300" s="189" t="s">
        <v>1348</v>
      </c>
      <c r="C300" s="189" t="s">
        <v>19</v>
      </c>
      <c r="D300" s="190" t="s">
        <v>644</v>
      </c>
      <c r="E300" s="191" t="s">
        <v>1431</v>
      </c>
      <c r="F300" s="191" t="s">
        <v>1432</v>
      </c>
      <c r="G300" s="191" t="s">
        <v>1433</v>
      </c>
      <c r="H300" s="192"/>
      <c r="I300" s="210"/>
      <c r="J300" s="279"/>
      <c r="K300" s="282"/>
      <c r="L300" s="66"/>
      <c r="M300" s="66"/>
      <c r="N300" s="66"/>
      <c r="O300" s="66"/>
      <c r="P300" s="66" t="str">
        <f t="shared" si="9"/>
        <v>CHAN HAROLD JAY  AMAZONA</v>
      </c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18" customHeight="1">
      <c r="A301" s="188">
        <v>292</v>
      </c>
      <c r="B301" s="189" t="s">
        <v>1348</v>
      </c>
      <c r="C301" s="189" t="s">
        <v>19</v>
      </c>
      <c r="D301" s="190" t="s">
        <v>40</v>
      </c>
      <c r="E301" s="191" t="s">
        <v>1434</v>
      </c>
      <c r="F301" s="191" t="s">
        <v>1435</v>
      </c>
      <c r="G301" s="191" t="s">
        <v>1436</v>
      </c>
      <c r="H301" s="192"/>
      <c r="I301" s="210"/>
      <c r="J301" s="279" t="s">
        <v>1437</v>
      </c>
      <c r="K301" s="307" t="s">
        <v>1438</v>
      </c>
      <c r="L301" s="66"/>
      <c r="M301" s="66"/>
      <c r="N301" s="66"/>
      <c r="O301" s="66"/>
      <c r="P301" s="66" t="str">
        <f t="shared" si="9"/>
        <v>ESTIPONA MICHAEL GERARD PEDRO</v>
      </c>
      <c r="Q301" s="66" t="str">
        <f>IFERROR(VLOOKUP(P301,[1]Disposition!$AB$9:$AC$495,2,0),"NO RECORD YET")</f>
        <v>107 Kentwood Heights, 23 Mariposa St., Brgy. Bagong Lipunan ng Crame, Quezon City</v>
      </c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18" customHeight="1">
      <c r="A302" s="188">
        <v>293</v>
      </c>
      <c r="B302" s="189" t="s">
        <v>1348</v>
      </c>
      <c r="C302" s="189" t="s">
        <v>19</v>
      </c>
      <c r="D302" s="190" t="s">
        <v>40</v>
      </c>
      <c r="E302" s="204" t="s">
        <v>1439</v>
      </c>
      <c r="F302" s="204" t="s">
        <v>1440</v>
      </c>
      <c r="G302" s="204" t="s">
        <v>1441</v>
      </c>
      <c r="H302" s="205"/>
      <c r="I302" s="210"/>
      <c r="J302" s="279"/>
      <c r="K302" s="282"/>
      <c r="L302" s="66"/>
      <c r="M302" s="66"/>
      <c r="N302" s="66"/>
      <c r="O302" s="66"/>
      <c r="P302" s="66" t="str">
        <f t="shared" si="9"/>
        <v>FERRER JOSHUA OLGINA</v>
      </c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18" customHeight="1">
      <c r="A303" s="188">
        <v>294</v>
      </c>
      <c r="B303" s="189" t="s">
        <v>1348</v>
      </c>
      <c r="C303" s="193" t="s">
        <v>39</v>
      </c>
      <c r="D303" s="190" t="s">
        <v>40</v>
      </c>
      <c r="E303" s="191" t="s">
        <v>1442</v>
      </c>
      <c r="F303" s="191" t="s">
        <v>1443</v>
      </c>
      <c r="G303" s="191" t="s">
        <v>1439</v>
      </c>
      <c r="H303" s="192"/>
      <c r="I303" s="210"/>
      <c r="J303" s="279" t="s">
        <v>1444</v>
      </c>
      <c r="K303" s="307" t="s">
        <v>1445</v>
      </c>
      <c r="L303" s="66"/>
      <c r="M303" s="66"/>
      <c r="N303" s="66"/>
      <c r="O303" s="66"/>
      <c r="P303" s="66" t="str">
        <f t="shared" si="9"/>
        <v>PANIZA ADELWISA FERRER</v>
      </c>
      <c r="Q303" s="66" t="str">
        <f>IFERROR(VLOOKUP(P303,[1]Disposition!$AB$9:$AC$495,2,0),"NO RECORD YET")</f>
        <v>1772 Miracle St., Graceville Subd., Brgy. Pag-Asa, Binangonan, Rizal</v>
      </c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18" customHeight="1">
      <c r="A304" s="188">
        <v>295</v>
      </c>
      <c r="B304" s="189" t="s">
        <v>1348</v>
      </c>
      <c r="C304" s="189" t="s">
        <v>19</v>
      </c>
      <c r="D304" s="190" t="s">
        <v>40</v>
      </c>
      <c r="E304" s="191" t="s">
        <v>1446</v>
      </c>
      <c r="F304" s="191" t="s">
        <v>1447</v>
      </c>
      <c r="G304" s="191" t="s">
        <v>1448</v>
      </c>
      <c r="H304" s="192"/>
      <c r="I304" s="210"/>
      <c r="J304" s="279" t="s">
        <v>1449</v>
      </c>
      <c r="K304" s="307" t="s">
        <v>1450</v>
      </c>
      <c r="L304" s="66"/>
      <c r="M304" s="66"/>
      <c r="N304" s="66"/>
      <c r="O304" s="66"/>
      <c r="P304" s="66" t="str">
        <f t="shared" si="9"/>
        <v>MASAGANDA AARON  BANAG</v>
      </c>
      <c r="Q304" s="66" t="str">
        <f>IFERROR(VLOOKUP(P304,[1]Disposition!$AB$9:$AC$495,2,0),"NO RECORD YET")</f>
        <v>100 Tanguile St., Marikina Heights, Marikina City</v>
      </c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18" customHeight="1">
      <c r="A305" s="188">
        <v>296</v>
      </c>
      <c r="B305" s="189" t="s">
        <v>1451</v>
      </c>
      <c r="C305" s="189" t="s">
        <v>19</v>
      </c>
      <c r="D305" s="190" t="s">
        <v>40</v>
      </c>
      <c r="E305" s="191" t="s">
        <v>1452</v>
      </c>
      <c r="F305" s="191" t="s">
        <v>770</v>
      </c>
      <c r="G305" s="191" t="s">
        <v>1453</v>
      </c>
      <c r="H305" s="192"/>
      <c r="I305" s="210"/>
      <c r="J305" s="279" t="s">
        <v>1454</v>
      </c>
      <c r="K305" s="307" t="s">
        <v>1455</v>
      </c>
      <c r="L305" s="66"/>
      <c r="M305" s="66"/>
      <c r="N305" s="66"/>
      <c r="O305" s="66"/>
      <c r="P305" s="66" t="str">
        <f t="shared" si="9"/>
        <v>AGUHO MARK ANTHONY CAMBA</v>
      </c>
      <c r="Q305" s="66" t="str">
        <f>IFERROR(VLOOKUP(P305,[1]Disposition!$AB$9:$AC$495,2,0),"NO RECORD YET")</f>
        <v>#15 1ST Avenue, Brgy. Bagong Lipunan ng Crame, Quezon City</v>
      </c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18" customHeight="1">
      <c r="A306" s="188">
        <v>297</v>
      </c>
      <c r="B306" s="189" t="s">
        <v>1451</v>
      </c>
      <c r="C306" s="189" t="s">
        <v>19</v>
      </c>
      <c r="D306" s="190" t="s">
        <v>28</v>
      </c>
      <c r="E306" s="195" t="s">
        <v>1456</v>
      </c>
      <c r="F306" s="195" t="s">
        <v>1457</v>
      </c>
      <c r="G306" s="195" t="s">
        <v>934</v>
      </c>
      <c r="H306" s="194"/>
      <c r="I306" s="210"/>
      <c r="J306" s="185" t="s">
        <v>1458</v>
      </c>
      <c r="K306" s="307" t="s">
        <v>1459</v>
      </c>
      <c r="L306" s="66"/>
      <c r="M306" s="66"/>
      <c r="N306" s="66"/>
      <c r="O306" s="66"/>
      <c r="P306" s="66" t="str">
        <f t="shared" si="9"/>
        <v>MOSLARES CHARLES BRYAN MOLINA</v>
      </c>
      <c r="Q306" s="66" t="str">
        <f>IFERROR(VLOOKUP(P306,[1]Disposition!$AB$9:$AC$495,2,0),"NO RECORD YET")</f>
        <v>NO RECORD YET</v>
      </c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18" customHeight="1">
      <c r="A307" s="188">
        <v>298</v>
      </c>
      <c r="B307" s="189" t="s">
        <v>1451</v>
      </c>
      <c r="C307" s="189" t="s">
        <v>19</v>
      </c>
      <c r="D307" s="190" t="s">
        <v>40</v>
      </c>
      <c r="E307" s="191" t="s">
        <v>1460</v>
      </c>
      <c r="F307" s="191" t="s">
        <v>1461</v>
      </c>
      <c r="G307" s="191" t="s">
        <v>1462</v>
      </c>
      <c r="H307" s="192"/>
      <c r="I307" s="228"/>
      <c r="J307" s="285"/>
      <c r="K307" s="282"/>
      <c r="L307" s="66"/>
      <c r="M307" s="66"/>
      <c r="N307" s="66"/>
      <c r="O307" s="66"/>
      <c r="P307" s="66" t="str">
        <f t="shared" si="9"/>
        <v>BAJAMONDE CHRISTIAN JOHN  PLAZA</v>
      </c>
      <c r="Q307" s="66" t="str">
        <f>IFERROR(VLOOKUP(P307,[1]Disposition!$AB$9:$AC$495,2,0),"NO RECORD YET")</f>
        <v>NO RECORD YET</v>
      </c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18" customHeight="1">
      <c r="A308" s="188">
        <v>299</v>
      </c>
      <c r="B308" s="189" t="s">
        <v>1451</v>
      </c>
      <c r="C308" s="193" t="s">
        <v>39</v>
      </c>
      <c r="D308" s="190" t="s">
        <v>40</v>
      </c>
      <c r="E308" s="191" t="s">
        <v>1463</v>
      </c>
      <c r="F308" s="191" t="s">
        <v>1464</v>
      </c>
      <c r="G308" s="191" t="s">
        <v>1024</v>
      </c>
      <c r="H308" s="192"/>
      <c r="I308" s="210"/>
      <c r="J308" s="279" t="s">
        <v>1465</v>
      </c>
      <c r="K308" s="308" t="s">
        <v>1466</v>
      </c>
      <c r="L308" s="66"/>
      <c r="M308" s="66"/>
      <c r="N308" s="66"/>
      <c r="O308" s="66"/>
      <c r="P308" s="66" t="e">
        <f>CONCATENATE(#REF!," ",#REF!," ",#REF!)</f>
        <v>#REF!</v>
      </c>
      <c r="Q308" s="66" t="str">
        <f>IFERROR(VLOOKUP(P308,[1]Disposition!$AB$9:$AC$495,2,0),"NO RECORD YET")</f>
        <v>NO RECORD YET</v>
      </c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18" customHeight="1">
      <c r="A309" s="188">
        <v>300</v>
      </c>
      <c r="B309" s="189" t="s">
        <v>1451</v>
      </c>
      <c r="C309" s="189" t="s">
        <v>19</v>
      </c>
      <c r="D309" s="190" t="s">
        <v>40</v>
      </c>
      <c r="E309" s="191" t="s">
        <v>1467</v>
      </c>
      <c r="F309" s="191" t="s">
        <v>1468</v>
      </c>
      <c r="G309" s="191" t="s">
        <v>1469</v>
      </c>
      <c r="H309" s="192"/>
      <c r="I309" s="229"/>
      <c r="J309" s="279"/>
      <c r="K309" s="282"/>
      <c r="L309" s="66"/>
      <c r="M309" s="66"/>
      <c r="N309" s="66"/>
      <c r="O309" s="66"/>
      <c r="P309" s="66" t="str">
        <f t="shared" ref="P309:P320" si="10">CONCATENATE(E309," ",F309," ",G309)</f>
        <v>PORNIA CRIASANTO HURBAN</v>
      </c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18" customHeight="1">
      <c r="A310" s="188">
        <v>301</v>
      </c>
      <c r="B310" s="189" t="s">
        <v>1451</v>
      </c>
      <c r="C310" s="193" t="s">
        <v>39</v>
      </c>
      <c r="D310" s="190" t="s">
        <v>40</v>
      </c>
      <c r="E310" s="191" t="s">
        <v>1470</v>
      </c>
      <c r="F310" s="191" t="s">
        <v>1471</v>
      </c>
      <c r="G310" s="191" t="s">
        <v>1472</v>
      </c>
      <c r="H310" s="192"/>
      <c r="I310" s="210"/>
      <c r="J310" s="279" t="s">
        <v>1473</v>
      </c>
      <c r="K310" s="307" t="s">
        <v>1474</v>
      </c>
      <c r="L310" s="66"/>
      <c r="M310" s="66"/>
      <c r="N310" s="66"/>
      <c r="O310" s="66"/>
      <c r="P310" s="66" t="str">
        <f t="shared" si="10"/>
        <v>TABIO HONEY LETH PALOMO</v>
      </c>
      <c r="Q310" s="66" t="str">
        <f>IFERROR(VLOOKUP(P310,[1]Disposition!$AB$9:$AC$495,2,0),"NO RECORD YET")</f>
        <v>179 RLJ Bldg, 9th St., East Grace Park, Caloocan City</v>
      </c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18" customHeight="1">
      <c r="A311" s="188">
        <v>302</v>
      </c>
      <c r="B311" s="189" t="s">
        <v>1451</v>
      </c>
      <c r="C311" s="189" t="s">
        <v>19</v>
      </c>
      <c r="D311" s="190" t="s">
        <v>40</v>
      </c>
      <c r="E311" s="191" t="s">
        <v>1475</v>
      </c>
      <c r="F311" s="191" t="s">
        <v>1476</v>
      </c>
      <c r="G311" s="191" t="s">
        <v>1477</v>
      </c>
      <c r="H311" s="192"/>
      <c r="I311" s="210"/>
      <c r="J311" s="279" t="s">
        <v>1478</v>
      </c>
      <c r="K311" s="307" t="s">
        <v>1479</v>
      </c>
      <c r="L311" s="66"/>
      <c r="M311" s="66"/>
      <c r="N311" s="66"/>
      <c r="O311" s="66"/>
      <c r="P311" s="66" t="str">
        <f t="shared" si="10"/>
        <v>VIGILANCIA SIXTO KATALBAS</v>
      </c>
      <c r="Q311" s="66" t="str">
        <f>IFERROR(VLOOKUP(P311,[1]Disposition!$AB$9:$AC$495,2,0),"NO RECORD YET")</f>
        <v>1 San Venancio St., San Juan, Metro Manila</v>
      </c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18" customHeight="1">
      <c r="A312" s="188">
        <v>303</v>
      </c>
      <c r="B312" s="193" t="s">
        <v>1480</v>
      </c>
      <c r="C312" s="193" t="s">
        <v>19</v>
      </c>
      <c r="D312" s="190" t="s">
        <v>160</v>
      </c>
      <c r="E312" s="191" t="s">
        <v>1481</v>
      </c>
      <c r="F312" s="191" t="s">
        <v>1482</v>
      </c>
      <c r="G312" s="191" t="s">
        <v>1483</v>
      </c>
      <c r="H312" s="192"/>
      <c r="I312" s="210"/>
      <c r="J312" s="279" t="s">
        <v>1484</v>
      </c>
      <c r="K312" s="307" t="s">
        <v>1485</v>
      </c>
      <c r="L312" s="66"/>
      <c r="M312" s="66"/>
      <c r="N312" s="66"/>
      <c r="O312" s="66"/>
      <c r="P312" s="66" t="str">
        <f t="shared" si="10"/>
        <v>CORPUZ ALLAN ROY AGANG</v>
      </c>
      <c r="Q312" s="66" t="str">
        <f>IFERROR(VLOOKUP(P312,[1]Disposition!$AB$9:$AC$495,2,0),"NO RECORD YET")</f>
        <v>194 6th STGHQ Village,  Zone 1, Taguig, Metro Manila</v>
      </c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18" customHeight="1">
      <c r="A313" s="188">
        <v>304</v>
      </c>
      <c r="B313" s="193" t="s">
        <v>1486</v>
      </c>
      <c r="C313" s="193" t="s">
        <v>19</v>
      </c>
      <c r="D313" s="190" t="s">
        <v>40</v>
      </c>
      <c r="E313" s="191" t="s">
        <v>1487</v>
      </c>
      <c r="F313" s="191" t="s">
        <v>553</v>
      </c>
      <c r="G313" s="191" t="s">
        <v>1488</v>
      </c>
      <c r="H313" s="192"/>
      <c r="I313" s="210"/>
      <c r="J313" s="279" t="s">
        <v>1489</v>
      </c>
      <c r="K313" s="307" t="s">
        <v>1490</v>
      </c>
      <c r="L313" s="66"/>
      <c r="M313" s="66"/>
      <c r="N313" s="66"/>
      <c r="O313" s="66"/>
      <c r="P313" s="66" t="str">
        <f t="shared" si="10"/>
        <v>NAVARRO ERIC BARCELONA</v>
      </c>
      <c r="Q313" s="66" t="str">
        <f>IFERROR(VLOOKUP(P313,[1]Disposition!$AB$9:$AC$495,2,0),"NO RECORD YET")</f>
        <v>4H Balaoan St. New Haven Village, Kaligayahan, Quezon City</v>
      </c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18" customHeight="1">
      <c r="A314" s="188">
        <v>305</v>
      </c>
      <c r="B314" s="193" t="s">
        <v>1486</v>
      </c>
      <c r="C314" s="189" t="s">
        <v>19</v>
      </c>
      <c r="D314" s="190" t="s">
        <v>246</v>
      </c>
      <c r="E314" s="191" t="s">
        <v>1491</v>
      </c>
      <c r="F314" s="191" t="s">
        <v>1492</v>
      </c>
      <c r="G314" s="191" t="s">
        <v>1493</v>
      </c>
      <c r="H314" s="192"/>
      <c r="I314" s="210"/>
      <c r="J314" s="279"/>
      <c r="K314" s="282"/>
      <c r="L314" s="66"/>
      <c r="M314" s="66"/>
      <c r="N314" s="66"/>
      <c r="O314" s="66"/>
      <c r="P314" s="66" t="str">
        <f t="shared" si="10"/>
        <v>BANTIYAN JEFTER PAKID</v>
      </c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18" customHeight="1">
      <c r="A315" s="188">
        <v>306</v>
      </c>
      <c r="B315" s="193" t="s">
        <v>1486</v>
      </c>
      <c r="C315" s="189" t="s">
        <v>19</v>
      </c>
      <c r="D315" s="190" t="s">
        <v>246</v>
      </c>
      <c r="E315" s="191" t="s">
        <v>1494</v>
      </c>
      <c r="F315" s="191" t="s">
        <v>690</v>
      </c>
      <c r="G315" s="191" t="s">
        <v>1495</v>
      </c>
      <c r="H315" s="192" t="s">
        <v>268</v>
      </c>
      <c r="I315" s="210"/>
      <c r="J315" s="279"/>
      <c r="K315" s="282"/>
      <c r="L315" s="66"/>
      <c r="M315" s="66"/>
      <c r="N315" s="66"/>
      <c r="O315" s="66"/>
      <c r="P315" s="66" t="str">
        <f t="shared" si="10"/>
        <v>GUIFAYA GILBERT ULIDAN</v>
      </c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18" customHeight="1">
      <c r="A316" s="188">
        <v>307</v>
      </c>
      <c r="B316" s="193" t="s">
        <v>1486</v>
      </c>
      <c r="C316" s="189" t="s">
        <v>19</v>
      </c>
      <c r="D316" s="190" t="s">
        <v>366</v>
      </c>
      <c r="E316" s="191" t="s">
        <v>1462</v>
      </c>
      <c r="F316" s="191" t="s">
        <v>1496</v>
      </c>
      <c r="G316" s="191" t="s">
        <v>1497</v>
      </c>
      <c r="H316" s="192"/>
      <c r="I316" s="212"/>
      <c r="J316" s="279" t="s">
        <v>1498</v>
      </c>
      <c r="K316" s="307" t="s">
        <v>1499</v>
      </c>
      <c r="L316" s="66"/>
      <c r="M316" s="66"/>
      <c r="N316" s="66"/>
      <c r="O316" s="66"/>
      <c r="P316" s="66" t="str">
        <f t="shared" si="10"/>
        <v>PLAZA ERVIN TELAPER</v>
      </c>
      <c r="Q316" s="66" t="str">
        <f>IFERROR(VLOOKUP(P316,[1]Disposition!$AB$9:$AC$495,2,0),"NO RECORD YET")</f>
        <v>Purok 6, Amaga, Barobo, Surigao Del Sur</v>
      </c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18" customHeight="1">
      <c r="A317" s="188">
        <v>308</v>
      </c>
      <c r="B317" s="193" t="s">
        <v>1486</v>
      </c>
      <c r="C317" s="193"/>
      <c r="D317" s="194" t="s">
        <v>1500</v>
      </c>
      <c r="E317" s="204" t="s">
        <v>1501</v>
      </c>
      <c r="F317" s="204" t="s">
        <v>1502</v>
      </c>
      <c r="G317" s="204" t="s">
        <v>1503</v>
      </c>
      <c r="H317" s="205"/>
      <c r="I317" s="210"/>
      <c r="J317" s="285"/>
      <c r="K317" s="282"/>
      <c r="L317" s="66"/>
      <c r="M317" s="66"/>
      <c r="N317" s="66"/>
      <c r="O317" s="66"/>
      <c r="P317" s="66" t="str">
        <f t="shared" si="10"/>
        <v>COPRADA ROMUALDO JULES OSMOND</v>
      </c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8" customHeight="1">
      <c r="A318" s="188">
        <v>309</v>
      </c>
      <c r="B318" s="193" t="s">
        <v>1486</v>
      </c>
      <c r="C318" s="193"/>
      <c r="D318" s="194" t="s">
        <v>1500</v>
      </c>
      <c r="E318" s="204" t="s">
        <v>1504</v>
      </c>
      <c r="F318" s="204" t="s">
        <v>1505</v>
      </c>
      <c r="G318" s="204" t="s">
        <v>1506</v>
      </c>
      <c r="H318" s="205"/>
      <c r="I318" s="210"/>
      <c r="J318" s="279"/>
      <c r="K318" s="282"/>
      <c r="L318" s="66"/>
      <c r="M318" s="66"/>
      <c r="N318" s="66"/>
      <c r="O318" s="66"/>
      <c r="P318" s="66" t="str">
        <f t="shared" si="10"/>
        <v>ESTACIO NEIL BRYAN ALARIN</v>
      </c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8" customHeight="1">
      <c r="A319" s="188">
        <v>310</v>
      </c>
      <c r="B319" s="193" t="s">
        <v>1486</v>
      </c>
      <c r="C319" s="193" t="s">
        <v>19</v>
      </c>
      <c r="D319" s="190" t="s">
        <v>28</v>
      </c>
      <c r="E319" s="195" t="s">
        <v>1507</v>
      </c>
      <c r="F319" s="195" t="s">
        <v>1508</v>
      </c>
      <c r="G319" s="195" t="s">
        <v>1509</v>
      </c>
      <c r="H319" s="194"/>
      <c r="I319" s="212"/>
      <c r="J319" s="279" t="s">
        <v>1510</v>
      </c>
      <c r="K319" s="307" t="s">
        <v>1511</v>
      </c>
      <c r="L319" s="66"/>
      <c r="M319" s="66"/>
      <c r="N319" s="66"/>
      <c r="O319" s="66"/>
      <c r="P319" s="66" t="str">
        <f t="shared" si="10"/>
        <v>PARANE DETANIL COROCOTO</v>
      </c>
      <c r="Q319" s="66" t="str">
        <f>IFERROR(VLOOKUP(P319,[1]Disposition!$AB$9:$AC$495,2,0),"NO RECORD YET")</f>
        <v>NO RECORD YET</v>
      </c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8" customHeight="1">
      <c r="A320" s="188">
        <v>311</v>
      </c>
      <c r="B320" s="193" t="s">
        <v>1486</v>
      </c>
      <c r="C320" s="193" t="s">
        <v>19</v>
      </c>
      <c r="D320" s="190" t="s">
        <v>28</v>
      </c>
      <c r="E320" s="191" t="s">
        <v>1512</v>
      </c>
      <c r="F320" s="191" t="s">
        <v>1513</v>
      </c>
      <c r="G320" s="191" t="s">
        <v>1514</v>
      </c>
      <c r="H320" s="192"/>
      <c r="I320" s="210"/>
      <c r="J320" s="279" t="s">
        <v>1515</v>
      </c>
      <c r="K320" s="307" t="s">
        <v>1516</v>
      </c>
      <c r="L320" s="66"/>
      <c r="M320" s="66"/>
      <c r="N320" s="66"/>
      <c r="O320" s="66"/>
      <c r="P320" s="66" t="str">
        <f t="shared" si="10"/>
        <v>ROVIRA CRISMUNDO PADULLO</v>
      </c>
      <c r="Q320" s="66" t="str">
        <f>IFERROR(VLOOKUP(P320,[1]Disposition!$AB$9:$AC$495,2,0),"NO RECORD YET")</f>
        <v>511 Barcelona St., Binondo, Manila</v>
      </c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8" customHeight="1">
      <c r="A321" s="188">
        <v>312</v>
      </c>
      <c r="B321" s="193" t="s">
        <v>1486</v>
      </c>
      <c r="C321" s="193" t="s">
        <v>39</v>
      </c>
      <c r="D321" s="190" t="s">
        <v>40</v>
      </c>
      <c r="E321" s="191" t="s">
        <v>1517</v>
      </c>
      <c r="F321" s="191" t="s">
        <v>1518</v>
      </c>
      <c r="G321" s="191" t="s">
        <v>1519</v>
      </c>
      <c r="H321" s="192"/>
      <c r="I321" s="228"/>
      <c r="J321" s="279"/>
      <c r="K321" s="282"/>
      <c r="L321" s="66"/>
      <c r="M321" s="66"/>
      <c r="N321" s="66"/>
      <c r="O321" s="66"/>
      <c r="P321" s="66" t="e">
        <f>CONCATENATE(#REF!," ",#REF!," ",#REF!)</f>
        <v>#REF!</v>
      </c>
      <c r="Q321" s="66" t="str">
        <f>IFERROR(VLOOKUP(P321,[1]Disposition!$AB$9:$AC$495,2,0),"NO RECORD YET")</f>
        <v>NO RECORD YET</v>
      </c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8" customHeight="1">
      <c r="A322" s="188">
        <v>313</v>
      </c>
      <c r="B322" s="193" t="s">
        <v>1486</v>
      </c>
      <c r="C322" s="189" t="s">
        <v>19</v>
      </c>
      <c r="D322" s="190" t="s">
        <v>40</v>
      </c>
      <c r="E322" s="191" t="s">
        <v>1520</v>
      </c>
      <c r="F322" s="191" t="s">
        <v>1521</v>
      </c>
      <c r="G322" s="191" t="s">
        <v>1522</v>
      </c>
      <c r="H322" s="192"/>
      <c r="I322" s="210"/>
      <c r="J322" s="279"/>
      <c r="K322" s="280"/>
      <c r="L322" s="66"/>
      <c r="M322" s="66"/>
      <c r="N322" s="66"/>
      <c r="O322" s="66"/>
      <c r="P322" s="66" t="e">
        <f>CONCATENATE(#REF!," ",#REF!," ",#REF!)</f>
        <v>#REF!</v>
      </c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8" customHeight="1">
      <c r="A323" s="188">
        <v>314</v>
      </c>
      <c r="B323" s="193" t="s">
        <v>1486</v>
      </c>
      <c r="C323" s="193" t="s">
        <v>19</v>
      </c>
      <c r="D323" s="190" t="s">
        <v>40</v>
      </c>
      <c r="E323" s="191" t="s">
        <v>1523</v>
      </c>
      <c r="F323" s="191" t="s">
        <v>1524</v>
      </c>
      <c r="G323" s="191" t="s">
        <v>1525</v>
      </c>
      <c r="H323" s="192"/>
      <c r="I323" s="210"/>
      <c r="J323" s="279" t="s">
        <v>1526</v>
      </c>
      <c r="K323" s="307" t="s">
        <v>1527</v>
      </c>
      <c r="L323" s="66"/>
      <c r="M323" s="66"/>
      <c r="N323" s="66"/>
      <c r="O323" s="66"/>
      <c r="P323" s="66" t="str">
        <f>CONCATENATE(E323," ",F323," ",G323)</f>
        <v>DALISAY MARIETTO CASPE</v>
      </c>
      <c r="Q323" s="66" t="str">
        <f>IFERROR(VLOOKUP(P323,[1]Disposition!$AB$9:$AC$495,2,0),"NO RECORD YET")</f>
        <v>Blk 12 Lot 47 Phase 1, Northgate Park Executive Vill, Brgy. Sto Cristo, SJDM, Bulacan</v>
      </c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8" customHeight="1">
      <c r="A324" s="188">
        <v>315</v>
      </c>
      <c r="B324" s="193" t="s">
        <v>1486</v>
      </c>
      <c r="C324" s="193" t="s">
        <v>39</v>
      </c>
      <c r="D324" s="190" t="s">
        <v>40</v>
      </c>
      <c r="E324" s="191" t="s">
        <v>256</v>
      </c>
      <c r="F324" s="191" t="s">
        <v>1528</v>
      </c>
      <c r="G324" s="191" t="s">
        <v>1529</v>
      </c>
      <c r="H324" s="192"/>
      <c r="I324" s="210"/>
      <c r="J324" s="279" t="s">
        <v>1530</v>
      </c>
      <c r="K324" s="307" t="s">
        <v>1531</v>
      </c>
      <c r="L324" s="66"/>
      <c r="M324" s="66"/>
      <c r="N324" s="66"/>
      <c r="O324" s="66"/>
      <c r="P324" s="66" t="str">
        <f>CONCATENATE(E308," ",F308," ",G308)</f>
        <v>NOVIDA MARILOU FERNANDEZ</v>
      </c>
      <c r="Q324" s="66" t="str">
        <f>IFERROR(VLOOKUP(P324,[1]Disposition!$AB$9:$AC$495,2,0),"NO RECORD YET")</f>
        <v>Blk 3 Lot 28 Cedar Residences Phase 1, Carmona Estates, Carmona, Cavite</v>
      </c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8" customHeight="1">
      <c r="A325" s="188">
        <v>316</v>
      </c>
      <c r="B325" s="193" t="s">
        <v>1486</v>
      </c>
      <c r="C325" s="189" t="s">
        <v>19</v>
      </c>
      <c r="D325" s="190" t="s">
        <v>40</v>
      </c>
      <c r="E325" s="191" t="s">
        <v>1532</v>
      </c>
      <c r="F325" s="191" t="s">
        <v>1533</v>
      </c>
      <c r="G325" s="191" t="s">
        <v>1534</v>
      </c>
      <c r="H325" s="192"/>
      <c r="I325" s="228"/>
      <c r="J325" s="285"/>
      <c r="K325" s="282"/>
      <c r="L325" s="66"/>
      <c r="M325" s="66"/>
      <c r="N325" s="66"/>
      <c r="O325" s="66"/>
      <c r="P325" s="66" t="str">
        <f t="shared" ref="P325:P330" si="11">CONCATENATE(E325," ",F325," ",G325)</f>
        <v>DELA PERI CHRISTOPHER  TOGONON</v>
      </c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8" customHeight="1">
      <c r="A326" s="188">
        <v>317</v>
      </c>
      <c r="B326" s="193" t="s">
        <v>1486</v>
      </c>
      <c r="C326" s="189" t="s">
        <v>19</v>
      </c>
      <c r="D326" s="190" t="s">
        <v>40</v>
      </c>
      <c r="E326" s="191" t="s">
        <v>1535</v>
      </c>
      <c r="F326" s="191" t="s">
        <v>1536</v>
      </c>
      <c r="G326" s="191" t="s">
        <v>93</v>
      </c>
      <c r="H326" s="192"/>
      <c r="I326" s="228"/>
      <c r="J326" s="285"/>
      <c r="K326" s="282"/>
      <c r="L326" s="66"/>
      <c r="M326" s="66"/>
      <c r="N326" s="66"/>
      <c r="O326" s="66"/>
      <c r="P326" s="66" t="str">
        <f t="shared" si="11"/>
        <v>HERNANDEZ CYRUS MANZANO</v>
      </c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8" customHeight="1">
      <c r="A327" s="188">
        <v>318</v>
      </c>
      <c r="B327" s="193" t="s">
        <v>1537</v>
      </c>
      <c r="C327" s="193" t="s">
        <v>19</v>
      </c>
      <c r="D327" s="190" t="s">
        <v>644</v>
      </c>
      <c r="E327" s="191" t="s">
        <v>1538</v>
      </c>
      <c r="F327" s="191" t="s">
        <v>646</v>
      </c>
      <c r="G327" s="191" t="s">
        <v>1539</v>
      </c>
      <c r="H327" s="192"/>
      <c r="I327" s="210"/>
      <c r="J327" s="279" t="s">
        <v>1540</v>
      </c>
      <c r="K327" s="282"/>
      <c r="L327" s="66"/>
      <c r="M327" s="66"/>
      <c r="N327" s="66"/>
      <c r="O327" s="66"/>
      <c r="P327" s="66" t="str">
        <f t="shared" si="11"/>
        <v>CALAPANO MELVIN AVILA</v>
      </c>
      <c r="Q327" s="66">
        <f>IFERROR(VLOOKUP(P327,[1]Disposition!$AB$9:$AC$495,2,0),"NO RECORD YET")</f>
        <v>0</v>
      </c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8" customHeight="1">
      <c r="A328" s="188">
        <v>319</v>
      </c>
      <c r="B328" s="193" t="s">
        <v>1537</v>
      </c>
      <c r="C328" s="193" t="s">
        <v>39</v>
      </c>
      <c r="D328" s="190" t="s">
        <v>40</v>
      </c>
      <c r="E328" s="191" t="s">
        <v>294</v>
      </c>
      <c r="F328" s="191" t="s">
        <v>1541</v>
      </c>
      <c r="G328" s="191" t="s">
        <v>1169</v>
      </c>
      <c r="H328" s="192"/>
      <c r="I328" s="210"/>
      <c r="J328" s="279" t="s">
        <v>1542</v>
      </c>
      <c r="K328" s="307" t="s">
        <v>1543</v>
      </c>
      <c r="L328" s="66"/>
      <c r="M328" s="66"/>
      <c r="N328" s="66"/>
      <c r="O328" s="66"/>
      <c r="P328" s="66" t="str">
        <f t="shared" si="11"/>
        <v>BINARAO SUNSHINE GARCIA</v>
      </c>
      <c r="Q328" s="66" t="str">
        <f>IFERROR(VLOOKUP(P328,[1]Disposition!$AB$9:$AC$495,2,0),"NO RECORD YET")</f>
        <v>120 D Julian Felipe St., Sangandaan, Caloocan</v>
      </c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8" customHeight="1">
      <c r="A329" s="188">
        <v>320</v>
      </c>
      <c r="B329" s="193" t="s">
        <v>1537</v>
      </c>
      <c r="C329" s="193" t="s">
        <v>39</v>
      </c>
      <c r="D329" s="190" t="s">
        <v>40</v>
      </c>
      <c r="E329" s="191" t="s">
        <v>1544</v>
      </c>
      <c r="F329" s="191" t="s">
        <v>1545</v>
      </c>
      <c r="G329" s="191" t="s">
        <v>1546</v>
      </c>
      <c r="H329" s="192"/>
      <c r="I329" s="212"/>
      <c r="J329" s="279" t="s">
        <v>1547</v>
      </c>
      <c r="K329" s="307" t="s">
        <v>1548</v>
      </c>
      <c r="L329" s="66"/>
      <c r="M329" s="66"/>
      <c r="N329" s="66"/>
      <c r="O329" s="66"/>
      <c r="P329" s="66" t="str">
        <f t="shared" si="11"/>
        <v>DIMACULANGAN MARLYN LAGULA</v>
      </c>
      <c r="Q329" s="66" t="str">
        <f>IFERROR(VLOOKUP(P329,[1]Disposition!$AB$9:$AC$495,2,0),"NO RECORD YET")</f>
        <v>B49 L15 H. Dela Costa Homes V, Brgy. Burgos, Rodriguez, Rizal</v>
      </c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8" customHeight="1">
      <c r="A330" s="188">
        <v>321</v>
      </c>
      <c r="B330" s="193" t="s">
        <v>1537</v>
      </c>
      <c r="C330" s="193" t="s">
        <v>39</v>
      </c>
      <c r="D330" s="190" t="s">
        <v>40</v>
      </c>
      <c r="E330" s="191" t="s">
        <v>151</v>
      </c>
      <c r="F330" s="191" t="s">
        <v>1549</v>
      </c>
      <c r="G330" s="191" t="s">
        <v>1550</v>
      </c>
      <c r="H330" s="192"/>
      <c r="I330" s="210"/>
      <c r="J330" s="279" t="s">
        <v>1551</v>
      </c>
      <c r="K330" s="307" t="s">
        <v>1552</v>
      </c>
      <c r="L330" s="66"/>
      <c r="M330" s="66"/>
      <c r="N330" s="66"/>
      <c r="O330" s="66"/>
      <c r="P330" s="66" t="str">
        <f t="shared" si="11"/>
        <v>RAMOS PRINCESS SANNY ABLOG</v>
      </c>
      <c r="Q330" s="66" t="str">
        <f>IFERROR(VLOOKUP(P330,[1]Disposition!$AB$9:$AC$495,2,0),"NO RECORD YET")</f>
        <v>3426-A-1C, Lubiran St., Bacood, Sta Mesa, Manila</v>
      </c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8" customHeight="1">
      <c r="A331" s="188">
        <v>322</v>
      </c>
      <c r="B331" s="193" t="s">
        <v>1537</v>
      </c>
      <c r="C331" s="193" t="s">
        <v>39</v>
      </c>
      <c r="D331" s="190" t="s">
        <v>40</v>
      </c>
      <c r="E331" s="191" t="s">
        <v>1553</v>
      </c>
      <c r="F331" s="191" t="s">
        <v>1554</v>
      </c>
      <c r="G331" s="191" t="s">
        <v>393</v>
      </c>
      <c r="H331" s="202"/>
      <c r="I331" s="210"/>
      <c r="J331" s="279" t="s">
        <v>1555</v>
      </c>
      <c r="K331" s="307" t="s">
        <v>1556</v>
      </c>
      <c r="L331" s="66"/>
      <c r="M331" s="66"/>
      <c r="N331" s="66"/>
      <c r="O331" s="66"/>
      <c r="P331" s="66" t="e">
        <f>CONCATENATE(G366," ",F366," ",#REF!)</f>
        <v>#REF!</v>
      </c>
      <c r="Q331" s="66" t="str">
        <f>IFERROR(VLOOKUP(P331,[1]Disposition!$AB$9:$AC$495,2,0),"NO RECORD YET")</f>
        <v>NO RECORD YET</v>
      </c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8" customHeight="1">
      <c r="A332" s="188">
        <v>323</v>
      </c>
      <c r="B332" s="193" t="s">
        <v>1557</v>
      </c>
      <c r="C332" s="193" t="s">
        <v>19</v>
      </c>
      <c r="D332" s="190" t="s">
        <v>24</v>
      </c>
      <c r="E332" s="204" t="s">
        <v>1558</v>
      </c>
      <c r="F332" s="204" t="s">
        <v>1559</v>
      </c>
      <c r="G332" s="204" t="s">
        <v>1560</v>
      </c>
      <c r="H332" s="205"/>
      <c r="I332" s="210"/>
      <c r="J332" s="281" t="s">
        <v>1561</v>
      </c>
      <c r="K332" s="307" t="s">
        <v>1562</v>
      </c>
      <c r="L332" s="66"/>
      <c r="M332" s="66"/>
      <c r="N332" s="66"/>
      <c r="O332" s="66"/>
      <c r="P332" s="66" t="str">
        <f t="shared" ref="P332:P350" si="12">CONCATENATE(E332," ",F332," ",G332)</f>
        <v>CAMFOLI GLENMORE ONNAN</v>
      </c>
      <c r="Q332" s="66" t="str">
        <f>IFERROR(VLOOKUP(P332,[1]Disposition!$AB$9:$AC$495,2,0),"NO RECORD YET")</f>
        <v>B43 L11 Adrian St., Fairmoint Subd., North Fairview, Quezon City</v>
      </c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8" customHeight="1">
      <c r="A333" s="188">
        <v>324</v>
      </c>
      <c r="B333" s="193" t="s">
        <v>1563</v>
      </c>
      <c r="C333" s="193" t="s">
        <v>19</v>
      </c>
      <c r="D333" s="190" t="s">
        <v>28</v>
      </c>
      <c r="E333" s="195" t="s">
        <v>1564</v>
      </c>
      <c r="F333" s="195" t="s">
        <v>1565</v>
      </c>
      <c r="G333" s="195" t="s">
        <v>1566</v>
      </c>
      <c r="H333" s="194"/>
      <c r="I333" s="212"/>
      <c r="J333" s="281" t="s">
        <v>1567</v>
      </c>
      <c r="K333" s="307" t="s">
        <v>1568</v>
      </c>
      <c r="L333" s="66"/>
      <c r="M333" s="66"/>
      <c r="N333" s="66"/>
      <c r="O333" s="66"/>
      <c r="P333" s="66" t="str">
        <f t="shared" si="12"/>
        <v>DIONEDA KARL JOHN QUIRANTE</v>
      </c>
      <c r="Q333" s="66" t="str">
        <f>IFERROR(VLOOKUP(P333,[1]Disposition!$AB$9:$AC$495,2,0),"NO RECORD YET")</f>
        <v>NO RECORD YET</v>
      </c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18" customHeight="1">
      <c r="A334" s="188">
        <v>325</v>
      </c>
      <c r="B334" s="193" t="s">
        <v>1563</v>
      </c>
      <c r="C334" s="193" t="s">
        <v>19</v>
      </c>
      <c r="D334" s="190" t="s">
        <v>28</v>
      </c>
      <c r="E334" s="195" t="s">
        <v>1083</v>
      </c>
      <c r="F334" s="195" t="s">
        <v>1569</v>
      </c>
      <c r="G334" s="195" t="s">
        <v>1570</v>
      </c>
      <c r="H334" s="194"/>
      <c r="I334" s="212"/>
      <c r="J334" s="281" t="s">
        <v>1571</v>
      </c>
      <c r="K334" s="307" t="s">
        <v>1572</v>
      </c>
      <c r="L334" s="66"/>
      <c r="M334" s="66"/>
      <c r="N334" s="66"/>
      <c r="O334" s="66"/>
      <c r="P334" s="66" t="str">
        <f t="shared" si="12"/>
        <v>REYES AVELINO MORO</v>
      </c>
      <c r="Q334" s="66" t="str">
        <f>IFERROR(VLOOKUP(P334,[1]Disposition!$AB$9:$AC$495,2,0),"NO RECORD YET")</f>
        <v>NO RECORD YET</v>
      </c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8" customHeight="1">
      <c r="A335" s="188">
        <v>326</v>
      </c>
      <c r="B335" s="193" t="s">
        <v>1563</v>
      </c>
      <c r="C335" s="193" t="s">
        <v>19</v>
      </c>
      <c r="D335" s="190" t="s">
        <v>40</v>
      </c>
      <c r="E335" s="191" t="s">
        <v>1573</v>
      </c>
      <c r="F335" s="191" t="s">
        <v>1113</v>
      </c>
      <c r="G335" s="191" t="s">
        <v>1574</v>
      </c>
      <c r="H335" s="192"/>
      <c r="I335" s="228"/>
      <c r="J335" s="279" t="s">
        <v>1575</v>
      </c>
      <c r="K335" s="307" t="s">
        <v>1576</v>
      </c>
      <c r="L335" s="66"/>
      <c r="M335" s="66"/>
      <c r="N335" s="66"/>
      <c r="O335" s="66"/>
      <c r="P335" s="66" t="str">
        <f t="shared" si="12"/>
        <v>ESMERO VICENTE NEQUIA</v>
      </c>
      <c r="Q335" s="66" t="str">
        <f>IFERROR(VLOOKUP(P335,[1]Disposition!$AB$9:$AC$495,2,0),"NO RECORD YET")</f>
        <v>Blk 1 Lot 10, Grotto View Homes, BRGY. Graceville, SJDM, BULacan</v>
      </c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8" customHeight="1">
      <c r="A336" s="188">
        <v>327</v>
      </c>
      <c r="B336" s="193" t="s">
        <v>1563</v>
      </c>
      <c r="C336" s="193" t="s">
        <v>19</v>
      </c>
      <c r="D336" s="190" t="s">
        <v>40</v>
      </c>
      <c r="E336" s="191" t="s">
        <v>1577</v>
      </c>
      <c r="F336" s="191" t="s">
        <v>1578</v>
      </c>
      <c r="G336" s="191" t="s">
        <v>1579</v>
      </c>
      <c r="H336" s="192"/>
      <c r="I336" s="210"/>
      <c r="J336" s="279" t="s">
        <v>1580</v>
      </c>
      <c r="K336" s="307" t="s">
        <v>1581</v>
      </c>
      <c r="L336" s="66"/>
      <c r="M336" s="66"/>
      <c r="N336" s="66"/>
      <c r="O336" s="66"/>
      <c r="P336" s="66" t="str">
        <f t="shared" si="12"/>
        <v>FLORO JOVENCIO FARIÑAS</v>
      </c>
      <c r="Q336" s="66" t="str">
        <f>IFERROR(VLOOKUP(P336,[1]Disposition!$AB$9:$AC$495,2,0),"NO RECORD YET")</f>
        <v>49 C 6TH Ave., Murph, Cubao, Quezon City</v>
      </c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8" customHeight="1">
      <c r="A337" s="188">
        <v>328</v>
      </c>
      <c r="B337" s="193" t="s">
        <v>1563</v>
      </c>
      <c r="C337" s="193" t="s">
        <v>39</v>
      </c>
      <c r="D337" s="190" t="s">
        <v>40</v>
      </c>
      <c r="E337" s="191" t="s">
        <v>1456</v>
      </c>
      <c r="F337" s="191" t="s">
        <v>1582</v>
      </c>
      <c r="G337" s="191" t="s">
        <v>1583</v>
      </c>
      <c r="H337" s="192"/>
      <c r="I337" s="212"/>
      <c r="J337" s="279" t="s">
        <v>1584</v>
      </c>
      <c r="K337" s="307" t="s">
        <v>1585</v>
      </c>
      <c r="L337" s="66"/>
      <c r="M337" s="66"/>
      <c r="N337" s="66"/>
      <c r="O337" s="66"/>
      <c r="P337" s="66" t="str">
        <f t="shared" si="12"/>
        <v>MOSLARES ALPHA RIZZA ZARSATA</v>
      </c>
      <c r="Q337" s="66" t="str">
        <f>IFERROR(VLOOKUP(P337,[1]Disposition!$AB$9:$AC$495,2,0),"NO RECORD YET")</f>
        <v>14-F, 13th Avenue, Brgy. Socorro, Quezon City</v>
      </c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8" customHeight="1">
      <c r="A338" s="188">
        <v>329</v>
      </c>
      <c r="B338" s="193" t="s">
        <v>1563</v>
      </c>
      <c r="C338" s="193" t="s">
        <v>19</v>
      </c>
      <c r="D338" s="190" t="s">
        <v>40</v>
      </c>
      <c r="E338" s="191" t="s">
        <v>151</v>
      </c>
      <c r="F338" s="191" t="s">
        <v>1586</v>
      </c>
      <c r="G338" s="191" t="s">
        <v>1587</v>
      </c>
      <c r="H338" s="192"/>
      <c r="I338" s="228"/>
      <c r="J338" s="279"/>
      <c r="K338" s="282"/>
      <c r="L338" s="66"/>
      <c r="M338" s="66"/>
      <c r="N338" s="66"/>
      <c r="O338" s="66"/>
      <c r="P338" s="66" t="str">
        <f t="shared" si="12"/>
        <v>RAMOS ERNESTO POQUIS</v>
      </c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8" customHeight="1">
      <c r="A339" s="188">
        <v>330</v>
      </c>
      <c r="B339" s="193" t="s">
        <v>1588</v>
      </c>
      <c r="C339" s="193" t="s">
        <v>19</v>
      </c>
      <c r="D339" s="190" t="s">
        <v>40</v>
      </c>
      <c r="E339" s="191" t="s">
        <v>1589</v>
      </c>
      <c r="F339" s="191" t="s">
        <v>1590</v>
      </c>
      <c r="G339" s="191" t="s">
        <v>151</v>
      </c>
      <c r="H339" s="192"/>
      <c r="I339" s="212"/>
      <c r="J339" s="279" t="s">
        <v>1591</v>
      </c>
      <c r="K339" s="307" t="s">
        <v>1592</v>
      </c>
      <c r="L339" s="66"/>
      <c r="M339" s="66"/>
      <c r="N339" s="66"/>
      <c r="O339" s="66"/>
      <c r="P339" s="66" t="str">
        <f t="shared" si="12"/>
        <v>ALI HUSSEIN RAMOS</v>
      </c>
      <c r="Q339" s="66" t="str">
        <f>IFERROR(VLOOKUP(P339,[1]Disposition!$AB$9:$AC$495,2,0),"NO RECORD YET")</f>
        <v>1A Mirasol St., San Roque, Cubao, Quezon City</v>
      </c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8" customHeight="1">
      <c r="A340" s="188">
        <v>331</v>
      </c>
      <c r="B340" s="193" t="s">
        <v>1588</v>
      </c>
      <c r="C340" s="193" t="s">
        <v>19</v>
      </c>
      <c r="D340" s="190" t="s">
        <v>40</v>
      </c>
      <c r="E340" s="191" t="s">
        <v>1593</v>
      </c>
      <c r="F340" s="191" t="s">
        <v>1594</v>
      </c>
      <c r="G340" s="191" t="s">
        <v>1595</v>
      </c>
      <c r="H340" s="192"/>
      <c r="I340" s="212"/>
      <c r="J340" s="279" t="s">
        <v>1596</v>
      </c>
      <c r="K340" s="307" t="s">
        <v>1597</v>
      </c>
      <c r="L340" s="66"/>
      <c r="M340" s="66"/>
      <c r="N340" s="66"/>
      <c r="O340" s="66"/>
      <c r="P340" s="66" t="str">
        <f t="shared" si="12"/>
        <v>LAMPA ENGELBERT VALERA</v>
      </c>
      <c r="Q340" s="66" t="str">
        <f>IFERROR(VLOOKUP(P340,[1]Disposition!$AB$9:$AC$495,2,0),"NO RECORD YET")</f>
        <v>12C 8th  Avenue, Brgy. Socorro, Cubao, Quezon City</v>
      </c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8" customHeight="1">
      <c r="A341" s="188">
        <v>332</v>
      </c>
      <c r="B341" s="193" t="s">
        <v>1588</v>
      </c>
      <c r="C341" s="193" t="s">
        <v>19</v>
      </c>
      <c r="D341" s="190" t="s">
        <v>40</v>
      </c>
      <c r="E341" s="191" t="s">
        <v>1598</v>
      </c>
      <c r="F341" s="191" t="s">
        <v>1599</v>
      </c>
      <c r="G341" s="191" t="s">
        <v>1600</v>
      </c>
      <c r="H341" s="192"/>
      <c r="I341" s="212"/>
      <c r="J341" s="279" t="s">
        <v>1601</v>
      </c>
      <c r="K341" s="307" t="s">
        <v>1602</v>
      </c>
      <c r="L341" s="66"/>
      <c r="M341" s="66"/>
      <c r="N341" s="66"/>
      <c r="O341" s="66"/>
      <c r="P341" s="66" t="str">
        <f t="shared" si="12"/>
        <v>ADULTA ARREN LEE CHACON</v>
      </c>
      <c r="Q341" s="66" t="str">
        <f>IFERROR(VLOOKUP(P341,[1]Disposition!$AB$9:$AC$495,2,0),"NO RECORD YET")</f>
        <v>49 Aralar St., Pilapila, Binangonan, Rizal</v>
      </c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8" customHeight="1">
      <c r="A342" s="188">
        <v>333</v>
      </c>
      <c r="B342" s="193" t="s">
        <v>1588</v>
      </c>
      <c r="C342" s="193" t="s">
        <v>19</v>
      </c>
      <c r="D342" s="190" t="s">
        <v>40</v>
      </c>
      <c r="E342" s="191" t="s">
        <v>904</v>
      </c>
      <c r="F342" s="191" t="s">
        <v>684</v>
      </c>
      <c r="G342" s="191" t="s">
        <v>256</v>
      </c>
      <c r="H342" s="192"/>
      <c r="I342" s="210"/>
      <c r="J342" s="279" t="s">
        <v>1603</v>
      </c>
      <c r="K342" s="307" t="s">
        <v>1604</v>
      </c>
      <c r="L342" s="66"/>
      <c r="M342" s="66"/>
      <c r="N342" s="66"/>
      <c r="O342" s="66"/>
      <c r="P342" s="66" t="str">
        <f t="shared" si="12"/>
        <v>BACLIG MICHAEL DELA CRUZ</v>
      </c>
      <c r="Q342" s="66" t="str">
        <f>IFERROR(VLOOKUP(P342,[1]Disposition!$AB$9:$AC$495,2,0),"NO RECORD YET")</f>
        <v>Blk 9 Lot 19 Our Lady of Fathima St., Rosario Complex, Brgy Rosario, San Pedro , Laguna</v>
      </c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8" customHeight="1">
      <c r="A343" s="188">
        <v>334</v>
      </c>
      <c r="B343" s="193" t="s">
        <v>1588</v>
      </c>
      <c r="C343" s="193" t="s">
        <v>19</v>
      </c>
      <c r="D343" s="190" t="s">
        <v>40</v>
      </c>
      <c r="E343" s="191" t="s">
        <v>1605</v>
      </c>
      <c r="F343" s="191" t="s">
        <v>1606</v>
      </c>
      <c r="G343" s="191" t="s">
        <v>1607</v>
      </c>
      <c r="H343" s="192"/>
      <c r="I343" s="210"/>
      <c r="J343" s="279" t="s">
        <v>1608</v>
      </c>
      <c r="K343" s="307" t="s">
        <v>1609</v>
      </c>
      <c r="L343" s="66"/>
      <c r="M343" s="66"/>
      <c r="N343" s="66"/>
      <c r="O343" s="66"/>
      <c r="P343" s="66" t="str">
        <f t="shared" si="12"/>
        <v>GAJO ELMAN ABAJA</v>
      </c>
      <c r="Q343" s="66" t="str">
        <f>IFERROR(VLOOKUP(P343,[1]Disposition!$AB$9:$AC$495,2,0),"NO RECORD YET")</f>
        <v>15 Wild Cat Village, C5 Road, Ususan, Taguing CityY</v>
      </c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8" customHeight="1">
      <c r="A344" s="188">
        <v>335</v>
      </c>
      <c r="B344" s="193" t="s">
        <v>1588</v>
      </c>
      <c r="C344" s="193" t="s">
        <v>19</v>
      </c>
      <c r="D344" s="190" t="s">
        <v>40</v>
      </c>
      <c r="E344" s="191" t="s">
        <v>1610</v>
      </c>
      <c r="F344" s="191" t="s">
        <v>293</v>
      </c>
      <c r="G344" s="191" t="s">
        <v>1611</v>
      </c>
      <c r="H344" s="202"/>
      <c r="I344" s="210"/>
      <c r="J344" s="279" t="s">
        <v>1612</v>
      </c>
      <c r="K344" s="307" t="s">
        <v>1613</v>
      </c>
      <c r="L344" s="66"/>
      <c r="M344" s="66"/>
      <c r="N344" s="66"/>
      <c r="O344" s="66"/>
      <c r="P344" s="66" t="str">
        <f t="shared" si="12"/>
        <v>MARINTES JOEY MANUGUID</v>
      </c>
      <c r="Q344" s="66" t="str">
        <f>IFERROR(VLOOKUP(P344,[1]Disposition!$AB$9:$AC$495,2,0),"NO RECORD YET")</f>
        <v>11 Sta. Isabel St., Sto. Rosario Village, Baritan, Malabon</v>
      </c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8" customHeight="1">
      <c r="A345" s="188">
        <v>336</v>
      </c>
      <c r="B345" s="193" t="s">
        <v>1588</v>
      </c>
      <c r="C345" s="193" t="s">
        <v>39</v>
      </c>
      <c r="D345" s="190" t="s">
        <v>40</v>
      </c>
      <c r="E345" s="191" t="s">
        <v>1614</v>
      </c>
      <c r="F345" s="191" t="s">
        <v>1615</v>
      </c>
      <c r="G345" s="191" t="s">
        <v>365</v>
      </c>
      <c r="H345" s="192"/>
      <c r="I345" s="228"/>
      <c r="J345" s="279" t="s">
        <v>1616</v>
      </c>
      <c r="K345" s="307" t="s">
        <v>1617</v>
      </c>
      <c r="L345" s="66"/>
      <c r="M345" s="66"/>
      <c r="N345" s="66"/>
      <c r="O345" s="66"/>
      <c r="P345" s="66" t="str">
        <f t="shared" si="12"/>
        <v>PIMENTEL MARGIE DIAZ</v>
      </c>
      <c r="Q345" s="66" t="str">
        <f>IFERROR(VLOOKUP(P345,[1]Disposition!$AB$9:$AC$495,2,0),"NO RECORD YET")</f>
        <v>12-C 8th Avenue, Brgy Socorro, Murphy, Cubao, Quezon City</v>
      </c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8" customHeight="1">
      <c r="A346" s="188">
        <v>337</v>
      </c>
      <c r="B346" s="193" t="s">
        <v>1588</v>
      </c>
      <c r="C346" s="193" t="s">
        <v>19</v>
      </c>
      <c r="D346" s="190" t="s">
        <v>40</v>
      </c>
      <c r="E346" s="191" t="s">
        <v>151</v>
      </c>
      <c r="F346" s="191" t="s">
        <v>1618</v>
      </c>
      <c r="G346" s="191" t="s">
        <v>1619</v>
      </c>
      <c r="H346" s="192"/>
      <c r="I346" s="228"/>
      <c r="J346" s="279" t="s">
        <v>1620</v>
      </c>
      <c r="K346" s="307" t="s">
        <v>1621</v>
      </c>
      <c r="L346" s="66"/>
      <c r="M346" s="66"/>
      <c r="N346" s="66"/>
      <c r="O346" s="66"/>
      <c r="P346" s="66" t="str">
        <f t="shared" si="12"/>
        <v>RAMOS JOHN ERIK MAYORGA</v>
      </c>
      <c r="Q346" s="66" t="str">
        <f>IFERROR(VLOOKUP(P346,[1]Disposition!$AB$9:$AC$495,2,0),"NO RECORD YET")</f>
        <v>Inicbulan, Bauan, Batangas</v>
      </c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8" customHeight="1">
      <c r="A347" s="188">
        <v>338</v>
      </c>
      <c r="B347" s="193" t="s">
        <v>1588</v>
      </c>
      <c r="C347" s="193" t="s">
        <v>19</v>
      </c>
      <c r="D347" s="190" t="s">
        <v>40</v>
      </c>
      <c r="E347" s="191" t="s">
        <v>1622</v>
      </c>
      <c r="F347" s="191" t="s">
        <v>1623</v>
      </c>
      <c r="G347" s="191" t="s">
        <v>1624</v>
      </c>
      <c r="H347" s="192"/>
      <c r="I347" s="228"/>
      <c r="J347" s="279" t="s">
        <v>1625</v>
      </c>
      <c r="K347" s="307" t="s">
        <v>1626</v>
      </c>
      <c r="L347" s="66"/>
      <c r="M347" s="66"/>
      <c r="N347" s="66"/>
      <c r="O347" s="66"/>
      <c r="P347" s="66" t="str">
        <f t="shared" si="12"/>
        <v>RIVERA EDMUND MALBARTINO</v>
      </c>
      <c r="Q347" s="66" t="str">
        <f>IFERROR(VLOOKUP(P347,[1]Disposition!$AB$9:$AC$495,2,0),"NO RECORD YET")</f>
        <v>Blk 9 Lot 9, Victory Ville 2, Llano, Caloocan City</v>
      </c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8" customHeight="1">
      <c r="A348" s="188">
        <v>339</v>
      </c>
      <c r="B348" s="193" t="s">
        <v>1588</v>
      </c>
      <c r="C348" s="193" t="s">
        <v>39</v>
      </c>
      <c r="D348" s="190" t="s">
        <v>40</v>
      </c>
      <c r="E348" s="191" t="s">
        <v>1627</v>
      </c>
      <c r="F348" s="191" t="s">
        <v>1628</v>
      </c>
      <c r="G348" s="191" t="s">
        <v>1629</v>
      </c>
      <c r="H348" s="192"/>
      <c r="I348" s="212"/>
      <c r="J348" s="279" t="s">
        <v>1630</v>
      </c>
      <c r="K348" s="307" t="s">
        <v>1631</v>
      </c>
      <c r="L348" s="66"/>
      <c r="M348" s="66"/>
      <c r="N348" s="66"/>
      <c r="O348" s="66"/>
      <c r="P348" s="66" t="str">
        <f t="shared" si="12"/>
        <v>RUARO ANN MARGARETH PERGIS</v>
      </c>
      <c r="Q348" s="66" t="str">
        <f>IFERROR(VLOOKUP(P348,[1]Disposition!$AB$9:$AC$495,2,0),"NO RECORD YET")</f>
        <v>Blk 4 ot Lot 13 Phase B, Francisco Homes, Brgy., Mulawin, SJDM, BULACAN</v>
      </c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8" customHeight="1">
      <c r="A349" s="188">
        <v>340</v>
      </c>
      <c r="B349" s="193" t="s">
        <v>1632</v>
      </c>
      <c r="C349" s="189" t="s">
        <v>19</v>
      </c>
      <c r="D349" s="190" t="s">
        <v>96</v>
      </c>
      <c r="E349" s="191" t="s">
        <v>1633</v>
      </c>
      <c r="F349" s="191" t="s">
        <v>1634</v>
      </c>
      <c r="G349" s="191" t="s">
        <v>1635</v>
      </c>
      <c r="H349" s="192"/>
      <c r="I349" s="210"/>
      <c r="J349" s="279" t="s">
        <v>1636</v>
      </c>
      <c r="K349" s="307" t="s">
        <v>1637</v>
      </c>
      <c r="L349" s="66"/>
      <c r="M349" s="66"/>
      <c r="N349" s="66"/>
      <c r="O349" s="66"/>
      <c r="P349" s="66" t="str">
        <f t="shared" si="12"/>
        <v>CABILES FIDEL VALEROS</v>
      </c>
      <c r="Q349" s="66" t="str">
        <f>IFERROR(VLOOKUP(P349,[1]Disposition!$AB$9:$AC$495,2,0),"NO RECORD YET")</f>
        <v>918 T2 Grace Residences, Taguig City</v>
      </c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8" customHeight="1">
      <c r="A350" s="188">
        <v>341</v>
      </c>
      <c r="B350" s="189" t="s">
        <v>1638</v>
      </c>
      <c r="C350" s="193" t="s">
        <v>19</v>
      </c>
      <c r="D350" s="190" t="s">
        <v>28</v>
      </c>
      <c r="E350" s="195" t="s">
        <v>1024</v>
      </c>
      <c r="F350" s="195" t="s">
        <v>553</v>
      </c>
      <c r="G350" s="195" t="s">
        <v>934</v>
      </c>
      <c r="H350" s="194"/>
      <c r="I350" s="212"/>
      <c r="J350" s="185" t="s">
        <v>1639</v>
      </c>
      <c r="K350" s="307" t="s">
        <v>1640</v>
      </c>
      <c r="L350" s="66"/>
      <c r="M350" s="66"/>
      <c r="N350" s="66"/>
      <c r="O350" s="66"/>
      <c r="P350" s="66" t="str">
        <f t="shared" si="12"/>
        <v>FERNANDEZ ERIC MOLINA</v>
      </c>
      <c r="Q350" s="66" t="str">
        <f>IFERROR(VLOOKUP(P350,[1]Disposition!$AB$9:$AC$495,2,0),"NO RECORD YET")</f>
        <v>NO RECORD YET</v>
      </c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8" customHeight="1">
      <c r="A351" s="188">
        <v>342</v>
      </c>
      <c r="B351" s="189" t="s">
        <v>1638</v>
      </c>
      <c r="C351" s="193" t="s">
        <v>39</v>
      </c>
      <c r="D351" s="190" t="s">
        <v>40</v>
      </c>
      <c r="E351" s="191" t="s">
        <v>1641</v>
      </c>
      <c r="F351" s="191" t="s">
        <v>1642</v>
      </c>
      <c r="G351" s="191" t="s">
        <v>1197</v>
      </c>
      <c r="H351" s="192"/>
      <c r="I351" s="210"/>
      <c r="J351" s="279" t="s">
        <v>1643</v>
      </c>
      <c r="K351" s="307" t="s">
        <v>1644</v>
      </c>
      <c r="L351" s="66"/>
      <c r="M351" s="66"/>
      <c r="N351" s="66"/>
      <c r="O351" s="66"/>
      <c r="P351" s="66" t="e">
        <f>CONCATENATE(#REF!," ",#REF!," ",#REF!)</f>
        <v>#REF!</v>
      </c>
      <c r="Q351" s="66" t="str">
        <f>IFERROR(VLOOKUP(P351,[1]Disposition!$AB$9:$AC$495,2,0),"NO RECORD YET")</f>
        <v>NO RECORD YET</v>
      </c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8" customHeight="1">
      <c r="A352" s="188">
        <v>343</v>
      </c>
      <c r="B352" s="189" t="s">
        <v>1638</v>
      </c>
      <c r="C352" s="189" t="s">
        <v>19</v>
      </c>
      <c r="D352" s="190" t="s">
        <v>40</v>
      </c>
      <c r="E352" s="191" t="s">
        <v>1645</v>
      </c>
      <c r="F352" s="191" t="s">
        <v>1646</v>
      </c>
      <c r="G352" s="191" t="s">
        <v>347</v>
      </c>
      <c r="H352" s="192"/>
      <c r="I352" s="210"/>
      <c r="J352" s="279" t="s">
        <v>1647</v>
      </c>
      <c r="K352" s="307" t="s">
        <v>1648</v>
      </c>
      <c r="L352" s="66"/>
      <c r="M352" s="66"/>
      <c r="N352" s="66"/>
      <c r="O352" s="66"/>
      <c r="P352" s="66" t="str">
        <f>CONCATENATE(E351," ",F351," ",G351)</f>
        <v>GABRIEL ROSALYN ALFONSO</v>
      </c>
      <c r="Q352" s="66" t="str">
        <f>IFERROR(VLOOKUP(P352,[1]Disposition!$AB$9:$AC$495,2,0),"NO RECORD YET")</f>
        <v>#09 Pulong Buli, Sto. Domingo, Nueva Ecija</v>
      </c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8" customHeight="1">
      <c r="A353" s="188">
        <v>344</v>
      </c>
      <c r="B353" s="189" t="s">
        <v>1638</v>
      </c>
      <c r="C353" s="193" t="s">
        <v>39</v>
      </c>
      <c r="D353" s="190" t="s">
        <v>40</v>
      </c>
      <c r="E353" s="191" t="s">
        <v>1649</v>
      </c>
      <c r="F353" s="191" t="s">
        <v>1650</v>
      </c>
      <c r="G353" s="191" t="s">
        <v>1651</v>
      </c>
      <c r="H353" s="192"/>
      <c r="I353" s="210"/>
      <c r="J353" s="279" t="s">
        <v>1652</v>
      </c>
      <c r="K353" s="307" t="s">
        <v>1031</v>
      </c>
      <c r="L353" s="66"/>
      <c r="M353" s="66"/>
      <c r="N353" s="66"/>
      <c r="O353" s="66"/>
      <c r="P353" s="66" t="str">
        <f t="shared" ref="P353:P365" si="13">CONCATENATE(E353," ",F353," ",G353)</f>
        <v>SECULLES LILIBETH VERANO</v>
      </c>
      <c r="Q353" s="66" t="str">
        <f>IFERROR(VLOOKUP(P353,[1]Disposition!$AB$9:$AC$495,2,0),"NO RECORD YET")</f>
        <v>Lot 230 East Bank Road, Soldiers Village, Sta. Lucia, Pasig City</v>
      </c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18" customHeight="1">
      <c r="A354" s="188">
        <v>345</v>
      </c>
      <c r="B354" s="193" t="s">
        <v>1653</v>
      </c>
      <c r="C354" s="193" t="s">
        <v>39</v>
      </c>
      <c r="D354" s="190" t="s">
        <v>160</v>
      </c>
      <c r="E354" s="191" t="s">
        <v>1654</v>
      </c>
      <c r="F354" s="191" t="s">
        <v>1655</v>
      </c>
      <c r="G354" s="191" t="s">
        <v>1205</v>
      </c>
      <c r="H354" s="192"/>
      <c r="I354" s="210"/>
      <c r="J354" s="279"/>
      <c r="K354" s="282"/>
      <c r="L354" s="66"/>
      <c r="M354" s="66"/>
      <c r="N354" s="66"/>
      <c r="O354" s="66"/>
      <c r="P354" s="66" t="str">
        <f t="shared" si="13"/>
        <v>SALAYA MA ANGELA MIRABEL</v>
      </c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18" customHeight="1">
      <c r="A355" s="188">
        <v>346</v>
      </c>
      <c r="B355" s="189" t="s">
        <v>1656</v>
      </c>
      <c r="C355" s="193" t="s">
        <v>19</v>
      </c>
      <c r="D355" s="190" t="s">
        <v>160</v>
      </c>
      <c r="E355" s="191" t="s">
        <v>636</v>
      </c>
      <c r="F355" s="191" t="s">
        <v>1657</v>
      </c>
      <c r="G355" s="191" t="s">
        <v>1658</v>
      </c>
      <c r="H355" s="192"/>
      <c r="I355" s="210"/>
      <c r="J355" s="279" t="s">
        <v>1659</v>
      </c>
      <c r="K355" s="302"/>
      <c r="L355" s="66"/>
      <c r="M355" s="66"/>
      <c r="N355" s="66"/>
      <c r="O355" s="66"/>
      <c r="P355" s="66" t="str">
        <f t="shared" si="13"/>
        <v>SANTOS NHARCISO JHOEL SULIT</v>
      </c>
      <c r="Q355" s="66">
        <f>IFERROR(VLOOKUP(P355,[1]Disposition!$AB$9:$AC$495,2,0),"NO RECORD YET")</f>
        <v>0</v>
      </c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18" customHeight="1">
      <c r="A356" s="188">
        <v>347</v>
      </c>
      <c r="B356" s="189" t="s">
        <v>1656</v>
      </c>
      <c r="C356" s="189" t="s">
        <v>19</v>
      </c>
      <c r="D356" s="190" t="s">
        <v>96</v>
      </c>
      <c r="E356" s="204" t="s">
        <v>1660</v>
      </c>
      <c r="F356" s="204" t="s">
        <v>1661</v>
      </c>
      <c r="G356" s="204" t="s">
        <v>1662</v>
      </c>
      <c r="H356" s="205"/>
      <c r="I356" s="210"/>
      <c r="J356" s="279" t="s">
        <v>1663</v>
      </c>
      <c r="K356" s="307" t="s">
        <v>1664</v>
      </c>
      <c r="L356" s="66"/>
      <c r="M356" s="66"/>
      <c r="N356" s="66"/>
      <c r="O356" s="66"/>
      <c r="P356" s="66" t="str">
        <f t="shared" si="13"/>
        <v>ONIL RELLON SUAYAN</v>
      </c>
      <c r="Q356" s="66" t="str">
        <f>IFERROR(VLOOKUP(P356,[1]Disposition!$AB$9:$AC$495,2,0),"NO RECORD YET")</f>
        <v>774 Oroqueta St., Dagupan Weste, City of Tabuk (Capital), Kalinga</v>
      </c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18" customHeight="1">
      <c r="A357" s="188">
        <v>348</v>
      </c>
      <c r="B357" s="189" t="s">
        <v>1656</v>
      </c>
      <c r="C357" s="189" t="s">
        <v>19</v>
      </c>
      <c r="D357" s="190" t="s">
        <v>246</v>
      </c>
      <c r="E357" s="191" t="s">
        <v>1481</v>
      </c>
      <c r="F357" s="191" t="s">
        <v>1665</v>
      </c>
      <c r="G357" s="191" t="s">
        <v>1666</v>
      </c>
      <c r="H357" s="192"/>
      <c r="I357" s="210"/>
      <c r="J357" s="279"/>
      <c r="K357" s="282"/>
      <c r="L357" s="66"/>
      <c r="M357" s="66"/>
      <c r="N357" s="66"/>
      <c r="O357" s="66"/>
      <c r="P357" s="66" t="str">
        <f t="shared" si="13"/>
        <v>CORPUZ ALEX ACE CABAUATAN</v>
      </c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18" customHeight="1">
      <c r="A358" s="188">
        <v>349</v>
      </c>
      <c r="B358" s="189" t="s">
        <v>1656</v>
      </c>
      <c r="C358" s="193" t="s">
        <v>19</v>
      </c>
      <c r="D358" s="194" t="s">
        <v>28</v>
      </c>
      <c r="E358" s="195" t="s">
        <v>1667</v>
      </c>
      <c r="F358" s="195" t="s">
        <v>1668</v>
      </c>
      <c r="G358" s="195" t="s">
        <v>1669</v>
      </c>
      <c r="H358" s="194"/>
      <c r="I358" s="210"/>
      <c r="J358" s="279" t="s">
        <v>1561</v>
      </c>
      <c r="K358" s="307" t="s">
        <v>1670</v>
      </c>
      <c r="L358" s="66"/>
      <c r="M358" s="66"/>
      <c r="N358" s="66"/>
      <c r="O358" s="66"/>
      <c r="P358" s="66" t="str">
        <f t="shared" si="13"/>
        <v>BILLOSO AL ANTHONY CONSOLACION</v>
      </c>
      <c r="Q358" s="66" t="str">
        <f>IFERROR(VLOOKUP(P358,[1]Disposition!$AB$9:$AC$495,2,0),"NO RECORD YET")</f>
        <v>NO RECORD YET</v>
      </c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18" customHeight="1">
      <c r="A359" s="188">
        <v>350</v>
      </c>
      <c r="B359" s="189" t="s">
        <v>1656</v>
      </c>
      <c r="C359" s="193"/>
      <c r="D359" s="194" t="s">
        <v>28</v>
      </c>
      <c r="E359" s="204" t="s">
        <v>1671</v>
      </c>
      <c r="F359" s="204" t="s">
        <v>1672</v>
      </c>
      <c r="G359" s="204" t="s">
        <v>1673</v>
      </c>
      <c r="H359" s="205"/>
      <c r="I359" s="210"/>
      <c r="J359" s="279"/>
      <c r="K359" s="282"/>
      <c r="L359" s="66"/>
      <c r="M359" s="66"/>
      <c r="N359" s="66"/>
      <c r="O359" s="66"/>
      <c r="P359" s="66" t="str">
        <f t="shared" si="13"/>
        <v>JUANATA MICAELA SIAO</v>
      </c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18" customHeight="1">
      <c r="A360" s="188">
        <v>351</v>
      </c>
      <c r="B360" s="189" t="s">
        <v>1656</v>
      </c>
      <c r="C360" s="193" t="s">
        <v>19</v>
      </c>
      <c r="D360" s="190" t="s">
        <v>28</v>
      </c>
      <c r="E360" s="195" t="s">
        <v>1674</v>
      </c>
      <c r="F360" s="195" t="s">
        <v>1675</v>
      </c>
      <c r="G360" s="195" t="s">
        <v>1676</v>
      </c>
      <c r="H360" s="194"/>
      <c r="I360" s="210"/>
      <c r="J360" s="185" t="s">
        <v>1677</v>
      </c>
      <c r="K360" s="307" t="s">
        <v>1678</v>
      </c>
      <c r="L360" s="66"/>
      <c r="M360" s="66"/>
      <c r="N360" s="66"/>
      <c r="O360" s="66"/>
      <c r="P360" s="66" t="str">
        <f t="shared" si="13"/>
        <v>PANSOY LEX LEVIN JUEGOS</v>
      </c>
      <c r="Q360" s="66" t="str">
        <f>IFERROR(VLOOKUP(P360,[1]Disposition!$AB$9:$AC$495,2,0),"NO RECORD YET")</f>
        <v>NO RECORD YET</v>
      </c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18" customHeight="1">
      <c r="A361" s="188">
        <v>352</v>
      </c>
      <c r="B361" s="189" t="s">
        <v>1656</v>
      </c>
      <c r="C361" s="193" t="s">
        <v>39</v>
      </c>
      <c r="D361" s="190" t="s">
        <v>40</v>
      </c>
      <c r="E361" s="191" t="s">
        <v>1679</v>
      </c>
      <c r="F361" s="191" t="s">
        <v>1680</v>
      </c>
      <c r="G361" s="191" t="s">
        <v>1681</v>
      </c>
      <c r="H361" s="192"/>
      <c r="I361" s="210"/>
      <c r="J361" s="279" t="s">
        <v>1682</v>
      </c>
      <c r="K361" s="307" t="s">
        <v>1683</v>
      </c>
      <c r="L361" s="66"/>
      <c r="M361" s="66"/>
      <c r="N361" s="66"/>
      <c r="O361" s="66"/>
      <c r="P361" s="66" t="str">
        <f t="shared" si="13"/>
        <v>CUETO NOEME MAMON</v>
      </c>
      <c r="Q361" s="66" t="str">
        <f>IFERROR(VLOOKUP(P361,[1]Disposition!$AB$9:$AC$495,2,0),"NO RECORD YET")</f>
        <v>B8 L6 Phase 5, Sta Barbara Villas I, Brgy. Silangan, San Mateo, Rizal</v>
      </c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18" customHeight="1">
      <c r="A362" s="188">
        <v>353</v>
      </c>
      <c r="B362" s="189" t="s">
        <v>1656</v>
      </c>
      <c r="C362" s="193" t="s">
        <v>39</v>
      </c>
      <c r="D362" s="190" t="s">
        <v>40</v>
      </c>
      <c r="E362" s="191" t="s">
        <v>1684</v>
      </c>
      <c r="F362" s="191" t="s">
        <v>1685</v>
      </c>
      <c r="G362" s="191" t="s">
        <v>1686</v>
      </c>
      <c r="H362" s="192"/>
      <c r="I362" s="228"/>
      <c r="J362" s="285"/>
      <c r="K362" s="282"/>
      <c r="L362" s="66"/>
      <c r="M362" s="66"/>
      <c r="N362" s="66"/>
      <c r="O362" s="66"/>
      <c r="P362" s="66" t="str">
        <f t="shared" si="13"/>
        <v>DACIR DANIELLE ZCHEA GACUTE</v>
      </c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18" customHeight="1">
      <c r="A363" s="188">
        <v>354</v>
      </c>
      <c r="B363" s="189" t="s">
        <v>1656</v>
      </c>
      <c r="C363" s="193" t="s">
        <v>39</v>
      </c>
      <c r="D363" s="190" t="s">
        <v>40</v>
      </c>
      <c r="E363" s="191" t="s">
        <v>1687</v>
      </c>
      <c r="F363" s="191" t="s">
        <v>1688</v>
      </c>
      <c r="G363" s="191" t="s">
        <v>1689</v>
      </c>
      <c r="H363" s="192"/>
      <c r="I363" s="228"/>
      <c r="J363" s="285"/>
      <c r="K363" s="282"/>
      <c r="L363" s="66"/>
      <c r="M363" s="66"/>
      <c r="N363" s="66"/>
      <c r="O363" s="66"/>
      <c r="P363" s="66" t="str">
        <f t="shared" si="13"/>
        <v>NABONG WENDA GREEN LINDON TOMAS</v>
      </c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18" customHeight="1">
      <c r="A364" s="188">
        <v>355</v>
      </c>
      <c r="B364" s="189" t="s">
        <v>1656</v>
      </c>
      <c r="C364" s="193" t="s">
        <v>19</v>
      </c>
      <c r="D364" s="190" t="s">
        <v>40</v>
      </c>
      <c r="E364" s="191" t="s">
        <v>1690</v>
      </c>
      <c r="F364" s="191" t="s">
        <v>1691</v>
      </c>
      <c r="G364" s="191" t="s">
        <v>1692</v>
      </c>
      <c r="H364" s="192"/>
      <c r="I364" s="210"/>
      <c r="J364" s="279" t="s">
        <v>1693</v>
      </c>
      <c r="K364" s="307" t="s">
        <v>1694</v>
      </c>
      <c r="L364" s="66"/>
      <c r="M364" s="66"/>
      <c r="N364" s="66"/>
      <c r="O364" s="66"/>
      <c r="P364" s="66" t="str">
        <f t="shared" si="13"/>
        <v>OÑA ERNANI WILSON</v>
      </c>
      <c r="Q364" s="66" t="str">
        <f>IFERROR(VLOOKUP(P364,[1]Disposition!$AB$9:$AC$495,2,0),"NO RECORD YET")</f>
        <v>57 Ramon Jabson St., Brgy. Bambang, Pasig Ciity</v>
      </c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18" customHeight="1">
      <c r="A365" s="188">
        <v>356</v>
      </c>
      <c r="B365" s="189" t="s">
        <v>1656</v>
      </c>
      <c r="C365" s="193" t="s">
        <v>19</v>
      </c>
      <c r="D365" s="190" t="s">
        <v>40</v>
      </c>
      <c r="E365" s="191" t="s">
        <v>1695</v>
      </c>
      <c r="F365" s="191" t="s">
        <v>1696</v>
      </c>
      <c r="G365" s="191" t="s">
        <v>1697</v>
      </c>
      <c r="H365" s="192"/>
      <c r="I365" s="210"/>
      <c r="J365" s="279"/>
      <c r="K365" s="282"/>
      <c r="L365" s="66"/>
      <c r="M365" s="66"/>
      <c r="N365" s="66"/>
      <c r="O365" s="66"/>
      <c r="P365" s="66" t="str">
        <f t="shared" si="13"/>
        <v>SOCORRO GIBSON TOBIAS</v>
      </c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18" customHeight="1">
      <c r="A366" s="188">
        <v>357</v>
      </c>
      <c r="B366" s="189" t="s">
        <v>1698</v>
      </c>
      <c r="C366" s="193" t="s">
        <v>39</v>
      </c>
      <c r="D366" s="190" t="s">
        <v>40</v>
      </c>
      <c r="E366" s="242" t="s">
        <v>1239</v>
      </c>
      <c r="F366" s="191" t="s">
        <v>145</v>
      </c>
      <c r="G366" s="191" t="s">
        <v>720</v>
      </c>
      <c r="H366" s="192"/>
      <c r="I366" s="210"/>
      <c r="J366" s="279" t="s">
        <v>1699</v>
      </c>
      <c r="K366" s="307" t="s">
        <v>1700</v>
      </c>
      <c r="L366" s="66"/>
      <c r="M366" s="66"/>
      <c r="N366" s="66"/>
      <c r="O366" s="66"/>
      <c r="P366" s="66" t="str">
        <f>CONCATENATE(E321," ",F321," ",G321)</f>
        <v>ALDE MILA BERNADAS</v>
      </c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18" customHeight="1">
      <c r="A367" s="188">
        <v>358</v>
      </c>
      <c r="B367" s="189" t="s">
        <v>1698</v>
      </c>
      <c r="C367" s="189" t="s">
        <v>19</v>
      </c>
      <c r="D367" s="190" t="s">
        <v>40</v>
      </c>
      <c r="E367" s="191" t="s">
        <v>1701</v>
      </c>
      <c r="F367" s="191" t="s">
        <v>1702</v>
      </c>
      <c r="G367" s="191" t="s">
        <v>1703</v>
      </c>
      <c r="H367" s="192"/>
      <c r="I367" s="267"/>
      <c r="J367" s="279"/>
      <c r="K367" s="282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18" customHeight="1">
      <c r="A368" s="188">
        <v>359</v>
      </c>
      <c r="B368" s="189" t="s">
        <v>1704</v>
      </c>
      <c r="C368" s="193" t="s">
        <v>39</v>
      </c>
      <c r="D368" s="190" t="s">
        <v>40</v>
      </c>
      <c r="E368" s="191" t="s">
        <v>1705</v>
      </c>
      <c r="F368" s="191" t="s">
        <v>1706</v>
      </c>
      <c r="G368" s="191" t="s">
        <v>1224</v>
      </c>
      <c r="H368" s="192"/>
      <c r="I368" s="210"/>
      <c r="J368" s="279" t="s">
        <v>1707</v>
      </c>
      <c r="K368" s="307" t="s">
        <v>1708</v>
      </c>
      <c r="L368" s="66"/>
      <c r="M368" s="66"/>
      <c r="N368" s="66"/>
      <c r="O368" s="66"/>
      <c r="P368" s="66" t="str">
        <f>CONCATENATE(E117," ",F117," ",G117)</f>
        <v>FRIAS KIM ANTHONY NICOLAS</v>
      </c>
      <c r="Q368" s="66" t="str">
        <f>IFERROR(VLOOKUP(P368,[1]Disposition!$AB$9:$AC$495,2,0),"NO RECORD YET")</f>
        <v>1234 Katipunan St., Calumpang, Binangonan, Rizal</v>
      </c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18" customHeight="1">
      <c r="A369" s="188">
        <v>360</v>
      </c>
      <c r="B369" s="189" t="s">
        <v>1709</v>
      </c>
      <c r="C369" s="193" t="s">
        <v>39</v>
      </c>
      <c r="D369" s="190" t="s">
        <v>40</v>
      </c>
      <c r="E369" s="191" t="s">
        <v>1710</v>
      </c>
      <c r="F369" s="266" t="s">
        <v>1711</v>
      </c>
      <c r="G369" s="191" t="s">
        <v>1169</v>
      </c>
      <c r="H369" s="192"/>
      <c r="I369" s="228"/>
      <c r="J369" s="279" t="s">
        <v>1712</v>
      </c>
      <c r="K369" s="307" t="s">
        <v>1713</v>
      </c>
      <c r="L369" s="66"/>
      <c r="M369" s="66"/>
      <c r="N369" s="66"/>
      <c r="O369" s="66"/>
      <c r="P369" s="66" t="str">
        <f>CONCATENATE(E420," ",F420," ",G420)</f>
        <v>MADAYAG ROY IBARRA</v>
      </c>
      <c r="Q369" s="66" t="str">
        <f>IFERROR(VLOOKUP(P369,[1]Disposition!$AB$9:$AC$495,2,0),"NO RECORD YET")</f>
        <v>Blk 28 Lot , 29 Sunflower St., Liora Homes Subd., PASCAM 2, General Trias, Cavite</v>
      </c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18" customHeight="1">
      <c r="A370" s="188">
        <v>361</v>
      </c>
      <c r="B370" s="189" t="s">
        <v>1714</v>
      </c>
      <c r="C370" s="193" t="s">
        <v>39</v>
      </c>
      <c r="D370" s="190" t="s">
        <v>40</v>
      </c>
      <c r="E370" s="191" t="s">
        <v>563</v>
      </c>
      <c r="F370" s="191" t="s">
        <v>1715</v>
      </c>
      <c r="G370" s="191" t="s">
        <v>1716</v>
      </c>
      <c r="H370" s="192"/>
      <c r="I370" s="212"/>
      <c r="J370" s="279" t="s">
        <v>1717</v>
      </c>
      <c r="K370" s="307" t="s">
        <v>1718</v>
      </c>
      <c r="L370" s="66"/>
      <c r="M370" s="66"/>
      <c r="N370" s="66"/>
      <c r="O370" s="66"/>
      <c r="P370" s="66" t="str">
        <f>CONCATENATE(E370," ",F370," ",G370)</f>
        <v>INCISO MAY ANN CABARDO</v>
      </c>
      <c r="Q370" s="66" t="str">
        <f>IFERROR(VLOOKUP(P370,[1]Disposition!$AB$9:$AC$495,2,0),"NO RECORD YET")</f>
        <v>41 Xavierville Ave., Loyola Heights, Quezon City</v>
      </c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18" customHeight="1">
      <c r="A371" s="188">
        <v>362</v>
      </c>
      <c r="B371" s="189" t="s">
        <v>1714</v>
      </c>
      <c r="C371" s="189" t="s">
        <v>19</v>
      </c>
      <c r="D371" s="190" t="s">
        <v>40</v>
      </c>
      <c r="E371" s="191" t="s">
        <v>1719</v>
      </c>
      <c r="F371" s="191" t="s">
        <v>1720</v>
      </c>
      <c r="G371" s="191" t="s">
        <v>1721</v>
      </c>
      <c r="H371" s="192"/>
      <c r="I371" s="262"/>
      <c r="J371" s="279" t="s">
        <v>1722</v>
      </c>
      <c r="K371" s="307" t="s">
        <v>50</v>
      </c>
      <c r="L371" s="66"/>
      <c r="M371" s="66"/>
      <c r="N371" s="66"/>
      <c r="O371" s="66"/>
      <c r="P371" s="66" t="str">
        <f>CONCATENATE('DISPO Att (2)'!D264," ",'DISPO Att (2)'!E264," ",'DISPO Att (2)'!F264)</f>
        <v>NUP LACHICA LOLITA</v>
      </c>
      <c r="Q371" s="66" t="str">
        <f>IFERROR(VLOOKUP(P371,[1]Disposition!$AB$9:$AC$495,2,0),"NO RECORD YET")</f>
        <v>NO RECORD YET</v>
      </c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18" customHeight="1">
      <c r="A372" s="188">
        <v>363</v>
      </c>
      <c r="B372" s="189" t="s">
        <v>1723</v>
      </c>
      <c r="C372" s="193" t="s">
        <v>39</v>
      </c>
      <c r="D372" s="190" t="s">
        <v>20</v>
      </c>
      <c r="E372" s="191" t="s">
        <v>1589</v>
      </c>
      <c r="F372" s="191" t="s">
        <v>1724</v>
      </c>
      <c r="G372" s="191" t="s">
        <v>242</v>
      </c>
      <c r="H372" s="192"/>
      <c r="I372" s="210"/>
      <c r="J372" s="279" t="s">
        <v>1725</v>
      </c>
      <c r="K372" s="307" t="s">
        <v>1726</v>
      </c>
      <c r="L372" s="66"/>
      <c r="M372" s="66"/>
      <c r="N372" s="66"/>
      <c r="O372" s="66"/>
      <c r="P372" s="66" t="str">
        <f>CONCATENATE(E372," ",F372," ",G372)</f>
        <v>ALI SHIRLEY MAE SALVADOR</v>
      </c>
      <c r="Q372" s="66" t="str">
        <f>IFERROR(VLOOKUP(P372,[1]Disposition!$AB$9:$AC$495,2,0),"NO RECORD YET")</f>
        <v>2384 STVE St., Brgy. Commonwealth, Quezon City</v>
      </c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18" customHeight="1">
      <c r="A373" s="188">
        <v>364</v>
      </c>
      <c r="B373" s="189" t="s">
        <v>1723</v>
      </c>
      <c r="C373" s="193" t="s">
        <v>39</v>
      </c>
      <c r="D373" s="190" t="s">
        <v>40</v>
      </c>
      <c r="E373" s="191" t="s">
        <v>1727</v>
      </c>
      <c r="F373" s="191" t="s">
        <v>1728</v>
      </c>
      <c r="G373" s="191" t="s">
        <v>1729</v>
      </c>
      <c r="H373" s="192"/>
      <c r="I373" s="210"/>
      <c r="J373" s="279" t="s">
        <v>1730</v>
      </c>
      <c r="K373" s="307" t="s">
        <v>1731</v>
      </c>
      <c r="L373" s="66"/>
      <c r="M373" s="66"/>
      <c r="N373" s="66"/>
      <c r="O373" s="66"/>
      <c r="P373" s="66" t="str">
        <f>CONCATENATE(E159," ",F159," ",G159)</f>
        <v>DELA PEÑA VICTORIO MENDIOLA</v>
      </c>
      <c r="Q373" s="66" t="str">
        <f>IFERROR(VLOOKUP(P373,[1]Disposition!$AB$9:$AC$495,2,0),"NO RECORD YET")</f>
        <v>Blk 1 Lot 41, Green Leaf Classic I , SJDM, Bulacan</v>
      </c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18" customHeight="1">
      <c r="A374" s="188">
        <v>365</v>
      </c>
      <c r="B374" s="189" t="s">
        <v>1723</v>
      </c>
      <c r="C374" s="189" t="s">
        <v>19</v>
      </c>
      <c r="D374" s="190" t="s">
        <v>366</v>
      </c>
      <c r="E374" s="191" t="s">
        <v>1732</v>
      </c>
      <c r="F374" s="191" t="s">
        <v>1733</v>
      </c>
      <c r="G374" s="191" t="s">
        <v>1734</v>
      </c>
      <c r="H374" s="192"/>
      <c r="I374" s="212"/>
      <c r="J374" s="279" t="s">
        <v>1735</v>
      </c>
      <c r="K374" s="308" t="s">
        <v>1736</v>
      </c>
      <c r="L374" s="66"/>
      <c r="M374" s="66"/>
      <c r="N374" s="66"/>
      <c r="O374" s="66"/>
      <c r="P374" s="66" t="str">
        <f>CONCATENATE(E373," ",F373," ",G373)</f>
        <v>BALONGOY RONALYN SOLDEVILLA</v>
      </c>
      <c r="Q374" s="66" t="str">
        <f>IFERROR(VLOOKUP(P374,[1]Disposition!$AB$9:$AC$495,2,0),"NO RECORD YET")</f>
        <v>Lot 4 Blk 15, Gumamela St., New Lower Bicutan, Taguig City</v>
      </c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18" customHeight="1">
      <c r="A375" s="188">
        <v>366</v>
      </c>
      <c r="B375" s="189" t="s">
        <v>1723</v>
      </c>
      <c r="C375" s="193" t="s">
        <v>39</v>
      </c>
      <c r="D375" s="190" t="s">
        <v>40</v>
      </c>
      <c r="E375" s="191" t="s">
        <v>1187</v>
      </c>
      <c r="F375" s="191" t="s">
        <v>1737</v>
      </c>
      <c r="G375" s="191" t="s">
        <v>1589</v>
      </c>
      <c r="H375" s="192"/>
      <c r="I375" s="210"/>
      <c r="J375" s="279" t="s">
        <v>1738</v>
      </c>
      <c r="K375" s="308" t="s">
        <v>1739</v>
      </c>
      <c r="L375" s="66"/>
      <c r="M375" s="66"/>
      <c r="N375" s="66"/>
      <c r="O375" s="66"/>
      <c r="P375" s="66" t="str">
        <f>CONCATENATE(E380," ",F380," ",G380)</f>
        <v>ARGETE GRACIANO ROSILLO</v>
      </c>
      <c r="Q375" s="66" t="str">
        <f>IFERROR(VLOOKUP(P375,[1]Disposition!$AB$9:$AC$495,2,0),"NO RECORD YET")</f>
        <v>6 Angel Townhomes, Ramos St. extension, Brgy. Tandang Sora, Quezon City</v>
      </c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spans="1:27" ht="18" customHeight="1">
      <c r="A376" s="188">
        <v>367</v>
      </c>
      <c r="B376" s="189" t="s">
        <v>1740</v>
      </c>
      <c r="C376" s="193" t="s">
        <v>19</v>
      </c>
      <c r="D376" s="190" t="s">
        <v>246</v>
      </c>
      <c r="E376" s="191" t="s">
        <v>1741</v>
      </c>
      <c r="F376" s="191" t="s">
        <v>1742</v>
      </c>
      <c r="G376" s="191" t="s">
        <v>1743</v>
      </c>
      <c r="H376" s="192"/>
      <c r="I376" s="210"/>
      <c r="J376" s="65"/>
      <c r="K376" s="290" t="s">
        <v>1744</v>
      </c>
      <c r="L376" s="66"/>
      <c r="M376" s="66"/>
      <c r="N376" s="66"/>
      <c r="O376" s="66"/>
      <c r="P376" s="66" t="str">
        <f t="shared" ref="P376:P378" si="14">CONCATENATE(E376," ",F376," ",G376)</f>
        <v>VALLE MARK LAWRENCE ABENOJAR</v>
      </c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18" customHeight="1">
      <c r="A377" s="188">
        <v>368</v>
      </c>
      <c r="B377" s="189" t="s">
        <v>1740</v>
      </c>
      <c r="C377" s="189" t="s">
        <v>19</v>
      </c>
      <c r="D377" s="190" t="s">
        <v>57</v>
      </c>
      <c r="E377" s="191" t="s">
        <v>1745</v>
      </c>
      <c r="F377" s="191" t="s">
        <v>1746</v>
      </c>
      <c r="G377" s="191" t="s">
        <v>1747</v>
      </c>
      <c r="H377" s="192"/>
      <c r="I377" s="210"/>
      <c r="J377" s="279"/>
      <c r="K377" s="282"/>
      <c r="L377" s="66"/>
      <c r="M377" s="66"/>
      <c r="N377" s="66"/>
      <c r="O377" s="66"/>
      <c r="P377" s="66" t="str">
        <f t="shared" si="14"/>
        <v>OLOJAN CHRISTOPHER BRIAN ASTUDILLO</v>
      </c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18" customHeight="1">
      <c r="A378" s="188">
        <v>369</v>
      </c>
      <c r="B378" s="189" t="s">
        <v>1740</v>
      </c>
      <c r="C378" s="193" t="s">
        <v>39</v>
      </c>
      <c r="D378" s="190" t="s">
        <v>28</v>
      </c>
      <c r="E378" s="191" t="s">
        <v>1748</v>
      </c>
      <c r="F378" s="191" t="s">
        <v>1749</v>
      </c>
      <c r="G378" s="191" t="s">
        <v>1750</v>
      </c>
      <c r="H378" s="192"/>
      <c r="I378" s="210"/>
      <c r="J378" s="185" t="s">
        <v>1751</v>
      </c>
      <c r="K378" s="307" t="s">
        <v>1752</v>
      </c>
      <c r="L378" s="66"/>
      <c r="M378" s="66"/>
      <c r="N378" s="66"/>
      <c r="O378" s="66"/>
      <c r="P378" s="66" t="str">
        <f t="shared" si="14"/>
        <v>GUNNACAO LOVELYN KATE LEGMAN</v>
      </c>
      <c r="Q378" s="66" t="str">
        <f>IFERROR(VLOOKUP(P378,[1]Disposition!$AB$9:$AC$495,2,0),"NO RECORD YET")</f>
        <v>NO RECORD YET</v>
      </c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18" customHeight="1">
      <c r="A379" s="188">
        <v>370</v>
      </c>
      <c r="B379" s="189" t="s">
        <v>1740</v>
      </c>
      <c r="C379" s="189" t="s">
        <v>19</v>
      </c>
      <c r="D379" s="190" t="s">
        <v>40</v>
      </c>
      <c r="E379" s="191" t="s">
        <v>1753</v>
      </c>
      <c r="F379" s="191" t="s">
        <v>1754</v>
      </c>
      <c r="G379" s="191" t="s">
        <v>759</v>
      </c>
      <c r="H379" s="192"/>
      <c r="I379" s="210"/>
      <c r="J379" s="279" t="s">
        <v>1755</v>
      </c>
      <c r="K379" s="310" t="s">
        <v>1756</v>
      </c>
      <c r="L379" s="66"/>
      <c r="M379" s="66"/>
      <c r="N379" s="66"/>
      <c r="O379" s="66"/>
      <c r="P379" s="66" t="str">
        <f>CONCATENATE(E382," ",F382," ",G382)</f>
        <v>AGUSTIN RIZELLE INALDO</v>
      </c>
      <c r="Q379" s="66" t="str">
        <f>IFERROR(VLOOKUP(P379,[1]Disposition!$AB$9:$AC$495,2,0),"NO RECORD YET")</f>
        <v>78 Zorra Street, Brgy Paltok, Quezon City</v>
      </c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18" customHeight="1">
      <c r="A380" s="188">
        <v>371</v>
      </c>
      <c r="B380" s="189" t="s">
        <v>1740</v>
      </c>
      <c r="C380" s="189" t="s">
        <v>19</v>
      </c>
      <c r="D380" s="190" t="s">
        <v>40</v>
      </c>
      <c r="E380" s="191" t="s">
        <v>1757</v>
      </c>
      <c r="F380" s="191" t="s">
        <v>1758</v>
      </c>
      <c r="G380" s="191" t="s">
        <v>1759</v>
      </c>
      <c r="H380" s="192"/>
      <c r="I380" s="223"/>
      <c r="J380" s="279" t="s">
        <v>1760</v>
      </c>
      <c r="K380" s="307" t="s">
        <v>1761</v>
      </c>
      <c r="L380" s="66"/>
      <c r="M380" s="66"/>
      <c r="N380" s="66"/>
      <c r="O380" s="66"/>
      <c r="P380" s="66" t="str">
        <f>CONCATENATE(E379," ",F379," ",G379)</f>
        <v>OREVILLO CARLO JOHN GUEVARRA</v>
      </c>
      <c r="Q380" s="66" t="str">
        <f>IFERROR(VLOOKUP(P380,[1]Disposition!$AB$9:$AC$495,2,0),"NO RECORD YET")</f>
        <v>35 Gualdalupe St., Morning Breeze Subd., Caloocan City</v>
      </c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18" customHeight="1">
      <c r="A381" s="188">
        <v>372</v>
      </c>
      <c r="B381" s="189" t="s">
        <v>1740</v>
      </c>
      <c r="C381" s="193" t="s">
        <v>39</v>
      </c>
      <c r="D381" s="190" t="s">
        <v>40</v>
      </c>
      <c r="E381" s="191" t="s">
        <v>1762</v>
      </c>
      <c r="F381" s="191" t="s">
        <v>1763</v>
      </c>
      <c r="G381" s="191" t="s">
        <v>1764</v>
      </c>
      <c r="H381" s="192"/>
      <c r="I381" s="210"/>
      <c r="J381" s="279"/>
      <c r="K381" s="280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18" customHeight="1">
      <c r="A382" s="188">
        <v>373</v>
      </c>
      <c r="B382" s="189" t="s">
        <v>1765</v>
      </c>
      <c r="C382" s="193" t="s">
        <v>39</v>
      </c>
      <c r="D382" s="190" t="s">
        <v>96</v>
      </c>
      <c r="E382" s="204" t="s">
        <v>1766</v>
      </c>
      <c r="F382" s="204" t="s">
        <v>1767</v>
      </c>
      <c r="G382" s="204" t="s">
        <v>1768</v>
      </c>
      <c r="H382" s="205"/>
      <c r="I382" s="210"/>
      <c r="J382" s="279" t="s">
        <v>1769</v>
      </c>
      <c r="K382" s="307" t="s">
        <v>1770</v>
      </c>
      <c r="L382" s="66"/>
      <c r="M382" s="66"/>
      <c r="N382" s="66"/>
      <c r="O382" s="66"/>
      <c r="P382" s="66" t="e">
        <f>CONCATENATE(#REF!," ",#REF!," ",#REF!)</f>
        <v>#REF!</v>
      </c>
      <c r="Q382" s="66" t="str">
        <f>IFERROR(VLOOKUP(P382,[1]Disposition!$AB$9:$AC$495,2,0),"NO RECORD YET")</f>
        <v>NO RECORD YET</v>
      </c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18" customHeight="1">
      <c r="A383" s="188">
        <v>374</v>
      </c>
      <c r="B383" s="189" t="s">
        <v>1765</v>
      </c>
      <c r="C383" s="193" t="s">
        <v>39</v>
      </c>
      <c r="D383" s="190" t="s">
        <v>28</v>
      </c>
      <c r="E383" s="191" t="s">
        <v>1771</v>
      </c>
      <c r="F383" s="191" t="s">
        <v>1772</v>
      </c>
      <c r="G383" s="191" t="s">
        <v>1773</v>
      </c>
      <c r="H383" s="192"/>
      <c r="I383" s="210"/>
      <c r="J383" s="185" t="s">
        <v>1774</v>
      </c>
      <c r="K383" s="307" t="s">
        <v>1775</v>
      </c>
      <c r="L383" s="66"/>
      <c r="M383" s="66"/>
      <c r="N383" s="66"/>
      <c r="O383" s="66"/>
      <c r="P383" s="66" t="str">
        <f>CONCATENATE(E383," ",F383," ",G383)</f>
        <v>YAGO SHARMEN BALLEBAR</v>
      </c>
      <c r="Q383" s="66" t="str">
        <f>IFERROR(VLOOKUP(P383,[1]Disposition!$AB$9:$AC$495,2,0),"NO RECORD YET")</f>
        <v>NO RECORD YET</v>
      </c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18" customHeight="1">
      <c r="A384" s="188">
        <v>375</v>
      </c>
      <c r="B384" s="189" t="s">
        <v>1765</v>
      </c>
      <c r="C384" s="189" t="s">
        <v>19</v>
      </c>
      <c r="D384" s="190" t="s">
        <v>40</v>
      </c>
      <c r="E384" s="191" t="s">
        <v>1776</v>
      </c>
      <c r="F384" s="191" t="s">
        <v>1777</v>
      </c>
      <c r="G384" s="191" t="s">
        <v>1778</v>
      </c>
      <c r="H384" s="192"/>
      <c r="I384" s="210"/>
      <c r="J384" s="279" t="s">
        <v>1779</v>
      </c>
      <c r="K384" s="308" t="s">
        <v>1780</v>
      </c>
      <c r="L384" s="66"/>
      <c r="M384" s="66"/>
      <c r="N384" s="66"/>
      <c r="O384" s="66"/>
      <c r="P384" s="66" t="str">
        <f>CONCATENATE(E389," ",F389," ",G389)</f>
        <v>JORDA ROUMELLIA ROBLES</v>
      </c>
      <c r="Q384" s="66" t="str">
        <f>IFERROR(VLOOKUP(P384,[1]Disposition!$AB$9:$AC$495,2,0),"NO RECORD YET")</f>
        <v>Blk 10 Lot 27 Bonifacio St., Phase 3, Soldiers Hill 4, Molino 6, Bacoor, Cavite</v>
      </c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18" customHeight="1">
      <c r="A385" s="188">
        <v>376</v>
      </c>
      <c r="B385" s="189" t="s">
        <v>1765</v>
      </c>
      <c r="C385" s="193" t="s">
        <v>39</v>
      </c>
      <c r="D385" s="190" t="s">
        <v>40</v>
      </c>
      <c r="E385" s="191" t="s">
        <v>1781</v>
      </c>
      <c r="F385" s="191" t="s">
        <v>1782</v>
      </c>
      <c r="G385" s="191" t="s">
        <v>1783</v>
      </c>
      <c r="H385" s="192"/>
      <c r="I385" s="210"/>
      <c r="J385" s="279"/>
      <c r="K385" s="280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18" customHeight="1">
      <c r="A386" s="188">
        <v>377</v>
      </c>
      <c r="B386" s="189" t="s">
        <v>1765</v>
      </c>
      <c r="C386" s="193" t="s">
        <v>39</v>
      </c>
      <c r="D386" s="190" t="s">
        <v>40</v>
      </c>
      <c r="E386" s="191" t="s">
        <v>1784</v>
      </c>
      <c r="F386" s="191" t="s">
        <v>1785</v>
      </c>
      <c r="G386" s="191" t="s">
        <v>311</v>
      </c>
      <c r="H386" s="192"/>
      <c r="I386" s="210"/>
      <c r="J386" s="279" t="s">
        <v>1786</v>
      </c>
      <c r="K386" s="307" t="s">
        <v>1787</v>
      </c>
      <c r="L386" s="66"/>
      <c r="M386" s="66"/>
      <c r="N386" s="66"/>
      <c r="O386" s="66"/>
      <c r="P386" s="66" t="str">
        <f t="shared" ref="P386:P387" si="15">CONCATENATE(E386," ",F386," ",G386)</f>
        <v>MAGBANUA RACHELLE CASTRO</v>
      </c>
      <c r="Q386" s="66" t="str">
        <f>IFERROR(VLOOKUP(P386,[1]Disposition!$AB$9:$AC$495,2,0),"NO RECORD YET")</f>
        <v>5-P Road 7, First West Crame, San Juan City</v>
      </c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18" customHeight="1">
      <c r="A387" s="188">
        <v>378</v>
      </c>
      <c r="B387" s="193" t="s">
        <v>1788</v>
      </c>
      <c r="C387" s="189" t="s">
        <v>19</v>
      </c>
      <c r="D387" s="190" t="s">
        <v>246</v>
      </c>
      <c r="E387" s="191" t="s">
        <v>1789</v>
      </c>
      <c r="F387" s="191" t="s">
        <v>1790</v>
      </c>
      <c r="G387" s="191" t="s">
        <v>1791</v>
      </c>
      <c r="H387" s="192"/>
      <c r="I387" s="210"/>
      <c r="J387" s="279"/>
      <c r="K387" s="282"/>
      <c r="L387" s="66"/>
      <c r="M387" s="66"/>
      <c r="N387" s="66"/>
      <c r="O387" s="66"/>
      <c r="P387" s="66" t="str">
        <f t="shared" si="15"/>
        <v>ARIAS AUDEN  GOZUM</v>
      </c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18" customHeight="1">
      <c r="A388" s="188">
        <v>379</v>
      </c>
      <c r="B388" s="193" t="s">
        <v>1788</v>
      </c>
      <c r="C388" s="193" t="s">
        <v>19</v>
      </c>
      <c r="D388" s="190" t="s">
        <v>40</v>
      </c>
      <c r="E388" s="191" t="s">
        <v>1792</v>
      </c>
      <c r="F388" s="191" t="s">
        <v>400</v>
      </c>
      <c r="G388" s="191" t="s">
        <v>1793</v>
      </c>
      <c r="H388" s="192"/>
      <c r="I388" s="212"/>
      <c r="J388" s="279"/>
      <c r="K388" s="280"/>
      <c r="L388" s="66"/>
      <c r="M388" s="66"/>
      <c r="N388" s="66"/>
      <c r="O388" s="66"/>
      <c r="P388" s="66" t="e">
        <f>CONCATENATE(#REF!," ",#REF!," ",#REF!)</f>
        <v>#REF!</v>
      </c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18" customHeight="1">
      <c r="A389" s="188">
        <v>380</v>
      </c>
      <c r="B389" s="193" t="s">
        <v>1788</v>
      </c>
      <c r="C389" s="193" t="s">
        <v>39</v>
      </c>
      <c r="D389" s="190" t="s">
        <v>40</v>
      </c>
      <c r="E389" s="191" t="s">
        <v>1794</v>
      </c>
      <c r="F389" s="191" t="s">
        <v>1795</v>
      </c>
      <c r="G389" s="191" t="s">
        <v>1796</v>
      </c>
      <c r="H389" s="192"/>
      <c r="I389" s="210"/>
      <c r="J389" s="279" t="s">
        <v>1797</v>
      </c>
      <c r="K389" s="308" t="s">
        <v>1798</v>
      </c>
      <c r="L389" s="66"/>
      <c r="M389" s="66"/>
      <c r="N389" s="66"/>
      <c r="O389" s="66"/>
      <c r="P389" s="66" t="str">
        <f>CONCATENATE(E324," ",F324," ",G324)</f>
        <v>DELA CRUZ MARIA CRISTINA DOMONDON</v>
      </c>
      <c r="Q389" s="66" t="str">
        <f>IFERROR(VLOOKUP(P389,[1]Disposition!$AB$9:$AC$495,2,0),"NO RECORD YET")</f>
        <v>4 R Road  8,  1st West, Crame, San Juan City</v>
      </c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18" customHeight="1">
      <c r="A390" s="188">
        <v>381</v>
      </c>
      <c r="B390" s="193" t="s">
        <v>1788</v>
      </c>
      <c r="C390" s="193" t="s">
        <v>39</v>
      </c>
      <c r="D390" s="190" t="s">
        <v>40</v>
      </c>
      <c r="E390" s="191" t="s">
        <v>191</v>
      </c>
      <c r="F390" s="191" t="s">
        <v>1799</v>
      </c>
      <c r="G390" s="191" t="s">
        <v>146</v>
      </c>
      <c r="H390" s="192"/>
      <c r="I390" s="210"/>
      <c r="J390" s="279" t="s">
        <v>1800</v>
      </c>
      <c r="K390" s="307" t="s">
        <v>194</v>
      </c>
      <c r="L390" s="66"/>
      <c r="M390" s="66"/>
      <c r="N390" s="66"/>
      <c r="O390" s="66"/>
      <c r="P390" s="66" t="str">
        <f>CONCATENATE(E384," ",F384," ",G384)</f>
        <v>DOMINGO KARL LOUIE CARDENAS</v>
      </c>
      <c r="Q390" s="66" t="str">
        <f>IFERROR(VLOOKUP(P390,[1]Disposition!$AB$9:$AC$495,2,0),"NO RECORD YET")</f>
        <v>Vivaldi Residences, 628 EDSA cor. Auora Blvd., Cubao, Quezon City</v>
      </c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18" customHeight="1">
      <c r="A391" s="188">
        <v>382</v>
      </c>
      <c r="B391" s="193" t="s">
        <v>1788</v>
      </c>
      <c r="C391" s="189" t="s">
        <v>19</v>
      </c>
      <c r="D391" s="190" t="s">
        <v>40</v>
      </c>
      <c r="E391" s="191" t="s">
        <v>1801</v>
      </c>
      <c r="F391" s="191" t="s">
        <v>1802</v>
      </c>
      <c r="G391" s="191" t="s">
        <v>1803</v>
      </c>
      <c r="H391" s="192"/>
      <c r="I391" s="210"/>
      <c r="J391" s="279"/>
      <c r="K391" s="282"/>
      <c r="L391" s="66"/>
      <c r="M391" s="66"/>
      <c r="N391" s="66"/>
      <c r="O391" s="66"/>
      <c r="P391" s="66" t="str">
        <f>CONCATENATE(E389," ",F389," ",G389)</f>
        <v>JORDA ROUMELLIA ROBLES</v>
      </c>
      <c r="Q391" s="66" t="str">
        <f>IFERROR(VLOOKUP(P391,[1]Disposition!$AB$9:$AC$495,2,0),"NO RECORD YET")</f>
        <v>Blk 10 Lot 27 Bonifacio St., Phase 3, Soldiers Hill 4, Molino 6, Bacoor, Cavite</v>
      </c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18" customHeight="1">
      <c r="A392" s="188">
        <v>383</v>
      </c>
      <c r="B392" s="189" t="s">
        <v>1804</v>
      </c>
      <c r="C392" s="193" t="s">
        <v>19</v>
      </c>
      <c r="D392" s="190" t="s">
        <v>20</v>
      </c>
      <c r="E392" s="191" t="s">
        <v>1805</v>
      </c>
      <c r="F392" s="191" t="s">
        <v>1806</v>
      </c>
      <c r="G392" s="191" t="s">
        <v>1807</v>
      </c>
      <c r="H392" s="192"/>
      <c r="I392" s="210"/>
      <c r="J392" s="279" t="s">
        <v>1808</v>
      </c>
      <c r="K392" s="307" t="s">
        <v>1809</v>
      </c>
      <c r="L392" s="66"/>
      <c r="M392" s="66"/>
      <c r="N392" s="66"/>
      <c r="O392" s="66"/>
      <c r="P392" s="66" t="str">
        <f>CONCATENATE(E217," ",F217," ",G217)</f>
        <v>DAMASO MARIBEL MONES</v>
      </c>
      <c r="Q392" s="66" t="str">
        <f>IFERROR(VLOOKUP(P392,[1]Disposition!$AB$9:$AC$495,2,0),"NO RECORD YET")</f>
        <v>58 B, 8TH Ave., Brgy.SOcorro, Cubao, Quezon City</v>
      </c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18" customHeight="1">
      <c r="A393" s="188">
        <v>384</v>
      </c>
      <c r="B393" s="199" t="s">
        <v>1810</v>
      </c>
      <c r="C393" s="199" t="s">
        <v>19</v>
      </c>
      <c r="D393" s="200" t="s">
        <v>160</v>
      </c>
      <c r="E393" s="201" t="s">
        <v>1811</v>
      </c>
      <c r="F393" s="201" t="s">
        <v>400</v>
      </c>
      <c r="G393" s="201" t="s">
        <v>1812</v>
      </c>
      <c r="H393" s="202"/>
      <c r="I393" s="228"/>
      <c r="J393" s="288" t="s">
        <v>1813</v>
      </c>
      <c r="K393" s="307" t="s">
        <v>1814</v>
      </c>
      <c r="L393" s="256"/>
      <c r="M393" s="256"/>
      <c r="N393" s="256"/>
      <c r="O393" s="256"/>
      <c r="P393" s="256" t="str">
        <f t="shared" ref="P393:P395" si="16">CONCATENATE(E393," ",F393," ",G393)</f>
        <v>TARUN CHRISTIAN BELTRAN</v>
      </c>
      <c r="Q393" s="256" t="str">
        <f>IFERROR(VLOOKUP(P393,[1]Disposition!$AB$9:$AC$495,2,0),"NO RECORD YET")</f>
        <v>110B. Harrison Street, Vermont Park, Mayamot, Antipolo City, Rizal</v>
      </c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</row>
    <row r="394" spans="1:27" ht="18" customHeight="1">
      <c r="A394" s="188">
        <v>385</v>
      </c>
      <c r="B394" s="189" t="s">
        <v>1804</v>
      </c>
      <c r="C394" s="193" t="s">
        <v>19</v>
      </c>
      <c r="D394" s="190" t="s">
        <v>28</v>
      </c>
      <c r="E394" s="195" t="s">
        <v>1815</v>
      </c>
      <c r="F394" s="195" t="s">
        <v>1816</v>
      </c>
      <c r="G394" s="195" t="s">
        <v>1817</v>
      </c>
      <c r="H394" s="194"/>
      <c r="I394" s="210"/>
      <c r="J394" s="185" t="s">
        <v>1818</v>
      </c>
      <c r="K394" s="307" t="s">
        <v>1819</v>
      </c>
      <c r="L394" s="66"/>
      <c r="M394" s="66"/>
      <c r="N394" s="66"/>
      <c r="O394" s="66"/>
      <c r="P394" s="66" t="str">
        <f t="shared" si="16"/>
        <v>AYUPAN LAURENCE NOBLEZA</v>
      </c>
      <c r="Q394" s="66" t="str">
        <f>IFERROR(VLOOKUP(P394,[1]Disposition!$AB$9:$AC$495,2,0),"NO RECORD YET")</f>
        <v>NO RECORD YET</v>
      </c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18" customHeight="1">
      <c r="A395" s="188">
        <v>386</v>
      </c>
      <c r="B395" s="189" t="s">
        <v>1804</v>
      </c>
      <c r="C395" s="189" t="s">
        <v>19</v>
      </c>
      <c r="D395" s="190" t="s">
        <v>40</v>
      </c>
      <c r="E395" s="191" t="s">
        <v>971</v>
      </c>
      <c r="F395" s="191" t="s">
        <v>1388</v>
      </c>
      <c r="G395" s="191" t="s">
        <v>636</v>
      </c>
      <c r="H395" s="192"/>
      <c r="I395" s="223"/>
      <c r="J395" s="279" t="s">
        <v>1820</v>
      </c>
      <c r="K395" s="307" t="s">
        <v>1821</v>
      </c>
      <c r="L395" s="66"/>
      <c r="M395" s="66"/>
      <c r="N395" s="66"/>
      <c r="O395" s="66"/>
      <c r="P395" s="66" t="str">
        <f t="shared" si="16"/>
        <v>AGUILAR BERNARDINO SANTOS</v>
      </c>
      <c r="Q395" s="66" t="str">
        <f>IFERROR(VLOOKUP(P395,[1]Disposition!$AB$9:$AC$495,2,0),"NO RECORD YET")</f>
        <v>194 Capt. I. Abella St., Poblacion 4-C, Imus City, Cavite</v>
      </c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18" customHeight="1">
      <c r="A396" s="188">
        <v>387</v>
      </c>
      <c r="B396" s="189" t="s">
        <v>1804</v>
      </c>
      <c r="C396" s="193"/>
      <c r="D396" s="190" t="s">
        <v>40</v>
      </c>
      <c r="E396" s="195" t="s">
        <v>1822</v>
      </c>
      <c r="F396" s="195" t="s">
        <v>1823</v>
      </c>
      <c r="G396" s="195" t="s">
        <v>1824</v>
      </c>
      <c r="H396" s="194"/>
      <c r="I396" s="228"/>
      <c r="J396" s="185"/>
      <c r="K396" s="282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18" customHeight="1">
      <c r="A397" s="188">
        <v>388</v>
      </c>
      <c r="B397" s="189" t="s">
        <v>1804</v>
      </c>
      <c r="C397" s="193" t="s">
        <v>39</v>
      </c>
      <c r="D397" s="190" t="s">
        <v>40</v>
      </c>
      <c r="E397" s="191" t="s">
        <v>256</v>
      </c>
      <c r="F397" s="191" t="s">
        <v>1825</v>
      </c>
      <c r="G397" s="191" t="s">
        <v>410</v>
      </c>
      <c r="H397" s="192"/>
      <c r="I397" s="228"/>
      <c r="J397" s="285"/>
      <c r="K397" s="282"/>
      <c r="L397" s="66"/>
      <c r="M397" s="66"/>
      <c r="N397" s="66"/>
      <c r="O397" s="66"/>
      <c r="P397" s="66" t="str">
        <f t="shared" ref="P397:P400" si="17">CONCATENATE(E397," ",F397," ",G397)</f>
        <v>DELA CRUZ JESSICA BAUTISTA</v>
      </c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18" customHeight="1">
      <c r="A398" s="188">
        <v>389</v>
      </c>
      <c r="B398" s="189" t="s">
        <v>1804</v>
      </c>
      <c r="C398" s="189" t="s">
        <v>19</v>
      </c>
      <c r="D398" s="190" t="s">
        <v>40</v>
      </c>
      <c r="E398" s="191" t="s">
        <v>1826</v>
      </c>
      <c r="F398" s="191" t="s">
        <v>1827</v>
      </c>
      <c r="G398" s="191" t="s">
        <v>1828</v>
      </c>
      <c r="H398" s="192"/>
      <c r="I398" s="228"/>
      <c r="J398" s="285"/>
      <c r="K398" s="282"/>
      <c r="L398" s="66"/>
      <c r="M398" s="66"/>
      <c r="N398" s="66"/>
      <c r="O398" s="66"/>
      <c r="P398" s="66" t="str">
        <f t="shared" si="17"/>
        <v>MESA JOHN RICK ELUMBA</v>
      </c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18" customHeight="1">
      <c r="A399" s="188">
        <v>390</v>
      </c>
      <c r="B399" s="189" t="s">
        <v>1804</v>
      </c>
      <c r="C399" s="193" t="s">
        <v>39</v>
      </c>
      <c r="D399" s="190" t="s">
        <v>40</v>
      </c>
      <c r="E399" s="191" t="s">
        <v>1829</v>
      </c>
      <c r="F399" s="191" t="s">
        <v>1830</v>
      </c>
      <c r="G399" s="191" t="s">
        <v>1831</v>
      </c>
      <c r="H399" s="192"/>
      <c r="I399" s="228"/>
      <c r="J399" s="285"/>
      <c r="K399" s="282"/>
      <c r="L399" s="66"/>
      <c r="M399" s="66"/>
      <c r="N399" s="66"/>
      <c r="O399" s="66"/>
      <c r="P399" s="66" t="str">
        <f t="shared" si="17"/>
        <v>MULANO MARY MICHELLE FULGENCIO</v>
      </c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18" customHeight="1">
      <c r="A400" s="188">
        <v>391</v>
      </c>
      <c r="B400" s="189" t="s">
        <v>1804</v>
      </c>
      <c r="C400" s="193" t="s">
        <v>39</v>
      </c>
      <c r="D400" s="190" t="s">
        <v>40</v>
      </c>
      <c r="E400" s="191" t="s">
        <v>1832</v>
      </c>
      <c r="F400" s="191" t="s">
        <v>1833</v>
      </c>
      <c r="G400" s="191" t="s">
        <v>1834</v>
      </c>
      <c r="H400" s="192"/>
      <c r="I400" s="228"/>
      <c r="J400" s="285"/>
      <c r="K400" s="282"/>
      <c r="L400" s="66"/>
      <c r="M400" s="66"/>
      <c r="N400" s="66"/>
      <c r="O400" s="66"/>
      <c r="P400" s="66" t="str">
        <f t="shared" si="17"/>
        <v>OLIVAR CHARLENE LAURESTA</v>
      </c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18" customHeight="1">
      <c r="A401" s="188">
        <v>392</v>
      </c>
      <c r="B401" s="189" t="s">
        <v>1804</v>
      </c>
      <c r="C401" s="189" t="s">
        <v>19</v>
      </c>
      <c r="D401" s="190" t="s">
        <v>40</v>
      </c>
      <c r="E401" s="191" t="s">
        <v>1835</v>
      </c>
      <c r="F401" s="191" t="s">
        <v>1836</v>
      </c>
      <c r="G401" s="191" t="s">
        <v>1837</v>
      </c>
      <c r="H401" s="202"/>
      <c r="I401" s="228"/>
      <c r="J401" s="279" t="s">
        <v>1838</v>
      </c>
      <c r="K401" s="307" t="s">
        <v>1839</v>
      </c>
      <c r="L401" s="66"/>
      <c r="M401" s="66"/>
      <c r="N401" s="66"/>
      <c r="O401" s="66"/>
      <c r="P401" s="66" t="str">
        <f>CONCATENATE('DISPO Att (2)'!D401," ",'DISPO Att (2)'!E401," ",'DISPO Att (2)'!F401)</f>
        <v>NUP RAYMUNDO DANIEL JOSHUA</v>
      </c>
      <c r="Q401" s="66" t="str">
        <f>IFERROR(VLOOKUP(P401,[1]Disposition!$AB$9:$AC$495,2,0),"NO RECORD YET")</f>
        <v>NO RECORD YET</v>
      </c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18" customHeight="1">
      <c r="A402" s="188">
        <v>393</v>
      </c>
      <c r="B402" s="189" t="s">
        <v>1804</v>
      </c>
      <c r="C402" s="189" t="s">
        <v>19</v>
      </c>
      <c r="D402" s="190" t="s">
        <v>40</v>
      </c>
      <c r="E402" s="191" t="s">
        <v>1002</v>
      </c>
      <c r="F402" s="191" t="s">
        <v>1840</v>
      </c>
      <c r="G402" s="191" t="s">
        <v>1841</v>
      </c>
      <c r="H402" s="192"/>
      <c r="I402" s="228"/>
      <c r="J402" s="285"/>
      <c r="K402" s="282"/>
      <c r="L402" s="66"/>
      <c r="M402" s="66"/>
      <c r="N402" s="66"/>
      <c r="O402" s="66"/>
      <c r="P402" s="66" t="str">
        <f t="shared" ref="P402:P403" si="18">CONCATENATE(E402," ",F402," ",G402)</f>
        <v>VILLANUEVA MARCELINO VIERNES</v>
      </c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18" customHeight="1">
      <c r="A403" s="188">
        <v>394</v>
      </c>
      <c r="B403" s="189" t="s">
        <v>1804</v>
      </c>
      <c r="C403" s="189" t="s">
        <v>19</v>
      </c>
      <c r="D403" s="190" t="s">
        <v>40</v>
      </c>
      <c r="E403" s="191" t="s">
        <v>1842</v>
      </c>
      <c r="F403" s="191" t="s">
        <v>1843</v>
      </c>
      <c r="G403" s="191" t="s">
        <v>920</v>
      </c>
      <c r="H403" s="192"/>
      <c r="I403" s="228"/>
      <c r="J403" s="285"/>
      <c r="K403" s="282"/>
      <c r="L403" s="66"/>
      <c r="M403" s="66"/>
      <c r="N403" s="66"/>
      <c r="O403" s="66"/>
      <c r="P403" s="66" t="str">
        <f t="shared" si="18"/>
        <v>VILLAS JOHN MICHAEL BALMACEDA</v>
      </c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18" customHeight="1">
      <c r="A404" s="188">
        <v>395</v>
      </c>
      <c r="B404" s="231" t="s">
        <v>1844</v>
      </c>
      <c r="C404" s="193" t="s">
        <v>39</v>
      </c>
      <c r="D404" s="190" t="s">
        <v>40</v>
      </c>
      <c r="E404" s="191" t="s">
        <v>543</v>
      </c>
      <c r="F404" s="191" t="s">
        <v>1845</v>
      </c>
      <c r="G404" s="191" t="s">
        <v>1846</v>
      </c>
      <c r="H404" s="192"/>
      <c r="I404" s="210"/>
      <c r="J404" s="279"/>
      <c r="K404" s="282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18" customHeight="1">
      <c r="A405" s="188">
        <v>396</v>
      </c>
      <c r="B405" s="231" t="s">
        <v>1844</v>
      </c>
      <c r="C405" s="193" t="s">
        <v>39</v>
      </c>
      <c r="D405" s="194" t="s">
        <v>40</v>
      </c>
      <c r="E405" s="195" t="s">
        <v>1776</v>
      </c>
      <c r="F405" s="195" t="s">
        <v>1847</v>
      </c>
      <c r="G405" s="195" t="s">
        <v>1848</v>
      </c>
      <c r="H405" s="192"/>
      <c r="I405" s="223"/>
      <c r="J405" s="303" t="s">
        <v>1849</v>
      </c>
      <c r="K405" s="307" t="s">
        <v>1850</v>
      </c>
      <c r="L405" s="292"/>
      <c r="M405" s="292"/>
      <c r="N405" s="292"/>
      <c r="O405" s="292"/>
      <c r="P405" s="292" t="str">
        <f>CONCATENATE(E405," ",F405," ",G405)</f>
        <v>DOMINGO MISCHELL ALOR</v>
      </c>
      <c r="Q405" s="292" t="str">
        <f>IFERROR(VLOOKUP(P405,[1]Disposition!$AB$9:$AC$495,2,0),"NO RECORD YET")</f>
        <v>Blk 2 Lot 6, Urban Bliss, Barangka, Marikina City</v>
      </c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</row>
    <row r="406" spans="1:27" ht="18" customHeight="1">
      <c r="A406" s="188">
        <v>397</v>
      </c>
      <c r="B406" s="189" t="s">
        <v>1844</v>
      </c>
      <c r="C406" s="193" t="s">
        <v>39</v>
      </c>
      <c r="D406" s="190" t="s">
        <v>40</v>
      </c>
      <c r="E406" s="191" t="s">
        <v>1383</v>
      </c>
      <c r="F406" s="191" t="s">
        <v>1851</v>
      </c>
      <c r="G406" s="191" t="s">
        <v>1852</v>
      </c>
      <c r="H406" s="192"/>
      <c r="I406" s="210"/>
      <c r="J406" s="279" t="s">
        <v>1853</v>
      </c>
      <c r="K406" s="308" t="s">
        <v>1854</v>
      </c>
      <c r="L406" s="66"/>
      <c r="M406" s="66"/>
      <c r="N406" s="66"/>
      <c r="O406" s="66"/>
      <c r="P406" s="66" t="str">
        <f>CONCATENATE(E322," ",F322," ",G322)</f>
        <v>ALEGRE JAYBEE BALASE</v>
      </c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18" customHeight="1">
      <c r="A407" s="188">
        <v>398</v>
      </c>
      <c r="B407" s="189" t="s">
        <v>1844</v>
      </c>
      <c r="C407" s="193" t="s">
        <v>39</v>
      </c>
      <c r="D407" s="190" t="s">
        <v>40</v>
      </c>
      <c r="E407" s="191" t="s">
        <v>1855</v>
      </c>
      <c r="F407" s="191" t="s">
        <v>1856</v>
      </c>
      <c r="G407" s="191" t="s">
        <v>1857</v>
      </c>
      <c r="H407" s="192"/>
      <c r="I407" s="210"/>
      <c r="J407" s="279"/>
      <c r="K407" s="280"/>
      <c r="L407" s="66"/>
      <c r="M407" s="66"/>
      <c r="N407" s="66"/>
      <c r="O407" s="66"/>
      <c r="P407" s="66" t="str">
        <f>CONCATENATE(E406," ",F406," ",G406)</f>
        <v>HUERNO CLARISS ANN VALLESFINO</v>
      </c>
      <c r="Q407" s="66" t="str">
        <f>IFERROR(VLOOKUP(P407,[1]Disposition!$AB$9:$AC$495,2,0),"NO RECORD YET")</f>
        <v>NO RECORD YET</v>
      </c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18" customHeight="1">
      <c r="A408" s="188">
        <v>399</v>
      </c>
      <c r="B408" s="189" t="s">
        <v>1858</v>
      </c>
      <c r="C408" s="193" t="s">
        <v>39</v>
      </c>
      <c r="D408" s="190" t="s">
        <v>40</v>
      </c>
      <c r="E408" s="191" t="s">
        <v>604</v>
      </c>
      <c r="F408" s="191" t="s">
        <v>1859</v>
      </c>
      <c r="G408" s="191" t="s">
        <v>916</v>
      </c>
      <c r="H408" s="192"/>
      <c r="I408" s="210"/>
      <c r="J408" s="279" t="s">
        <v>1860</v>
      </c>
      <c r="K408" s="308" t="s">
        <v>1861</v>
      </c>
      <c r="L408" s="66"/>
      <c r="M408" s="66"/>
      <c r="N408" s="66"/>
      <c r="O408" s="66"/>
      <c r="P408" s="66" t="str">
        <f>CONCATENATE(E267," ",F267," ",G267)</f>
        <v>ROQUE ARISTOTLE GARSIN</v>
      </c>
      <c r="Q408" s="66" t="str">
        <f>IFERROR(VLOOKUP(P408,[1]Disposition!$AB$9:$AC$495,2,0),"NO RECORD YET")</f>
        <v>65 Pall Mall St., East Fairview, Quezon City</v>
      </c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18" customHeight="1">
      <c r="A409" s="188">
        <v>400</v>
      </c>
      <c r="B409" s="189" t="s">
        <v>1858</v>
      </c>
      <c r="C409" s="189" t="s">
        <v>19</v>
      </c>
      <c r="D409" s="190" t="s">
        <v>40</v>
      </c>
      <c r="E409" s="191" t="s">
        <v>1862</v>
      </c>
      <c r="F409" s="191" t="s">
        <v>690</v>
      </c>
      <c r="G409" s="191" t="s">
        <v>1863</v>
      </c>
      <c r="H409" s="192"/>
      <c r="I409" s="212"/>
      <c r="J409" s="279" t="s">
        <v>1864</v>
      </c>
      <c r="K409" s="308" t="s">
        <v>1865</v>
      </c>
      <c r="L409" s="66"/>
      <c r="M409" s="66"/>
      <c r="N409" s="66"/>
      <c r="O409" s="66"/>
      <c r="P409" s="66" t="str">
        <f>CONCATENATE(E37," ",F37," ",G37)</f>
        <v>GONZALES NECILDA JAVINIAR</v>
      </c>
      <c r="Q409" s="66" t="str">
        <f>IFERROR(VLOOKUP(P409,[1]Disposition!$AB$9:$AC$495,2,0),"NO RECORD YET")</f>
        <v>641 Blk 22 Kabisig Floodway, San Andres, Cainta, Rizal</v>
      </c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18" customHeight="1">
      <c r="A410" s="188">
        <v>401</v>
      </c>
      <c r="B410" s="189" t="s">
        <v>1858</v>
      </c>
      <c r="C410" s="193" t="s">
        <v>39</v>
      </c>
      <c r="D410" s="190" t="s">
        <v>40</v>
      </c>
      <c r="E410" s="191" t="s">
        <v>256</v>
      </c>
      <c r="F410" s="191" t="s">
        <v>1866</v>
      </c>
      <c r="G410" s="191" t="s">
        <v>1867</v>
      </c>
      <c r="H410" s="192"/>
      <c r="I410" s="212"/>
      <c r="J410" s="279" t="s">
        <v>1868</v>
      </c>
      <c r="K410" s="307" t="s">
        <v>1869</v>
      </c>
      <c r="L410" s="66"/>
      <c r="M410" s="66"/>
      <c r="N410" s="66"/>
      <c r="O410" s="66"/>
      <c r="P410" s="66" t="str">
        <f>CONCATENATE(E410," ",F410," ",G410)</f>
        <v>DELA CRUZ ROSELYN CARTAGENA</v>
      </c>
      <c r="Q410" s="66" t="str">
        <f>IFERROR(VLOOKUP(P410,[1]Disposition!$AB$9:$AC$495,2,0),"NO RECORD YET")</f>
        <v>16-B Buenmar St., Santolan, Pasig City</v>
      </c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18" customHeight="1">
      <c r="A411" s="188">
        <v>402</v>
      </c>
      <c r="B411" s="189" t="s">
        <v>1858</v>
      </c>
      <c r="C411" s="193" t="s">
        <v>19</v>
      </c>
      <c r="D411" s="190" t="s">
        <v>40</v>
      </c>
      <c r="E411" s="191" t="s">
        <v>1544</v>
      </c>
      <c r="F411" s="191" t="s">
        <v>1870</v>
      </c>
      <c r="G411" s="191" t="s">
        <v>618</v>
      </c>
      <c r="H411" s="192"/>
      <c r="I411" s="210"/>
      <c r="J411" s="279"/>
      <c r="K411" s="280"/>
      <c r="L411" s="66"/>
      <c r="M411" s="66"/>
      <c r="N411" s="66"/>
      <c r="O411" s="66"/>
      <c r="P411" s="66" t="str">
        <f>CONCATENATE(E418," ",F418," ",G418)</f>
        <v>BALUCANAG GRACE EBARSABAL</v>
      </c>
      <c r="Q411" s="66" t="str">
        <f>IFERROR(VLOOKUP(P411,[1]Disposition!$AB$9:$AC$495,2,0),"NO RECORD YET")</f>
        <v>2333 Mangga Extn., Velasco Ave., Napico, Manggahan, Pasig</v>
      </c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18" customHeight="1">
      <c r="A412" s="188">
        <v>403</v>
      </c>
      <c r="B412" s="189" t="s">
        <v>1858</v>
      </c>
      <c r="C412" s="193" t="s">
        <v>39</v>
      </c>
      <c r="D412" s="190" t="s">
        <v>40</v>
      </c>
      <c r="E412" s="191" t="s">
        <v>997</v>
      </c>
      <c r="F412" s="191" t="s">
        <v>1871</v>
      </c>
      <c r="G412" s="191" t="s">
        <v>1872</v>
      </c>
      <c r="H412" s="192"/>
      <c r="I412" s="212"/>
      <c r="J412" s="279" t="s">
        <v>1873</v>
      </c>
      <c r="K412" s="307" t="s">
        <v>1874</v>
      </c>
      <c r="L412" s="66"/>
      <c r="M412" s="66"/>
      <c r="N412" s="66"/>
      <c r="O412" s="66"/>
      <c r="P412" s="66" t="str">
        <f>CONCATENATE(E412," ",F412," ",G412)</f>
        <v>ENRIQUEZ MA VICTORIA  DONES</v>
      </c>
      <c r="Q412" s="66" t="str">
        <f>IFERROR(VLOOKUP(P412,[1]Disposition!$AB$9:$AC$495,2,0),"NO RECORD YET")</f>
        <v>001 Estanislao St., Brgy. Ibayo, Tipas, Taguig City</v>
      </c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18" customHeight="1">
      <c r="A413" s="188">
        <v>404</v>
      </c>
      <c r="B413" s="189" t="s">
        <v>1858</v>
      </c>
      <c r="C413" s="193" t="s">
        <v>39</v>
      </c>
      <c r="D413" s="190" t="s">
        <v>40</v>
      </c>
      <c r="E413" s="191" t="s">
        <v>1875</v>
      </c>
      <c r="F413" s="191" t="s">
        <v>1876</v>
      </c>
      <c r="G413" s="191" t="s">
        <v>1877</v>
      </c>
      <c r="H413" s="192"/>
      <c r="I413" s="210"/>
      <c r="J413" s="279"/>
      <c r="K413" s="280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18" customHeight="1">
      <c r="A414" s="188">
        <v>405</v>
      </c>
      <c r="B414" s="189" t="s">
        <v>1858</v>
      </c>
      <c r="C414" s="189" t="s">
        <v>19</v>
      </c>
      <c r="D414" s="190" t="s">
        <v>40</v>
      </c>
      <c r="E414" s="191" t="s">
        <v>151</v>
      </c>
      <c r="F414" s="191" t="s">
        <v>1878</v>
      </c>
      <c r="G414" s="191" t="s">
        <v>971</v>
      </c>
      <c r="H414" s="192"/>
      <c r="I414" s="210"/>
      <c r="J414" s="279" t="s">
        <v>1879</v>
      </c>
      <c r="K414" s="308" t="s">
        <v>1880</v>
      </c>
      <c r="L414" s="66"/>
      <c r="M414" s="66"/>
      <c r="N414" s="66"/>
      <c r="O414" s="66"/>
      <c r="P414" s="66" t="str">
        <f>CONCATENATE(E408," ",F408," ",G408)</f>
        <v>PAZ VIRGINIA SUERO</v>
      </c>
      <c r="Q414" s="66" t="str">
        <f>IFERROR(VLOOKUP(P414,[1]Disposition!$AB$9:$AC$495,2,0),"NO RECORD YET")</f>
        <v>3B 2nd Camarilla St., Murphy, Quezon City</v>
      </c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18" customHeight="1">
      <c r="A415" s="188">
        <v>406</v>
      </c>
      <c r="B415" s="189" t="s">
        <v>1858</v>
      </c>
      <c r="C415" s="193" t="s">
        <v>39</v>
      </c>
      <c r="D415" s="190" t="s">
        <v>40</v>
      </c>
      <c r="E415" s="191" t="s">
        <v>1881</v>
      </c>
      <c r="F415" s="191" t="s">
        <v>1882</v>
      </c>
      <c r="G415" s="191" t="s">
        <v>1883</v>
      </c>
      <c r="H415" s="192"/>
      <c r="I415" s="210"/>
      <c r="J415" s="279" t="s">
        <v>1884</v>
      </c>
      <c r="K415" s="308" t="s">
        <v>1885</v>
      </c>
      <c r="L415" s="66"/>
      <c r="M415" s="66"/>
      <c r="N415" s="66"/>
      <c r="O415" s="66"/>
      <c r="P415" s="66" t="str">
        <f>CONCATENATE(E44," ",F44," ",G44)</f>
        <v>BERENGUEL LUCHIE RELOYA</v>
      </c>
      <c r="Q415" s="66" t="str">
        <f>IFERROR(VLOOKUP(P415,[1]Disposition!$AB$9:$AC$495,2,0),"NO RECORD YET")</f>
        <v>#2 Alley 15,  P. Rosales St., Sta. Ana Kaliwa, Pateros</v>
      </c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18" customHeight="1">
      <c r="A416" s="188">
        <v>407</v>
      </c>
      <c r="B416" s="189" t="s">
        <v>1858</v>
      </c>
      <c r="C416" s="193" t="s">
        <v>39</v>
      </c>
      <c r="D416" s="190" t="s">
        <v>40</v>
      </c>
      <c r="E416" s="191" t="s">
        <v>1886</v>
      </c>
      <c r="F416" s="191" t="s">
        <v>1887</v>
      </c>
      <c r="G416" s="191" t="s">
        <v>1689</v>
      </c>
      <c r="H416" s="192"/>
      <c r="I416" s="210"/>
      <c r="J416" s="279" t="s">
        <v>1888</v>
      </c>
      <c r="K416" s="311" t="s">
        <v>1889</v>
      </c>
      <c r="L416" s="66"/>
      <c r="M416" s="66"/>
      <c r="N416" s="66"/>
      <c r="O416" s="66"/>
      <c r="P416" s="66" t="str">
        <f>CONCATENATE(E415," ",F415," ",G415)</f>
        <v>RECUENCO GEMMA CLEOFE</v>
      </c>
      <c r="Q416" s="66" t="str">
        <f>IFERROR(VLOOKUP(P416,[1]Disposition!$AB$9:$AC$495,2,0),"NO RECORD YET")</f>
        <v>Blk13 Lot 38 Phase 1, Norhtgate Exec., Brgy. Sto. Cristo, SJDM, Bulacan</v>
      </c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18" customHeight="1">
      <c r="A417" s="188">
        <v>408</v>
      </c>
      <c r="B417" s="193" t="s">
        <v>1890</v>
      </c>
      <c r="C417" s="189" t="s">
        <v>19</v>
      </c>
      <c r="D417" s="190" t="s">
        <v>246</v>
      </c>
      <c r="E417" s="191" t="s">
        <v>1891</v>
      </c>
      <c r="F417" s="191" t="s">
        <v>1892</v>
      </c>
      <c r="G417" s="191" t="s">
        <v>1893</v>
      </c>
      <c r="H417" s="192" t="s">
        <v>268</v>
      </c>
      <c r="I417" s="210"/>
      <c r="J417" s="279"/>
      <c r="K417" s="282"/>
      <c r="L417" s="66"/>
      <c r="M417" s="66"/>
      <c r="N417" s="66"/>
      <c r="O417" s="66"/>
      <c r="P417" s="66" t="str">
        <f>CONCATENATE(E417," ",F417," ",G417)</f>
        <v>DAVID EDUARDO  BALATIAN</v>
      </c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18" customHeight="1">
      <c r="A418" s="188">
        <v>409</v>
      </c>
      <c r="B418" s="193" t="s">
        <v>1890</v>
      </c>
      <c r="C418" s="193" t="s">
        <v>39</v>
      </c>
      <c r="D418" s="190" t="s">
        <v>40</v>
      </c>
      <c r="E418" s="191" t="s">
        <v>1894</v>
      </c>
      <c r="F418" s="191" t="s">
        <v>1895</v>
      </c>
      <c r="G418" s="191" t="s">
        <v>1896</v>
      </c>
      <c r="H418" s="192"/>
      <c r="I418" s="210"/>
      <c r="J418" s="279" t="s">
        <v>1897</v>
      </c>
      <c r="K418" s="308" t="s">
        <v>1898</v>
      </c>
      <c r="L418" s="66"/>
      <c r="M418" s="66"/>
      <c r="N418" s="66"/>
      <c r="O418" s="66"/>
      <c r="P418" s="66" t="str">
        <f>CONCATENATE(E409," ",F409," ",G409)</f>
        <v>ALMADEN GILBERT CABACANG</v>
      </c>
      <c r="Q418" s="66" t="str">
        <f>IFERROR(VLOOKUP(P418,[1]Disposition!$AB$9:$AC$495,2,0),"NO RECORD YET")</f>
        <v>B3 L5 Dama De Noche St. Salinas 2, Camella Homes,  Bacoor, Cavite</v>
      </c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18" customHeight="1">
      <c r="A419" s="188">
        <v>410</v>
      </c>
      <c r="B419" s="193" t="s">
        <v>1890</v>
      </c>
      <c r="C419" s="189" t="s">
        <v>19</v>
      </c>
      <c r="D419" s="190" t="s">
        <v>40</v>
      </c>
      <c r="E419" s="191" t="s">
        <v>1899</v>
      </c>
      <c r="F419" s="191" t="s">
        <v>1900</v>
      </c>
      <c r="G419" s="191" t="s">
        <v>1901</v>
      </c>
      <c r="H419" s="192"/>
      <c r="I419" s="228"/>
      <c r="J419" s="285"/>
      <c r="K419" s="282"/>
      <c r="L419" s="66"/>
      <c r="M419" s="66"/>
      <c r="N419" s="66"/>
      <c r="O419" s="66"/>
      <c r="P419" s="66" t="str">
        <f>CONCATENATE(E419," ",F419," ",G419)</f>
        <v>ONGKINGCO RAMIL MADRID</v>
      </c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18" customHeight="1">
      <c r="A420" s="188">
        <v>411</v>
      </c>
      <c r="B420" s="193" t="s">
        <v>1890</v>
      </c>
      <c r="C420" s="189" t="s">
        <v>19</v>
      </c>
      <c r="D420" s="190" t="s">
        <v>40</v>
      </c>
      <c r="E420" s="191" t="s">
        <v>1902</v>
      </c>
      <c r="F420" s="191" t="s">
        <v>354</v>
      </c>
      <c r="G420" s="191" t="s">
        <v>1903</v>
      </c>
      <c r="H420" s="202"/>
      <c r="I420" s="210"/>
      <c r="J420" s="279" t="s">
        <v>1904</v>
      </c>
      <c r="K420" s="307" t="s">
        <v>1905</v>
      </c>
      <c r="L420" s="66"/>
      <c r="M420" s="66"/>
      <c r="N420" s="66"/>
      <c r="O420" s="66"/>
      <c r="P420" s="66" t="e">
        <f>CONCATENATE(#REF!," ",#REF!," ",#REF!)</f>
        <v>#REF!</v>
      </c>
      <c r="Q420" s="66" t="str">
        <f>IFERROR(VLOOKUP(P420,[1]Disposition!$AB$9:$AC$495,2,0),"NO RECORD YET")</f>
        <v>NO RECORD YET</v>
      </c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18" customHeight="1">
      <c r="A421" s="188">
        <v>412</v>
      </c>
      <c r="B421" s="193" t="s">
        <v>1890</v>
      </c>
      <c r="C421" s="193" t="s">
        <v>19</v>
      </c>
      <c r="D421" s="190" t="s">
        <v>40</v>
      </c>
      <c r="E421" s="191" t="s">
        <v>1187</v>
      </c>
      <c r="F421" s="191" t="s">
        <v>646</v>
      </c>
      <c r="G421" s="191" t="s">
        <v>1906</v>
      </c>
      <c r="H421" s="192"/>
      <c r="I421" s="210"/>
      <c r="J421" s="279"/>
      <c r="K421" s="282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9" customHeight="1">
      <c r="A422" s="3"/>
      <c r="B422" s="268"/>
      <c r="C422" s="268"/>
      <c r="D422" s="3"/>
      <c r="E422" s="185"/>
      <c r="F422" s="4"/>
      <c r="G422" s="4"/>
      <c r="H422" s="3"/>
      <c r="I422" s="271"/>
      <c r="J422" s="66"/>
      <c r="K422" s="248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13.5" customHeight="1">
      <c r="A423" s="272" t="s">
        <v>1907</v>
      </c>
      <c r="B423" s="268"/>
      <c r="C423" s="268"/>
      <c r="D423" s="3"/>
      <c r="E423" s="66"/>
      <c r="F423" s="185"/>
      <c r="G423" s="185"/>
      <c r="H423" s="3"/>
      <c r="I423" s="271"/>
      <c r="J423" s="271"/>
      <c r="K423" s="248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50.25" customHeight="1">
      <c r="A424" s="377" t="s">
        <v>9</v>
      </c>
      <c r="B424" s="371"/>
      <c r="C424" s="273"/>
      <c r="D424" s="44" t="s">
        <v>1908</v>
      </c>
      <c r="E424" s="206" t="s">
        <v>1909</v>
      </c>
      <c r="F424" s="206" t="s">
        <v>1910</v>
      </c>
      <c r="G424" s="378" t="s">
        <v>1911</v>
      </c>
      <c r="H424" s="371"/>
      <c r="I424" s="187" t="s">
        <v>1912</v>
      </c>
      <c r="J424" s="304"/>
      <c r="K424" s="248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13.5" customHeight="1">
      <c r="A425" s="373" t="s">
        <v>1913</v>
      </c>
      <c r="B425" s="371"/>
      <c r="C425" s="274"/>
      <c r="D425" s="31">
        <v>35</v>
      </c>
      <c r="E425" s="275">
        <v>72</v>
      </c>
      <c r="F425" s="305">
        <v>74</v>
      </c>
      <c r="G425" s="374">
        <v>1</v>
      </c>
      <c r="H425" s="371"/>
      <c r="I425" s="276">
        <f t="shared" ref="I425:I427" si="19">SUM(D425:H425)</f>
        <v>182</v>
      </c>
      <c r="J425" s="295">
        <f>240+166+5</f>
        <v>411</v>
      </c>
      <c r="K425" s="248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13.5" customHeight="1">
      <c r="A426" s="373" t="s">
        <v>1914</v>
      </c>
      <c r="B426" s="371"/>
      <c r="C426" s="274"/>
      <c r="D426" s="31">
        <v>55</v>
      </c>
      <c r="E426" s="275">
        <v>70</v>
      </c>
      <c r="F426" s="305">
        <v>78</v>
      </c>
      <c r="G426" s="374">
        <v>4</v>
      </c>
      <c r="H426" s="371"/>
      <c r="I426" s="276">
        <f t="shared" si="19"/>
        <v>207</v>
      </c>
      <c r="J426" s="295"/>
      <c r="K426" s="248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 spans="1:27" ht="13.5" customHeight="1">
      <c r="A427" s="373" t="s">
        <v>1915</v>
      </c>
      <c r="B427" s="371"/>
      <c r="C427" s="274"/>
      <c r="D427" s="31">
        <v>150</v>
      </c>
      <c r="E427" s="275">
        <v>25</v>
      </c>
      <c r="F427" s="305">
        <v>2</v>
      </c>
      <c r="G427" s="374">
        <v>0</v>
      </c>
      <c r="H427" s="371"/>
      <c r="I427" s="276">
        <f t="shared" si="19"/>
        <v>177</v>
      </c>
      <c r="J427" s="295"/>
      <c r="K427" s="248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 spans="1:27" ht="13.5" customHeight="1">
      <c r="A428" s="373" t="s">
        <v>1916</v>
      </c>
      <c r="B428" s="371"/>
      <c r="C428" s="274"/>
      <c r="D428" s="31">
        <f t="shared" ref="D428:G428" si="20">SUM(D425:D427)</f>
        <v>240</v>
      </c>
      <c r="E428" s="306">
        <f t="shared" si="20"/>
        <v>167</v>
      </c>
      <c r="F428" s="306">
        <f t="shared" si="20"/>
        <v>154</v>
      </c>
      <c r="G428" s="373">
        <f t="shared" si="20"/>
        <v>5</v>
      </c>
      <c r="H428" s="371"/>
      <c r="I428" s="31">
        <f>SUM(I425:I427)</f>
        <v>566</v>
      </c>
      <c r="J428" s="295"/>
      <c r="K428" s="248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 spans="1:27" ht="23.25" customHeight="1">
      <c r="A429" s="53"/>
      <c r="B429" s="53"/>
      <c r="C429" s="53"/>
      <c r="D429" s="54"/>
      <c r="E429" s="66"/>
      <c r="F429" s="54"/>
      <c r="G429" s="54"/>
      <c r="H429" s="54"/>
      <c r="I429" s="54"/>
      <c r="J429" s="54"/>
      <c r="K429" s="248"/>
      <c r="L429" s="166"/>
      <c r="M429" s="296"/>
      <c r="N429" s="29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 spans="1:27" ht="13.5" customHeight="1">
      <c r="A430" s="185"/>
      <c r="B430" s="65" t="s">
        <v>1917</v>
      </c>
      <c r="C430" s="65"/>
      <c r="D430" s="65"/>
      <c r="E430" s="164" t="s">
        <v>1918</v>
      </c>
      <c r="F430" s="164"/>
      <c r="G430" s="164"/>
      <c r="H430" s="164" t="s">
        <v>1919</v>
      </c>
      <c r="I430" s="166"/>
      <c r="J430" s="66"/>
      <c r="K430" s="248"/>
      <c r="L430" s="166"/>
      <c r="M430" s="296"/>
      <c r="N430" s="296"/>
      <c r="O430" s="365"/>
      <c r="P430" s="363"/>
      <c r="Q430" s="366"/>
      <c r="R430" s="366"/>
      <c r="S430" s="364"/>
      <c r="T430" s="364"/>
      <c r="U430" s="364"/>
      <c r="V430" s="364"/>
      <c r="W430" s="367"/>
      <c r="X430" s="363"/>
      <c r="Y430" s="364"/>
      <c r="Z430" s="363"/>
      <c r="AA430" s="363"/>
    </row>
    <row r="431" spans="1:27" ht="13.5" customHeight="1">
      <c r="A431" s="185"/>
      <c r="B431" s="65"/>
      <c r="C431" s="65"/>
      <c r="D431" s="65"/>
      <c r="E431" s="66"/>
      <c r="F431" s="66"/>
      <c r="G431" s="66"/>
      <c r="H431" s="66"/>
      <c r="I431" s="166"/>
      <c r="J431" s="66"/>
      <c r="K431" s="248"/>
      <c r="L431" s="166"/>
      <c r="M431" s="166"/>
      <c r="N431" s="166"/>
      <c r="O431" s="364"/>
      <c r="P431" s="364"/>
      <c r="Q431" s="364"/>
      <c r="R431" s="277"/>
      <c r="S431" s="277"/>
      <c r="T431" s="277"/>
      <c r="U431" s="366"/>
      <c r="V431" s="364"/>
      <c r="W431" s="364"/>
      <c r="X431" s="364"/>
      <c r="Y431" s="364"/>
      <c r="Z431" s="364"/>
      <c r="AA431" s="364"/>
    </row>
    <row r="432" spans="1:27" ht="13.5" customHeight="1">
      <c r="A432" s="185"/>
      <c r="B432" s="65"/>
      <c r="C432" s="65"/>
      <c r="D432" s="65"/>
      <c r="E432" s="66"/>
      <c r="F432" s="66"/>
      <c r="G432" s="66"/>
      <c r="H432" s="66"/>
      <c r="I432" s="166"/>
      <c r="J432" s="66"/>
      <c r="K432" s="248"/>
      <c r="L432" s="166"/>
      <c r="M432" s="166"/>
      <c r="N432" s="166"/>
      <c r="O432" s="34"/>
      <c r="P432" s="34"/>
      <c r="Q432" s="36"/>
      <c r="R432" s="36"/>
      <c r="S432" s="36"/>
      <c r="T432" s="36"/>
      <c r="U432" s="368"/>
      <c r="V432" s="364"/>
      <c r="W432" s="278"/>
      <c r="X432" s="369"/>
      <c r="Y432" s="364"/>
      <c r="Z432" s="62"/>
      <c r="AA432" s="62"/>
    </row>
    <row r="433" spans="1:27" ht="12" customHeight="1">
      <c r="A433" s="185"/>
      <c r="B433" s="39" t="s">
        <v>1920</v>
      </c>
      <c r="C433" s="67"/>
      <c r="D433" s="65"/>
      <c r="E433" s="167" t="s">
        <v>1921</v>
      </c>
      <c r="F433" s="167"/>
      <c r="G433" s="167"/>
      <c r="H433" s="167" t="s">
        <v>1922</v>
      </c>
      <c r="I433" s="166"/>
      <c r="J433" s="66"/>
      <c r="K433" s="248"/>
      <c r="L433" s="166"/>
      <c r="M433" s="166"/>
      <c r="N433" s="166"/>
      <c r="O433" s="34"/>
      <c r="P433" s="34"/>
      <c r="Q433" s="36"/>
      <c r="R433" s="36"/>
      <c r="S433" s="36"/>
      <c r="T433" s="36"/>
      <c r="U433" s="368"/>
      <c r="V433" s="364"/>
      <c r="W433" s="278"/>
      <c r="X433" s="369"/>
      <c r="Y433" s="364"/>
      <c r="Z433" s="62"/>
      <c r="AA433" s="62"/>
    </row>
    <row r="434" spans="1:27" ht="12" customHeight="1">
      <c r="A434" s="185"/>
      <c r="B434" s="72" t="s">
        <v>1923</v>
      </c>
      <c r="C434" s="72"/>
      <c r="D434" s="168"/>
      <c r="E434" s="168" t="s">
        <v>1924</v>
      </c>
      <c r="F434" s="168"/>
      <c r="G434" s="168"/>
      <c r="H434" s="168" t="s">
        <v>1925</v>
      </c>
      <c r="I434" s="166"/>
      <c r="J434" s="66"/>
      <c r="K434" s="248"/>
      <c r="L434" s="166"/>
      <c r="M434" s="166"/>
      <c r="N434" s="166"/>
      <c r="O434" s="34"/>
      <c r="P434" s="34"/>
      <c r="Q434" s="36"/>
      <c r="R434" s="36"/>
      <c r="S434" s="36"/>
      <c r="T434" s="36"/>
      <c r="U434" s="368"/>
      <c r="V434" s="364"/>
      <c r="W434" s="278"/>
      <c r="X434" s="369"/>
      <c r="Y434" s="364"/>
      <c r="Z434" s="62"/>
      <c r="AA434" s="62"/>
    </row>
    <row r="435" spans="1:27" ht="12" customHeight="1">
      <c r="A435" s="185"/>
      <c r="B435" s="72" t="s">
        <v>1926</v>
      </c>
      <c r="C435" s="72"/>
      <c r="D435" s="168"/>
      <c r="E435" s="168" t="s">
        <v>1927</v>
      </c>
      <c r="F435" s="168"/>
      <c r="G435" s="168"/>
      <c r="H435" s="168" t="s">
        <v>1928</v>
      </c>
      <c r="I435" s="166"/>
      <c r="J435" s="66">
        <f>SUM(J427:J434)</f>
        <v>0</v>
      </c>
      <c r="K435" s="248"/>
      <c r="L435" s="166"/>
      <c r="M435" s="166"/>
      <c r="N435" s="166"/>
      <c r="O435" s="34"/>
      <c r="P435" s="34"/>
      <c r="Q435" s="36"/>
      <c r="R435" s="36"/>
      <c r="S435" s="36"/>
      <c r="T435" s="36"/>
      <c r="U435" s="368"/>
      <c r="V435" s="364"/>
      <c r="W435" s="278"/>
      <c r="X435" s="369"/>
      <c r="Y435" s="364"/>
      <c r="Z435" s="34"/>
      <c r="AA435" s="62"/>
    </row>
    <row r="436" spans="1:27" ht="13.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248"/>
      <c r="L436" s="66"/>
      <c r="M436" s="66"/>
      <c r="N436" s="66"/>
      <c r="O436" s="34"/>
      <c r="P436" s="40"/>
      <c r="Q436" s="41"/>
      <c r="R436" s="41"/>
      <c r="S436" s="36"/>
      <c r="T436" s="41"/>
      <c r="U436" s="41"/>
      <c r="V436" s="41"/>
      <c r="W436" s="41"/>
      <c r="X436" s="41"/>
      <c r="Y436" s="40"/>
      <c r="Z436" s="40"/>
      <c r="AA436" s="40"/>
    </row>
    <row r="437" spans="1:27" ht="13.5" customHeight="1">
      <c r="A437" s="66"/>
      <c r="B437" s="66"/>
      <c r="C437" s="66"/>
      <c r="D437" s="66"/>
      <c r="E437" s="69"/>
      <c r="F437" s="66"/>
      <c r="G437" s="66"/>
      <c r="H437" s="66"/>
      <c r="I437" s="66"/>
      <c r="J437" s="66"/>
      <c r="K437" s="248"/>
      <c r="L437" s="66"/>
      <c r="M437" s="66"/>
      <c r="N437" s="66"/>
      <c r="O437" s="53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spans="1:27" ht="13.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248"/>
      <c r="L438" s="66"/>
      <c r="M438" s="66"/>
      <c r="N438" s="66"/>
      <c r="O438" s="42"/>
      <c r="P438" s="43"/>
      <c r="Q438" s="43" t="s">
        <v>1929</v>
      </c>
      <c r="R438" s="370" t="s">
        <v>1930</v>
      </c>
      <c r="S438" s="371"/>
      <c r="T438" s="206" t="s">
        <v>1931</v>
      </c>
      <c r="U438" s="370" t="s">
        <v>1932</v>
      </c>
      <c r="V438" s="372"/>
      <c r="W438" s="372"/>
      <c r="X438" s="372"/>
      <c r="Y438" s="371"/>
      <c r="Z438" s="206" t="s">
        <v>1933</v>
      </c>
      <c r="AA438" s="206" t="s">
        <v>1934</v>
      </c>
    </row>
    <row r="439" spans="1:27" ht="13.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248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13.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248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13.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248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13.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248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13.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248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13.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248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13.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248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13.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248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13.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248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13.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248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13.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248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13.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248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13.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248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13.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248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13.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248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13.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248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13.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248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13.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248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13.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248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13.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248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13.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248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13.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248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13.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248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13.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248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13.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248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13.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248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13.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248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13.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248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13.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248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13.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248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13.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248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13.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248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13.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248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13.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248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13.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248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13.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248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13.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248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13.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248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13.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248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13.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248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13.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248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13.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248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13.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248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13.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248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13.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248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13.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248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13.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248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13.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248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13.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248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13.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248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13.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248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13.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248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13.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248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13.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248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13.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248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13.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248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13.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248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13.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248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13.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248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13.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248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13.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248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13.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248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13.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248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13.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248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13.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248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13.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248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13.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248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13.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248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13.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248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13.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248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13.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248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13.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248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13.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248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13.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248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13.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248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13.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248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13.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248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13.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248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13.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248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13.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248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13.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248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13.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248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13.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248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13.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248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13.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248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13.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248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13.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248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13.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248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13.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248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13.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248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13.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248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13.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248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13.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248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13.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248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13.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248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13.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248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13.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248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13.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248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13.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248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13.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248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13.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248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13.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248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13.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248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13.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248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13.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248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13.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248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13.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248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13.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248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13.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248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 spans="1:27" ht="13.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248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13.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248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13.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248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13.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248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13.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248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13.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248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13.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248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13.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248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13.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248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13.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248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13.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248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13.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248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spans="1:27" ht="13.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248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13.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248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13.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248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13.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248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13.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248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13.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248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13.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248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13.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248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13.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248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13.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248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13.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248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13.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248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13.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248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13.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248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13.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248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13.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248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13.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248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13.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248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13.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248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13.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248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13.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248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 spans="1:27" ht="13.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248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spans="1:27" ht="13.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248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 spans="1:27" ht="13.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248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spans="1:27" ht="13.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248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 spans="1:27" ht="13.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248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spans="1:27" ht="13.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248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 spans="1:27" ht="13.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248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spans="1:27" ht="13.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248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 spans="1:27" ht="13.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248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spans="1:27" ht="13.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248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 spans="1:27" ht="13.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248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spans="1:27" ht="13.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248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 spans="1:27" ht="13.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248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13.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248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13.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248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13.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248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13.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248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13.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248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13.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248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13.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248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13.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248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13.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248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13.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248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13.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248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13.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248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13.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248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13.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248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13.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248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13.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248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13.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248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13.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248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13.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248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13.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248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13.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248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13.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248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13.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248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13.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248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13.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248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13.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248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13.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248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13.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248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13.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248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13.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248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13.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248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13.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248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13.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248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13.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248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13.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248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13.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248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13.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248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13.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248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13.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248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13.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248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13.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248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13.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248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13.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248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13.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248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13.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248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13.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248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13.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248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13.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248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13.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248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13.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248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13.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248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13.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248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13.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248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13.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248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13.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248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13.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248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13.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248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13.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248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13.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248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13.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248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13.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248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13.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248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13.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248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13.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248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13.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248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13.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248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13.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248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13.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248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13.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248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13.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248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13.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248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13.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248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13.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248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13.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248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13.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248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13.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248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13.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248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13.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248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13.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248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13.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248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13.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248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13.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248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13.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248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13.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248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13.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248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13.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248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13.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248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13.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248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13.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248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13.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248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13.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248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13.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248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13.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248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13.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248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13.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248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13.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248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13.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248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13.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248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13.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248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13.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248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13.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248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13.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248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13.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248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13.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248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13.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248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13.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248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13.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248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13.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248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13.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248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13.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248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13.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248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13.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248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13.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248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13.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248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13.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248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13.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248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13.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248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13.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248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13.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248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13.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248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13.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248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13.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248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13.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248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13.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248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13.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248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13.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248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13.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248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13.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248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13.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248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13.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248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13.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248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13.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248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13.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248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13.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248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13.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248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13.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248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13.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248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13.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248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13.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248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13.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248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13.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248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13.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248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13.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248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13.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248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13.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248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13.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248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13.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248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13.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248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13.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248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13.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248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13.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248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13.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248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13.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248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13.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248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13.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248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13.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248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13.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248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13.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248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13.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248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13.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248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13.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248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13.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248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13.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248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13.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248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13.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248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13.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248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13.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248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13.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248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13.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248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13.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248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13.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248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13.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248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13.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248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13.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248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13.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248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13.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248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13.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248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13.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248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13.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248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13.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248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13.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248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13.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248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13.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248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13.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248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13.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248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13.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248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13.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248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13.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248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13.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248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13.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248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13.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248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13.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248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13.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248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13.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248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13.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248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13.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248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13.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248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13.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248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13.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248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13.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248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13.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248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13.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248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13.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248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13.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248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13.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248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13.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248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13.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248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13.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248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13.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248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13.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248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13.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248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13.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248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13.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248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13.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248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13.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248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13.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248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13.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248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13.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248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13.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248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13.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248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13.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248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13.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248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13.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248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13.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248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13.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248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13.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248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13.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248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13.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248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13.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248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13.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248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13.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248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13.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248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13.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248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13.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248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13.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248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13.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248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13.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248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13.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248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13.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248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13.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248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13.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248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13.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248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13.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248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13.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248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13.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248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13.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248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13.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248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13.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248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13.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248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13.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248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13.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248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13.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248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13.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248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13.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248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13.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248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13.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248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13.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248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13.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248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13.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248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13.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248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13.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248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13.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248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13.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248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13.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248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13.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248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13.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248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13.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248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13.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248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13.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248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13.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248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13.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248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13.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248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13.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248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13.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248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13.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248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13.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248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13.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248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13.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248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13.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248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13.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248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13.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248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13.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248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13.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248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13.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248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13.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248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13.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248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13.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248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13.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248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13.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248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13.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248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13.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248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13.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248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13.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248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13.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248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13.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248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13.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248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13.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248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13.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248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13.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248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13.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248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 spans="1:27" ht="13.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248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 spans="1:27" ht="13.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248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 spans="1:27" ht="13.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248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 spans="1:27" ht="13.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248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 spans="1:27" ht="13.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248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 spans="1:27" ht="13.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248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 spans="1:27" ht="13.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248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 spans="1:27" ht="13.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248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 spans="1:27" ht="13.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248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 spans="1:27" ht="13.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248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 spans="1:27" ht="13.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248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 spans="1:27" ht="13.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248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 spans="1:27" ht="13.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248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 spans="1:27" ht="13.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248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 spans="1:27" ht="13.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248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 spans="1:27" ht="13.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248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 spans="1:27" ht="13.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248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 spans="1:27" ht="13.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248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 spans="1:27" ht="13.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248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 spans="1:27" ht="13.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248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 spans="1:27" ht="13.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248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 spans="1:27" ht="13.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248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 spans="1:27" ht="13.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248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 spans="1:27" ht="13.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248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 spans="1:27" ht="13.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248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 spans="1:27" ht="13.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248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 spans="1:27" ht="13.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248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 spans="1:27" ht="13.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248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 spans="1:27" ht="13.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248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 spans="1:27" ht="13.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248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 spans="1:27" ht="13.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248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 spans="1:27" ht="13.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248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 spans="1:27" ht="13.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248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 spans="1:27" ht="13.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248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 spans="1:27" ht="13.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248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 spans="1:27" ht="13.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248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 spans="1:27" ht="13.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248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 spans="1:27" ht="13.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248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 spans="1:27" ht="13.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248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 spans="1:27" ht="13.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248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 spans="1:27" ht="13.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248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 spans="1:27" ht="13.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248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 spans="1:27" ht="13.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248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 spans="1:27" ht="13.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248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 spans="1:27" ht="13.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248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 spans="1:27" ht="13.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248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 spans="1:27" ht="13.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248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 spans="1:27" ht="13.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248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 spans="1:27" ht="13.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248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 spans="1:27" ht="13.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248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 spans="1:27" ht="13.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248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 spans="1:27" ht="13.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248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 spans="1:27" ht="13.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248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 spans="1:27" ht="13.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248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 spans="1:27" ht="13.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248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 spans="1:27" ht="13.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248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 spans="1:27" ht="13.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248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 spans="1:27" ht="13.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248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 spans="1:27" ht="13.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248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 spans="1:27" ht="13.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248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 spans="1:27" ht="13.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248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 spans="1:27" ht="13.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248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 spans="1:27" ht="13.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248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 spans="1:27" ht="13.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248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 spans="1:27" ht="13.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248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 spans="1:27" ht="13.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248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 spans="1:27" ht="13.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248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 spans="1:27" ht="13.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248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 spans="1:27" ht="13.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248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 spans="1:27" ht="13.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248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 spans="1:27" ht="13.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248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 spans="1:27" ht="13.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248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 spans="1:27" ht="13.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248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 spans="1:27" ht="13.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248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 spans="1:27" ht="13.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248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 spans="1:27" ht="13.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248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 spans="1:27" ht="13.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248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 spans="1:27" ht="13.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248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 spans="1:27" ht="13.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248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 spans="1:27" ht="13.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248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 spans="1:27" ht="13.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248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 spans="1:27" ht="13.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248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 spans="1:27" ht="13.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248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 spans="1:27" ht="13.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248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 spans="1:27" ht="13.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248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 spans="1:27" ht="13.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248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 spans="1:27" ht="13.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248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 spans="1:27" ht="13.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248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 spans="1:27" ht="13.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248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 spans="1:27" ht="13.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248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 spans="1:27" ht="13.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248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 spans="1:27" ht="13.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248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 spans="1:27" ht="13.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248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 spans="1:27" ht="13.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248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  <row r="988" spans="1:27" ht="13.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248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</row>
    <row r="989" spans="1:27" ht="13.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248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</row>
    <row r="990" spans="1:27" ht="13.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248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</row>
    <row r="991" spans="1:27" ht="13.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248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</row>
    <row r="992" spans="1:27" ht="13.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248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</row>
    <row r="993" spans="1:27" ht="13.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248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</row>
    <row r="994" spans="1:27" ht="13.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248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</row>
    <row r="995" spans="1:27" ht="13.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248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</row>
    <row r="996" spans="1:27" ht="13.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248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</row>
    <row r="997" spans="1:27" ht="13.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248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</row>
    <row r="998" spans="1:27" ht="13.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248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</row>
    <row r="999" spans="1:27" ht="13.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248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</row>
    <row r="1000" spans="1:27" ht="13.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248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</row>
  </sheetData>
  <mergeCells count="36">
    <mergeCell ref="A1:I1"/>
    <mergeCell ref="A2:I2"/>
    <mergeCell ref="A3:I3"/>
    <mergeCell ref="A4:I4"/>
    <mergeCell ref="A5:I5"/>
    <mergeCell ref="A6:I6"/>
    <mergeCell ref="A7:I7"/>
    <mergeCell ref="A424:B424"/>
    <mergeCell ref="G424:H424"/>
    <mergeCell ref="A425:B425"/>
    <mergeCell ref="G425:H425"/>
    <mergeCell ref="U432:V432"/>
    <mergeCell ref="X432:Y432"/>
    <mergeCell ref="U433:V433"/>
    <mergeCell ref="X433:Y433"/>
    <mergeCell ref="A426:B426"/>
    <mergeCell ref="G426:H426"/>
    <mergeCell ref="A427:B427"/>
    <mergeCell ref="G427:H427"/>
    <mergeCell ref="A428:B428"/>
    <mergeCell ref="G428:H428"/>
    <mergeCell ref="U434:V434"/>
    <mergeCell ref="X434:Y434"/>
    <mergeCell ref="U435:V435"/>
    <mergeCell ref="X435:Y435"/>
    <mergeCell ref="R438:S438"/>
    <mergeCell ref="U438:Y438"/>
    <mergeCell ref="AA430:AA431"/>
    <mergeCell ref="X430:Y431"/>
    <mergeCell ref="O430:O431"/>
    <mergeCell ref="P430:P431"/>
    <mergeCell ref="Q430:Q431"/>
    <mergeCell ref="W430:W431"/>
    <mergeCell ref="Z430:Z431"/>
    <mergeCell ref="R430:V430"/>
    <mergeCell ref="U431:V431"/>
  </mergeCells>
  <pageMargins left="0.118110236220472" right="0.118110236220472" top="0.55118110236220497" bottom="0.35433070866141703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workbookViewId="0">
      <selection sqref="A1:I1"/>
    </sheetView>
  </sheetViews>
  <sheetFormatPr defaultColWidth="12.5703125" defaultRowHeight="15" customHeight="1"/>
  <cols>
    <col min="1" max="1" width="5" customWidth="1"/>
    <col min="2" max="2" width="25.85546875" customWidth="1"/>
    <col min="3" max="3" width="12.5703125" hidden="1"/>
    <col min="4" max="4" width="9.42578125" customWidth="1"/>
    <col min="5" max="5" width="17" customWidth="1"/>
    <col min="6" max="6" width="19.140625" customWidth="1"/>
    <col min="7" max="7" width="16.5703125" customWidth="1"/>
    <col min="8" max="8" width="5.7109375" customWidth="1"/>
    <col min="9" max="9" width="23.85546875" customWidth="1"/>
    <col min="10" max="10" width="77.85546875" customWidth="1"/>
    <col min="11" max="11" width="14" customWidth="1"/>
    <col min="12" max="15" width="9.140625" customWidth="1"/>
    <col min="16" max="16" width="47.28515625" customWidth="1"/>
    <col min="17" max="27" width="9.140625" customWidth="1"/>
  </cols>
  <sheetData>
    <row r="1" spans="1:27" ht="11.25" customHeight="1">
      <c r="A1" s="375" t="s">
        <v>0</v>
      </c>
      <c r="B1" s="376"/>
      <c r="C1" s="376"/>
      <c r="D1" s="376"/>
      <c r="E1" s="376"/>
      <c r="F1" s="376"/>
      <c r="G1" s="376"/>
      <c r="H1" s="376"/>
      <c r="I1" s="376"/>
      <c r="J1" s="28"/>
      <c r="K1" s="24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1.25" customHeight="1">
      <c r="A2" s="375" t="s">
        <v>1</v>
      </c>
      <c r="B2" s="376"/>
      <c r="C2" s="376"/>
      <c r="D2" s="376"/>
      <c r="E2" s="376"/>
      <c r="F2" s="376"/>
      <c r="G2" s="376"/>
      <c r="H2" s="376"/>
      <c r="I2" s="376"/>
      <c r="J2" s="28">
        <f>259-240</f>
        <v>19</v>
      </c>
      <c r="K2" s="248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1.25" customHeight="1">
      <c r="A3" s="375" t="s">
        <v>2</v>
      </c>
      <c r="B3" s="376"/>
      <c r="C3" s="376"/>
      <c r="D3" s="376"/>
      <c r="E3" s="376"/>
      <c r="F3" s="376"/>
      <c r="G3" s="376"/>
      <c r="H3" s="376"/>
      <c r="I3" s="376"/>
      <c r="J3" s="28">
        <f>134-63</f>
        <v>71</v>
      </c>
      <c r="K3" s="248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5" customHeight="1">
      <c r="A4" s="375" t="s">
        <v>3</v>
      </c>
      <c r="B4" s="376"/>
      <c r="C4" s="376"/>
      <c r="D4" s="376"/>
      <c r="E4" s="376"/>
      <c r="F4" s="376"/>
      <c r="G4" s="376"/>
      <c r="H4" s="376"/>
      <c r="I4" s="376"/>
      <c r="J4" s="28"/>
      <c r="K4" s="248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3.5" customHeight="1">
      <c r="A5" s="375"/>
      <c r="B5" s="376"/>
      <c r="C5" s="376"/>
      <c r="D5" s="376"/>
      <c r="E5" s="376"/>
      <c r="F5" s="376"/>
      <c r="G5" s="376"/>
      <c r="H5" s="376"/>
      <c r="I5" s="376"/>
      <c r="J5" s="66"/>
      <c r="K5" s="248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3.5" customHeight="1">
      <c r="A6" s="375" t="s">
        <v>1935</v>
      </c>
      <c r="B6" s="376"/>
      <c r="C6" s="376"/>
      <c r="D6" s="376"/>
      <c r="E6" s="376"/>
      <c r="F6" s="376"/>
      <c r="G6" s="376"/>
      <c r="H6" s="376"/>
      <c r="I6" s="376"/>
      <c r="J6" s="28"/>
      <c r="K6" s="248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5" customHeight="1">
      <c r="A7" s="375" t="s">
        <v>5</v>
      </c>
      <c r="B7" s="376"/>
      <c r="C7" s="376"/>
      <c r="D7" s="376"/>
      <c r="E7" s="376"/>
      <c r="F7" s="376"/>
      <c r="G7" s="376"/>
      <c r="H7" s="376"/>
      <c r="I7" s="376"/>
      <c r="J7" s="28"/>
      <c r="K7" s="248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1.25" customHeight="1">
      <c r="A8" s="28"/>
      <c r="B8" s="185"/>
      <c r="C8" s="185"/>
      <c r="D8" s="185"/>
      <c r="E8" s="185"/>
      <c r="F8" s="185"/>
      <c r="G8" s="185"/>
      <c r="H8" s="3"/>
      <c r="I8" s="28"/>
      <c r="J8" s="28"/>
      <c r="K8" s="248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8.75" customHeight="1">
      <c r="A9" s="186" t="s">
        <v>6</v>
      </c>
      <c r="B9" s="186" t="s">
        <v>7</v>
      </c>
      <c r="C9" s="206" t="s">
        <v>8</v>
      </c>
      <c r="D9" s="186" t="s">
        <v>9</v>
      </c>
      <c r="E9" s="186" t="s">
        <v>10</v>
      </c>
      <c r="F9" s="186" t="s">
        <v>11</v>
      </c>
      <c r="G9" s="186" t="s">
        <v>12</v>
      </c>
      <c r="H9" s="187" t="s">
        <v>13</v>
      </c>
      <c r="I9" s="187" t="s">
        <v>14</v>
      </c>
      <c r="J9" s="249" t="s">
        <v>15</v>
      </c>
      <c r="K9" s="250" t="s">
        <v>16</v>
      </c>
      <c r="L9" s="66"/>
      <c r="M9" s="66"/>
      <c r="N9" s="66"/>
      <c r="O9" s="66"/>
      <c r="P9" s="59" t="s">
        <v>17</v>
      </c>
      <c r="Q9" s="59" t="s">
        <v>15</v>
      </c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8" customHeight="1">
      <c r="A10" s="188">
        <v>1</v>
      </c>
      <c r="B10" s="258" t="s">
        <v>18</v>
      </c>
      <c r="C10" s="258" t="s">
        <v>19</v>
      </c>
      <c r="D10" s="232" t="s">
        <v>20</v>
      </c>
      <c r="E10" s="259" t="s">
        <v>21</v>
      </c>
      <c r="F10" s="259" t="s">
        <v>22</v>
      </c>
      <c r="G10" s="259" t="s">
        <v>23</v>
      </c>
      <c r="H10" s="260"/>
      <c r="I10" s="261"/>
      <c r="J10" s="251"/>
      <c r="K10" s="250"/>
      <c r="L10" s="66"/>
      <c r="M10" s="66"/>
      <c r="N10" s="66"/>
      <c r="O10" s="66"/>
      <c r="P10" s="59"/>
      <c r="Q10" s="59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8" customHeight="1">
      <c r="A11" s="188">
        <v>2</v>
      </c>
      <c r="B11" s="258" t="s">
        <v>18</v>
      </c>
      <c r="C11" s="193" t="s">
        <v>19</v>
      </c>
      <c r="D11" s="190" t="s">
        <v>24</v>
      </c>
      <c r="E11" s="191" t="s">
        <v>25</v>
      </c>
      <c r="F11" s="191" t="s">
        <v>26</v>
      </c>
      <c r="G11" s="191" t="s">
        <v>27</v>
      </c>
      <c r="H11" s="192"/>
      <c r="I11" s="210"/>
      <c r="J11" s="279"/>
      <c r="K11" s="282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8" customHeight="1">
      <c r="A12" s="188">
        <v>3</v>
      </c>
      <c r="B12" s="258" t="s">
        <v>18</v>
      </c>
      <c r="C12" s="193" t="s">
        <v>19</v>
      </c>
      <c r="D12" s="190" t="s">
        <v>28</v>
      </c>
      <c r="E12" s="195" t="s">
        <v>29</v>
      </c>
      <c r="F12" s="195" t="s">
        <v>30</v>
      </c>
      <c r="G12" s="195" t="s">
        <v>31</v>
      </c>
      <c r="H12" s="194"/>
      <c r="I12" s="212"/>
      <c r="J12" s="185" t="s">
        <v>32</v>
      </c>
      <c r="K12" s="307" t="s">
        <v>33</v>
      </c>
      <c r="L12" s="66"/>
      <c r="M12" s="66"/>
      <c r="N12" s="66"/>
      <c r="O12" s="66"/>
      <c r="P12" s="66" t="str">
        <f t="shared" ref="P12:P35" si="0">CONCATENATE(E12," ",F12," ",G12)</f>
        <v>BEJARIN GERALD DADIRO</v>
      </c>
      <c r="Q12" s="66" t="str">
        <f>IFERROR(VLOOKUP(P12,[1]Disposition!$AB$9:$AC$495,2,0),"NO RECORD YET")</f>
        <v>NO RECORD YET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8" customHeight="1">
      <c r="A13" s="188">
        <v>4</v>
      </c>
      <c r="B13" s="258" t="s">
        <v>18</v>
      </c>
      <c r="C13" s="193" t="s">
        <v>19</v>
      </c>
      <c r="D13" s="190" t="s">
        <v>28</v>
      </c>
      <c r="E13" s="195" t="s">
        <v>34</v>
      </c>
      <c r="F13" s="195" t="s">
        <v>35</v>
      </c>
      <c r="G13" s="195" t="s">
        <v>36</v>
      </c>
      <c r="H13" s="194"/>
      <c r="I13" s="210"/>
      <c r="J13" s="281" t="s">
        <v>37</v>
      </c>
      <c r="K13" s="307" t="s">
        <v>38</v>
      </c>
      <c r="L13" s="66"/>
      <c r="M13" s="66"/>
      <c r="N13" s="66"/>
      <c r="O13" s="66"/>
      <c r="P13" s="66" t="str">
        <f t="shared" si="0"/>
        <v>MORI LYNDON ACOSTA</v>
      </c>
      <c r="Q13" s="66" t="str">
        <f>IFERROR(VLOOKUP(P13,[1]Disposition!$AB$9:$AC$495,2,0),"NO RECORD YET")</f>
        <v>NO RECORD YET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8" customHeight="1">
      <c r="A14" s="188">
        <v>5</v>
      </c>
      <c r="B14" s="258" t="s">
        <v>18</v>
      </c>
      <c r="C14" s="193" t="s">
        <v>39</v>
      </c>
      <c r="D14" s="190" t="s">
        <v>40</v>
      </c>
      <c r="E14" s="191" t="s">
        <v>41</v>
      </c>
      <c r="F14" s="191" t="s">
        <v>42</v>
      </c>
      <c r="G14" s="264" t="s">
        <v>43</v>
      </c>
      <c r="H14" s="202"/>
      <c r="I14" s="210"/>
      <c r="J14" s="279" t="s">
        <v>44</v>
      </c>
      <c r="K14" s="307" t="s">
        <v>45</v>
      </c>
      <c r="L14" s="66"/>
      <c r="M14" s="66"/>
      <c r="N14" s="66"/>
      <c r="O14" s="66"/>
      <c r="P14" s="66" t="str">
        <f t="shared" si="0"/>
        <v>AVENDAÑO MA. FRELIE JOY (no middle name)</v>
      </c>
      <c r="Q14" s="66" t="str">
        <f>IFERROR(VLOOKUP(P14,[1]Disposition!$AB$9:$AC$495,2,0),"NO RECORD YET")</f>
        <v>#92 F Estrella St., San Juan, Malolos City, Bulacan</v>
      </c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8" customHeight="1">
      <c r="A15" s="188">
        <v>7</v>
      </c>
      <c r="B15" s="258" t="s">
        <v>18</v>
      </c>
      <c r="C15" s="193" t="s">
        <v>39</v>
      </c>
      <c r="D15" s="190" t="s">
        <v>40</v>
      </c>
      <c r="E15" s="191" t="s">
        <v>46</v>
      </c>
      <c r="F15" s="191" t="s">
        <v>47</v>
      </c>
      <c r="G15" s="191" t="s">
        <v>48</v>
      </c>
      <c r="H15" s="192"/>
      <c r="I15" s="223"/>
      <c r="J15" s="279" t="s">
        <v>49</v>
      </c>
      <c r="K15" s="307" t="s">
        <v>50</v>
      </c>
      <c r="L15" s="66"/>
      <c r="M15" s="66">
        <v>25</v>
      </c>
      <c r="N15" s="66"/>
      <c r="O15" s="66"/>
      <c r="P15" s="66" t="str">
        <f t="shared" si="0"/>
        <v>LUZARA JEAN GRATUITO</v>
      </c>
      <c r="Q15" s="66" t="str">
        <f>IFERROR(VLOOKUP(P15,[1]Disposition!$AB$9:$AC$495,2,0),"NO RECORD YET")</f>
        <v>Blk 5 Lot 1 Orchid Extension, Capitol Park Homes II, Brgy 179 Zone 16, Caloocan City.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8" customHeight="1">
      <c r="A16" s="188">
        <v>8</v>
      </c>
      <c r="B16" s="189" t="s">
        <v>51</v>
      </c>
      <c r="C16" s="193" t="s">
        <v>19</v>
      </c>
      <c r="D16" s="190" t="s">
        <v>20</v>
      </c>
      <c r="E16" s="191" t="s">
        <v>52</v>
      </c>
      <c r="F16" s="191" t="s">
        <v>53</v>
      </c>
      <c r="G16" s="191" t="s">
        <v>54</v>
      </c>
      <c r="H16" s="192" t="s">
        <v>55</v>
      </c>
      <c r="I16" s="210"/>
      <c r="J16" s="279"/>
      <c r="K16" s="282"/>
      <c r="L16" s="66"/>
      <c r="M16" s="66">
        <v>259</v>
      </c>
      <c r="N16" s="66"/>
      <c r="O16" s="66"/>
      <c r="P16" s="66" t="str">
        <f t="shared" si="0"/>
        <v>TANGO FROILAN GENN GELACIO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" customHeight="1">
      <c r="A17" s="188">
        <v>9</v>
      </c>
      <c r="B17" s="189" t="s">
        <v>56</v>
      </c>
      <c r="C17" s="189" t="s">
        <v>19</v>
      </c>
      <c r="D17" s="190" t="s">
        <v>57</v>
      </c>
      <c r="E17" s="191" t="s">
        <v>58</v>
      </c>
      <c r="F17" s="191" t="s">
        <v>59</v>
      </c>
      <c r="G17" s="191" t="s">
        <v>60</v>
      </c>
      <c r="H17" s="192"/>
      <c r="I17" s="212"/>
      <c r="J17" s="279" t="s">
        <v>61</v>
      </c>
      <c r="K17" s="307" t="s">
        <v>62</v>
      </c>
      <c r="L17" s="66"/>
      <c r="M17" s="66">
        <v>134</v>
      </c>
      <c r="N17" s="66"/>
      <c r="O17" s="66"/>
      <c r="P17" s="66" t="str">
        <f t="shared" si="0"/>
        <v>RESPICIO VIC BASKAR MADDARA</v>
      </c>
      <c r="Q17" s="66" t="str">
        <f>IFERROR(VLOOKUP(P17,[1]Disposition!$AB$9:$AC$495,2,0),"NO RECORD YET")</f>
        <v>Calamagui 2nd, Isabela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8" customHeight="1">
      <c r="A18" s="188">
        <v>10</v>
      </c>
      <c r="B18" s="189" t="s">
        <v>56</v>
      </c>
      <c r="C18" s="193" t="s">
        <v>39</v>
      </c>
      <c r="D18" s="190" t="s">
        <v>40</v>
      </c>
      <c r="E18" s="191" t="s">
        <v>63</v>
      </c>
      <c r="F18" s="191" t="s">
        <v>64</v>
      </c>
      <c r="G18" s="191" t="s">
        <v>65</v>
      </c>
      <c r="H18" s="192"/>
      <c r="I18" s="223"/>
      <c r="J18" s="279" t="s">
        <v>66</v>
      </c>
      <c r="K18" s="307" t="s">
        <v>67</v>
      </c>
      <c r="L18" s="66"/>
      <c r="M18" s="66">
        <v>41</v>
      </c>
      <c r="N18" s="66"/>
      <c r="O18" s="66"/>
      <c r="P18" s="66" t="str">
        <f t="shared" si="0"/>
        <v>ERIBAL JOZEL JOY FALAGNE</v>
      </c>
      <c r="Q18" s="66" t="str">
        <f>IFERROR(VLOOKUP(P18,[1]Disposition!$AB$9:$AC$495,2,0),"NO RECORD YET")</f>
        <v>5A Diamond St., JRA Subd., Rosario, Pasug City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8" customHeight="1">
      <c r="A19" s="188">
        <v>11</v>
      </c>
      <c r="B19" s="189" t="s">
        <v>56</v>
      </c>
      <c r="C19" s="193" t="s">
        <v>39</v>
      </c>
      <c r="D19" s="190" t="s">
        <v>40</v>
      </c>
      <c r="E19" s="191" t="s">
        <v>68</v>
      </c>
      <c r="F19" s="191" t="s">
        <v>69</v>
      </c>
      <c r="G19" s="191" t="s">
        <v>70</v>
      </c>
      <c r="H19" s="192"/>
      <c r="I19" s="228"/>
      <c r="J19" s="285" t="s">
        <v>71</v>
      </c>
      <c r="K19" s="307" t="s">
        <v>72</v>
      </c>
      <c r="L19" s="66"/>
      <c r="M19" s="66">
        <v>40</v>
      </c>
      <c r="N19" s="66"/>
      <c r="O19" s="66"/>
      <c r="P19" s="66" t="str">
        <f t="shared" si="0"/>
        <v>SEMILLA FLORITES SARIO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8" customHeight="1">
      <c r="A20" s="188">
        <v>12</v>
      </c>
      <c r="B20" s="189" t="s">
        <v>73</v>
      </c>
      <c r="C20" s="193" t="s">
        <v>39</v>
      </c>
      <c r="D20" s="190" t="s">
        <v>40</v>
      </c>
      <c r="E20" s="191" t="s">
        <v>74</v>
      </c>
      <c r="F20" s="191" t="s">
        <v>75</v>
      </c>
      <c r="G20" s="191" t="s">
        <v>76</v>
      </c>
      <c r="H20" s="192"/>
      <c r="I20" s="210"/>
      <c r="J20" s="279" t="s">
        <v>77</v>
      </c>
      <c r="K20" s="307" t="s">
        <v>78</v>
      </c>
      <c r="L20" s="66"/>
      <c r="M20" s="66">
        <v>20</v>
      </c>
      <c r="N20" s="66"/>
      <c r="O20" s="66"/>
      <c r="P20" s="66" t="str">
        <f t="shared" si="0"/>
        <v>MATILLANO MINA HAYDEE BECERA</v>
      </c>
      <c r="Q20" s="66" t="str">
        <f>IFERROR(VLOOKUP(P20,[1]Disposition!$AB$9:$AC$495,2,0),"NO RECORD YET")</f>
        <v>B2 L17 Rose St., Venice Homes Subd., Cainta, Rizal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8" customHeight="1">
      <c r="A21" s="188">
        <v>13</v>
      </c>
      <c r="B21" s="189" t="s">
        <v>79</v>
      </c>
      <c r="C21" s="193" t="s">
        <v>39</v>
      </c>
      <c r="D21" s="190" t="s">
        <v>28</v>
      </c>
      <c r="E21" s="191" t="s">
        <v>80</v>
      </c>
      <c r="F21" s="191" t="s">
        <v>81</v>
      </c>
      <c r="G21" s="191" t="s">
        <v>82</v>
      </c>
      <c r="H21" s="192"/>
      <c r="I21" s="210"/>
      <c r="J21" s="185" t="s">
        <v>83</v>
      </c>
      <c r="K21" s="307" t="s">
        <v>84</v>
      </c>
      <c r="L21" s="66"/>
      <c r="M21" s="66">
        <v>30</v>
      </c>
      <c r="N21" s="66"/>
      <c r="O21" s="66"/>
      <c r="P21" s="66" t="str">
        <f t="shared" si="0"/>
        <v>PAPA MARIZ NICOLE ENGALAN</v>
      </c>
      <c r="Q21" s="66" t="str">
        <f>IFERROR(VLOOKUP(P21,[1]Disposition!$AB$9:$AC$495,2,0),"NO RECORD YET")</f>
        <v>NO RECORD YET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8" customHeight="1">
      <c r="A22" s="188">
        <v>14</v>
      </c>
      <c r="B22" s="189" t="s">
        <v>79</v>
      </c>
      <c r="C22" s="193" t="s">
        <v>39</v>
      </c>
      <c r="D22" s="190" t="s">
        <v>40</v>
      </c>
      <c r="E22" s="191" t="s">
        <v>85</v>
      </c>
      <c r="F22" s="191" t="s">
        <v>86</v>
      </c>
      <c r="G22" s="191" t="s">
        <v>87</v>
      </c>
      <c r="H22" s="192"/>
      <c r="I22" s="210"/>
      <c r="J22" s="279" t="s">
        <v>88</v>
      </c>
      <c r="K22" s="307" t="s">
        <v>89</v>
      </c>
      <c r="L22" s="66"/>
      <c r="M22" s="66">
        <v>17</v>
      </c>
      <c r="N22" s="66"/>
      <c r="O22" s="66"/>
      <c r="P22" s="66" t="str">
        <f t="shared" si="0"/>
        <v>BAGO REBECCA LLANEZA</v>
      </c>
      <c r="Q22" s="66" t="str">
        <f>IFERROR(VLOOKUP(P22,[1]Disposition!$AB$9:$AC$495,2,0),"NO RECORD YET")</f>
        <v>196 Guyam Malaki, Indang, Cavite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8" customHeight="1">
      <c r="A23" s="188">
        <v>15</v>
      </c>
      <c r="B23" s="189" t="s">
        <v>90</v>
      </c>
      <c r="C23" s="193" t="s">
        <v>19</v>
      </c>
      <c r="D23" s="190" t="s">
        <v>20</v>
      </c>
      <c r="E23" s="191" t="s">
        <v>91</v>
      </c>
      <c r="F23" s="191" t="s">
        <v>92</v>
      </c>
      <c r="G23" s="191" t="s">
        <v>93</v>
      </c>
      <c r="H23" s="192"/>
      <c r="I23" s="210"/>
      <c r="J23" s="279" t="s">
        <v>94</v>
      </c>
      <c r="K23" s="307" t="s">
        <v>95</v>
      </c>
      <c r="L23" s="66"/>
      <c r="M23" s="66"/>
      <c r="N23" s="66"/>
      <c r="O23" s="66"/>
      <c r="P23" s="66" t="str">
        <f t="shared" si="0"/>
        <v>PATIÑO RANDI MANZANO</v>
      </c>
      <c r="Q23" s="66" t="str">
        <f>IFERROR(VLOOKUP(P23,[1]Disposition!$AB$9:$AC$495,2,0),"NO RECORD YET")</f>
        <v>Mddle Nivel Hills, Brgy Apas, Cebu City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8" customHeight="1">
      <c r="A24" s="188">
        <v>16</v>
      </c>
      <c r="B24" s="189" t="s">
        <v>90</v>
      </c>
      <c r="C24" s="189" t="s">
        <v>19</v>
      </c>
      <c r="D24" s="190" t="s">
        <v>96</v>
      </c>
      <c r="E24" s="204" t="s">
        <v>97</v>
      </c>
      <c r="F24" s="204" t="s">
        <v>98</v>
      </c>
      <c r="G24" s="204" t="s">
        <v>99</v>
      </c>
      <c r="H24" s="205"/>
      <c r="I24" s="210"/>
      <c r="J24" s="279" t="s">
        <v>100</v>
      </c>
      <c r="K24" s="307" t="s">
        <v>101</v>
      </c>
      <c r="L24" s="66"/>
      <c r="M24" s="66"/>
      <c r="N24" s="66"/>
      <c r="O24" s="66"/>
      <c r="P24" s="66" t="str">
        <f t="shared" si="0"/>
        <v>KARIM BENSAR ALI ABDULGANI</v>
      </c>
      <c r="Q24" s="66" t="str">
        <f>IFERROR(VLOOKUP(P24,[1]Disposition!$AB$9:$AC$495,2,0),"NO RECORD YET")</f>
        <v>21-B Maguindanao St, Culiat, Quezon City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8" customHeight="1">
      <c r="A25" s="188">
        <v>17</v>
      </c>
      <c r="B25" s="189" t="s">
        <v>90</v>
      </c>
      <c r="C25" s="189" t="s">
        <v>19</v>
      </c>
      <c r="D25" s="190" t="s">
        <v>24</v>
      </c>
      <c r="E25" s="191" t="s">
        <v>102</v>
      </c>
      <c r="F25" s="191" t="s">
        <v>103</v>
      </c>
      <c r="G25" s="191" t="s">
        <v>104</v>
      </c>
      <c r="H25" s="192"/>
      <c r="I25" s="212"/>
      <c r="J25" s="279" t="s">
        <v>105</v>
      </c>
      <c r="K25" s="307" t="s">
        <v>106</v>
      </c>
      <c r="L25" s="66"/>
      <c r="M25" s="66">
        <f>SUM(M15:M24)</f>
        <v>566</v>
      </c>
      <c r="N25" s="66"/>
      <c r="O25" s="66"/>
      <c r="P25" s="66" t="str">
        <f t="shared" si="0"/>
        <v>AGGARAO ALBERTO CALLANGAN</v>
      </c>
      <c r="Q25" s="66" t="str">
        <f>IFERROR(VLOOKUP(P25,[1]Disposition!$AB$9:$AC$495,2,0),"NO RECORD YET")</f>
        <v>215 D Guiho St., Cembo, Makati City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8" customHeight="1">
      <c r="A26" s="188">
        <v>18</v>
      </c>
      <c r="B26" s="189" t="s">
        <v>90</v>
      </c>
      <c r="C26" s="193" t="s">
        <v>39</v>
      </c>
      <c r="D26" s="194" t="s">
        <v>24</v>
      </c>
      <c r="E26" s="204" t="s">
        <v>107</v>
      </c>
      <c r="F26" s="204" t="s">
        <v>108</v>
      </c>
      <c r="G26" s="204" t="s">
        <v>109</v>
      </c>
      <c r="H26" s="205"/>
      <c r="I26" s="212"/>
      <c r="J26" s="279" t="s">
        <v>110</v>
      </c>
      <c r="K26" s="307" t="s">
        <v>111</v>
      </c>
      <c r="L26" s="66"/>
      <c r="M26" s="66"/>
      <c r="N26" s="66"/>
      <c r="O26" s="66"/>
      <c r="P26" s="66" t="str">
        <f t="shared" si="0"/>
        <v>SANG-AN CATHERINE VALDESTAMON</v>
      </c>
      <c r="Q26" s="66" t="str">
        <f>IFERROR(VLOOKUP(P26,[1]Disposition!$AB$9:$AC$495,2,0),"NO RECORD YET")</f>
        <v>NO RECORD YET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8" customHeight="1">
      <c r="A27" s="188">
        <v>19</v>
      </c>
      <c r="B27" s="189" t="s">
        <v>90</v>
      </c>
      <c r="C27" s="193" t="s">
        <v>39</v>
      </c>
      <c r="D27" s="190" t="s">
        <v>40</v>
      </c>
      <c r="E27" s="191" t="s">
        <v>112</v>
      </c>
      <c r="F27" s="191" t="s">
        <v>113</v>
      </c>
      <c r="G27" s="191" t="s">
        <v>114</v>
      </c>
      <c r="H27" s="192"/>
      <c r="I27" s="210"/>
      <c r="J27" s="279" t="s">
        <v>115</v>
      </c>
      <c r="K27" s="307" t="s">
        <v>116</v>
      </c>
      <c r="L27" s="66"/>
      <c r="M27" s="66">
        <f>205-146</f>
        <v>59</v>
      </c>
      <c r="N27" s="66"/>
      <c r="O27" s="66"/>
      <c r="P27" s="66" t="str">
        <f t="shared" si="0"/>
        <v>ESTEVES MARICEL  FRESNOZA</v>
      </c>
      <c r="Q27" s="66" t="str">
        <f>IFERROR(VLOOKUP(P27,[1]Disposition!$AB$9:$AC$495,2,0),"NO RECORD YET")</f>
        <v>3310 Bataan St., Bacood, Sta.Mesa, Manila</v>
      </c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8" customHeight="1">
      <c r="A28" s="188">
        <v>20</v>
      </c>
      <c r="B28" s="189" t="s">
        <v>90</v>
      </c>
      <c r="C28" s="189" t="s">
        <v>19</v>
      </c>
      <c r="D28" s="190" t="s">
        <v>40</v>
      </c>
      <c r="E28" s="191" t="s">
        <v>117</v>
      </c>
      <c r="F28" s="191" t="s">
        <v>118</v>
      </c>
      <c r="G28" s="191" t="s">
        <v>119</v>
      </c>
      <c r="H28" s="192"/>
      <c r="I28" s="212"/>
      <c r="J28" s="279" t="s">
        <v>120</v>
      </c>
      <c r="K28" s="307" t="s">
        <v>121</v>
      </c>
      <c r="L28" s="66"/>
      <c r="M28" s="66"/>
      <c r="N28" s="66"/>
      <c r="O28" s="66"/>
      <c r="P28" s="66" t="str">
        <f t="shared" si="0"/>
        <v>NADORA ADRIAN JOSE POSADAS</v>
      </c>
      <c r="Q28" s="66" t="str">
        <f>IFERROR(VLOOKUP(P28,[1]Disposition!$AB$9:$AC$495,2,0),"NO RECORD YET")</f>
        <v>16 Maligaya St., Rosario 6 Subd, Sta Lucia, Pasig City 1608</v>
      </c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8" customHeight="1">
      <c r="A29" s="188">
        <v>21</v>
      </c>
      <c r="B29" s="189" t="s">
        <v>122</v>
      </c>
      <c r="C29" s="193" t="s">
        <v>19</v>
      </c>
      <c r="D29" s="190" t="s">
        <v>28</v>
      </c>
      <c r="E29" s="195" t="s">
        <v>123</v>
      </c>
      <c r="F29" s="195" t="s">
        <v>124</v>
      </c>
      <c r="G29" s="195" t="s">
        <v>125</v>
      </c>
      <c r="H29" s="194"/>
      <c r="I29" s="210"/>
      <c r="J29" s="185" t="s">
        <v>126</v>
      </c>
      <c r="K29" s="307" t="s">
        <v>127</v>
      </c>
      <c r="L29" s="66"/>
      <c r="M29" s="66"/>
      <c r="N29" s="66"/>
      <c r="O29" s="66"/>
      <c r="P29" s="66" t="str">
        <f t="shared" si="0"/>
        <v>PEÑON JAYSON CABRAL</v>
      </c>
      <c r="Q29" s="66" t="str">
        <f>IFERROR(VLOOKUP(P29,[1]Disposition!$AB$9:$AC$495,2,0),"NO RECORD YET")</f>
        <v>NO RECORD YET</v>
      </c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18" customHeight="1">
      <c r="A30" s="188">
        <v>22</v>
      </c>
      <c r="B30" s="189" t="s">
        <v>122</v>
      </c>
      <c r="C30" s="193" t="s">
        <v>39</v>
      </c>
      <c r="D30" s="190" t="s">
        <v>40</v>
      </c>
      <c r="E30" s="191" t="s">
        <v>128</v>
      </c>
      <c r="F30" s="191" t="s">
        <v>129</v>
      </c>
      <c r="G30" s="191" t="s">
        <v>130</v>
      </c>
      <c r="H30" s="192"/>
      <c r="I30" s="210"/>
      <c r="J30" s="279" t="s">
        <v>131</v>
      </c>
      <c r="K30" s="307" t="s">
        <v>132</v>
      </c>
      <c r="L30" s="66"/>
      <c r="M30" s="66"/>
      <c r="N30" s="66"/>
      <c r="O30" s="66"/>
      <c r="P30" s="66" t="str">
        <f t="shared" si="0"/>
        <v>ALVAREZ PAMELA CEREZO</v>
      </c>
      <c r="Q30" s="66" t="str">
        <f>IFERROR(VLOOKUP(P30,[1]Disposition!$AB$9:$AC$495,2,0),"NO RECORD YET")</f>
        <v>Pao, Manaoag, Pangasinan</v>
      </c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8" customHeight="1">
      <c r="A31" s="188">
        <v>23</v>
      </c>
      <c r="B31" s="189" t="s">
        <v>122</v>
      </c>
      <c r="C31" s="189" t="s">
        <v>19</v>
      </c>
      <c r="D31" s="190" t="s">
        <v>40</v>
      </c>
      <c r="E31" s="191" t="s">
        <v>133</v>
      </c>
      <c r="F31" s="191" t="s">
        <v>134</v>
      </c>
      <c r="G31" s="191" t="s">
        <v>135</v>
      </c>
      <c r="H31" s="192"/>
      <c r="I31" s="210"/>
      <c r="J31" s="279" t="s">
        <v>136</v>
      </c>
      <c r="K31" s="307" t="s">
        <v>137</v>
      </c>
      <c r="L31" s="66"/>
      <c r="M31" s="66"/>
      <c r="N31" s="66"/>
      <c r="O31" s="66"/>
      <c r="P31" s="66" t="str">
        <f t="shared" si="0"/>
        <v>RUIVIVAR JOSE SALVADOR DEL ROSARIO</v>
      </c>
      <c r="Q31" s="66" t="str">
        <f>IFERROR(VLOOKUP(P31,[1]Disposition!$AB$9:$AC$495,2,0),"NO RECORD YET")</f>
        <v>13 St. Joseph St., Milton Hills Subd, Diliman, Quezon City</v>
      </c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8" customHeight="1">
      <c r="A32" s="188">
        <v>25</v>
      </c>
      <c r="B32" s="189" t="s">
        <v>138</v>
      </c>
      <c r="C32" s="193" t="s">
        <v>39</v>
      </c>
      <c r="D32" s="194" t="s">
        <v>24</v>
      </c>
      <c r="E32" s="204" t="s">
        <v>139</v>
      </c>
      <c r="F32" s="204" t="s">
        <v>140</v>
      </c>
      <c r="G32" s="204" t="s">
        <v>141</v>
      </c>
      <c r="H32" s="205"/>
      <c r="I32" s="210"/>
      <c r="J32" s="279" t="s">
        <v>142</v>
      </c>
      <c r="K32" s="307" t="s">
        <v>143</v>
      </c>
      <c r="L32" s="66"/>
      <c r="M32" s="66"/>
      <c r="N32" s="66"/>
      <c r="O32" s="66"/>
      <c r="P32" s="66" t="str">
        <f t="shared" si="0"/>
        <v>CUASAY ZAYRA JANE CEDENO</v>
      </c>
      <c r="Q32" s="66" t="str">
        <f>IFERROR(VLOOKUP(P32,[1]Disposition!$AB$9:$AC$495,2,0),"NO RECORD YET")</f>
        <v>NO RECORD YET</v>
      </c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8" customHeight="1">
      <c r="A33" s="188">
        <v>26</v>
      </c>
      <c r="B33" s="189" t="s">
        <v>138</v>
      </c>
      <c r="C33" s="193" t="s">
        <v>39</v>
      </c>
      <c r="D33" s="190" t="s">
        <v>40</v>
      </c>
      <c r="E33" s="191" t="s">
        <v>144</v>
      </c>
      <c r="F33" s="191" t="s">
        <v>145</v>
      </c>
      <c r="G33" s="191" t="s">
        <v>146</v>
      </c>
      <c r="H33" s="192"/>
      <c r="I33" s="210"/>
      <c r="J33" s="279" t="s">
        <v>147</v>
      </c>
      <c r="K33" s="307" t="s">
        <v>148</v>
      </c>
      <c r="L33" s="66"/>
      <c r="M33" s="66"/>
      <c r="N33" s="66"/>
      <c r="O33" s="66"/>
      <c r="P33" s="66" t="str">
        <f t="shared" si="0"/>
        <v>COSTALES MARY GRACE RODRIGUEZ</v>
      </c>
      <c r="Q33" s="66" t="str">
        <f>IFERROR(VLOOKUP(P33,[1]Disposition!$AB$9:$AC$495,2,0),"NO RECORD YET")</f>
        <v>NO RECORD YET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8" customHeight="1">
      <c r="A34" s="188">
        <v>27</v>
      </c>
      <c r="B34" s="189" t="s">
        <v>138</v>
      </c>
      <c r="C34" s="193" t="s">
        <v>39</v>
      </c>
      <c r="D34" s="190" t="s">
        <v>40</v>
      </c>
      <c r="E34" s="191" t="s">
        <v>149</v>
      </c>
      <c r="F34" s="191" t="s">
        <v>150</v>
      </c>
      <c r="G34" s="191" t="s">
        <v>151</v>
      </c>
      <c r="H34" s="192"/>
      <c r="I34" s="210"/>
      <c r="J34" s="279" t="s">
        <v>152</v>
      </c>
      <c r="K34" s="307" t="s">
        <v>153</v>
      </c>
      <c r="L34" s="66"/>
      <c r="M34" s="66">
        <f>177-226</f>
        <v>-49</v>
      </c>
      <c r="N34" s="66"/>
      <c r="O34" s="66"/>
      <c r="P34" s="66" t="str">
        <f t="shared" si="0"/>
        <v>VER MARIE LOUISE ROVIAN RAMOS</v>
      </c>
      <c r="Q34" s="66" t="str">
        <f>IFERROR(VLOOKUP(P34,[1]Disposition!$AB$9:$AC$495,2,0),"NO RECORD YET")</f>
        <v>Blk 43 Lot 16, Phase 7, Eastwood Residences, Brgy San Isidro, Montalban, Rizal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18" customHeight="1">
      <c r="A35" s="188">
        <v>28</v>
      </c>
      <c r="B35" s="193" t="s">
        <v>154</v>
      </c>
      <c r="C35" s="189" t="s">
        <v>19</v>
      </c>
      <c r="D35" s="190" t="s">
        <v>20</v>
      </c>
      <c r="E35" s="191" t="s">
        <v>155</v>
      </c>
      <c r="F35" s="191" t="s">
        <v>156</v>
      </c>
      <c r="G35" s="191" t="s">
        <v>157</v>
      </c>
      <c r="H35" s="192"/>
      <c r="I35" s="210"/>
      <c r="J35" s="279" t="s">
        <v>158</v>
      </c>
      <c r="K35" s="307" t="s">
        <v>159</v>
      </c>
      <c r="L35" s="66"/>
      <c r="M35" s="66"/>
      <c r="N35" s="66"/>
      <c r="O35" s="66"/>
      <c r="P35" s="66" t="str">
        <f t="shared" si="0"/>
        <v>BORRES RUBEN  BROSAS</v>
      </c>
      <c r="Q35" s="66" t="str">
        <f>IFERROR(VLOOKUP(P35,[1]Disposition!$AB$9:$AC$495,2,0),"NO RECORD YET")</f>
        <v>NO RECORD YET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18" customHeight="1">
      <c r="A36" s="188">
        <v>29</v>
      </c>
      <c r="B36" s="193" t="s">
        <v>154</v>
      </c>
      <c r="C36" s="193" t="s">
        <v>39</v>
      </c>
      <c r="D36" s="190" t="s">
        <v>160</v>
      </c>
      <c r="E36" s="191" t="s">
        <v>161</v>
      </c>
      <c r="F36" s="191" t="s">
        <v>162</v>
      </c>
      <c r="G36" s="191" t="s">
        <v>163</v>
      </c>
      <c r="H36" s="192"/>
      <c r="I36" s="210"/>
      <c r="J36" s="279"/>
      <c r="K36" s="282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18" customHeight="1">
      <c r="A37" s="188">
        <v>30</v>
      </c>
      <c r="B37" s="193" t="s">
        <v>154</v>
      </c>
      <c r="C37" s="193" t="s">
        <v>39</v>
      </c>
      <c r="D37" s="190" t="s">
        <v>40</v>
      </c>
      <c r="E37" s="191" t="s">
        <v>164</v>
      </c>
      <c r="F37" s="191" t="s">
        <v>165</v>
      </c>
      <c r="G37" s="191" t="s">
        <v>166</v>
      </c>
      <c r="H37" s="192"/>
      <c r="I37" s="210"/>
      <c r="J37" s="279" t="s">
        <v>167</v>
      </c>
      <c r="K37" s="308" t="s">
        <v>168</v>
      </c>
      <c r="L37" s="66"/>
      <c r="M37" s="66"/>
      <c r="N37" s="66"/>
      <c r="O37" s="66"/>
      <c r="P37" s="66" t="str">
        <f>CONCATENATE(E354," ",F354," ",G354)</f>
        <v>BATICADOS IVY ELEGARLE</v>
      </c>
      <c r="Q37" s="66" t="str">
        <f>IFERROR(VLOOKUP(P37,[1]Disposition!$AB$9:$AC$495,2,0),"NO RECORD YET")</f>
        <v>EL Dorado Dulo, Brgy. Don Bosco, Better Living Subd., Parañaque City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18" customHeight="1">
      <c r="A38" s="188">
        <v>31</v>
      </c>
      <c r="B38" s="193" t="s">
        <v>169</v>
      </c>
      <c r="C38" s="193" t="s">
        <v>39</v>
      </c>
      <c r="D38" s="190" t="s">
        <v>96</v>
      </c>
      <c r="E38" s="191" t="s">
        <v>170</v>
      </c>
      <c r="F38" s="191" t="s">
        <v>171</v>
      </c>
      <c r="G38" s="191" t="s">
        <v>172</v>
      </c>
      <c r="H38" s="192"/>
      <c r="I38" s="210"/>
      <c r="J38" s="279" t="s">
        <v>173</v>
      </c>
      <c r="K38" s="307" t="s">
        <v>174</v>
      </c>
      <c r="L38" s="66"/>
      <c r="M38" s="66"/>
      <c r="N38" s="66"/>
      <c r="O38" s="66"/>
      <c r="P38" s="66" t="str">
        <f t="shared" ref="P38:P43" si="1">CONCATENATE(E38," ",F38," ",G38)</f>
        <v>QUINTOS ANGELICA AGOR</v>
      </c>
      <c r="Q38" s="66" t="str">
        <f>IFERROR(VLOOKUP(P38,[1]Disposition!$AB$9:$AC$495,2,0),"NO RECORD YET")</f>
        <v>B1 L128 Phase 1F, Sub Urban Village, San Jose, Montalban, Rizal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18" customHeight="1">
      <c r="A39" s="188">
        <v>32</v>
      </c>
      <c r="B39" s="193" t="s">
        <v>169</v>
      </c>
      <c r="C39" s="193" t="s">
        <v>39</v>
      </c>
      <c r="D39" s="190" t="s">
        <v>28</v>
      </c>
      <c r="E39" s="191" t="s">
        <v>175</v>
      </c>
      <c r="F39" s="191" t="s">
        <v>176</v>
      </c>
      <c r="G39" s="191" t="s">
        <v>177</v>
      </c>
      <c r="H39" s="192"/>
      <c r="I39" s="210"/>
      <c r="J39" s="185" t="s">
        <v>178</v>
      </c>
      <c r="K39" s="307" t="s">
        <v>179</v>
      </c>
      <c r="L39" s="66"/>
      <c r="M39" s="66"/>
      <c r="N39" s="66">
        <f>566-554</f>
        <v>12</v>
      </c>
      <c r="O39" s="66"/>
      <c r="P39" s="66" t="str">
        <f t="shared" si="1"/>
        <v>CELARIO RUBY ROSE BUEZA</v>
      </c>
      <c r="Q39" s="66" t="str">
        <f>IFERROR(VLOOKUP(P39,[1]Disposition!$AB$9:$AC$495,2,0),"NO RECORD YET")</f>
        <v>NO RECORD YET</v>
      </c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18" customHeight="1">
      <c r="A40" s="188">
        <v>33</v>
      </c>
      <c r="B40" s="193" t="s">
        <v>169</v>
      </c>
      <c r="C40" s="193" t="s">
        <v>19</v>
      </c>
      <c r="D40" s="190" t="s">
        <v>28</v>
      </c>
      <c r="E40" s="195" t="s">
        <v>180</v>
      </c>
      <c r="F40" s="195" t="s">
        <v>181</v>
      </c>
      <c r="G40" s="195" t="s">
        <v>182</v>
      </c>
      <c r="H40" s="194"/>
      <c r="I40" s="210"/>
      <c r="J40" s="281" t="s">
        <v>183</v>
      </c>
      <c r="K40" s="307" t="s">
        <v>184</v>
      </c>
      <c r="L40" s="66"/>
      <c r="M40" s="66"/>
      <c r="N40" s="66">
        <v>3</v>
      </c>
      <c r="O40" s="66"/>
      <c r="P40" s="66" t="str">
        <f t="shared" si="1"/>
        <v>MANAOG RODNIE CASTILLO</v>
      </c>
      <c r="Q40" s="66" t="str">
        <f>IFERROR(VLOOKUP(P40,[1]Disposition!$AB$9:$AC$495,2,0),"NO RECORD YET")</f>
        <v>NO RECORD YET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18" customHeight="1">
      <c r="A41" s="188">
        <v>34</v>
      </c>
      <c r="B41" s="193" t="s">
        <v>169</v>
      </c>
      <c r="C41" s="193" t="s">
        <v>19</v>
      </c>
      <c r="D41" s="190" t="s">
        <v>40</v>
      </c>
      <c r="E41" s="191" t="s">
        <v>185</v>
      </c>
      <c r="F41" s="191" t="s">
        <v>186</v>
      </c>
      <c r="G41" s="191" t="s">
        <v>187</v>
      </c>
      <c r="H41" s="192"/>
      <c r="I41" s="210"/>
      <c r="J41" s="279" t="s">
        <v>188</v>
      </c>
      <c r="K41" s="307" t="s">
        <v>189</v>
      </c>
      <c r="L41" s="66"/>
      <c r="M41" s="66"/>
      <c r="N41" s="66"/>
      <c r="O41" s="66"/>
      <c r="P41" s="66" t="str">
        <f t="shared" si="1"/>
        <v>DAGTA MARY ANN YAP</v>
      </c>
      <c r="Q41" s="66" t="str">
        <f>IFERROR(VLOOKUP(P41,[1]Disposition!$AB$9:$AC$495,2,0),"NO RECORD YET")</f>
        <v>Blk 3, Lot 20, Amber St., Summit Viwe Subd., Brgy. San Rafael, Rodriguez, Rizal</v>
      </c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18" customHeight="1">
      <c r="A42" s="188">
        <v>35</v>
      </c>
      <c r="B42" s="193" t="s">
        <v>190</v>
      </c>
      <c r="C42" s="193" t="s">
        <v>19</v>
      </c>
      <c r="D42" s="190" t="s">
        <v>57</v>
      </c>
      <c r="E42" s="191" t="s">
        <v>191</v>
      </c>
      <c r="F42" s="191" t="s">
        <v>192</v>
      </c>
      <c r="G42" s="191" t="s">
        <v>146</v>
      </c>
      <c r="H42" s="192"/>
      <c r="I42" s="210"/>
      <c r="J42" s="279" t="s">
        <v>193</v>
      </c>
      <c r="K42" s="307" t="s">
        <v>194</v>
      </c>
      <c r="L42" s="66"/>
      <c r="M42" s="66"/>
      <c r="N42" s="66"/>
      <c r="O42" s="66"/>
      <c r="P42" s="66" t="str">
        <f t="shared" si="1"/>
        <v>PEÑAVERDE PHILIP JAMES RODRIGUEZ</v>
      </c>
      <c r="Q42" s="66" t="str">
        <f>IFERROR(VLOOKUP(P42,[1]Disposition!$AB$9:$AC$495,2,0),"NO RECORD YET")</f>
        <v>Blk 1 Lot 128 P1-F Sub-Urban Village, Saan Jose, Rodriguez, Rizal</v>
      </c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18" customHeight="1">
      <c r="A43" s="188">
        <v>36</v>
      </c>
      <c r="B43" s="193" t="s">
        <v>190</v>
      </c>
      <c r="C43" s="193" t="s">
        <v>19</v>
      </c>
      <c r="D43" s="190" t="s">
        <v>28</v>
      </c>
      <c r="E43" s="195" t="s">
        <v>195</v>
      </c>
      <c r="F43" s="195" t="s">
        <v>196</v>
      </c>
      <c r="G43" s="195" t="s">
        <v>197</v>
      </c>
      <c r="H43" s="194"/>
      <c r="I43" s="210"/>
      <c r="J43" s="281" t="s">
        <v>198</v>
      </c>
      <c r="K43" s="307" t="s">
        <v>199</v>
      </c>
      <c r="L43" s="66"/>
      <c r="M43" s="66"/>
      <c r="N43" s="66">
        <v>4</v>
      </c>
      <c r="O43" s="66"/>
      <c r="P43" s="66" t="str">
        <f t="shared" si="1"/>
        <v>MORTEL ALWYN ALBUFERA</v>
      </c>
      <c r="Q43" s="66" t="str">
        <f>IFERROR(VLOOKUP(P43,[1]Disposition!$AB$9:$AC$495,2,0),"NO RECORD YET")</f>
        <v>NO RECORD YET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18" customHeight="1">
      <c r="A44" s="188">
        <v>37</v>
      </c>
      <c r="B44" s="193" t="s">
        <v>190</v>
      </c>
      <c r="C44" s="193" t="s">
        <v>39</v>
      </c>
      <c r="D44" s="190" t="s">
        <v>40</v>
      </c>
      <c r="E44" s="191" t="s">
        <v>200</v>
      </c>
      <c r="F44" s="191" t="s">
        <v>201</v>
      </c>
      <c r="G44" s="191" t="s">
        <v>202</v>
      </c>
      <c r="H44" s="192"/>
      <c r="I44" s="212"/>
      <c r="J44" s="279" t="s">
        <v>203</v>
      </c>
      <c r="K44" s="308" t="s">
        <v>204</v>
      </c>
      <c r="L44" s="66"/>
      <c r="M44" s="66"/>
      <c r="N44" s="66"/>
      <c r="O44" s="66"/>
      <c r="P44" s="66" t="str">
        <f>CONCATENATE(E568," ",F568," ",G568)</f>
        <v>RAMOS WENCESLAO AGUILAR</v>
      </c>
      <c r="Q44" s="66" t="str">
        <f>IFERROR(VLOOKUP(P44,[1]Disposition!$AB$9:$AC$495,2,0),"NO RECORD YET")</f>
        <v>5-A St.Paul St., Remerville Subd. Baesa, Quezon City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18" customHeight="1">
      <c r="A45" s="188">
        <v>38</v>
      </c>
      <c r="B45" s="193" t="s">
        <v>205</v>
      </c>
      <c r="C45" s="193" t="s">
        <v>19</v>
      </c>
      <c r="D45" s="194" t="s">
        <v>96</v>
      </c>
      <c r="E45" s="191" t="s">
        <v>206</v>
      </c>
      <c r="F45" s="191" t="s">
        <v>207</v>
      </c>
      <c r="G45" s="191" t="s">
        <v>208</v>
      </c>
      <c r="H45" s="192"/>
      <c r="I45" s="210"/>
      <c r="J45" s="279" t="s">
        <v>209</v>
      </c>
      <c r="K45" s="307" t="s">
        <v>210</v>
      </c>
      <c r="L45" s="66"/>
      <c r="M45" s="66"/>
      <c r="N45" s="66"/>
      <c r="O45" s="66"/>
      <c r="P45" s="66" t="str">
        <f t="shared" ref="P45:P116" si="2">CONCATENATE(E45," ",F45," ",G45)</f>
        <v>SOSA GIBSON JOHN ARAOS</v>
      </c>
      <c r="Q45" s="66" t="str">
        <f>IFERROR(VLOOKUP(P45,[1]Disposition!$AB$9:$AC$495,2,0),"NO RECORD YET")</f>
        <v>#10 Singapore, Bastulde, Fil-Inves, Cainta, Rizal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18" customHeight="1">
      <c r="A46" s="188">
        <v>39</v>
      </c>
      <c r="B46" s="193" t="s">
        <v>205</v>
      </c>
      <c r="C46" s="189" t="s">
        <v>19</v>
      </c>
      <c r="D46" s="194" t="s">
        <v>96</v>
      </c>
      <c r="E46" s="191" t="s">
        <v>211</v>
      </c>
      <c r="F46" s="191" t="s">
        <v>212</v>
      </c>
      <c r="G46" s="191" t="s">
        <v>213</v>
      </c>
      <c r="H46" s="192"/>
      <c r="I46" s="210"/>
      <c r="J46" s="279" t="s">
        <v>214</v>
      </c>
      <c r="K46" s="307" t="s">
        <v>215</v>
      </c>
      <c r="L46" s="66"/>
      <c r="M46" s="66"/>
      <c r="N46" s="66"/>
      <c r="O46" s="66"/>
      <c r="P46" s="66" t="str">
        <f t="shared" si="2"/>
        <v>TAN ACHILES YABUT</v>
      </c>
      <c r="Q46" s="66" t="str">
        <f>IFERROR(VLOOKUP(P46,[1]Disposition!$AB$9:$AC$495,2,0),"NO RECORD YET")</f>
        <v>Blk 1 Lot 33, Maunlad Homes Subd., Caingin, Malolos, Bulacan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18" customHeight="1">
      <c r="A47" s="188">
        <v>40</v>
      </c>
      <c r="B47" s="193" t="s">
        <v>205</v>
      </c>
      <c r="C47" s="193" t="s">
        <v>39</v>
      </c>
      <c r="D47" s="194" t="s">
        <v>24</v>
      </c>
      <c r="E47" s="204" t="s">
        <v>216</v>
      </c>
      <c r="F47" s="204" t="s">
        <v>217</v>
      </c>
      <c r="G47" s="204" t="s">
        <v>218</v>
      </c>
      <c r="H47" s="205"/>
      <c r="I47" s="212"/>
      <c r="J47" s="279" t="s">
        <v>219</v>
      </c>
      <c r="K47" s="307" t="s">
        <v>220</v>
      </c>
      <c r="L47" s="66"/>
      <c r="M47" s="66"/>
      <c r="N47" s="66"/>
      <c r="O47" s="66"/>
      <c r="P47" s="66" t="str">
        <f t="shared" si="2"/>
        <v>CLAOR MICHELLE DUGAM</v>
      </c>
      <c r="Q47" s="66" t="str">
        <f>IFERROR(VLOOKUP(P47,[1]Disposition!$AB$9:$AC$495,2,0),"NO RECORD YET")</f>
        <v>Toon, La Paz, Abra</v>
      </c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18" customHeight="1">
      <c r="A48" s="188">
        <v>41</v>
      </c>
      <c r="B48" s="193" t="s">
        <v>221</v>
      </c>
      <c r="C48" s="193" t="s">
        <v>19</v>
      </c>
      <c r="D48" s="190" t="s">
        <v>96</v>
      </c>
      <c r="E48" s="204" t="s">
        <v>222</v>
      </c>
      <c r="F48" s="204" t="s">
        <v>223</v>
      </c>
      <c r="G48" s="204" t="s">
        <v>224</v>
      </c>
      <c r="H48" s="205"/>
      <c r="I48" s="210"/>
      <c r="J48" s="279" t="s">
        <v>225</v>
      </c>
      <c r="K48" s="307" t="s">
        <v>226</v>
      </c>
      <c r="L48" s="66"/>
      <c r="M48" s="66"/>
      <c r="N48" s="66"/>
      <c r="O48" s="66"/>
      <c r="P48" s="66" t="str">
        <f t="shared" si="2"/>
        <v>ALIMAMBO JICK BONUAN</v>
      </c>
      <c r="Q48" s="66" t="str">
        <f>IFERROR(VLOOKUP(P48,[1]Disposition!$AB$9:$AC$495,2,0),"NO RECORD YET")</f>
        <v>72  Pucay Village, Purok I, Bakakeng Norte, Baguio City</v>
      </c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8" customHeight="1">
      <c r="A49" s="188">
        <v>42</v>
      </c>
      <c r="B49" s="193" t="s">
        <v>227</v>
      </c>
      <c r="C49" s="193" t="s">
        <v>19</v>
      </c>
      <c r="D49" s="190" t="s">
        <v>28</v>
      </c>
      <c r="E49" s="195" t="s">
        <v>228</v>
      </c>
      <c r="F49" s="195" t="s">
        <v>229</v>
      </c>
      <c r="G49" s="195" t="s">
        <v>230</v>
      </c>
      <c r="H49" s="194"/>
      <c r="I49" s="212"/>
      <c r="J49" s="297" t="s">
        <v>231</v>
      </c>
      <c r="K49" s="307" t="s">
        <v>232</v>
      </c>
      <c r="L49" s="66"/>
      <c r="M49" s="66"/>
      <c r="N49" s="66"/>
      <c r="O49" s="66"/>
      <c r="P49" s="66" t="str">
        <f t="shared" si="2"/>
        <v>TUBELLEZA JOHN CARLO VILLARINO</v>
      </c>
      <c r="Q49" s="66" t="str">
        <f>IFERROR(VLOOKUP(P49,[1]Disposition!$AB$9:$AC$495,2,0),"NO RECORD YET")</f>
        <v>NO RECORD YET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18" customHeight="1">
      <c r="A50" s="188">
        <v>43</v>
      </c>
      <c r="B50" s="193" t="s">
        <v>233</v>
      </c>
      <c r="C50" s="193" t="s">
        <v>19</v>
      </c>
      <c r="D50" s="194" t="s">
        <v>24</v>
      </c>
      <c r="E50" s="204" t="s">
        <v>234</v>
      </c>
      <c r="F50" s="204" t="s">
        <v>235</v>
      </c>
      <c r="G50" s="204" t="s">
        <v>236</v>
      </c>
      <c r="H50" s="205"/>
      <c r="I50" s="212"/>
      <c r="J50" s="279" t="s">
        <v>237</v>
      </c>
      <c r="K50" s="307" t="s">
        <v>238</v>
      </c>
      <c r="L50" s="66"/>
      <c r="M50" s="66"/>
      <c r="N50" s="66"/>
      <c r="O50" s="66"/>
      <c r="P50" s="66" t="str">
        <f t="shared" si="2"/>
        <v>LUALHATI PAULO ANDREW PUNZALAN</v>
      </c>
      <c r="Q50" s="66" t="str">
        <f>IFERROR(VLOOKUP(P50,[1]Disposition!$AB$9:$AC$495,2,0),"NO RECORD YET")</f>
        <v>33 JW Diokno St., Poblacion 13, Taal, Batangas</v>
      </c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8" customHeight="1">
      <c r="A51" s="188">
        <v>44</v>
      </c>
      <c r="B51" s="193" t="s">
        <v>239</v>
      </c>
      <c r="C51" s="193" t="s">
        <v>39</v>
      </c>
      <c r="D51" s="194" t="s">
        <v>96</v>
      </c>
      <c r="E51" s="191" t="s">
        <v>240</v>
      </c>
      <c r="F51" s="191" t="s">
        <v>241</v>
      </c>
      <c r="G51" s="191" t="s">
        <v>242</v>
      </c>
      <c r="H51" s="192"/>
      <c r="I51" s="210"/>
      <c r="J51" s="279" t="s">
        <v>243</v>
      </c>
      <c r="K51" s="307" t="s">
        <v>244</v>
      </c>
      <c r="L51" s="66"/>
      <c r="M51" s="66"/>
      <c r="N51" s="66"/>
      <c r="O51" s="66"/>
      <c r="P51" s="66" t="str">
        <f t="shared" si="2"/>
        <v>SALAS EUNILAINE SALVADOR</v>
      </c>
      <c r="Q51" s="66" t="str">
        <f>IFERROR(VLOOKUP(P51,[1]Disposition!$AB$9:$AC$495,2,0),"NO RECORD YET")</f>
        <v>131 Wwest Drive St., Narikina Heights, Marikina City</v>
      </c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18" customHeight="1">
      <c r="A52" s="188">
        <v>45</v>
      </c>
      <c r="B52" s="193" t="s">
        <v>245</v>
      </c>
      <c r="C52" s="193" t="s">
        <v>19</v>
      </c>
      <c r="D52" s="190" t="s">
        <v>246</v>
      </c>
      <c r="E52" s="191" t="s">
        <v>247</v>
      </c>
      <c r="F52" s="191" t="s">
        <v>248</v>
      </c>
      <c r="G52" s="191" t="s">
        <v>249</v>
      </c>
      <c r="H52" s="192"/>
      <c r="I52" s="210"/>
      <c r="J52" s="279" t="s">
        <v>250</v>
      </c>
      <c r="K52" s="307" t="s">
        <v>251</v>
      </c>
      <c r="L52" s="66"/>
      <c r="M52" s="66"/>
      <c r="N52" s="66"/>
      <c r="O52" s="66"/>
      <c r="P52" s="66" t="str">
        <f t="shared" si="2"/>
        <v>ECHANO KERWIN RUFON</v>
      </c>
      <c r="Q52" s="66" t="str">
        <f>IFERROR(VLOOKUP(P52,[1]Disposition!$AB$9:$AC$495,2,0),"NO RECORD YET")</f>
        <v>Lot 37-38 BLK.5 Catanauan ST., Vanessa Homes, Bucal, Calamba, Laguna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18" customHeight="1">
      <c r="A53" s="188">
        <v>46</v>
      </c>
      <c r="B53" s="193" t="s">
        <v>252</v>
      </c>
      <c r="C53" s="193" t="s">
        <v>19</v>
      </c>
      <c r="D53" s="194" t="s">
        <v>253</v>
      </c>
      <c r="E53" s="191" t="s">
        <v>254</v>
      </c>
      <c r="F53" s="191" t="s">
        <v>255</v>
      </c>
      <c r="G53" s="191" t="s">
        <v>256</v>
      </c>
      <c r="H53" s="192" t="s">
        <v>55</v>
      </c>
      <c r="I53" s="210"/>
      <c r="J53" s="279" t="s">
        <v>257</v>
      </c>
      <c r="K53" s="307" t="s">
        <v>258</v>
      </c>
      <c r="L53" s="66"/>
      <c r="M53" s="66"/>
      <c r="N53" s="66"/>
      <c r="O53" s="66"/>
      <c r="P53" s="66" t="str">
        <f t="shared" si="2"/>
        <v>LAXAMANA JOSE DELA CRUZ</v>
      </c>
      <c r="Q53" s="66" t="str">
        <f>IFERROR(VLOOKUP(P53,[1]Disposition!$AB$9:$AC$495,2,0),"NO RECORD YET")</f>
        <v>191 Gen. Mascardo St., Bagong Barrio, Caloocan City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8" customHeight="1">
      <c r="A54" s="188">
        <v>47</v>
      </c>
      <c r="B54" s="193" t="s">
        <v>252</v>
      </c>
      <c r="C54" s="193" t="s">
        <v>19</v>
      </c>
      <c r="D54" s="190" t="s">
        <v>28</v>
      </c>
      <c r="E54" s="195" t="s">
        <v>259</v>
      </c>
      <c r="F54" s="195" t="s">
        <v>260</v>
      </c>
      <c r="G54" s="195" t="s">
        <v>261</v>
      </c>
      <c r="H54" s="194"/>
      <c r="I54" s="212"/>
      <c r="J54" s="281" t="s">
        <v>262</v>
      </c>
      <c r="K54" s="307" t="s">
        <v>263</v>
      </c>
      <c r="L54" s="66"/>
      <c r="M54" s="66"/>
      <c r="N54" s="66"/>
      <c r="O54" s="66"/>
      <c r="P54" s="66" t="str">
        <f t="shared" si="2"/>
        <v>AGUILANDO ADAMSON BANDONG</v>
      </c>
      <c r="Q54" s="66" t="str">
        <f>IFERROR(VLOOKUP(P54,[1]Disposition!$AB$9:$AC$495,2,0),"NO RECORD YET")</f>
        <v>NO RECORD YET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8" customHeight="1">
      <c r="A55" s="188">
        <v>48</v>
      </c>
      <c r="B55" s="193" t="s">
        <v>264</v>
      </c>
      <c r="C55" s="193" t="s">
        <v>19</v>
      </c>
      <c r="D55" s="190" t="s">
        <v>28</v>
      </c>
      <c r="E55" s="195" t="s">
        <v>265</v>
      </c>
      <c r="F55" s="195" t="s">
        <v>266</v>
      </c>
      <c r="G55" s="195" t="s">
        <v>267</v>
      </c>
      <c r="H55" s="194" t="s">
        <v>268</v>
      </c>
      <c r="I55" s="212"/>
      <c r="J55" s="185" t="s">
        <v>269</v>
      </c>
      <c r="K55" s="307" t="s">
        <v>270</v>
      </c>
      <c r="L55" s="66"/>
      <c r="M55" s="66"/>
      <c r="N55" s="66"/>
      <c r="O55" s="66"/>
      <c r="P55" s="66" t="str">
        <f t="shared" si="2"/>
        <v>BACATAN FERDINAND JALOVA</v>
      </c>
      <c r="Q55" s="66" t="str">
        <f>IFERROR(VLOOKUP(P55,[1]Disposition!$AB$9:$AC$495,2,0),"NO RECORD YET")</f>
        <v>NO RECORD YET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18" customHeight="1">
      <c r="A56" s="188">
        <v>49</v>
      </c>
      <c r="B56" s="193" t="s">
        <v>271</v>
      </c>
      <c r="C56" s="189" t="s">
        <v>19</v>
      </c>
      <c r="D56" s="190" t="s">
        <v>96</v>
      </c>
      <c r="E56" s="204" t="s">
        <v>272</v>
      </c>
      <c r="F56" s="204" t="s">
        <v>273</v>
      </c>
      <c r="G56" s="204" t="s">
        <v>274</v>
      </c>
      <c r="H56" s="205"/>
      <c r="I56" s="210"/>
      <c r="J56" s="279" t="s">
        <v>275</v>
      </c>
      <c r="K56" s="307" t="s">
        <v>276</v>
      </c>
      <c r="L56" s="66"/>
      <c r="M56" s="66"/>
      <c r="N56" s="66"/>
      <c r="O56" s="66"/>
      <c r="P56" s="66" t="str">
        <f t="shared" si="2"/>
        <v>MUÑOZ RANZ NIKKO BIEN</v>
      </c>
      <c r="Q56" s="66" t="str">
        <f>IFERROR(VLOOKUP(P56,[1]Disposition!$AB$9:$AC$495,2,0),"NO RECORD YET")</f>
        <v>Blk. 15 Lot 22, Viola St., Camella Sorrento, P.F. Espiritu IV, Bacoor, Cavite</v>
      </c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18" customHeight="1">
      <c r="A57" s="188">
        <v>50</v>
      </c>
      <c r="B57" s="193" t="s">
        <v>271</v>
      </c>
      <c r="C57" s="193" t="s">
        <v>19</v>
      </c>
      <c r="D57" s="190" t="s">
        <v>277</v>
      </c>
      <c r="E57" s="191" t="s">
        <v>278</v>
      </c>
      <c r="F57" s="191" t="s">
        <v>279</v>
      </c>
      <c r="G57" s="191" t="s">
        <v>280</v>
      </c>
      <c r="H57" s="192"/>
      <c r="I57" s="212"/>
      <c r="J57" s="279" t="s">
        <v>281</v>
      </c>
      <c r="K57" s="307" t="s">
        <v>282</v>
      </c>
      <c r="L57" s="66"/>
      <c r="M57" s="66"/>
      <c r="N57" s="66"/>
      <c r="O57" s="66"/>
      <c r="P57" s="66" t="str">
        <f t="shared" si="2"/>
        <v>MARAÑON CHRIS JOHN CATALOGO</v>
      </c>
      <c r="Q57" s="66" t="str">
        <f>IFERROR(VLOOKUP(P57,[1]Disposition!$AB$9:$AC$495,2,0),"NO RECORD YET")</f>
        <v>B18 L1 P-J Francisco Homes, SJDM, Bulacan</v>
      </c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18" customHeight="1">
      <c r="A58" s="188">
        <v>51</v>
      </c>
      <c r="B58" s="193" t="s">
        <v>283</v>
      </c>
      <c r="C58" s="193" t="s">
        <v>19</v>
      </c>
      <c r="D58" s="194" t="s">
        <v>253</v>
      </c>
      <c r="E58" s="191" t="s">
        <v>284</v>
      </c>
      <c r="F58" s="191" t="s">
        <v>285</v>
      </c>
      <c r="G58" s="191" t="s">
        <v>286</v>
      </c>
      <c r="H58" s="192"/>
      <c r="I58" s="210"/>
      <c r="J58" s="279" t="s">
        <v>287</v>
      </c>
      <c r="K58" s="307" t="s">
        <v>288</v>
      </c>
      <c r="L58" s="66"/>
      <c r="M58" s="66"/>
      <c r="N58" s="66"/>
      <c r="O58" s="66"/>
      <c r="P58" s="66" t="str">
        <f t="shared" si="2"/>
        <v>AMIT ARIEL DE GUZMAN</v>
      </c>
      <c r="Q58" s="66" t="str">
        <f>IFERROR(VLOOKUP(P58,[1]Disposition!$AB$9:$AC$495,2,0),"NO RECORD YET")</f>
        <v>Manila, Metro Manila</v>
      </c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18" customHeight="1">
      <c r="A59" s="188">
        <v>52</v>
      </c>
      <c r="B59" s="193" t="s">
        <v>283</v>
      </c>
      <c r="C59" s="189" t="s">
        <v>19</v>
      </c>
      <c r="D59" s="190" t="s">
        <v>246</v>
      </c>
      <c r="E59" s="191" t="s">
        <v>289</v>
      </c>
      <c r="F59" s="191" t="s">
        <v>290</v>
      </c>
      <c r="G59" s="191" t="s">
        <v>291</v>
      </c>
      <c r="H59" s="192"/>
      <c r="I59" s="210"/>
      <c r="J59" s="279"/>
      <c r="K59" s="282"/>
      <c r="L59" s="66"/>
      <c r="M59" s="66"/>
      <c r="N59" s="66"/>
      <c r="O59" s="66"/>
      <c r="P59" s="66" t="str">
        <f t="shared" si="2"/>
        <v>ILACAD DIONELL TUGADE</v>
      </c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18" customHeight="1">
      <c r="A60" s="188">
        <v>53</v>
      </c>
      <c r="B60" s="193" t="s">
        <v>283</v>
      </c>
      <c r="C60" s="193" t="s">
        <v>19</v>
      </c>
      <c r="D60" s="190" t="s">
        <v>57</v>
      </c>
      <c r="E60" s="191" t="s">
        <v>292</v>
      </c>
      <c r="F60" s="191" t="s">
        <v>293</v>
      </c>
      <c r="G60" s="191" t="s">
        <v>294</v>
      </c>
      <c r="H60" s="192"/>
      <c r="I60" s="212"/>
      <c r="J60" s="279" t="s">
        <v>295</v>
      </c>
      <c r="K60" s="307" t="s">
        <v>296</v>
      </c>
      <c r="L60" s="66"/>
      <c r="M60" s="66"/>
      <c r="N60" s="66"/>
      <c r="O60" s="66"/>
      <c r="P60" s="66" t="str">
        <f t="shared" si="2"/>
        <v>DULIN JOEY BINARAO</v>
      </c>
      <c r="Q60" s="66" t="str">
        <f>IFERROR(VLOOKUP(P60,[1]Disposition!$AB$9:$AC$495,2,0),"NO RECORD YET")</f>
        <v>155 19th Avenue, East Pembo, Makati City</v>
      </c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18" customHeight="1">
      <c r="A61" s="188">
        <v>54</v>
      </c>
      <c r="B61" s="193" t="s">
        <v>283</v>
      </c>
      <c r="C61" s="193" t="s">
        <v>19</v>
      </c>
      <c r="D61" s="190" t="s">
        <v>24</v>
      </c>
      <c r="E61" s="191" t="s">
        <v>297</v>
      </c>
      <c r="F61" s="191" t="s">
        <v>298</v>
      </c>
      <c r="G61" s="191" t="s">
        <v>286</v>
      </c>
      <c r="H61" s="192"/>
      <c r="I61" s="212"/>
      <c r="J61" s="279" t="s">
        <v>299</v>
      </c>
      <c r="K61" s="307" t="s">
        <v>300</v>
      </c>
      <c r="L61" s="66"/>
      <c r="M61" s="66"/>
      <c r="N61" s="66"/>
      <c r="O61" s="66"/>
      <c r="P61" s="66" t="str">
        <f t="shared" si="2"/>
        <v>DOCTOLERO JOHN NICK DE GUZMAN</v>
      </c>
      <c r="Q61" s="66" t="str">
        <f>IFERROR(VLOOKUP(P61,[1]Disposition!$AB$9:$AC$495,2,0),"NO RECORD YET")</f>
        <v>B25 L5 PH. J, Brgy. Guijo, Francisco Homes, SJDM, Bulacan</v>
      </c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18" customHeight="1">
      <c r="A62" s="188">
        <v>55</v>
      </c>
      <c r="B62" s="193" t="s">
        <v>301</v>
      </c>
      <c r="C62" s="193" t="s">
        <v>19</v>
      </c>
      <c r="D62" s="194" t="s">
        <v>253</v>
      </c>
      <c r="E62" s="191" t="s">
        <v>256</v>
      </c>
      <c r="F62" s="191" t="s">
        <v>302</v>
      </c>
      <c r="G62" s="191" t="s">
        <v>303</v>
      </c>
      <c r="H62" s="192"/>
      <c r="I62" s="210"/>
      <c r="J62" s="279" t="s">
        <v>304</v>
      </c>
      <c r="K62" s="307" t="s">
        <v>305</v>
      </c>
      <c r="L62" s="66"/>
      <c r="M62" s="66"/>
      <c r="N62" s="66"/>
      <c r="O62" s="66"/>
      <c r="P62" s="66" t="str">
        <f t="shared" si="2"/>
        <v>DELA CRUZ ALVIN ORUA</v>
      </c>
      <c r="Q62" s="66" t="str">
        <f>IFERROR(VLOOKUP(P62,[1]Disposition!$AB$9:$AC$495,2,0),"NO RECORD YET")</f>
        <v>#6087 Sto. Rosario St., Mapulang Lupa, Valenzuela City</v>
      </c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18" customHeight="1">
      <c r="A63" s="188">
        <v>56</v>
      </c>
      <c r="B63" s="193" t="s">
        <v>301</v>
      </c>
      <c r="C63" s="193" t="s">
        <v>19</v>
      </c>
      <c r="D63" s="194" t="s">
        <v>253</v>
      </c>
      <c r="E63" s="191" t="s">
        <v>306</v>
      </c>
      <c r="F63" s="191" t="s">
        <v>307</v>
      </c>
      <c r="G63" s="191" t="s">
        <v>308</v>
      </c>
      <c r="H63" s="192"/>
      <c r="I63" s="210"/>
      <c r="J63" s="279" t="s">
        <v>309</v>
      </c>
      <c r="K63" s="307" t="s">
        <v>310</v>
      </c>
      <c r="L63" s="66"/>
      <c r="M63" s="66"/>
      <c r="N63" s="66"/>
      <c r="O63" s="66"/>
      <c r="P63" s="66" t="str">
        <f t="shared" si="2"/>
        <v>DESEO REYNANTE NUYDA</v>
      </c>
      <c r="Q63" s="66" t="str">
        <f>IFERROR(VLOOKUP(P63,[1]Disposition!$AB$9:$AC$495,2,0),"NO RECORD YET")</f>
        <v>Blk 4  L17 Arty in Subdivision, Karuhatan, Valenzueal City</v>
      </c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spans="1:27" ht="18" customHeight="1">
      <c r="A64" s="188">
        <v>57</v>
      </c>
      <c r="B64" s="193" t="s">
        <v>301</v>
      </c>
      <c r="C64" s="193" t="s">
        <v>39</v>
      </c>
      <c r="D64" s="194" t="s">
        <v>24</v>
      </c>
      <c r="E64" s="204" t="s">
        <v>311</v>
      </c>
      <c r="F64" s="204" t="s">
        <v>312</v>
      </c>
      <c r="G64" s="204" t="s">
        <v>313</v>
      </c>
      <c r="H64" s="194"/>
      <c r="I64" s="212"/>
      <c r="J64" s="279" t="s">
        <v>314</v>
      </c>
      <c r="K64" s="307" t="s">
        <v>315</v>
      </c>
      <c r="L64" s="66"/>
      <c r="M64" s="66"/>
      <c r="N64" s="66"/>
      <c r="O64" s="66"/>
      <c r="P64" s="66" t="str">
        <f t="shared" si="2"/>
        <v>CASTRO MARYJANE DIZON</v>
      </c>
      <c r="Q64" s="66" t="str">
        <f>IFERROR(VLOOKUP(P64,[1]Disposition!$AB$9:$AC$495,2,0),"NO RECORD YET")</f>
        <v>Phase 1, Purok 5, Taugtog, Botolan, Zambales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18" customHeight="1">
      <c r="A65" s="188">
        <v>58</v>
      </c>
      <c r="B65" s="193" t="s">
        <v>301</v>
      </c>
      <c r="C65" s="193" t="s">
        <v>19</v>
      </c>
      <c r="D65" s="190" t="s">
        <v>28</v>
      </c>
      <c r="E65" s="195" t="s">
        <v>316</v>
      </c>
      <c r="F65" s="195" t="s">
        <v>317</v>
      </c>
      <c r="G65" s="195" t="s">
        <v>318</v>
      </c>
      <c r="H65" s="194"/>
      <c r="I65" s="212"/>
      <c r="J65" s="281" t="s">
        <v>319</v>
      </c>
      <c r="K65" s="307" t="s">
        <v>320</v>
      </c>
      <c r="L65" s="66"/>
      <c r="M65" s="66"/>
      <c r="N65" s="66"/>
      <c r="O65" s="66"/>
      <c r="P65" s="66" t="str">
        <f t="shared" si="2"/>
        <v>CORTEZ JERWIN AQUINO</v>
      </c>
      <c r="Q65" s="66" t="str">
        <f>IFERROR(VLOOKUP(P65,[1]Disposition!$AB$9:$AC$495,2,0),"NO RECORD YET")</f>
        <v>NO RECORD YET</v>
      </c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18" customHeight="1">
      <c r="A66" s="188">
        <v>59</v>
      </c>
      <c r="B66" s="193" t="s">
        <v>301</v>
      </c>
      <c r="C66" s="193" t="s">
        <v>19</v>
      </c>
      <c r="D66" s="190" t="s">
        <v>28</v>
      </c>
      <c r="E66" s="195" t="s">
        <v>321</v>
      </c>
      <c r="F66" s="195" t="s">
        <v>322</v>
      </c>
      <c r="G66" s="195" t="s">
        <v>323</v>
      </c>
      <c r="H66" s="194"/>
      <c r="I66" s="212"/>
      <c r="J66" s="185" t="s">
        <v>324</v>
      </c>
      <c r="K66" s="307" t="s">
        <v>325</v>
      </c>
      <c r="L66" s="66"/>
      <c r="M66" s="66"/>
      <c r="N66" s="66"/>
      <c r="O66" s="66"/>
      <c r="P66" s="66" t="str">
        <f t="shared" si="2"/>
        <v>MANIQUIZ JEREMY BINUYA</v>
      </c>
      <c r="Q66" s="66" t="str">
        <f>IFERROR(VLOOKUP(P66,[1]Disposition!$AB$9:$AC$495,2,0),"NO RECORD YET")</f>
        <v>NO RECORD YET</v>
      </c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18" customHeight="1">
      <c r="A67" s="188">
        <v>60</v>
      </c>
      <c r="B67" s="193" t="s">
        <v>301</v>
      </c>
      <c r="C67" s="193" t="s">
        <v>39</v>
      </c>
      <c r="D67" s="190" t="s">
        <v>40</v>
      </c>
      <c r="E67" s="191" t="s">
        <v>326</v>
      </c>
      <c r="F67" s="191" t="s">
        <v>327</v>
      </c>
      <c r="G67" s="191" t="s">
        <v>328</v>
      </c>
      <c r="H67" s="192"/>
      <c r="I67" s="210"/>
      <c r="J67" s="279" t="s">
        <v>329</v>
      </c>
      <c r="K67" s="307" t="s">
        <v>330</v>
      </c>
      <c r="L67" s="66"/>
      <c r="M67" s="66"/>
      <c r="N67" s="66"/>
      <c r="O67" s="66"/>
      <c r="P67" s="66" t="str">
        <f t="shared" si="2"/>
        <v>LUMABI GINA TINGALA</v>
      </c>
      <c r="Q67" s="66" t="str">
        <f>IFERROR(VLOOKUP(P67,[1]Disposition!$AB$9:$AC$495,2,0),"NO RECORD YET")</f>
        <v>MB 15 RM 109,  Diego Silang Village, Brgy Ususan, Taguig City</v>
      </c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18" customHeight="1">
      <c r="A68" s="188">
        <v>61</v>
      </c>
      <c r="B68" s="193" t="s">
        <v>301</v>
      </c>
      <c r="C68" s="193" t="s">
        <v>39</v>
      </c>
      <c r="D68" s="190" t="s">
        <v>40</v>
      </c>
      <c r="E68" s="191" t="s">
        <v>331</v>
      </c>
      <c r="F68" s="191" t="s">
        <v>186</v>
      </c>
      <c r="G68" s="191" t="s">
        <v>332</v>
      </c>
      <c r="H68" s="192"/>
      <c r="I68" s="210"/>
      <c r="J68" s="279" t="s">
        <v>333</v>
      </c>
      <c r="K68" s="307" t="s">
        <v>334</v>
      </c>
      <c r="L68" s="66"/>
      <c r="M68" s="66"/>
      <c r="N68" s="66"/>
      <c r="O68" s="66"/>
      <c r="P68" s="66" t="str">
        <f t="shared" si="2"/>
        <v>UBANDO MARY ANN OBENA</v>
      </c>
      <c r="Q68" s="66" t="str">
        <f>IFERROR(VLOOKUP(P68,[1]Disposition!$AB$9:$AC$495,2,0),"NO RECORD YET")</f>
        <v>Blk 13 Lot 14 Phase M,  Francisco Homes, Brgy. Guijo, SJDM, Bulacan</v>
      </c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18" customHeight="1">
      <c r="A69" s="188">
        <v>62</v>
      </c>
      <c r="B69" s="193" t="s">
        <v>335</v>
      </c>
      <c r="C69" s="193" t="s">
        <v>19</v>
      </c>
      <c r="D69" s="190" t="s">
        <v>28</v>
      </c>
      <c r="E69" s="195" t="s">
        <v>336</v>
      </c>
      <c r="F69" s="195" t="s">
        <v>337</v>
      </c>
      <c r="G69" s="195" t="s">
        <v>338</v>
      </c>
      <c r="H69" s="194"/>
      <c r="I69" s="212"/>
      <c r="J69" s="298" t="s">
        <v>339</v>
      </c>
      <c r="K69" s="307" t="s">
        <v>340</v>
      </c>
      <c r="L69" s="66"/>
      <c r="M69" s="66"/>
      <c r="N69" s="66"/>
      <c r="O69" s="66"/>
      <c r="P69" s="66" t="str">
        <f t="shared" si="2"/>
        <v>CAGUITE JOHN REX ALIDO</v>
      </c>
      <c r="Q69" s="66" t="str">
        <f>IFERROR(VLOOKUP(P69,[1]Disposition!$AB$9:$AC$495,2,0),"NO RECORD YET")</f>
        <v>NO RECORD YET</v>
      </c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18" customHeight="1">
      <c r="A70" s="188">
        <v>63</v>
      </c>
      <c r="B70" s="193" t="s">
        <v>335</v>
      </c>
      <c r="C70" s="193" t="s">
        <v>19</v>
      </c>
      <c r="D70" s="190" t="s">
        <v>28</v>
      </c>
      <c r="E70" s="195" t="s">
        <v>341</v>
      </c>
      <c r="F70" s="195" t="s">
        <v>342</v>
      </c>
      <c r="G70" s="195" t="s">
        <v>343</v>
      </c>
      <c r="H70" s="194"/>
      <c r="I70" s="212"/>
      <c r="J70" s="185" t="s">
        <v>344</v>
      </c>
      <c r="K70" s="307" t="s">
        <v>345</v>
      </c>
      <c r="L70" s="66"/>
      <c r="M70" s="66"/>
      <c r="N70" s="66"/>
      <c r="O70" s="66"/>
      <c r="P70" s="66" t="str">
        <f t="shared" si="2"/>
        <v>TAGPAO RAFAEL ALUNDAY</v>
      </c>
      <c r="Q70" s="66" t="str">
        <f>IFERROR(VLOOKUP(P70,[1]Disposition!$AB$9:$AC$495,2,0),"NO RECORD YET")</f>
        <v>NO RECORD YET</v>
      </c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18" customHeight="1">
      <c r="A71" s="188">
        <v>64</v>
      </c>
      <c r="B71" s="193" t="s">
        <v>346</v>
      </c>
      <c r="C71" s="189" t="s">
        <v>19</v>
      </c>
      <c r="D71" s="190" t="s">
        <v>28</v>
      </c>
      <c r="E71" s="195" t="s">
        <v>347</v>
      </c>
      <c r="F71" s="195" t="s">
        <v>348</v>
      </c>
      <c r="G71" s="195" t="s">
        <v>349</v>
      </c>
      <c r="H71" s="194"/>
      <c r="I71" s="212"/>
      <c r="J71" s="185" t="s">
        <v>350</v>
      </c>
      <c r="K71" s="307" t="s">
        <v>351</v>
      </c>
      <c r="L71" s="66"/>
      <c r="M71" s="66"/>
      <c r="N71" s="66"/>
      <c r="O71" s="66"/>
      <c r="P71" s="66" t="str">
        <f t="shared" si="2"/>
        <v>VILLEGAS NAIF STA ANA</v>
      </c>
      <c r="Q71" s="66" t="str">
        <f>IFERROR(VLOOKUP(P71,[1]Disposition!$AB$9:$AC$495,2,0),"NO RECORD YET")</f>
        <v>NO RECORD YET</v>
      </c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18" customHeight="1">
      <c r="A72" s="188">
        <v>65</v>
      </c>
      <c r="B72" s="193" t="s">
        <v>352</v>
      </c>
      <c r="C72" s="193" t="s">
        <v>19</v>
      </c>
      <c r="D72" s="194" t="s">
        <v>253</v>
      </c>
      <c r="E72" s="191" t="s">
        <v>353</v>
      </c>
      <c r="F72" s="191" t="s">
        <v>354</v>
      </c>
      <c r="G72" s="191" t="s">
        <v>355</v>
      </c>
      <c r="H72" s="192"/>
      <c r="I72" s="210"/>
      <c r="J72" s="279" t="s">
        <v>356</v>
      </c>
      <c r="K72" s="307" t="s">
        <v>357</v>
      </c>
      <c r="L72" s="66"/>
      <c r="M72" s="66"/>
      <c r="N72" s="66"/>
      <c r="O72" s="66"/>
      <c r="P72" s="66" t="str">
        <f t="shared" si="2"/>
        <v>NOBRES ROY DANGSI</v>
      </c>
      <c r="Q72" s="66" t="str">
        <f>IFERROR(VLOOKUP(P72,[1]Disposition!$AB$9:$AC$495,2,0),"NO RECORD YET")</f>
        <v>Lot 4-Lot 5 Metro Royale Homes Burgos, Montalban, Rizal</v>
      </c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18" customHeight="1">
      <c r="A73" s="188">
        <v>66</v>
      </c>
      <c r="B73" s="193" t="s">
        <v>352</v>
      </c>
      <c r="C73" s="193" t="s">
        <v>19</v>
      </c>
      <c r="D73" s="190" t="s">
        <v>246</v>
      </c>
      <c r="E73" s="204" t="s">
        <v>358</v>
      </c>
      <c r="F73" s="204" t="s">
        <v>359</v>
      </c>
      <c r="G73" s="204" t="s">
        <v>360</v>
      </c>
      <c r="H73" s="194"/>
      <c r="I73" s="210"/>
      <c r="J73" s="279" t="s">
        <v>361</v>
      </c>
      <c r="K73" s="307" t="s">
        <v>362</v>
      </c>
      <c r="L73" s="66"/>
      <c r="M73" s="66"/>
      <c r="N73" s="66"/>
      <c r="O73" s="66"/>
      <c r="P73" s="66" t="str">
        <f t="shared" si="2"/>
        <v>ABO MARK JESSIE MELITANTE</v>
      </c>
      <c r="Q73" s="66" t="str">
        <f>IFERROR(VLOOKUP(P73,[1]Disposition!$AB$9:$AC$495,2,0),"NO RECORD YET")</f>
        <v>Unit 909, Amaia Skies Cuibao, P. Tuazon Ave., Socorro, Quezon City</v>
      </c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18" customHeight="1">
      <c r="A74" s="188">
        <v>67</v>
      </c>
      <c r="B74" s="193" t="s">
        <v>352</v>
      </c>
      <c r="C74" s="193" t="s">
        <v>19</v>
      </c>
      <c r="D74" s="190" t="s">
        <v>246</v>
      </c>
      <c r="E74" s="204" t="s">
        <v>363</v>
      </c>
      <c r="F74" s="204" t="s">
        <v>364</v>
      </c>
      <c r="G74" s="204" t="s">
        <v>365</v>
      </c>
      <c r="H74" s="194" t="s">
        <v>268</v>
      </c>
      <c r="I74" s="210"/>
      <c r="J74" s="279"/>
      <c r="K74" s="282"/>
      <c r="L74" s="66"/>
      <c r="M74" s="66"/>
      <c r="N74" s="66"/>
      <c r="O74" s="66"/>
      <c r="P74" s="66" t="str">
        <f t="shared" si="2"/>
        <v>GALAMGAM RAMON DIAZ</v>
      </c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18" customHeight="1">
      <c r="A75" s="188">
        <v>68</v>
      </c>
      <c r="B75" s="193" t="s">
        <v>352</v>
      </c>
      <c r="C75" s="193" t="s">
        <v>19</v>
      </c>
      <c r="D75" s="190" t="s">
        <v>366</v>
      </c>
      <c r="E75" s="191" t="s">
        <v>367</v>
      </c>
      <c r="F75" s="191" t="s">
        <v>368</v>
      </c>
      <c r="G75" s="191" t="s">
        <v>369</v>
      </c>
      <c r="H75" s="192"/>
      <c r="I75" s="212"/>
      <c r="J75" s="279" t="s">
        <v>370</v>
      </c>
      <c r="K75" s="307" t="s">
        <v>371</v>
      </c>
      <c r="L75" s="66"/>
      <c r="M75" s="66"/>
      <c r="N75" s="66"/>
      <c r="O75" s="66"/>
      <c r="P75" s="66" t="str">
        <f t="shared" si="2"/>
        <v>TACTAY HENRY GOLINO</v>
      </c>
      <c r="Q75" s="66" t="str">
        <f>IFERROR(VLOOKUP(P75,[1]Disposition!$AB$9:$AC$495,2,0),"NO RECORD YET")</f>
        <v>41 Quimmarayan, Sto. Domingo, Ilocos Sur</v>
      </c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18" customHeight="1">
      <c r="A76" s="188">
        <v>69</v>
      </c>
      <c r="B76" s="193" t="s">
        <v>352</v>
      </c>
      <c r="C76" s="193" t="s">
        <v>39</v>
      </c>
      <c r="D76" s="190" t="s">
        <v>28</v>
      </c>
      <c r="E76" s="191" t="s">
        <v>372</v>
      </c>
      <c r="F76" s="191" t="s">
        <v>373</v>
      </c>
      <c r="G76" s="191" t="s">
        <v>374</v>
      </c>
      <c r="H76" s="192"/>
      <c r="I76" s="212"/>
      <c r="J76" s="185" t="s">
        <v>375</v>
      </c>
      <c r="K76" s="307" t="s">
        <v>376</v>
      </c>
      <c r="L76" s="66"/>
      <c r="M76" s="66"/>
      <c r="N76" s="66"/>
      <c r="O76" s="66"/>
      <c r="P76" s="66" t="str">
        <f t="shared" si="2"/>
        <v>ABRIAM ANNETH VALERIE MALNAT</v>
      </c>
      <c r="Q76" s="66" t="str">
        <f>IFERROR(VLOOKUP(P76,[1]Disposition!$AB$9:$AC$495,2,0),"NO RECORD YET")</f>
        <v>NO RECORD YET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18" customHeight="1">
      <c r="A77" s="188">
        <v>70</v>
      </c>
      <c r="B77" s="193" t="s">
        <v>352</v>
      </c>
      <c r="C77" s="193" t="s">
        <v>39</v>
      </c>
      <c r="D77" s="190" t="s">
        <v>28</v>
      </c>
      <c r="E77" s="191" t="s">
        <v>377</v>
      </c>
      <c r="F77" s="191" t="s">
        <v>378</v>
      </c>
      <c r="G77" s="191" t="s">
        <v>379</v>
      </c>
      <c r="H77" s="192"/>
      <c r="I77" s="212"/>
      <c r="J77" s="281" t="s">
        <v>380</v>
      </c>
      <c r="K77" s="307" t="s">
        <v>381</v>
      </c>
      <c r="L77" s="66"/>
      <c r="M77" s="66"/>
      <c r="N77" s="66"/>
      <c r="O77" s="66"/>
      <c r="P77" s="66" t="str">
        <f t="shared" si="2"/>
        <v>SAET MITZI ANNE BESA</v>
      </c>
      <c r="Q77" s="66" t="str">
        <f>IFERROR(VLOOKUP(P77,[1]Disposition!$AB$9:$AC$495,2,0),"NO RECORD YET")</f>
        <v>NO RECORD YET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18" customHeight="1">
      <c r="A78" s="188">
        <v>71</v>
      </c>
      <c r="B78" s="193" t="s">
        <v>352</v>
      </c>
      <c r="C78" s="193" t="s">
        <v>19</v>
      </c>
      <c r="D78" s="190" t="s">
        <v>28</v>
      </c>
      <c r="E78" s="195" t="s">
        <v>382</v>
      </c>
      <c r="F78" s="195" t="s">
        <v>383</v>
      </c>
      <c r="G78" s="195" t="s">
        <v>384</v>
      </c>
      <c r="H78" s="194"/>
      <c r="I78" s="212"/>
      <c r="J78" s="281" t="s">
        <v>385</v>
      </c>
      <c r="K78" s="307" t="s">
        <v>386</v>
      </c>
      <c r="L78" s="66"/>
      <c r="M78" s="66"/>
      <c r="N78" s="66"/>
      <c r="O78" s="66"/>
      <c r="P78" s="66" t="str">
        <f t="shared" si="2"/>
        <v>SALES JAFET ANINAO</v>
      </c>
      <c r="Q78" s="66" t="str">
        <f>IFERROR(VLOOKUP(P78,[1]Disposition!$AB$9:$AC$495,2,0),"NO RECORD YET")</f>
        <v>NO RECORD YET</v>
      </c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18" customHeight="1">
      <c r="A79" s="188">
        <v>72</v>
      </c>
      <c r="B79" s="193" t="s">
        <v>352</v>
      </c>
      <c r="C79" s="193" t="s">
        <v>19</v>
      </c>
      <c r="D79" s="190" t="s">
        <v>40</v>
      </c>
      <c r="E79" s="191" t="s">
        <v>387</v>
      </c>
      <c r="F79" s="191" t="s">
        <v>388</v>
      </c>
      <c r="G79" s="191" t="s">
        <v>389</v>
      </c>
      <c r="H79" s="192"/>
      <c r="I79" s="210"/>
      <c r="J79" s="279" t="s">
        <v>390</v>
      </c>
      <c r="K79" s="307" t="s">
        <v>391</v>
      </c>
      <c r="L79" s="66"/>
      <c r="M79" s="66"/>
      <c r="N79" s="66"/>
      <c r="O79" s="66"/>
      <c r="P79" s="66" t="str">
        <f t="shared" si="2"/>
        <v>TACORDA JASON ABRAHAM ABION</v>
      </c>
      <c r="Q79" s="66" t="str">
        <f>IFERROR(VLOOKUP(P79,[1]Disposition!$AB$9:$AC$495,2,0),"NO RECORD YET")</f>
        <v>2315 T2 Amaia Skies, Cubao, 5the Ave. cor P Tuazon Ave., Brgy. Socorro, Quezon City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18" customHeight="1">
      <c r="A80" s="188">
        <v>73</v>
      </c>
      <c r="B80" s="193" t="s">
        <v>392</v>
      </c>
      <c r="C80" s="193" t="s">
        <v>19</v>
      </c>
      <c r="D80" s="194" t="s">
        <v>253</v>
      </c>
      <c r="E80" s="191" t="s">
        <v>393</v>
      </c>
      <c r="F80" s="191" t="s">
        <v>394</v>
      </c>
      <c r="G80" s="191" t="s">
        <v>395</v>
      </c>
      <c r="H80" s="192"/>
      <c r="I80" s="210"/>
      <c r="J80" s="279" t="s">
        <v>396</v>
      </c>
      <c r="K80" s="307" t="s">
        <v>397</v>
      </c>
      <c r="L80" s="66"/>
      <c r="M80" s="66"/>
      <c r="N80" s="66"/>
      <c r="O80" s="66"/>
      <c r="P80" s="66" t="str">
        <f t="shared" si="2"/>
        <v>NICOLAS JAY-R TADEO</v>
      </c>
      <c r="Q80" s="66" t="str">
        <f>IFERROR(VLOOKUP(P80,[1]Disposition!$AB$9:$AC$495,2,0),"NO RECORD YET")</f>
        <v>#143 Asin West., Malasigue, Pangasinan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18" customHeight="1">
      <c r="A81" s="188">
        <v>74</v>
      </c>
      <c r="B81" s="193" t="s">
        <v>398</v>
      </c>
      <c r="C81" s="193" t="s">
        <v>19</v>
      </c>
      <c r="D81" s="194" t="s">
        <v>253</v>
      </c>
      <c r="E81" s="191" t="s">
        <v>399</v>
      </c>
      <c r="F81" s="191" t="s">
        <v>400</v>
      </c>
      <c r="G81" s="191" t="s">
        <v>401</v>
      </c>
      <c r="H81" s="192"/>
      <c r="I81" s="210"/>
      <c r="J81" s="279">
        <v>4</v>
      </c>
      <c r="K81" s="307" t="s">
        <v>402</v>
      </c>
      <c r="L81" s="66"/>
      <c r="M81" s="66"/>
      <c r="N81" s="66"/>
      <c r="O81" s="66"/>
      <c r="P81" s="66" t="str">
        <f t="shared" si="2"/>
        <v>SY CHRISTIAN ONG</v>
      </c>
      <c r="Q81" s="66" t="str">
        <f>IFERROR(VLOOKUP(P81,[1]Disposition!$AB$9:$AC$495,2,0),"NO RECORD YET")</f>
        <v>B3 L4 Ephesians St., Sta. Monica Heights, Suqui, Calapan City, Oriental Mindoro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18" customHeight="1">
      <c r="A82" s="188">
        <v>75</v>
      </c>
      <c r="B82" s="193" t="s">
        <v>398</v>
      </c>
      <c r="C82" s="193" t="s">
        <v>19</v>
      </c>
      <c r="D82" s="190" t="s">
        <v>28</v>
      </c>
      <c r="E82" s="195" t="s">
        <v>403</v>
      </c>
      <c r="F82" s="195" t="s">
        <v>404</v>
      </c>
      <c r="G82" s="195" t="s">
        <v>405</v>
      </c>
      <c r="H82" s="194"/>
      <c r="I82" s="212"/>
      <c r="J82" s="185" t="s">
        <v>406</v>
      </c>
      <c r="K82" s="307" t="s">
        <v>407</v>
      </c>
      <c r="L82" s="66"/>
      <c r="M82" s="66"/>
      <c r="N82" s="66"/>
      <c r="O82" s="66"/>
      <c r="P82" s="66" t="str">
        <f t="shared" si="2"/>
        <v>OBOG JOHN  MARLO MAGRAMO</v>
      </c>
      <c r="Q82" s="66" t="str">
        <f>IFERROR(VLOOKUP(P82,[1]Disposition!$AB$9:$AC$495,2,0),"NO RECORD YET")</f>
        <v>NO RECORD YET</v>
      </c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18" customHeight="1">
      <c r="A83" s="188">
        <v>76</v>
      </c>
      <c r="B83" s="193" t="s">
        <v>398</v>
      </c>
      <c r="C83" s="193" t="s">
        <v>19</v>
      </c>
      <c r="D83" s="194" t="s">
        <v>40</v>
      </c>
      <c r="E83" s="204" t="s">
        <v>408</v>
      </c>
      <c r="F83" s="204" t="s">
        <v>409</v>
      </c>
      <c r="G83" s="204" t="s">
        <v>410</v>
      </c>
      <c r="H83" s="205"/>
      <c r="I83" s="210"/>
      <c r="J83" s="285"/>
      <c r="K83" s="282"/>
      <c r="L83" s="66"/>
      <c r="M83" s="66"/>
      <c r="N83" s="66"/>
      <c r="O83" s="66"/>
      <c r="P83" s="66" t="str">
        <f t="shared" si="2"/>
        <v>BUENSUCESO NEIL PAUL BAUTISTA</v>
      </c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18" customHeight="1">
      <c r="A84" s="188">
        <v>77</v>
      </c>
      <c r="B84" s="193" t="s">
        <v>411</v>
      </c>
      <c r="C84" s="189" t="s">
        <v>19</v>
      </c>
      <c r="D84" s="194" t="s">
        <v>253</v>
      </c>
      <c r="E84" s="191" t="s">
        <v>412</v>
      </c>
      <c r="F84" s="191" t="s">
        <v>413</v>
      </c>
      <c r="G84" s="191" t="s">
        <v>414</v>
      </c>
      <c r="H84" s="192"/>
      <c r="I84" s="210"/>
      <c r="J84" s="279" t="s">
        <v>415</v>
      </c>
      <c r="K84" s="307" t="s">
        <v>416</v>
      </c>
      <c r="L84" s="66"/>
      <c r="M84" s="66"/>
      <c r="N84" s="66"/>
      <c r="O84" s="66"/>
      <c r="P84" s="66" t="str">
        <f t="shared" si="2"/>
        <v>DULA JOEL MANALANSAN</v>
      </c>
      <c r="Q84" s="66" t="str">
        <f>IFERROR(VLOOKUP(P84,[1]Disposition!$AB$9:$AC$495,2,0),"NO RECORD YET")</f>
        <v>407 Purok 7, New San Juan, Dinalupihan, Bataan</v>
      </c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18" customHeight="1">
      <c r="A85" s="188">
        <v>78</v>
      </c>
      <c r="B85" s="193" t="s">
        <v>411</v>
      </c>
      <c r="C85" s="193" t="s">
        <v>39</v>
      </c>
      <c r="D85" s="190" t="s">
        <v>96</v>
      </c>
      <c r="E85" s="204" t="s">
        <v>417</v>
      </c>
      <c r="F85" s="204" t="s">
        <v>418</v>
      </c>
      <c r="G85" s="204" t="s">
        <v>419</v>
      </c>
      <c r="H85" s="205"/>
      <c r="I85" s="210"/>
      <c r="J85" s="279" t="s">
        <v>420</v>
      </c>
      <c r="K85" s="286"/>
      <c r="L85" s="66"/>
      <c r="M85" s="66"/>
      <c r="N85" s="66"/>
      <c r="O85" s="66"/>
      <c r="P85" s="66" t="str">
        <f t="shared" si="2"/>
        <v>DIMASANGKAY SORAIYA MUSAID</v>
      </c>
      <c r="Q85" s="66" t="str">
        <f>IFERROR(VLOOKUP(P85,[1]Disposition!$AB$9:$AC$495,2,0),"NO RECORD YET")</f>
        <v>NO RECORD YET</v>
      </c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18" customHeight="1">
      <c r="A86" s="188">
        <v>79</v>
      </c>
      <c r="B86" s="193" t="s">
        <v>411</v>
      </c>
      <c r="C86" s="193" t="s">
        <v>39</v>
      </c>
      <c r="D86" s="190" t="s">
        <v>40</v>
      </c>
      <c r="E86" s="191" t="s">
        <v>421</v>
      </c>
      <c r="F86" s="191" t="s">
        <v>422</v>
      </c>
      <c r="G86" s="191" t="s">
        <v>423</v>
      </c>
      <c r="H86" s="192"/>
      <c r="I86" s="210"/>
      <c r="J86" s="279" t="s">
        <v>424</v>
      </c>
      <c r="K86" s="307" t="s">
        <v>425</v>
      </c>
      <c r="L86" s="66"/>
      <c r="M86" s="66"/>
      <c r="N86" s="66"/>
      <c r="O86" s="66"/>
      <c r="P86" s="66" t="str">
        <f t="shared" si="2"/>
        <v>JEPOLLO JOCELYN TAMONDONG</v>
      </c>
      <c r="Q86" s="66" t="str">
        <f>IFERROR(VLOOKUP(P86,[1]Disposition!$AB$9:$AC$495,2,0),"NO RECORD YET")</f>
        <v>#7 4TH Avenue, Bagong Lipunan, Crame, Quezon City</v>
      </c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18" customHeight="1">
      <c r="A87" s="188">
        <v>80</v>
      </c>
      <c r="B87" s="193" t="s">
        <v>411</v>
      </c>
      <c r="C87" s="193" t="s">
        <v>39</v>
      </c>
      <c r="D87" s="190" t="s">
        <v>40</v>
      </c>
      <c r="E87" s="191" t="s">
        <v>426</v>
      </c>
      <c r="F87" s="191" t="s">
        <v>427</v>
      </c>
      <c r="G87" s="191" t="s">
        <v>423</v>
      </c>
      <c r="H87" s="192"/>
      <c r="I87" s="210"/>
      <c r="J87" s="279" t="s">
        <v>428</v>
      </c>
      <c r="K87" s="307" t="s">
        <v>429</v>
      </c>
      <c r="L87" s="66"/>
      <c r="M87" s="66"/>
      <c r="N87" s="66"/>
      <c r="O87" s="66"/>
      <c r="P87" s="66" t="str">
        <f t="shared" si="2"/>
        <v>TODA MA CRISTINA TAMONDONG</v>
      </c>
      <c r="Q87" s="66" t="str">
        <f>IFERROR(VLOOKUP(P87,[1]Disposition!$AB$9:$AC$495,2,0),"NO RECORD YET")</f>
        <v>19 A J Ocampo St., Project 4, Quezon City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18" customHeight="1">
      <c r="A88" s="188">
        <v>81</v>
      </c>
      <c r="B88" s="193" t="s">
        <v>430</v>
      </c>
      <c r="C88" s="193" t="s">
        <v>19</v>
      </c>
      <c r="D88" s="190" t="s">
        <v>96</v>
      </c>
      <c r="E88" s="204" t="s">
        <v>431</v>
      </c>
      <c r="F88" s="204" t="s">
        <v>432</v>
      </c>
      <c r="G88" s="204" t="s">
        <v>433</v>
      </c>
      <c r="H88" s="205" t="s">
        <v>268</v>
      </c>
      <c r="I88" s="210"/>
      <c r="J88" s="279" t="s">
        <v>434</v>
      </c>
      <c r="K88" s="307" t="s">
        <v>435</v>
      </c>
      <c r="L88" s="66"/>
      <c r="M88" s="66"/>
      <c r="N88" s="66"/>
      <c r="O88" s="66"/>
      <c r="P88" s="66" t="str">
        <f t="shared" si="2"/>
        <v>BALLENAS ROBERTO ALPAS</v>
      </c>
      <c r="Q88" s="66" t="str">
        <f>IFERROR(VLOOKUP(P88,[1]Disposition!$AB$9:$AC$495,2,0),"NO RECORD YET")</f>
        <v>Purok Masipag, Buayan, M'lang, Cotabato, North Cotabato</v>
      </c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18" customHeight="1">
      <c r="A89" s="188">
        <v>82</v>
      </c>
      <c r="B89" s="193" t="s">
        <v>430</v>
      </c>
      <c r="C89" s="193" t="s">
        <v>39</v>
      </c>
      <c r="D89" s="194" t="s">
        <v>28</v>
      </c>
      <c r="E89" s="204" t="s">
        <v>436</v>
      </c>
      <c r="F89" s="204" t="s">
        <v>437</v>
      </c>
      <c r="G89" s="204" t="s">
        <v>438</v>
      </c>
      <c r="H89" s="205"/>
      <c r="I89" s="212"/>
      <c r="J89" s="279" t="s">
        <v>439</v>
      </c>
      <c r="K89" s="307" t="s">
        <v>440</v>
      </c>
      <c r="L89" s="66"/>
      <c r="M89" s="66"/>
      <c r="N89" s="66"/>
      <c r="O89" s="66"/>
      <c r="P89" s="66" t="str">
        <f t="shared" si="2"/>
        <v>GUAVINO CHE-YENNE LAZARITO</v>
      </c>
      <c r="Q89" s="66" t="str">
        <f>IFERROR(VLOOKUP(P89,[1]Disposition!$AB$9:$AC$495,2,0),"NO RECORD YET")</f>
        <v>Apartment 23, EMQ Camp Crame, Bagong Lipunan ng Crame, Qauezon City</v>
      </c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18" customHeight="1">
      <c r="A90" s="188">
        <v>83</v>
      </c>
      <c r="B90" s="193" t="s">
        <v>430</v>
      </c>
      <c r="C90" s="193" t="s">
        <v>19</v>
      </c>
      <c r="D90" s="194" t="s">
        <v>28</v>
      </c>
      <c r="E90" s="204" t="s">
        <v>441</v>
      </c>
      <c r="F90" s="204" t="s">
        <v>442</v>
      </c>
      <c r="G90" s="204" t="s">
        <v>443</v>
      </c>
      <c r="H90" s="205"/>
      <c r="I90" s="212"/>
      <c r="J90" s="279" t="s">
        <v>444</v>
      </c>
      <c r="K90" s="307" t="s">
        <v>445</v>
      </c>
      <c r="L90" s="66"/>
      <c r="M90" s="66"/>
      <c r="N90" s="66"/>
      <c r="O90" s="66"/>
      <c r="P90" s="66" t="str">
        <f t="shared" si="2"/>
        <v>INALVEZ NEIL ADRIAN NUCOM</v>
      </c>
      <c r="Q90" s="66" t="str">
        <f>IFERROR(VLOOKUP(P90,[1]Disposition!$AB$9:$AC$495,2,0),"NO RECORD YET")</f>
        <v>676 Purok KB3, Maugat, San Antonio, Nueva Ecija,</v>
      </c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18" customHeight="1">
      <c r="A91" s="188">
        <v>84</v>
      </c>
      <c r="B91" s="193" t="s">
        <v>446</v>
      </c>
      <c r="C91" s="193" t="s">
        <v>39</v>
      </c>
      <c r="D91" s="190" t="s">
        <v>96</v>
      </c>
      <c r="E91" s="191" t="s">
        <v>447</v>
      </c>
      <c r="F91" s="191" t="s">
        <v>448</v>
      </c>
      <c r="G91" s="191" t="s">
        <v>449</v>
      </c>
      <c r="H91" s="192"/>
      <c r="I91" s="210"/>
      <c r="J91" s="279" t="s">
        <v>450</v>
      </c>
      <c r="K91" s="307" t="s">
        <v>451</v>
      </c>
      <c r="L91" s="66"/>
      <c r="M91" s="66"/>
      <c r="N91" s="66"/>
      <c r="O91" s="66"/>
      <c r="P91" s="66" t="str">
        <f t="shared" si="2"/>
        <v>BUHAIN DOROTHY VILLALOBOS</v>
      </c>
      <c r="Q91" s="66" t="str">
        <f>IFERROR(VLOOKUP(P91,[1]Disposition!$AB$9:$AC$495,2,0),"NO RECORD YET")</f>
        <v>301 Masagana Subd., Gumamela St., San Francisco, Bulacan</v>
      </c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18" customHeight="1">
      <c r="A92" s="188">
        <v>85</v>
      </c>
      <c r="B92" s="193" t="s">
        <v>446</v>
      </c>
      <c r="C92" s="193" t="s">
        <v>19</v>
      </c>
      <c r="D92" s="190" t="s">
        <v>366</v>
      </c>
      <c r="E92" s="191" t="s">
        <v>452</v>
      </c>
      <c r="F92" s="191" t="s">
        <v>453</v>
      </c>
      <c r="G92" s="191" t="s">
        <v>454</v>
      </c>
      <c r="H92" s="192"/>
      <c r="I92" s="210"/>
      <c r="J92" s="279" t="s">
        <v>455</v>
      </c>
      <c r="K92" s="307" t="s">
        <v>456</v>
      </c>
      <c r="L92" s="257"/>
      <c r="M92" s="257"/>
      <c r="N92" s="257"/>
      <c r="O92" s="257"/>
      <c r="P92" s="257" t="str">
        <f t="shared" si="2"/>
        <v>SIBAYAN REYGIE PIAGAN</v>
      </c>
      <c r="Q92" s="257" t="str">
        <f>IFERROR(VLOOKUP(P92,[1]Disposition!$AB$9:$AC$495,2,0),"NO RECORD YET")</f>
        <v>Giron St., BRGY NO. 2, Santa Joaquina, Laoag City, Ilocos Norte</v>
      </c>
      <c r="R92" s="257"/>
      <c r="S92" s="257"/>
      <c r="T92" s="257"/>
      <c r="U92" s="257"/>
      <c r="V92" s="257"/>
      <c r="W92" s="257"/>
      <c r="X92" s="257"/>
      <c r="Y92" s="257"/>
      <c r="Z92" s="257"/>
      <c r="AA92" s="257"/>
    </row>
    <row r="93" spans="1:27" ht="18" customHeight="1">
      <c r="A93" s="188">
        <v>86</v>
      </c>
      <c r="B93" s="193" t="s">
        <v>446</v>
      </c>
      <c r="C93" s="193" t="s">
        <v>19</v>
      </c>
      <c r="D93" s="190" t="s">
        <v>28</v>
      </c>
      <c r="E93" s="195" t="s">
        <v>457</v>
      </c>
      <c r="F93" s="195" t="s">
        <v>458</v>
      </c>
      <c r="G93" s="195" t="s">
        <v>459</v>
      </c>
      <c r="H93" s="194"/>
      <c r="I93" s="212"/>
      <c r="J93" s="281" t="s">
        <v>460</v>
      </c>
      <c r="K93" s="307" t="s">
        <v>461</v>
      </c>
      <c r="L93" s="66"/>
      <c r="M93" s="66"/>
      <c r="N93" s="66"/>
      <c r="O93" s="66"/>
      <c r="P93" s="66" t="str">
        <f t="shared" si="2"/>
        <v>CORDERO EARLBON JIMENEZ</v>
      </c>
      <c r="Q93" s="66" t="str">
        <f>IFERROR(VLOOKUP(P93,[1]Disposition!$AB$9:$AC$495,2,0),"NO RECORD YET")</f>
        <v>NO RECORD YET</v>
      </c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18" customHeight="1">
      <c r="A94" s="188">
        <v>87</v>
      </c>
      <c r="B94" s="193" t="s">
        <v>446</v>
      </c>
      <c r="C94" s="193" t="s">
        <v>19</v>
      </c>
      <c r="D94" s="190" t="s">
        <v>28</v>
      </c>
      <c r="E94" s="195" t="s">
        <v>462</v>
      </c>
      <c r="F94" s="195" t="s">
        <v>463</v>
      </c>
      <c r="G94" s="195" t="s">
        <v>464</v>
      </c>
      <c r="H94" s="194" t="s">
        <v>268</v>
      </c>
      <c r="I94" s="212"/>
      <c r="J94" s="281" t="s">
        <v>465</v>
      </c>
      <c r="K94" s="307" t="s">
        <v>466</v>
      </c>
      <c r="L94" s="66"/>
      <c r="M94" s="66"/>
      <c r="N94" s="66"/>
      <c r="O94" s="66"/>
      <c r="P94" s="66" t="str">
        <f t="shared" si="2"/>
        <v>ORLANDA BERNABE MACADANGDANG</v>
      </c>
      <c r="Q94" s="66" t="str">
        <f>IFERROR(VLOOKUP(P94,[1]Disposition!$AB$9:$AC$495,2,0),"NO RECORD YET")</f>
        <v>NO RECORD YET</v>
      </c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18" customHeight="1">
      <c r="A95" s="188">
        <v>88</v>
      </c>
      <c r="B95" s="189" t="s">
        <v>467</v>
      </c>
      <c r="C95" s="189" t="s">
        <v>19</v>
      </c>
      <c r="D95" s="190" t="s">
        <v>160</v>
      </c>
      <c r="E95" s="191" t="s">
        <v>468</v>
      </c>
      <c r="F95" s="191" t="s">
        <v>469</v>
      </c>
      <c r="G95" s="191" t="s">
        <v>470</v>
      </c>
      <c r="H95" s="192"/>
      <c r="I95" s="210"/>
      <c r="J95" s="279" t="s">
        <v>471</v>
      </c>
      <c r="K95" s="307" t="s">
        <v>472</v>
      </c>
      <c r="L95" s="66"/>
      <c r="M95" s="66"/>
      <c r="N95" s="66"/>
      <c r="O95" s="66"/>
      <c r="P95" s="66" t="str">
        <f t="shared" si="2"/>
        <v>SEVILLA JERALD MANUZON</v>
      </c>
      <c r="Q95" s="66" t="str">
        <f>IFERROR(VLOOKUP(P95,[1]Disposition!$AB$9:$AC$495,2,0),"NO RECORD YET")</f>
        <v>B-38 L-20 Violeta St., Pembo, Makati City</v>
      </c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18" customHeight="1">
      <c r="A96" s="188">
        <v>89</v>
      </c>
      <c r="B96" s="193" t="s">
        <v>473</v>
      </c>
      <c r="C96" s="193" t="s">
        <v>39</v>
      </c>
      <c r="D96" s="190" t="s">
        <v>96</v>
      </c>
      <c r="E96" s="204" t="s">
        <v>474</v>
      </c>
      <c r="F96" s="204" t="s">
        <v>475</v>
      </c>
      <c r="G96" s="204" t="s">
        <v>476</v>
      </c>
      <c r="H96" s="205"/>
      <c r="I96" s="210"/>
      <c r="J96" s="279" t="s">
        <v>477</v>
      </c>
      <c r="K96" s="307" t="s">
        <v>478</v>
      </c>
      <c r="L96" s="66"/>
      <c r="M96" s="66"/>
      <c r="N96" s="66"/>
      <c r="O96" s="66"/>
      <c r="P96" s="66" t="str">
        <f t="shared" si="2"/>
        <v>SUAYA RAFFY JANE ALIDAO</v>
      </c>
      <c r="Q96" s="66" t="str">
        <f>IFERROR(VLOOKUP(P96,[1]Disposition!$AB$9:$AC$495,2,0),"NO RECORD YET")</f>
        <v>#25 C Purok 1, Lower Liwanag, Liwanag-Loakan, Baguio City, Benguet</v>
      </c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18" customHeight="1">
      <c r="A97" s="188">
        <v>90</v>
      </c>
      <c r="B97" s="193" t="s">
        <v>479</v>
      </c>
      <c r="C97" s="193" t="s">
        <v>39</v>
      </c>
      <c r="D97" s="194" t="s">
        <v>96</v>
      </c>
      <c r="E97" s="191" t="s">
        <v>480</v>
      </c>
      <c r="F97" s="191" t="s">
        <v>481</v>
      </c>
      <c r="G97" s="191" t="s">
        <v>482</v>
      </c>
      <c r="H97" s="192"/>
      <c r="I97" s="210"/>
      <c r="J97" s="279" t="s">
        <v>483</v>
      </c>
      <c r="K97" s="307" t="s">
        <v>484</v>
      </c>
      <c r="L97" s="66"/>
      <c r="M97" s="66"/>
      <c r="N97" s="66"/>
      <c r="O97" s="66"/>
      <c r="P97" s="66" t="str">
        <f t="shared" si="2"/>
        <v>REVALE EDELLENE BABAGAY</v>
      </c>
      <c r="Q97" s="66" t="str">
        <f>IFERROR(VLOOKUP(P97,[1]Disposition!$AB$9:$AC$495,2,0),"NO RECORD YET")</f>
        <v>P3 Brgy. Ems Barrio, Legaspi City, Albay</v>
      </c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18" customHeight="1">
      <c r="A98" s="188">
        <v>91</v>
      </c>
      <c r="B98" s="193" t="s">
        <v>479</v>
      </c>
      <c r="C98" s="193" t="s">
        <v>19</v>
      </c>
      <c r="D98" s="194" t="s">
        <v>96</v>
      </c>
      <c r="E98" s="191" t="s">
        <v>485</v>
      </c>
      <c r="F98" s="191" t="s">
        <v>486</v>
      </c>
      <c r="G98" s="191" t="s">
        <v>487</v>
      </c>
      <c r="H98" s="192"/>
      <c r="I98" s="210"/>
      <c r="J98" s="279" t="s">
        <v>488</v>
      </c>
      <c r="K98" s="307" t="s">
        <v>489</v>
      </c>
      <c r="L98" s="66"/>
      <c r="M98" s="66"/>
      <c r="N98" s="66"/>
      <c r="O98" s="66"/>
      <c r="P98" s="66" t="str">
        <f t="shared" si="2"/>
        <v>SOBREVILLA RAYMUND CHRISTOPHER DECIPULO</v>
      </c>
      <c r="Q98" s="66" t="str">
        <f>IFERROR(VLOOKUP(P98,[1]Disposition!$AB$9:$AC$495,2,0),"NO RECORD YET")</f>
        <v>15 F Int. Del Pilar ST., Purok Bougambilla, Brgy. Bagja Mother, Cotabato City</v>
      </c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18" customHeight="1">
      <c r="A99" s="188">
        <v>92</v>
      </c>
      <c r="B99" s="193" t="s">
        <v>479</v>
      </c>
      <c r="C99" s="193" t="s">
        <v>39</v>
      </c>
      <c r="D99" s="190" t="s">
        <v>96</v>
      </c>
      <c r="E99" s="204" t="s">
        <v>490</v>
      </c>
      <c r="F99" s="204" t="s">
        <v>491</v>
      </c>
      <c r="G99" s="204" t="s">
        <v>492</v>
      </c>
      <c r="H99" s="194"/>
      <c r="I99" s="210"/>
      <c r="J99" s="279" t="s">
        <v>493</v>
      </c>
      <c r="K99" s="307" t="s">
        <v>494</v>
      </c>
      <c r="L99" s="66"/>
      <c r="M99" s="66"/>
      <c r="N99" s="66"/>
      <c r="O99" s="66"/>
      <c r="P99" s="66" t="str">
        <f t="shared" si="2"/>
        <v>ESTRADA MICAELLA ALLYSSA MONTES</v>
      </c>
      <c r="Q99" s="66" t="str">
        <f>IFERROR(VLOOKUP(P99,[1]Disposition!$AB$9:$AC$495,2,0),"NO RECORD YET")</f>
        <v>15 Jonathan St., Brgy. 55, Tondo, Manila</v>
      </c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18" customHeight="1">
      <c r="A100" s="188">
        <v>93</v>
      </c>
      <c r="B100" s="193" t="s">
        <v>479</v>
      </c>
      <c r="C100" s="193" t="s">
        <v>19</v>
      </c>
      <c r="D100" s="190" t="s">
        <v>28</v>
      </c>
      <c r="E100" s="195" t="s">
        <v>495</v>
      </c>
      <c r="F100" s="195" t="s">
        <v>496</v>
      </c>
      <c r="G100" s="195" t="s">
        <v>497</v>
      </c>
      <c r="H100" s="194"/>
      <c r="I100" s="212"/>
      <c r="J100" s="281" t="s">
        <v>498</v>
      </c>
      <c r="K100" s="307" t="s">
        <v>499</v>
      </c>
      <c r="L100" s="66"/>
      <c r="M100" s="66"/>
      <c r="N100" s="66"/>
      <c r="O100" s="66"/>
      <c r="P100" s="66" t="str">
        <f t="shared" si="2"/>
        <v>CODIMO SOLOMON MADLAENG</v>
      </c>
      <c r="Q100" s="66" t="str">
        <f>IFERROR(VLOOKUP(P100,[1]Disposition!$AB$9:$AC$495,2,0),"NO RECORD YET")</f>
        <v>NO RECORD YET</v>
      </c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18" customHeight="1">
      <c r="A101" s="188">
        <v>94</v>
      </c>
      <c r="B101" s="193" t="s">
        <v>479</v>
      </c>
      <c r="C101" s="193" t="s">
        <v>19</v>
      </c>
      <c r="D101" s="190" t="s">
        <v>28</v>
      </c>
      <c r="E101" s="195" t="s">
        <v>500</v>
      </c>
      <c r="F101" s="195" t="s">
        <v>501</v>
      </c>
      <c r="G101" s="195" t="s">
        <v>502</v>
      </c>
      <c r="H101" s="194"/>
      <c r="I101" s="212"/>
      <c r="J101" s="281" t="s">
        <v>503</v>
      </c>
      <c r="K101" s="307" t="s">
        <v>504</v>
      </c>
      <c r="L101" s="66"/>
      <c r="M101" s="66"/>
      <c r="N101" s="66"/>
      <c r="O101" s="66"/>
      <c r="P101" s="66" t="str">
        <f t="shared" si="2"/>
        <v>MANGOBA ROMMEL JAZMIN</v>
      </c>
      <c r="Q101" s="66" t="str">
        <f>IFERROR(VLOOKUP(P101,[1]Disposition!$AB$9:$AC$495,2,0),"NO RECORD YET")</f>
        <v>NO RECORD YET</v>
      </c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18" customHeight="1">
      <c r="A102" s="188">
        <v>95</v>
      </c>
      <c r="B102" s="193" t="s">
        <v>505</v>
      </c>
      <c r="C102" s="193" t="s">
        <v>39</v>
      </c>
      <c r="D102" s="194" t="s">
        <v>28</v>
      </c>
      <c r="E102" s="204" t="s">
        <v>506</v>
      </c>
      <c r="F102" s="204" t="s">
        <v>507</v>
      </c>
      <c r="G102" s="204" t="s">
        <v>508</v>
      </c>
      <c r="H102" s="205"/>
      <c r="I102" s="212"/>
      <c r="J102" s="279" t="s">
        <v>509</v>
      </c>
      <c r="K102" s="307" t="s">
        <v>510</v>
      </c>
      <c r="L102" s="66"/>
      <c r="M102" s="66"/>
      <c r="N102" s="66"/>
      <c r="O102" s="66"/>
      <c r="P102" s="66" t="str">
        <f t="shared" si="2"/>
        <v>MARASIGAN MIA ANGELA CORNEJO</v>
      </c>
      <c r="Q102" s="66" t="str">
        <f>IFERROR(VLOOKUP(P102,[1]Disposition!$AB$9:$AC$495,2,0),"NO RECORD YET")</f>
        <v>121G 14TH Ave., Socorro, Quezon City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18" customHeight="1">
      <c r="A103" s="188">
        <v>96</v>
      </c>
      <c r="B103" s="193" t="s">
        <v>479</v>
      </c>
      <c r="C103" s="193" t="s">
        <v>39</v>
      </c>
      <c r="D103" s="194" t="s">
        <v>28</v>
      </c>
      <c r="E103" s="204" t="s">
        <v>511</v>
      </c>
      <c r="F103" s="204" t="s">
        <v>512</v>
      </c>
      <c r="G103" s="204" t="s">
        <v>513</v>
      </c>
      <c r="H103" s="205"/>
      <c r="I103" s="212"/>
      <c r="J103" s="279" t="s">
        <v>514</v>
      </c>
      <c r="K103" s="307" t="s">
        <v>515</v>
      </c>
      <c r="L103" s="66"/>
      <c r="M103" s="66"/>
      <c r="N103" s="66"/>
      <c r="O103" s="66"/>
      <c r="P103" s="66" t="str">
        <f t="shared" si="2"/>
        <v>RADA KRIZTELA FEY LIM</v>
      </c>
      <c r="Q103" s="66" t="str">
        <f>IFERROR(VLOOKUP(P103,[1]Disposition!$AB$9:$AC$495,2,0),"NO RECORD YET")</f>
        <v>Pili, San Fernando, Romblon</v>
      </c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18" customHeight="1">
      <c r="A104" s="188">
        <v>97</v>
      </c>
      <c r="B104" s="193" t="s">
        <v>479</v>
      </c>
      <c r="C104" s="193" t="s">
        <v>19</v>
      </c>
      <c r="D104" s="190" t="s">
        <v>28</v>
      </c>
      <c r="E104" s="195" t="s">
        <v>516</v>
      </c>
      <c r="F104" s="195" t="s">
        <v>517</v>
      </c>
      <c r="G104" s="195" t="s">
        <v>518</v>
      </c>
      <c r="H104" s="194"/>
      <c r="I104" s="212"/>
      <c r="J104" s="185" t="s">
        <v>519</v>
      </c>
      <c r="K104" s="307" t="s">
        <v>520</v>
      </c>
      <c r="L104" s="66"/>
      <c r="M104" s="66"/>
      <c r="N104" s="66"/>
      <c r="O104" s="66"/>
      <c r="P104" s="66" t="str">
        <f t="shared" si="2"/>
        <v>VILLABRIGA TIMOTHY HORNOZ</v>
      </c>
      <c r="Q104" s="66" t="str">
        <f>IFERROR(VLOOKUP(P104,[1]Disposition!$AB$9:$AC$495,2,0),"NO RECORD YET")</f>
        <v>NO RECORD YET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18" customHeight="1">
      <c r="A105" s="188">
        <v>98</v>
      </c>
      <c r="B105" s="193" t="s">
        <v>479</v>
      </c>
      <c r="C105" s="193" t="s">
        <v>39</v>
      </c>
      <c r="D105" s="190" t="s">
        <v>40</v>
      </c>
      <c r="E105" s="191" t="s">
        <v>521</v>
      </c>
      <c r="F105" s="191" t="s">
        <v>522</v>
      </c>
      <c r="G105" s="191" t="s">
        <v>523</v>
      </c>
      <c r="H105" s="192"/>
      <c r="I105" s="210"/>
      <c r="J105" s="279" t="s">
        <v>524</v>
      </c>
      <c r="K105" s="307" t="s">
        <v>525</v>
      </c>
      <c r="L105" s="66"/>
      <c r="M105" s="66"/>
      <c r="N105" s="66"/>
      <c r="O105" s="66"/>
      <c r="P105" s="66" t="str">
        <f t="shared" si="2"/>
        <v>MAISO PRISCILLA DAMO</v>
      </c>
      <c r="Q105" s="66" t="str">
        <f>IFERROR(VLOOKUP(P105,[1]Disposition!$AB$9:$AC$495,2,0),"NO RECORD YET")</f>
        <v>116-15th  Avenue, San Roque, Murphy Cubao, Quezon City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18" customHeight="1">
      <c r="A106" s="188">
        <v>99</v>
      </c>
      <c r="B106" s="193" t="s">
        <v>479</v>
      </c>
      <c r="C106" s="193" t="s">
        <v>19</v>
      </c>
      <c r="D106" s="190" t="s">
        <v>40</v>
      </c>
      <c r="E106" s="191" t="s">
        <v>526</v>
      </c>
      <c r="F106" s="191" t="s">
        <v>527</v>
      </c>
      <c r="G106" s="191" t="s">
        <v>528</v>
      </c>
      <c r="H106" s="192"/>
      <c r="I106" s="210"/>
      <c r="J106" s="279" t="s">
        <v>529</v>
      </c>
      <c r="K106" s="307" t="s">
        <v>530</v>
      </c>
      <c r="L106" s="66"/>
      <c r="M106" s="66"/>
      <c r="N106" s="66"/>
      <c r="O106" s="66"/>
      <c r="P106" s="66" t="str">
        <f t="shared" si="2"/>
        <v>MENDOZA GENESIS TEODORO</v>
      </c>
      <c r="Q106" s="66" t="str">
        <f>IFERROR(VLOOKUP(P106,[1]Disposition!$AB$9:$AC$495,2,0),"NO RECORD YET")</f>
        <v>13 A-Col. Salgado St, Kamias, Quezon City</v>
      </c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18" customHeight="1">
      <c r="A107" s="188">
        <v>100</v>
      </c>
      <c r="B107" s="193" t="s">
        <v>531</v>
      </c>
      <c r="C107" s="193" t="s">
        <v>19</v>
      </c>
      <c r="D107" s="190" t="s">
        <v>96</v>
      </c>
      <c r="E107" s="204" t="s">
        <v>532</v>
      </c>
      <c r="F107" s="204" t="s">
        <v>533</v>
      </c>
      <c r="G107" s="204" t="s">
        <v>534</v>
      </c>
      <c r="H107" s="194"/>
      <c r="I107" s="210"/>
      <c r="J107" s="279" t="s">
        <v>535</v>
      </c>
      <c r="K107" s="307" t="s">
        <v>536</v>
      </c>
      <c r="L107" s="66"/>
      <c r="M107" s="66"/>
      <c r="N107" s="66"/>
      <c r="O107" s="66"/>
      <c r="P107" s="66" t="str">
        <f t="shared" si="2"/>
        <v>GOZE JONATHAN SISON</v>
      </c>
      <c r="Q107" s="66" t="str">
        <f>IFERROR(VLOOKUP(P107,[1]Disposition!$AB$9:$AC$495,2,0),"NO RECORD YET")</f>
        <v>207 B Purok 1,  Luzon Avenue, Culiat, Quezon City</v>
      </c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18" customHeight="1">
      <c r="A108" s="188">
        <v>101</v>
      </c>
      <c r="B108" s="199" t="s">
        <v>537</v>
      </c>
      <c r="C108" s="199" t="s">
        <v>19</v>
      </c>
      <c r="D108" s="287" t="s">
        <v>96</v>
      </c>
      <c r="E108" s="201" t="s">
        <v>538</v>
      </c>
      <c r="F108" s="201" t="s">
        <v>539</v>
      </c>
      <c r="G108" s="201" t="s">
        <v>540</v>
      </c>
      <c r="H108" s="202"/>
      <c r="I108" s="228"/>
      <c r="J108" s="288" t="s">
        <v>541</v>
      </c>
      <c r="K108" s="309" t="s">
        <v>542</v>
      </c>
      <c r="L108" s="256"/>
      <c r="M108" s="256"/>
      <c r="N108" s="256"/>
      <c r="O108" s="256"/>
      <c r="P108" s="256" t="str">
        <f t="shared" si="2"/>
        <v>MALAKI ROFEL GEN TIMBAL</v>
      </c>
      <c r="Q108" s="256" t="str">
        <f>IFERROR(VLOOKUP(P108,[1]Disposition!$AB$9:$AC$495,2,0),"NO RECORD YET")</f>
        <v>Calle Nueva, Brgy. Labrador, Hinunangan, Southern Leyte</v>
      </c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</row>
    <row r="109" spans="1:27" ht="18" customHeight="1">
      <c r="A109" s="188">
        <v>102</v>
      </c>
      <c r="B109" s="193" t="s">
        <v>531</v>
      </c>
      <c r="C109" s="193" t="s">
        <v>39</v>
      </c>
      <c r="D109" s="190" t="s">
        <v>57</v>
      </c>
      <c r="E109" s="191" t="s">
        <v>543</v>
      </c>
      <c r="F109" s="191" t="s">
        <v>544</v>
      </c>
      <c r="G109" s="191" t="s">
        <v>545</v>
      </c>
      <c r="H109" s="192"/>
      <c r="I109" s="212"/>
      <c r="J109" s="279" t="s">
        <v>546</v>
      </c>
      <c r="K109" s="307" t="s">
        <v>547</v>
      </c>
      <c r="L109" s="66"/>
      <c r="M109" s="66"/>
      <c r="N109" s="66"/>
      <c r="O109" s="66"/>
      <c r="P109" s="66" t="str">
        <f t="shared" si="2"/>
        <v>INFANTE BEVERLY PASAMBA</v>
      </c>
      <c r="Q109" s="66" t="str">
        <f>IFERROR(VLOOKUP(P109,[1]Disposition!$AB$9:$AC$495,2,0),"NO RECORD YET")</f>
        <v>333 Verdar St., Sampaloc, Manila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18" customHeight="1">
      <c r="A110" s="188">
        <v>103</v>
      </c>
      <c r="B110" s="193" t="s">
        <v>531</v>
      </c>
      <c r="C110" s="193" t="s">
        <v>19</v>
      </c>
      <c r="D110" s="194" t="s">
        <v>24</v>
      </c>
      <c r="E110" s="204" t="s">
        <v>365</v>
      </c>
      <c r="F110" s="204" t="s">
        <v>548</v>
      </c>
      <c r="G110" s="204" t="s">
        <v>549</v>
      </c>
      <c r="H110" s="205"/>
      <c r="I110" s="212"/>
      <c r="J110" s="279" t="s">
        <v>550</v>
      </c>
      <c r="K110" s="307" t="s">
        <v>551</v>
      </c>
      <c r="L110" s="66"/>
      <c r="M110" s="66"/>
      <c r="N110" s="66"/>
      <c r="O110" s="66"/>
      <c r="P110" s="66" t="str">
        <f t="shared" si="2"/>
        <v>DIAZ STEPHEN PAUL BAUZON</v>
      </c>
      <c r="Q110" s="66" t="str">
        <f>IFERROR(VLOOKUP(P110,[1]Disposition!$AB$9:$AC$495,2,0),"NO RECORD YET")</f>
        <v>Conrazon, Bansud, Oriental Mindoro</v>
      </c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8" customHeight="1">
      <c r="A111" s="188">
        <v>104</v>
      </c>
      <c r="B111" s="193" t="s">
        <v>531</v>
      </c>
      <c r="C111" s="193" t="s">
        <v>19</v>
      </c>
      <c r="D111" s="194" t="s">
        <v>24</v>
      </c>
      <c r="E111" s="204" t="s">
        <v>552</v>
      </c>
      <c r="F111" s="204" t="s">
        <v>553</v>
      </c>
      <c r="G111" s="204" t="s">
        <v>554</v>
      </c>
      <c r="H111" s="205"/>
      <c r="I111" s="212"/>
      <c r="J111" s="279" t="s">
        <v>555</v>
      </c>
      <c r="K111" s="307" t="s">
        <v>556</v>
      </c>
      <c r="L111" s="66"/>
      <c r="M111" s="66"/>
      <c r="N111" s="66"/>
      <c r="O111" s="66"/>
      <c r="P111" s="66" t="str">
        <f t="shared" si="2"/>
        <v>SARMIENTO ERIC BUDY</v>
      </c>
      <c r="Q111" s="66" t="str">
        <f>IFERROR(VLOOKUP(P111,[1]Disposition!$AB$9:$AC$495,2,0),"NO RECORD YET")</f>
        <v>067, Constantino (Pob), Virac, Catanduanes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18" customHeight="1">
      <c r="A112" s="188">
        <v>105</v>
      </c>
      <c r="B112" s="193" t="s">
        <v>531</v>
      </c>
      <c r="C112" s="193" t="s">
        <v>19</v>
      </c>
      <c r="D112" s="190" t="s">
        <v>28</v>
      </c>
      <c r="E112" s="195" t="s">
        <v>557</v>
      </c>
      <c r="F112" s="195" t="s">
        <v>558</v>
      </c>
      <c r="G112" s="195" t="s">
        <v>559</v>
      </c>
      <c r="H112" s="194"/>
      <c r="I112" s="212"/>
      <c r="J112" s="185" t="s">
        <v>560</v>
      </c>
      <c r="K112" s="307" t="s">
        <v>561</v>
      </c>
      <c r="L112" s="66"/>
      <c r="M112" s="66"/>
      <c r="N112" s="66"/>
      <c r="O112" s="66"/>
      <c r="P112" s="66" t="str">
        <f t="shared" si="2"/>
        <v>ARGAWANON JUNREY BOOC</v>
      </c>
      <c r="Q112" s="66" t="str">
        <f>IFERROR(VLOOKUP(P112,[1]Disposition!$AB$9:$AC$495,2,0),"NO RECORD YET")</f>
        <v>NO RECORD YET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18" customHeight="1">
      <c r="A113" s="188">
        <v>106</v>
      </c>
      <c r="B113" s="193" t="s">
        <v>531</v>
      </c>
      <c r="C113" s="193" t="s">
        <v>19</v>
      </c>
      <c r="D113" s="190" t="s">
        <v>28</v>
      </c>
      <c r="E113" s="195" t="s">
        <v>562</v>
      </c>
      <c r="F113" s="195" t="s">
        <v>22</v>
      </c>
      <c r="G113" s="195" t="s">
        <v>563</v>
      </c>
      <c r="H113" s="194" t="s">
        <v>268</v>
      </c>
      <c r="I113" s="212"/>
      <c r="J113" s="281" t="s">
        <v>564</v>
      </c>
      <c r="K113" s="307" t="s">
        <v>565</v>
      </c>
      <c r="L113" s="66"/>
      <c r="M113" s="66"/>
      <c r="N113" s="66"/>
      <c r="O113" s="66"/>
      <c r="P113" s="66" t="str">
        <f t="shared" si="2"/>
        <v>MACAWILE ROMY INCISO</v>
      </c>
      <c r="Q113" s="66" t="str">
        <f>IFERROR(VLOOKUP(P113,[1]Disposition!$AB$9:$AC$495,2,0),"NO RECORD YET")</f>
        <v>NO RECORD YET</v>
      </c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18" customHeight="1">
      <c r="A114" s="188">
        <v>107</v>
      </c>
      <c r="B114" s="193" t="s">
        <v>531</v>
      </c>
      <c r="C114" s="189" t="s">
        <v>19</v>
      </c>
      <c r="D114" s="190" t="s">
        <v>28</v>
      </c>
      <c r="E114" s="195" t="s">
        <v>566</v>
      </c>
      <c r="F114" s="195" t="s">
        <v>567</v>
      </c>
      <c r="G114" s="195" t="s">
        <v>568</v>
      </c>
      <c r="H114" s="194"/>
      <c r="I114" s="212"/>
      <c r="J114" s="185" t="s">
        <v>569</v>
      </c>
      <c r="K114" s="307" t="s">
        <v>570</v>
      </c>
      <c r="L114" s="66"/>
      <c r="M114" s="66"/>
      <c r="N114" s="66"/>
      <c r="O114" s="66"/>
      <c r="P114" s="66" t="str">
        <f t="shared" si="2"/>
        <v>PAISTE MARL JAYSON JOVES</v>
      </c>
      <c r="Q114" s="66" t="str">
        <f>IFERROR(VLOOKUP(P114,[1]Disposition!$AB$9:$AC$495,2,0),"NO RECORD YET")</f>
        <v>NO RECORD YET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18" customHeight="1">
      <c r="A115" s="188">
        <v>108</v>
      </c>
      <c r="B115" s="193" t="s">
        <v>531</v>
      </c>
      <c r="C115" s="193" t="s">
        <v>19</v>
      </c>
      <c r="D115" s="190" t="s">
        <v>28</v>
      </c>
      <c r="E115" s="195" t="s">
        <v>571</v>
      </c>
      <c r="F115" s="195" t="s">
        <v>572</v>
      </c>
      <c r="G115" s="195" t="s">
        <v>573</v>
      </c>
      <c r="H115" s="194"/>
      <c r="I115" s="212"/>
      <c r="J115" s="281" t="s">
        <v>574</v>
      </c>
      <c r="K115" s="307" t="s">
        <v>575</v>
      </c>
      <c r="L115" s="66"/>
      <c r="M115" s="66"/>
      <c r="N115" s="66"/>
      <c r="O115" s="66"/>
      <c r="P115" s="66" t="str">
        <f t="shared" si="2"/>
        <v>PARALLAG MAX CASSANDER SINIGUIAN</v>
      </c>
      <c r="Q115" s="66" t="str">
        <f>IFERROR(VLOOKUP(P115,[1]Disposition!$AB$9:$AC$495,2,0),"NO RECORD YET")</f>
        <v>NO RECORD YET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18" customHeight="1">
      <c r="A116" s="188">
        <v>109</v>
      </c>
      <c r="B116" s="189" t="s">
        <v>576</v>
      </c>
      <c r="C116" s="189" t="s">
        <v>19</v>
      </c>
      <c r="D116" s="190" t="s">
        <v>246</v>
      </c>
      <c r="E116" s="204" t="s">
        <v>577</v>
      </c>
      <c r="F116" s="204" t="s">
        <v>578</v>
      </c>
      <c r="G116" s="204" t="s">
        <v>579</v>
      </c>
      <c r="H116" s="205"/>
      <c r="I116" s="210"/>
      <c r="J116" s="279"/>
      <c r="K116" s="282"/>
      <c r="L116" s="66"/>
      <c r="M116" s="66"/>
      <c r="N116" s="66"/>
      <c r="O116" s="66"/>
      <c r="P116" s="66" t="str">
        <f t="shared" si="2"/>
        <v>RETAZO RIZALDY ISIDORO</v>
      </c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18" customHeight="1">
      <c r="A117" s="188">
        <v>110</v>
      </c>
      <c r="B117" s="193" t="s">
        <v>580</v>
      </c>
      <c r="C117" s="189" t="s">
        <v>19</v>
      </c>
      <c r="D117" s="190" t="s">
        <v>366</v>
      </c>
      <c r="E117" s="191" t="s">
        <v>581</v>
      </c>
      <c r="F117" s="191" t="s">
        <v>582</v>
      </c>
      <c r="G117" s="191" t="s">
        <v>393</v>
      </c>
      <c r="H117" s="192"/>
      <c r="I117" s="212"/>
      <c r="J117" s="279" t="s">
        <v>583</v>
      </c>
      <c r="K117" s="307" t="s">
        <v>584</v>
      </c>
      <c r="L117" s="66"/>
      <c r="M117" s="66"/>
      <c r="N117" s="66"/>
      <c r="O117" s="66"/>
      <c r="P117" s="66" t="str">
        <f>CONCATENATE(E366," ",F366," ",G366)</f>
        <v>LOPEZ JOEL MORATALLA</v>
      </c>
      <c r="Q117" s="66" t="str">
        <f>IFERROR(VLOOKUP(P117,[1]Disposition!$AB$9:$AC$495,2,0),"NO RECORD YET")</f>
        <v>Block 9 396 Kalayaan Avenue, West Rembo, Makati, Metro Manila</v>
      </c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18" customHeight="1">
      <c r="A118" s="188">
        <v>111</v>
      </c>
      <c r="B118" s="193" t="s">
        <v>580</v>
      </c>
      <c r="C118" s="189" t="s">
        <v>19</v>
      </c>
      <c r="D118" s="194" t="s">
        <v>28</v>
      </c>
      <c r="E118" s="204" t="s">
        <v>585</v>
      </c>
      <c r="F118" s="204" t="s">
        <v>586</v>
      </c>
      <c r="G118" s="204" t="s">
        <v>587</v>
      </c>
      <c r="H118" s="205" t="s">
        <v>268</v>
      </c>
      <c r="I118" s="210"/>
      <c r="J118" s="279"/>
      <c r="K118" s="282"/>
      <c r="L118" s="66"/>
      <c r="M118" s="66"/>
      <c r="N118" s="66"/>
      <c r="O118" s="66"/>
      <c r="P118" s="66" t="str">
        <f t="shared" ref="P118:P173" si="3">CONCATENATE(E118," ",F118," ",G118)</f>
        <v>AGOS CELSO TAPONG</v>
      </c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spans="1:27" ht="18" customHeight="1">
      <c r="A119" s="188">
        <v>112</v>
      </c>
      <c r="B119" s="193" t="s">
        <v>580</v>
      </c>
      <c r="C119" s="294" t="s">
        <v>19</v>
      </c>
      <c r="D119" s="190" t="s">
        <v>28</v>
      </c>
      <c r="E119" s="195" t="s">
        <v>588</v>
      </c>
      <c r="F119" s="195" t="s">
        <v>589</v>
      </c>
      <c r="G119" s="195" t="s">
        <v>590</v>
      </c>
      <c r="H119" s="194"/>
      <c r="I119" s="212"/>
      <c r="J119" s="281" t="s">
        <v>591</v>
      </c>
      <c r="K119" s="307" t="s">
        <v>592</v>
      </c>
      <c r="L119" s="66"/>
      <c r="M119" s="66"/>
      <c r="N119" s="66"/>
      <c r="O119" s="66"/>
      <c r="P119" s="66" t="str">
        <f t="shared" si="3"/>
        <v>CABADING ELIJAH VINCENT SERANDON</v>
      </c>
      <c r="Q119" s="66" t="str">
        <f>IFERROR(VLOOKUP(P119,[1]Disposition!$AB$9:$AC$495,2,0),"NO RECORD YET")</f>
        <v>NO RECORD YET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18" customHeight="1">
      <c r="A120" s="188">
        <v>113</v>
      </c>
      <c r="B120" s="193" t="s">
        <v>580</v>
      </c>
      <c r="C120" s="189" t="s">
        <v>19</v>
      </c>
      <c r="D120" s="190" t="s">
        <v>28</v>
      </c>
      <c r="E120" s="195" t="s">
        <v>593</v>
      </c>
      <c r="F120" s="195" t="s">
        <v>594</v>
      </c>
      <c r="G120" s="195" t="s">
        <v>595</v>
      </c>
      <c r="H120" s="194"/>
      <c r="I120" s="212"/>
      <c r="J120" s="281" t="s">
        <v>596</v>
      </c>
      <c r="K120" s="307" t="s">
        <v>597</v>
      </c>
      <c r="L120" s="66"/>
      <c r="M120" s="66"/>
      <c r="N120" s="66"/>
      <c r="O120" s="66"/>
      <c r="P120" s="66" t="str">
        <f t="shared" si="3"/>
        <v>PADILLA KEM EDNYLL MACARINE</v>
      </c>
      <c r="Q120" s="66" t="str">
        <f>IFERROR(VLOOKUP(P120,[1]Disposition!$AB$9:$AC$495,2,0),"NO RECORD YET")</f>
        <v>NO RECORD YET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18" customHeight="1">
      <c r="A121" s="188">
        <v>114</v>
      </c>
      <c r="B121" s="193" t="s">
        <v>580</v>
      </c>
      <c r="C121" s="189" t="s">
        <v>19</v>
      </c>
      <c r="D121" s="190" t="s">
        <v>40</v>
      </c>
      <c r="E121" s="191" t="s">
        <v>256</v>
      </c>
      <c r="F121" s="191" t="s">
        <v>598</v>
      </c>
      <c r="G121" s="191" t="s">
        <v>256</v>
      </c>
      <c r="H121" s="192"/>
      <c r="I121" s="212"/>
      <c r="J121" s="279" t="s">
        <v>599</v>
      </c>
      <c r="K121" s="308" t="s">
        <v>600</v>
      </c>
      <c r="L121" s="66"/>
      <c r="M121" s="66"/>
      <c r="N121" s="66"/>
      <c r="O121" s="66"/>
      <c r="P121" s="66" t="str">
        <f t="shared" si="3"/>
        <v>DELA CRUZ CHARLES ISAAK DELA CRUZ</v>
      </c>
      <c r="Q121" s="66" t="str">
        <f>IFERROR(VLOOKUP(P121,[1]Disposition!$AB$9:$AC$495,2,0),"NO RECORD YET")</f>
        <v>Blk 3 Lot 13,  Carnation St., Brgy. Graceville II, CSJDM, Bulacan</v>
      </c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18" customHeight="1">
      <c r="A122" s="188">
        <v>115</v>
      </c>
      <c r="B122" s="193" t="s">
        <v>601</v>
      </c>
      <c r="C122" s="193" t="s">
        <v>19</v>
      </c>
      <c r="D122" s="190" t="s">
        <v>160</v>
      </c>
      <c r="E122" s="191" t="s">
        <v>602</v>
      </c>
      <c r="F122" s="191" t="s">
        <v>603</v>
      </c>
      <c r="G122" s="191" t="s">
        <v>604</v>
      </c>
      <c r="H122" s="192"/>
      <c r="I122" s="210"/>
      <c r="J122" s="279" t="s">
        <v>605</v>
      </c>
      <c r="K122" s="307" t="s">
        <v>606</v>
      </c>
      <c r="L122" s="66"/>
      <c r="M122" s="66"/>
      <c r="N122" s="66"/>
      <c r="O122" s="66"/>
      <c r="P122" s="66" t="str">
        <f t="shared" si="3"/>
        <v>FERRANCULLO JOHN PAUL PAZ</v>
      </c>
      <c r="Q122" s="66" t="str">
        <f>IFERROR(VLOOKUP(P122,[1]Disposition!$AB$9:$AC$495,2,0),"NO RECORD YET")</f>
        <v>103 Hernandez St., Old Zaniga, Mandaluyong CityN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18" customHeight="1">
      <c r="A123" s="188">
        <v>116</v>
      </c>
      <c r="B123" s="193" t="s">
        <v>607</v>
      </c>
      <c r="C123" s="193" t="s">
        <v>19</v>
      </c>
      <c r="D123" s="194" t="s">
        <v>28</v>
      </c>
      <c r="E123" s="204" t="s">
        <v>608</v>
      </c>
      <c r="F123" s="204" t="s">
        <v>609</v>
      </c>
      <c r="G123" s="204" t="s">
        <v>610</v>
      </c>
      <c r="H123" s="194" t="s">
        <v>268</v>
      </c>
      <c r="I123" s="210"/>
      <c r="J123" s="279" t="s">
        <v>611</v>
      </c>
      <c r="K123" s="307" t="s">
        <v>612</v>
      </c>
      <c r="L123" s="66"/>
      <c r="M123" s="66"/>
      <c r="N123" s="66"/>
      <c r="O123" s="66"/>
      <c r="P123" s="66" t="str">
        <f t="shared" si="3"/>
        <v>GILL AJIT MENOR</v>
      </c>
      <c r="Q123" s="66" t="str">
        <f>IFERROR(VLOOKUP(P123,[1]Disposition!$AB$9:$AC$495,2,0),"NO RECORD YET")</f>
        <v>Phase 1 Blk 12 Lot 14 LOT 7, San Isidro, Rodriguez, Rizal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18" customHeight="1">
      <c r="A124" s="188">
        <v>117</v>
      </c>
      <c r="B124" s="193" t="s">
        <v>607</v>
      </c>
      <c r="C124" s="193" t="s">
        <v>39</v>
      </c>
      <c r="D124" s="190" t="s">
        <v>40</v>
      </c>
      <c r="E124" s="191" t="s">
        <v>365</v>
      </c>
      <c r="F124" s="191" t="s">
        <v>613</v>
      </c>
      <c r="G124" s="191" t="s">
        <v>614</v>
      </c>
      <c r="H124" s="192"/>
      <c r="I124" s="210"/>
      <c r="J124" s="279" t="s">
        <v>615</v>
      </c>
      <c r="K124" s="307" t="s">
        <v>616</v>
      </c>
      <c r="L124" s="66"/>
      <c r="M124" s="66"/>
      <c r="N124" s="66"/>
      <c r="O124" s="66"/>
      <c r="P124" s="66" t="str">
        <f t="shared" si="3"/>
        <v>DIAZ LEILA URTOLA</v>
      </c>
      <c r="Q124" s="66" t="str">
        <f>IFERROR(VLOOKUP(P124,[1]Disposition!$AB$9:$AC$495,2,0),"NO RECORD YET")</f>
        <v>L3 Rd7 PHASE 4, Cogeo Village, Antipolo City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18" customHeight="1">
      <c r="A125" s="188">
        <v>118</v>
      </c>
      <c r="B125" s="193" t="s">
        <v>617</v>
      </c>
      <c r="C125" s="193" t="s">
        <v>19</v>
      </c>
      <c r="D125" s="190" t="s">
        <v>96</v>
      </c>
      <c r="E125" s="204" t="s">
        <v>618</v>
      </c>
      <c r="F125" s="204" t="s">
        <v>619</v>
      </c>
      <c r="G125" s="204" t="s">
        <v>620</v>
      </c>
      <c r="H125" s="205"/>
      <c r="I125" s="210"/>
      <c r="J125" s="279" t="s">
        <v>621</v>
      </c>
      <c r="K125" s="307" t="s">
        <v>622</v>
      </c>
      <c r="L125" s="66"/>
      <c r="M125" s="66"/>
      <c r="N125" s="66"/>
      <c r="O125" s="66"/>
      <c r="P125" s="66" t="str">
        <f t="shared" si="3"/>
        <v>VENTURA JOSEPH SAMONTE</v>
      </c>
      <c r="Q125" s="66" t="str">
        <f>IFERROR(VLOOKUP(P125,[1]Disposition!$AB$9:$AC$495,2,0),"NO RECORD YET")</f>
        <v>04 Angoluan, Atulayan Norte, Tuguegarao City, Cagayan Valley</v>
      </c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18" customHeight="1">
      <c r="A126" s="188">
        <v>119</v>
      </c>
      <c r="B126" s="193" t="s">
        <v>623</v>
      </c>
      <c r="C126" s="193" t="s">
        <v>19</v>
      </c>
      <c r="D126" s="190" t="s">
        <v>96</v>
      </c>
      <c r="E126" s="204" t="s">
        <v>624</v>
      </c>
      <c r="F126" s="204" t="s">
        <v>255</v>
      </c>
      <c r="G126" s="204" t="s">
        <v>625</v>
      </c>
      <c r="H126" s="205" t="s">
        <v>268</v>
      </c>
      <c r="I126" s="210"/>
      <c r="J126" s="279" t="s">
        <v>626</v>
      </c>
      <c r="K126" s="307" t="s">
        <v>627</v>
      </c>
      <c r="L126" s="66"/>
      <c r="M126" s="66"/>
      <c r="N126" s="66"/>
      <c r="O126" s="66"/>
      <c r="P126" s="66" t="str">
        <f t="shared" si="3"/>
        <v>BALICAG JOSE DAKETAN</v>
      </c>
      <c r="Q126" s="66" t="str">
        <f>IFERROR(VLOOKUP(P126,[1]Disposition!$AB$9:$AC$495,2,0),"NO RECORD YET")</f>
        <v>Block 3, D Molintas, Bulanao, Tabuk City Kalinga</v>
      </c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18" customHeight="1">
      <c r="A127" s="188">
        <v>120</v>
      </c>
      <c r="B127" s="193" t="s">
        <v>623</v>
      </c>
      <c r="C127" s="193" t="s">
        <v>19</v>
      </c>
      <c r="D127" s="190" t="s">
        <v>40</v>
      </c>
      <c r="E127" s="191" t="s">
        <v>628</v>
      </c>
      <c r="F127" s="191" t="s">
        <v>629</v>
      </c>
      <c r="G127" s="191" t="s">
        <v>630</v>
      </c>
      <c r="H127" s="192"/>
      <c r="I127" s="210"/>
      <c r="J127" s="279" t="s">
        <v>631</v>
      </c>
      <c r="K127" s="307" t="s">
        <v>632</v>
      </c>
      <c r="L127" s="66"/>
      <c r="M127" s="66"/>
      <c r="N127" s="66"/>
      <c r="O127" s="66"/>
      <c r="P127" s="66" t="str">
        <f t="shared" si="3"/>
        <v>DIÑO ELVIN ELDEN SEBASTIAN</v>
      </c>
      <c r="Q127" s="66" t="str">
        <f>IFERROR(VLOOKUP(P127,[1]Disposition!$AB$9:$AC$495,2,0),"NO RECORD YET")</f>
        <v>Blk6 Lot 26 Adelina Homes, Brgy San isidro, Cainta, Rizal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18" customHeight="1">
      <c r="A128" s="188">
        <v>121</v>
      </c>
      <c r="B128" s="193" t="s">
        <v>633</v>
      </c>
      <c r="C128" s="193" t="s">
        <v>39</v>
      </c>
      <c r="D128" s="190" t="s">
        <v>246</v>
      </c>
      <c r="E128" s="204" t="s">
        <v>634</v>
      </c>
      <c r="F128" s="204" t="s">
        <v>635</v>
      </c>
      <c r="G128" s="204" t="s">
        <v>636</v>
      </c>
      <c r="H128" s="205"/>
      <c r="I128" s="210"/>
      <c r="J128" s="279" t="s">
        <v>637</v>
      </c>
      <c r="K128" s="307" t="s">
        <v>638</v>
      </c>
      <c r="L128" s="66"/>
      <c r="M128" s="66"/>
      <c r="N128" s="66"/>
      <c r="O128" s="66"/>
      <c r="P128" s="66" t="str">
        <f t="shared" si="3"/>
        <v>GUSTILO THOBORNE THER SANTOS</v>
      </c>
      <c r="Q128" s="66" t="str">
        <f>IFERROR(VLOOKUP(P128,[1]Disposition!$AB$9:$AC$495,2,0),"NO RECORD YET")</f>
        <v>Blk 5 Lot 4 Phase-M, Francisco Homes- Guijo, SJDM, Bulacan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18" customHeight="1">
      <c r="A129" s="188">
        <v>122</v>
      </c>
      <c r="B129" s="193" t="s">
        <v>633</v>
      </c>
      <c r="C129" s="193" t="s">
        <v>19</v>
      </c>
      <c r="D129" s="190" t="s">
        <v>28</v>
      </c>
      <c r="E129" s="195" t="s">
        <v>639</v>
      </c>
      <c r="F129" s="195" t="s">
        <v>640</v>
      </c>
      <c r="G129" s="195" t="s">
        <v>256</v>
      </c>
      <c r="H129" s="194"/>
      <c r="I129" s="212"/>
      <c r="J129" s="185" t="s">
        <v>641</v>
      </c>
      <c r="K129" s="307" t="s">
        <v>642</v>
      </c>
      <c r="L129" s="66"/>
      <c r="M129" s="66"/>
      <c r="N129" s="66"/>
      <c r="O129" s="66"/>
      <c r="P129" s="66" t="str">
        <f t="shared" si="3"/>
        <v>FONTANILLA JASON PATRICK DELA CRUZ</v>
      </c>
      <c r="Q129" s="66" t="str">
        <f>IFERROR(VLOOKUP(P129,[1]Disposition!$AB$9:$AC$495,2,0),"NO RECORD YET")</f>
        <v>NO RECORD YET</v>
      </c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18" customHeight="1">
      <c r="A130" s="188">
        <v>123</v>
      </c>
      <c r="B130" s="193" t="s">
        <v>643</v>
      </c>
      <c r="C130" s="193" t="s">
        <v>19</v>
      </c>
      <c r="D130" s="190" t="s">
        <v>644</v>
      </c>
      <c r="E130" s="191" t="s">
        <v>645</v>
      </c>
      <c r="F130" s="191" t="s">
        <v>646</v>
      </c>
      <c r="G130" s="191" t="s">
        <v>647</v>
      </c>
      <c r="H130" s="192"/>
      <c r="I130" s="212"/>
      <c r="J130" s="279" t="s">
        <v>648</v>
      </c>
      <c r="K130" s="307" t="s">
        <v>649</v>
      </c>
      <c r="L130" s="66"/>
      <c r="M130" s="66"/>
      <c r="N130" s="66"/>
      <c r="O130" s="66"/>
      <c r="P130" s="66" t="str">
        <f t="shared" si="3"/>
        <v>ZAMORA MELVIN PANGANIBAN</v>
      </c>
      <c r="Q130" s="66" t="str">
        <f>IFERROR(VLOOKUP(P130,[1]Disposition!$AB$9:$AC$495,2,0),"NO RECORD YET")</f>
        <v>Light Residences, Mandaluyong City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18" customHeight="1">
      <c r="A131" s="188">
        <v>124</v>
      </c>
      <c r="B131" s="193" t="s">
        <v>650</v>
      </c>
      <c r="C131" s="193" t="s">
        <v>19</v>
      </c>
      <c r="D131" s="194" t="s">
        <v>253</v>
      </c>
      <c r="E131" s="191" t="s">
        <v>651</v>
      </c>
      <c r="F131" s="191" t="s">
        <v>652</v>
      </c>
      <c r="G131" s="203" t="s">
        <v>653</v>
      </c>
      <c r="H131" s="192" t="s">
        <v>268</v>
      </c>
      <c r="I131" s="210"/>
      <c r="J131" s="279" t="s">
        <v>654</v>
      </c>
      <c r="K131" s="307" t="s">
        <v>655</v>
      </c>
      <c r="L131" s="66"/>
      <c r="M131" s="66"/>
      <c r="N131" s="66"/>
      <c r="O131" s="66"/>
      <c r="P131" s="66" t="str">
        <f t="shared" si="3"/>
        <v>OCAMPO AMADO BISCAYDA</v>
      </c>
      <c r="Q131" s="66" t="str">
        <f>IFERROR(VLOOKUP(P131,[1]Disposition!$AB$9:$AC$495,2,0),"NO RECORD YET")</f>
        <v>39 Constabulary St., Vet Village, Quezon City</v>
      </c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18" customHeight="1">
      <c r="A132" s="188">
        <v>125</v>
      </c>
      <c r="B132" s="193" t="s">
        <v>650</v>
      </c>
      <c r="C132" s="193" t="s">
        <v>19</v>
      </c>
      <c r="D132" s="194" t="s">
        <v>24</v>
      </c>
      <c r="E132" s="204" t="s">
        <v>656</v>
      </c>
      <c r="F132" s="204" t="s">
        <v>657</v>
      </c>
      <c r="G132" s="204" t="s">
        <v>658</v>
      </c>
      <c r="H132" s="205"/>
      <c r="I132" s="212"/>
      <c r="J132" s="279" t="s">
        <v>659</v>
      </c>
      <c r="K132" s="282"/>
      <c r="L132" s="66"/>
      <c r="M132" s="66"/>
      <c r="N132" s="66"/>
      <c r="O132" s="66"/>
      <c r="P132" s="66" t="str">
        <f t="shared" si="3"/>
        <v>BUENO CHIER BRYAN MARCOS</v>
      </c>
      <c r="Q132" s="66">
        <f>IFERROR(VLOOKUP(P132,[1]Disposition!$AB$9:$AC$495,2,0),"NO RECORD YET")</f>
        <v>0</v>
      </c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18" customHeight="1">
      <c r="A133" s="188">
        <v>126</v>
      </c>
      <c r="B133" s="193" t="s">
        <v>660</v>
      </c>
      <c r="C133" s="193" t="s">
        <v>39</v>
      </c>
      <c r="D133" s="190" t="s">
        <v>246</v>
      </c>
      <c r="E133" s="191" t="s">
        <v>661</v>
      </c>
      <c r="F133" s="191" t="s">
        <v>662</v>
      </c>
      <c r="G133" s="191" t="s">
        <v>663</v>
      </c>
      <c r="H133" s="192"/>
      <c r="I133" s="210"/>
      <c r="J133" s="279" t="s">
        <v>664</v>
      </c>
      <c r="K133" s="282"/>
      <c r="L133" s="66"/>
      <c r="M133" s="66"/>
      <c r="N133" s="66"/>
      <c r="O133" s="66"/>
      <c r="P133" s="66" t="str">
        <f t="shared" si="3"/>
        <v>ESPEDIDO IBON GAY DACUMOS</v>
      </c>
      <c r="Q133" s="66" t="str">
        <f>IFERROR(VLOOKUP(P133,[1]Disposition!$AB$9:$AC$495,2,0),"NO RECORD YET")</f>
        <v>NO RECORD YET</v>
      </c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18" customHeight="1">
      <c r="A134" s="188">
        <v>127</v>
      </c>
      <c r="B134" s="193" t="s">
        <v>665</v>
      </c>
      <c r="C134" s="193" t="s">
        <v>19</v>
      </c>
      <c r="D134" s="190" t="s">
        <v>96</v>
      </c>
      <c r="E134" s="204" t="s">
        <v>666</v>
      </c>
      <c r="F134" s="204" t="s">
        <v>667</v>
      </c>
      <c r="G134" s="204" t="s">
        <v>668</v>
      </c>
      <c r="H134" s="194"/>
      <c r="I134" s="210"/>
      <c r="J134" s="279" t="s">
        <v>669</v>
      </c>
      <c r="K134" s="307" t="s">
        <v>670</v>
      </c>
      <c r="L134" s="66"/>
      <c r="M134" s="66"/>
      <c r="N134" s="66"/>
      <c r="O134" s="66"/>
      <c r="P134" s="66" t="str">
        <f t="shared" si="3"/>
        <v>MAGALONG DAREN NATIVIDAD</v>
      </c>
      <c r="Q134" s="66" t="str">
        <f>IFERROR(VLOOKUP(P134,[1]Disposition!$AB$9:$AC$495,2,0),"NO RECORD YET")</f>
        <v>696 Brgy KitaKita, San Jose City, Nueva Ecija</v>
      </c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18" customHeight="1">
      <c r="A135" s="188">
        <v>128</v>
      </c>
      <c r="B135" s="193" t="s">
        <v>665</v>
      </c>
      <c r="C135" s="193" t="s">
        <v>19</v>
      </c>
      <c r="D135" s="190" t="s">
        <v>28</v>
      </c>
      <c r="E135" s="195" t="s">
        <v>671</v>
      </c>
      <c r="F135" s="195" t="s">
        <v>672</v>
      </c>
      <c r="G135" s="195" t="s">
        <v>673</v>
      </c>
      <c r="H135" s="194" t="s">
        <v>268</v>
      </c>
      <c r="I135" s="210"/>
      <c r="J135" s="185" t="s">
        <v>674</v>
      </c>
      <c r="K135" s="307" t="s">
        <v>675</v>
      </c>
      <c r="L135" s="66"/>
      <c r="M135" s="66"/>
      <c r="N135" s="66"/>
      <c r="O135" s="66"/>
      <c r="P135" s="66" t="str">
        <f t="shared" si="3"/>
        <v>BOLISLIS JIMMY BANG-AS</v>
      </c>
      <c r="Q135" s="66" t="str">
        <f>IFERROR(VLOOKUP(P135,[1]Disposition!$AB$9:$AC$495,2,0),"NO RECORD YET")</f>
        <v>NO RECORD YET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18" customHeight="1">
      <c r="A136" s="188">
        <v>129</v>
      </c>
      <c r="B136" s="193" t="s">
        <v>676</v>
      </c>
      <c r="C136" s="189" t="s">
        <v>19</v>
      </c>
      <c r="D136" s="190" t="s">
        <v>96</v>
      </c>
      <c r="E136" s="204" t="s">
        <v>677</v>
      </c>
      <c r="F136" s="204" t="s">
        <v>678</v>
      </c>
      <c r="G136" s="204" t="s">
        <v>679</v>
      </c>
      <c r="H136" s="205"/>
      <c r="I136" s="210"/>
      <c r="J136" s="279" t="s">
        <v>680</v>
      </c>
      <c r="K136" s="307" t="s">
        <v>681</v>
      </c>
      <c r="L136" s="66"/>
      <c r="M136" s="66"/>
      <c r="N136" s="66"/>
      <c r="O136" s="66"/>
      <c r="P136" s="66" t="str">
        <f t="shared" si="3"/>
        <v>ABUAN DICKSON CLEMENTE</v>
      </c>
      <c r="Q136" s="66" t="str">
        <f>IFERROR(VLOOKUP(P136,[1]Disposition!$AB$9:$AC$495,2,0),"NO RECORD YET")</f>
        <v>735 Purok 4B, Lucnab Baguio City</v>
      </c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18" customHeight="1">
      <c r="A137" s="188">
        <v>130</v>
      </c>
      <c r="B137" s="193" t="s">
        <v>682</v>
      </c>
      <c r="C137" s="193" t="s">
        <v>19</v>
      </c>
      <c r="D137" s="190" t="s">
        <v>160</v>
      </c>
      <c r="E137" s="191" t="s">
        <v>683</v>
      </c>
      <c r="F137" s="191" t="s">
        <v>684</v>
      </c>
      <c r="G137" s="191" t="s">
        <v>685</v>
      </c>
      <c r="H137" s="192"/>
      <c r="I137" s="210"/>
      <c r="J137" s="279" t="s">
        <v>686</v>
      </c>
      <c r="K137" s="307" t="s">
        <v>687</v>
      </c>
      <c r="L137" s="66"/>
      <c r="M137" s="66"/>
      <c r="N137" s="66"/>
      <c r="O137" s="66"/>
      <c r="P137" s="66" t="str">
        <f t="shared" si="3"/>
        <v>IGNACIO MICHAEL TINTE</v>
      </c>
      <c r="Q137" s="66" t="str">
        <f>IFERROR(VLOOKUP(P137,[1]Disposition!$AB$9:$AC$495,2,0),"NO RECORD YET")</f>
        <v>38 Aganan St., Zone 6, NIA Village, Quezon City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18" customHeight="1">
      <c r="A138" s="188">
        <v>131</v>
      </c>
      <c r="B138" s="189" t="s">
        <v>688</v>
      </c>
      <c r="C138" s="189" t="s">
        <v>19</v>
      </c>
      <c r="D138" s="190" t="s">
        <v>96</v>
      </c>
      <c r="E138" s="204" t="s">
        <v>689</v>
      </c>
      <c r="F138" s="204" t="s">
        <v>690</v>
      </c>
      <c r="G138" s="204" t="s">
        <v>691</v>
      </c>
      <c r="H138" s="205"/>
      <c r="I138" s="210"/>
      <c r="J138" s="279" t="s">
        <v>692</v>
      </c>
      <c r="K138" s="307" t="s">
        <v>693</v>
      </c>
      <c r="L138" s="66"/>
      <c r="M138" s="66"/>
      <c r="N138" s="66"/>
      <c r="O138" s="66"/>
      <c r="P138" s="66" t="str">
        <f t="shared" si="3"/>
        <v>NAPOD GILBERT OLIQUINO</v>
      </c>
      <c r="Q138" s="66" t="str">
        <f>IFERROR(VLOOKUP(P138,[1]Disposition!$AB$9:$AC$495,2,0),"NO RECORD YET")</f>
        <v>Lot 39 Blk 9 Purok 3, Deano St., Central Bicutan, Taguig City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18" customHeight="1">
      <c r="A139" s="188">
        <v>132</v>
      </c>
      <c r="B139" s="193" t="s">
        <v>694</v>
      </c>
      <c r="C139" s="193" t="s">
        <v>19</v>
      </c>
      <c r="D139" s="190" t="s">
        <v>246</v>
      </c>
      <c r="E139" s="191" t="s">
        <v>695</v>
      </c>
      <c r="F139" s="191" t="s">
        <v>364</v>
      </c>
      <c r="G139" s="191" t="s">
        <v>696</v>
      </c>
      <c r="H139" s="192" t="s">
        <v>268</v>
      </c>
      <c r="I139" s="210"/>
      <c r="J139" s="279" t="s">
        <v>697</v>
      </c>
      <c r="K139" s="282"/>
      <c r="L139" s="66"/>
      <c r="M139" s="66"/>
      <c r="N139" s="66"/>
      <c r="O139" s="66"/>
      <c r="P139" s="66" t="str">
        <f t="shared" si="3"/>
        <v>DULNUAN RAMON CUYANGCO</v>
      </c>
      <c r="Q139" s="66" t="str">
        <f>IFERROR(VLOOKUP(P139,[1]Disposition!$AB$9:$AC$495,2,0),"NO RECORD YET")</f>
        <v>NO RECORD YET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18" customHeight="1">
      <c r="A140" s="188">
        <v>133</v>
      </c>
      <c r="B140" s="193" t="s">
        <v>694</v>
      </c>
      <c r="C140" s="193" t="s">
        <v>19</v>
      </c>
      <c r="D140" s="190" t="s">
        <v>28</v>
      </c>
      <c r="E140" s="195" t="s">
        <v>698</v>
      </c>
      <c r="F140" s="195" t="s">
        <v>699</v>
      </c>
      <c r="G140" s="195" t="s">
        <v>700</v>
      </c>
      <c r="H140" s="194"/>
      <c r="I140" s="212"/>
      <c r="J140" s="185" t="s">
        <v>701</v>
      </c>
      <c r="K140" s="307" t="s">
        <v>702</v>
      </c>
      <c r="L140" s="66"/>
      <c r="M140" s="66"/>
      <c r="N140" s="66"/>
      <c r="O140" s="66"/>
      <c r="P140" s="66" t="str">
        <f t="shared" si="3"/>
        <v>GALLARDE SUNNY BOY GALUYO</v>
      </c>
      <c r="Q140" s="66" t="str">
        <f>IFERROR(VLOOKUP(P140,[1]Disposition!$AB$9:$AC$495,2,0),"NO RECORD YET")</f>
        <v>NO RECORD YET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18" customHeight="1">
      <c r="A141" s="188">
        <v>134</v>
      </c>
      <c r="B141" s="193" t="s">
        <v>1936</v>
      </c>
      <c r="C141" s="189" t="s">
        <v>19</v>
      </c>
      <c r="D141" s="190" t="s">
        <v>96</v>
      </c>
      <c r="E141" s="204" t="s">
        <v>1937</v>
      </c>
      <c r="F141" s="204" t="s">
        <v>1938</v>
      </c>
      <c r="G141" s="204" t="s">
        <v>410</v>
      </c>
      <c r="H141" s="205"/>
      <c r="I141" s="210"/>
      <c r="J141" s="279" t="s">
        <v>1939</v>
      </c>
      <c r="K141" s="307" t="s">
        <v>1940</v>
      </c>
      <c r="L141" s="66"/>
      <c r="M141" s="66"/>
      <c r="N141" s="66"/>
      <c r="O141" s="66"/>
      <c r="P141" s="66" t="str">
        <f t="shared" si="3"/>
        <v>ABANILLA FREDDIE BAUTISTA</v>
      </c>
      <c r="Q141" s="66" t="str">
        <f>IFERROR(VLOOKUP(P141,[1]Disposition!$AB$9:$AC$495,2,0),"NO RECORD YET")</f>
        <v>FB-016 Tabangaoen Balili La Trinidad Benguet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18" customHeight="1">
      <c r="A142" s="188">
        <v>135</v>
      </c>
      <c r="B142" s="193" t="s">
        <v>1941</v>
      </c>
      <c r="C142" s="193" t="s">
        <v>19</v>
      </c>
      <c r="D142" s="190" t="s">
        <v>96</v>
      </c>
      <c r="E142" s="204" t="s">
        <v>1942</v>
      </c>
      <c r="F142" s="204" t="s">
        <v>1943</v>
      </c>
      <c r="G142" s="204" t="s">
        <v>760</v>
      </c>
      <c r="H142" s="205"/>
      <c r="I142" s="210"/>
      <c r="J142" s="279" t="s">
        <v>1944</v>
      </c>
      <c r="K142" s="307" t="s">
        <v>1945</v>
      </c>
      <c r="L142" s="66"/>
      <c r="M142" s="66"/>
      <c r="N142" s="66"/>
      <c r="O142" s="66"/>
      <c r="P142" s="66" t="str">
        <f t="shared" si="3"/>
        <v>VELASCO EDGAR SEBASTIAN GALANG</v>
      </c>
      <c r="Q142" s="66" t="str">
        <f>IFERROR(VLOOKUP(P142,[1]Disposition!$AB$9:$AC$495,2,0),"NO RECORD YET")</f>
        <v>1688-E Antonio Rivera St., Brgy 237, Tondo, Manila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18" customHeight="1">
      <c r="A143" s="188">
        <v>136</v>
      </c>
      <c r="B143" s="189" t="s">
        <v>703</v>
      </c>
      <c r="C143" s="193" t="s">
        <v>39</v>
      </c>
      <c r="D143" s="190" t="s">
        <v>96</v>
      </c>
      <c r="E143" s="204" t="s">
        <v>704</v>
      </c>
      <c r="F143" s="204" t="s">
        <v>705</v>
      </c>
      <c r="G143" s="204" t="s">
        <v>706</v>
      </c>
      <c r="H143" s="205"/>
      <c r="I143" s="210"/>
      <c r="J143" s="279" t="s">
        <v>707</v>
      </c>
      <c r="K143" s="307" t="s">
        <v>708</v>
      </c>
      <c r="L143" s="66"/>
      <c r="M143" s="66"/>
      <c r="N143" s="66"/>
      <c r="O143" s="66"/>
      <c r="P143" s="66" t="str">
        <f t="shared" si="3"/>
        <v>EVANGELISTA RHEA TADURAN</v>
      </c>
      <c r="Q143" s="66" t="str">
        <f>IFERROR(VLOOKUP(P143,[1]Disposition!$AB$9:$AC$495,2,0),"NO RECORD YET")</f>
        <v>39 Col. Bonny Serrano Ave, Bagong Lipunan Ng Crame, Quezon City</v>
      </c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18" customHeight="1">
      <c r="A144" s="188">
        <v>137</v>
      </c>
      <c r="B144" s="189" t="s">
        <v>703</v>
      </c>
      <c r="C144" s="193" t="s">
        <v>19</v>
      </c>
      <c r="D144" s="190" t="s">
        <v>28</v>
      </c>
      <c r="E144" s="195" t="s">
        <v>709</v>
      </c>
      <c r="F144" s="195" t="s">
        <v>710</v>
      </c>
      <c r="G144" s="195" t="s">
        <v>711</v>
      </c>
      <c r="H144" s="194"/>
      <c r="I144" s="212"/>
      <c r="J144" s="185" t="s">
        <v>712</v>
      </c>
      <c r="K144" s="307" t="s">
        <v>713</v>
      </c>
      <c r="L144" s="66"/>
      <c r="M144" s="66"/>
      <c r="N144" s="66"/>
      <c r="O144" s="66"/>
      <c r="P144" s="66" t="str">
        <f t="shared" si="3"/>
        <v>BERMUDEZ PAUL ARNIE VIC DINEROS</v>
      </c>
      <c r="Q144" s="66" t="str">
        <f>IFERROR(VLOOKUP(P144,[1]Disposition!$AB$9:$AC$495,2,0),"NO RECORD YET")</f>
        <v>NO RECORD YET</v>
      </c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18" customHeight="1">
      <c r="A145" s="188">
        <v>138</v>
      </c>
      <c r="B145" s="193" t="s">
        <v>714</v>
      </c>
      <c r="C145" s="193" t="s">
        <v>19</v>
      </c>
      <c r="D145" s="190" t="s">
        <v>246</v>
      </c>
      <c r="E145" s="191" t="s">
        <v>715</v>
      </c>
      <c r="F145" s="191" t="s">
        <v>716</v>
      </c>
      <c r="G145" s="191" t="s">
        <v>717</v>
      </c>
      <c r="H145" s="192"/>
      <c r="I145" s="210"/>
      <c r="J145" s="279" t="s">
        <v>718</v>
      </c>
      <c r="K145" s="282"/>
      <c r="L145" s="66"/>
      <c r="M145" s="66"/>
      <c r="N145" s="66"/>
      <c r="O145" s="66"/>
      <c r="P145" s="66" t="str">
        <f t="shared" si="3"/>
        <v>AREVALO RALPH LYNDON RESUELLO</v>
      </c>
      <c r="Q145" s="66" t="str">
        <f>IFERROR(VLOOKUP(P145,[1]Disposition!$AB$9:$AC$495,2,0),"NO RECORD YET")</f>
        <v>NO RECORD YET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18" customHeight="1">
      <c r="A146" s="188">
        <v>139</v>
      </c>
      <c r="B146" s="193" t="s">
        <v>719</v>
      </c>
      <c r="C146" s="189" t="s">
        <v>19</v>
      </c>
      <c r="D146" s="194" t="s">
        <v>96</v>
      </c>
      <c r="E146" s="191" t="s">
        <v>720</v>
      </c>
      <c r="F146" s="191" t="s">
        <v>721</v>
      </c>
      <c r="G146" s="191" t="s">
        <v>722</v>
      </c>
      <c r="H146" s="192"/>
      <c r="I146" s="210"/>
      <c r="J146" s="279" t="s">
        <v>723</v>
      </c>
      <c r="K146" s="307" t="s">
        <v>724</v>
      </c>
      <c r="L146" s="66"/>
      <c r="M146" s="66"/>
      <c r="N146" s="66"/>
      <c r="O146" s="66"/>
      <c r="P146" s="66" t="str">
        <f t="shared" si="3"/>
        <v>TAEZA ERIKSON TE</v>
      </c>
      <c r="Q146" s="66" t="str">
        <f>IFERROR(VLOOKUP(P146,[1]Disposition!$AB$9:$AC$495,2,0),"NO RECORD YET")</f>
        <v>20 Alley 1,  Project 6, Quezon City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18" customHeight="1">
      <c r="A147" s="188">
        <v>140</v>
      </c>
      <c r="B147" s="193" t="s">
        <v>719</v>
      </c>
      <c r="C147" s="193" t="s">
        <v>19</v>
      </c>
      <c r="D147" s="190" t="s">
        <v>40</v>
      </c>
      <c r="E147" s="191" t="s">
        <v>636</v>
      </c>
      <c r="F147" s="191" t="s">
        <v>725</v>
      </c>
      <c r="G147" s="191" t="s">
        <v>726</v>
      </c>
      <c r="H147" s="192"/>
      <c r="I147" s="210"/>
      <c r="J147" s="279" t="s">
        <v>727</v>
      </c>
      <c r="K147" s="307" t="s">
        <v>728</v>
      </c>
      <c r="L147" s="66"/>
      <c r="M147" s="66"/>
      <c r="N147" s="66"/>
      <c r="O147" s="66"/>
      <c r="P147" s="66" t="str">
        <f t="shared" si="3"/>
        <v>SANTOS NATHANELLE SEMINIANO</v>
      </c>
      <c r="Q147" s="66" t="str">
        <f>IFERROR(VLOOKUP(P147,[1]Disposition!$AB$9:$AC$495,2,0),"NO RECORD YET")</f>
        <v>32-1 Avocado St, Sto. Nino, San Mateo, Rizal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18" customHeight="1">
      <c r="A148" s="188">
        <v>141</v>
      </c>
      <c r="B148" s="193" t="s">
        <v>729</v>
      </c>
      <c r="C148" s="193" t="s">
        <v>19</v>
      </c>
      <c r="D148" s="194" t="s">
        <v>253</v>
      </c>
      <c r="E148" s="191" t="s">
        <v>730</v>
      </c>
      <c r="F148" s="191" t="s">
        <v>731</v>
      </c>
      <c r="G148" s="191" t="s">
        <v>732</v>
      </c>
      <c r="H148" s="192"/>
      <c r="I148" s="210"/>
      <c r="J148" s="279" t="s">
        <v>733</v>
      </c>
      <c r="K148" s="307" t="s">
        <v>734</v>
      </c>
      <c r="L148" s="66"/>
      <c r="M148" s="66"/>
      <c r="N148" s="66"/>
      <c r="O148" s="66"/>
      <c r="P148" s="66" t="str">
        <f t="shared" si="3"/>
        <v>ESCABOSA GEROGIL SALAZAR</v>
      </c>
      <c r="Q148" s="66" t="str">
        <f>IFERROR(VLOOKUP(P148,[1]Disposition!$AB$9:$AC$495,2,0),"NO RECORD YET")</f>
        <v>Blk 110 Lot 17 K-57 Kalinisan ST., Karangalan V illage, San Isidro Village, Cainta, Rizal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18" customHeight="1">
      <c r="A149" s="188">
        <v>142</v>
      </c>
      <c r="B149" s="193" t="s">
        <v>729</v>
      </c>
      <c r="C149" s="193" t="s">
        <v>19</v>
      </c>
      <c r="D149" s="190" t="s">
        <v>28</v>
      </c>
      <c r="E149" s="195" t="s">
        <v>735</v>
      </c>
      <c r="F149" s="195" t="s">
        <v>736</v>
      </c>
      <c r="G149" s="195" t="s">
        <v>737</v>
      </c>
      <c r="H149" s="194"/>
      <c r="I149" s="212"/>
      <c r="J149" s="185" t="s">
        <v>738</v>
      </c>
      <c r="K149" s="307" t="s">
        <v>739</v>
      </c>
      <c r="L149" s="66"/>
      <c r="M149" s="66"/>
      <c r="N149" s="66"/>
      <c r="O149" s="66"/>
      <c r="P149" s="66" t="str">
        <f t="shared" si="3"/>
        <v>ANABON LEVI ABAGGUE</v>
      </c>
      <c r="Q149" s="66" t="str">
        <f>IFERROR(VLOOKUP(P149,[1]Disposition!$AB$9:$AC$495,2,0),"NO RECORD YET")</f>
        <v>NO RECORD YET</v>
      </c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18" customHeight="1">
      <c r="A150" s="188">
        <v>143</v>
      </c>
      <c r="B150" s="193" t="s">
        <v>740</v>
      </c>
      <c r="C150" s="189" t="s">
        <v>19</v>
      </c>
      <c r="D150" s="194" t="s">
        <v>96</v>
      </c>
      <c r="E150" s="191" t="s">
        <v>741</v>
      </c>
      <c r="F150" s="191" t="s">
        <v>742</v>
      </c>
      <c r="G150" s="191" t="s">
        <v>743</v>
      </c>
      <c r="H150" s="192"/>
      <c r="I150" s="210"/>
      <c r="J150" s="279" t="s">
        <v>744</v>
      </c>
      <c r="K150" s="307" t="s">
        <v>745</v>
      </c>
      <c r="L150" s="66"/>
      <c r="M150" s="66"/>
      <c r="N150" s="66"/>
      <c r="O150" s="66"/>
      <c r="P150" s="66" t="str">
        <f t="shared" si="3"/>
        <v>BAYAUA ANGELO ZALUN</v>
      </c>
      <c r="Q150" s="66" t="str">
        <f>IFERROR(VLOOKUP(P150,[1]Disposition!$AB$9:$AC$495,2,0),"NO RECORD YET")</f>
        <v>B10 L23 P-H Guijo, Francisco Homes , SJDM, Bulacan</v>
      </c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18" customHeight="1">
      <c r="A151" s="188">
        <v>144</v>
      </c>
      <c r="B151" s="189" t="s">
        <v>746</v>
      </c>
      <c r="C151" s="189" t="s">
        <v>19</v>
      </c>
      <c r="D151" s="190" t="s">
        <v>96</v>
      </c>
      <c r="E151" s="204" t="s">
        <v>747</v>
      </c>
      <c r="F151" s="204" t="s">
        <v>748</v>
      </c>
      <c r="G151" s="204" t="s">
        <v>749</v>
      </c>
      <c r="H151" s="205"/>
      <c r="I151" s="210"/>
      <c r="J151" s="279" t="s">
        <v>750</v>
      </c>
      <c r="K151" s="307" t="s">
        <v>751</v>
      </c>
      <c r="L151" s="66"/>
      <c r="M151" s="66"/>
      <c r="N151" s="66"/>
      <c r="O151" s="66"/>
      <c r="P151" s="66" t="str">
        <f t="shared" si="3"/>
        <v>OBORDO JOEDHEL LLOYD EYAO</v>
      </c>
      <c r="Q151" s="66" t="str">
        <f>IFERROR(VLOOKUP(P151,[1]Disposition!$AB$9:$AC$495,2,0),"NO RECORD YET")</f>
        <v>Maninang, SAPI-AN, Capiz</v>
      </c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18" customHeight="1">
      <c r="A152" s="188">
        <v>145</v>
      </c>
      <c r="B152" s="193" t="s">
        <v>752</v>
      </c>
      <c r="C152" s="193" t="s">
        <v>19</v>
      </c>
      <c r="D152" s="190" t="s">
        <v>96</v>
      </c>
      <c r="E152" s="191" t="s">
        <v>753</v>
      </c>
      <c r="F152" s="191" t="s">
        <v>754</v>
      </c>
      <c r="G152" s="191" t="s">
        <v>755</v>
      </c>
      <c r="H152" s="192"/>
      <c r="I152" s="210"/>
      <c r="J152" s="279" t="s">
        <v>756</v>
      </c>
      <c r="K152" s="307" t="s">
        <v>757</v>
      </c>
      <c r="L152" s="66"/>
      <c r="M152" s="66"/>
      <c r="N152" s="66"/>
      <c r="O152" s="66"/>
      <c r="P152" s="66" t="str">
        <f t="shared" si="3"/>
        <v>VILLAGONZALO RYAN VILLARIN</v>
      </c>
      <c r="Q152" s="66" t="str">
        <f>IFERROR(VLOOKUP(P152,[1]Disposition!$AB$9:$AC$495,2,0),"NO RECORD YET")</f>
        <v>NO RECORD YET</v>
      </c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18" customHeight="1">
      <c r="A153" s="188">
        <v>146</v>
      </c>
      <c r="B153" s="193" t="s">
        <v>758</v>
      </c>
      <c r="C153" s="193" t="s">
        <v>19</v>
      </c>
      <c r="D153" s="190" t="s">
        <v>96</v>
      </c>
      <c r="E153" s="204" t="s">
        <v>759</v>
      </c>
      <c r="F153" s="204" t="s">
        <v>124</v>
      </c>
      <c r="G153" s="204" t="s">
        <v>760</v>
      </c>
      <c r="H153" s="205"/>
      <c r="I153" s="210"/>
      <c r="J153" s="279" t="s">
        <v>761</v>
      </c>
      <c r="K153" s="307" t="s">
        <v>762</v>
      </c>
      <c r="L153" s="66"/>
      <c r="M153" s="66"/>
      <c r="N153" s="66"/>
      <c r="O153" s="66"/>
      <c r="P153" s="66" t="str">
        <f t="shared" si="3"/>
        <v>GUEVARRA JAYSON GALANG</v>
      </c>
      <c r="Q153" s="66" t="str">
        <f>IFERROR(VLOOKUP(P153,[1]Disposition!$AB$9:$AC$495,2,0),"NO RECORD YET")</f>
        <v>240 ZONE-2, Mangga-Cacutud, Arayat, Pampanga</v>
      </c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18" customHeight="1">
      <c r="A154" s="188">
        <v>147</v>
      </c>
      <c r="B154" s="193" t="s">
        <v>763</v>
      </c>
      <c r="C154" s="193" t="s">
        <v>19</v>
      </c>
      <c r="D154" s="190" t="s">
        <v>57</v>
      </c>
      <c r="E154" s="191" t="s">
        <v>764</v>
      </c>
      <c r="F154" s="191" t="s">
        <v>765</v>
      </c>
      <c r="G154" s="191" t="s">
        <v>766</v>
      </c>
      <c r="H154" s="192" t="s">
        <v>55</v>
      </c>
      <c r="I154" s="212"/>
      <c r="J154" s="279" t="s">
        <v>767</v>
      </c>
      <c r="K154" s="307" t="s">
        <v>768</v>
      </c>
      <c r="L154" s="66"/>
      <c r="M154" s="66"/>
      <c r="N154" s="66"/>
      <c r="O154" s="66"/>
      <c r="P154" s="66" t="str">
        <f t="shared" si="3"/>
        <v>BALINGIT JOSE JEFFERSON LACSAM</v>
      </c>
      <c r="Q154" s="66" t="str">
        <f>IFERROR(VLOOKUP(P154,[1]Disposition!$AB$9:$AC$495,2,0),"NO RECORD YET")</f>
        <v>B153 L9 Amorseco St., Rizal, Makati City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18" customHeight="1">
      <c r="A155" s="188">
        <v>148</v>
      </c>
      <c r="B155" s="193" t="s">
        <v>763</v>
      </c>
      <c r="C155" s="193" t="s">
        <v>19</v>
      </c>
      <c r="D155" s="190" t="s">
        <v>28</v>
      </c>
      <c r="E155" s="195" t="s">
        <v>769</v>
      </c>
      <c r="F155" s="195" t="s">
        <v>770</v>
      </c>
      <c r="G155" s="195" t="s">
        <v>771</v>
      </c>
      <c r="H155" s="194"/>
      <c r="I155" s="212"/>
      <c r="J155" s="185" t="s">
        <v>772</v>
      </c>
      <c r="K155" s="307" t="s">
        <v>773</v>
      </c>
      <c r="L155" s="66"/>
      <c r="M155" s="66"/>
      <c r="N155" s="66"/>
      <c r="O155" s="66"/>
      <c r="P155" s="66" t="str">
        <f t="shared" si="3"/>
        <v>BALDOS MARK ANTHONY BUNGAG</v>
      </c>
      <c r="Q155" s="66" t="str">
        <f>IFERROR(VLOOKUP(P155,[1]Disposition!$AB$9:$AC$495,2,0),"NO RECORD YET")</f>
        <v>NO RECORD YET</v>
      </c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18" customHeight="1">
      <c r="A156" s="188">
        <v>149</v>
      </c>
      <c r="B156" s="193" t="s">
        <v>763</v>
      </c>
      <c r="C156" s="193" t="s">
        <v>39</v>
      </c>
      <c r="D156" s="190" t="s">
        <v>40</v>
      </c>
      <c r="E156" s="191" t="s">
        <v>774</v>
      </c>
      <c r="F156" s="191" t="s">
        <v>775</v>
      </c>
      <c r="G156" s="191" t="s">
        <v>776</v>
      </c>
      <c r="H156" s="192"/>
      <c r="I156" s="210"/>
      <c r="J156" s="279" t="s">
        <v>777</v>
      </c>
      <c r="K156" s="307" t="s">
        <v>778</v>
      </c>
      <c r="L156" s="66"/>
      <c r="M156" s="66"/>
      <c r="N156" s="66"/>
      <c r="O156" s="66"/>
      <c r="P156" s="66" t="str">
        <f t="shared" si="3"/>
        <v>MALLILLIN MARICAR CABIGAS</v>
      </c>
      <c r="Q156" s="66" t="str">
        <f>IFERROR(VLOOKUP(P156,[1]Disposition!$AB$9:$AC$495,2,0),"NO RECORD YET")</f>
        <v>10 Longhorn St., Rancho 4 East, Brgy Concepcion Dos, Marikina City</v>
      </c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18" customHeight="1">
      <c r="A157" s="188">
        <v>150</v>
      </c>
      <c r="B157" s="193" t="s">
        <v>779</v>
      </c>
      <c r="C157" s="193" t="s">
        <v>19</v>
      </c>
      <c r="D157" s="194" t="s">
        <v>253</v>
      </c>
      <c r="E157" s="191" t="s">
        <v>780</v>
      </c>
      <c r="F157" s="191" t="s">
        <v>781</v>
      </c>
      <c r="G157" s="191" t="s">
        <v>782</v>
      </c>
      <c r="H157" s="192"/>
      <c r="I157" s="210"/>
      <c r="J157" s="279" t="s">
        <v>783</v>
      </c>
      <c r="K157" s="307" t="s">
        <v>784</v>
      </c>
      <c r="L157" s="66"/>
      <c r="M157" s="66"/>
      <c r="N157" s="66"/>
      <c r="O157" s="66"/>
      <c r="P157" s="66" t="str">
        <f t="shared" si="3"/>
        <v>ANDANAR JON JASON GORGOLON</v>
      </c>
      <c r="Q157" s="66" t="str">
        <f>IFERROR(VLOOKUP(P157,[1]Disposition!$AB$9:$AC$495,2,0),"NO RECORD YET")</f>
        <v>B6, L2, Kingstown Subd., Brgy. 171, Caloocan City</v>
      </c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18" customHeight="1">
      <c r="A158" s="188">
        <v>151</v>
      </c>
      <c r="B158" s="193" t="s">
        <v>785</v>
      </c>
      <c r="C158" s="193" t="s">
        <v>19</v>
      </c>
      <c r="D158" s="190" t="s">
        <v>246</v>
      </c>
      <c r="E158" s="191" t="s">
        <v>256</v>
      </c>
      <c r="F158" s="191" t="s">
        <v>786</v>
      </c>
      <c r="G158" s="191" t="s">
        <v>787</v>
      </c>
      <c r="H158" s="192"/>
      <c r="I158" s="210"/>
      <c r="J158" s="279" t="s">
        <v>788</v>
      </c>
      <c r="K158" s="307" t="s">
        <v>789</v>
      </c>
      <c r="L158" s="66"/>
      <c r="M158" s="66"/>
      <c r="N158" s="66"/>
      <c r="O158" s="66"/>
      <c r="P158" s="66" t="str">
        <f t="shared" si="3"/>
        <v>DELA CRUZ ASHTER TIBURCIO</v>
      </c>
      <c r="Q158" s="66" t="str">
        <f>IFERROR(VLOOKUP(P158,[1]Disposition!$AB$9:$AC$495,2,0),"NO RECORD YET")</f>
        <v>227 Sta, Cruz, Zaragisa, Nueva Ecija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18" customHeight="1">
      <c r="A159" s="188">
        <v>152</v>
      </c>
      <c r="B159" s="193" t="s">
        <v>790</v>
      </c>
      <c r="C159" s="193" t="s">
        <v>19</v>
      </c>
      <c r="D159" s="190" t="s">
        <v>246</v>
      </c>
      <c r="E159" s="191" t="s">
        <v>791</v>
      </c>
      <c r="F159" s="191" t="s">
        <v>792</v>
      </c>
      <c r="G159" s="191" t="s">
        <v>793</v>
      </c>
      <c r="H159" s="192"/>
      <c r="I159" s="210"/>
      <c r="J159" s="279" t="s">
        <v>794</v>
      </c>
      <c r="K159" s="282"/>
      <c r="L159" s="66"/>
      <c r="M159" s="66"/>
      <c r="N159" s="66"/>
      <c r="O159" s="66"/>
      <c r="P159" s="66" t="str">
        <f t="shared" si="3"/>
        <v>ORTIZ JULIUS SEMITARA</v>
      </c>
      <c r="Q159" s="66" t="str">
        <f>IFERROR(VLOOKUP(P159,[1]Disposition!$AB$9:$AC$495,2,0),"NO RECORD YET")</f>
        <v>NO RECORD YET</v>
      </c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18" customHeight="1">
      <c r="A160" s="188">
        <v>153</v>
      </c>
      <c r="B160" s="193" t="s">
        <v>795</v>
      </c>
      <c r="C160" s="193" t="s">
        <v>39</v>
      </c>
      <c r="D160" s="190" t="s">
        <v>96</v>
      </c>
      <c r="E160" s="191" t="s">
        <v>796</v>
      </c>
      <c r="F160" s="191" t="s">
        <v>797</v>
      </c>
      <c r="G160" s="191" t="s">
        <v>798</v>
      </c>
      <c r="H160" s="192"/>
      <c r="I160" s="210"/>
      <c r="J160" s="279" t="s">
        <v>799</v>
      </c>
      <c r="K160" s="307" t="s">
        <v>800</v>
      </c>
      <c r="L160" s="66"/>
      <c r="M160" s="66"/>
      <c r="N160" s="66"/>
      <c r="O160" s="66"/>
      <c r="P160" s="66" t="str">
        <f t="shared" si="3"/>
        <v>LACSON VINEAH DIMO</v>
      </c>
      <c r="Q160" s="66" t="str">
        <f>IFERROR(VLOOKUP(P160,[1]Disposition!$AB$9:$AC$495,2,0),"NO RECORD YET")</f>
        <v>50 Goldrock ST., San Roque, Navotas City</v>
      </c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18" customHeight="1">
      <c r="A161" s="188">
        <v>154</v>
      </c>
      <c r="B161" s="193" t="s">
        <v>1946</v>
      </c>
      <c r="C161" s="193" t="s">
        <v>39</v>
      </c>
      <c r="D161" s="194" t="s">
        <v>253</v>
      </c>
      <c r="E161" s="191" t="s">
        <v>836</v>
      </c>
      <c r="F161" s="191" t="s">
        <v>1947</v>
      </c>
      <c r="G161" s="191" t="s">
        <v>1948</v>
      </c>
      <c r="H161" s="192"/>
      <c r="I161" s="210"/>
      <c r="J161" s="279" t="s">
        <v>1949</v>
      </c>
      <c r="K161" s="307" t="s">
        <v>1950</v>
      </c>
      <c r="L161" s="66"/>
      <c r="M161" s="66"/>
      <c r="N161" s="66"/>
      <c r="O161" s="66"/>
      <c r="P161" s="66" t="str">
        <f t="shared" si="3"/>
        <v>CRUZ EIFEL BELEY</v>
      </c>
      <c r="Q161" s="66" t="str">
        <f>IFERROR(VLOOKUP(P161,[1]Disposition!$AB$9:$AC$495,2,0),"NO RECORD YET")</f>
        <v>#32 Del Pilar, Sta. Rosa, Nueva Ecija</v>
      </c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18" customHeight="1">
      <c r="A162" s="188">
        <v>155</v>
      </c>
      <c r="B162" s="193" t="s">
        <v>1951</v>
      </c>
      <c r="C162" s="193" t="s">
        <v>19</v>
      </c>
      <c r="D162" s="190" t="s">
        <v>96</v>
      </c>
      <c r="E162" s="204" t="s">
        <v>1952</v>
      </c>
      <c r="F162" s="204" t="s">
        <v>1953</v>
      </c>
      <c r="G162" s="204" t="s">
        <v>1954</v>
      </c>
      <c r="H162" s="205"/>
      <c r="I162" s="210"/>
      <c r="J162" s="279" t="s">
        <v>1955</v>
      </c>
      <c r="K162" s="307" t="s">
        <v>1956</v>
      </c>
      <c r="L162" s="66"/>
      <c r="M162" s="66"/>
      <c r="N162" s="66"/>
      <c r="O162" s="66"/>
      <c r="P162" s="66" t="str">
        <f t="shared" si="3"/>
        <v>BALON PHIL JEURGEN ILAN</v>
      </c>
      <c r="Q162" s="66" t="str">
        <f>IFERROR(VLOOKUP(P162,[1]Disposition!$AB$9:$AC$495,2,0),"NO RECORD YET")</f>
        <v>NO RECORD YET</v>
      </c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18" customHeight="1">
      <c r="A163" s="188">
        <v>156</v>
      </c>
      <c r="B163" s="193" t="s">
        <v>1951</v>
      </c>
      <c r="C163" s="193" t="s">
        <v>19</v>
      </c>
      <c r="D163" s="194" t="s">
        <v>28</v>
      </c>
      <c r="E163" s="204" t="s">
        <v>526</v>
      </c>
      <c r="F163" s="204" t="s">
        <v>1957</v>
      </c>
      <c r="G163" s="204" t="s">
        <v>1958</v>
      </c>
      <c r="H163" s="194"/>
      <c r="I163" s="212"/>
      <c r="J163" s="279" t="s">
        <v>1959</v>
      </c>
      <c r="K163" s="307" t="s">
        <v>1960</v>
      </c>
      <c r="L163" s="66"/>
      <c r="M163" s="66"/>
      <c r="N163" s="66"/>
      <c r="O163" s="66"/>
      <c r="P163" s="66" t="str">
        <f t="shared" si="3"/>
        <v>MENDOZA FLOMARIE JOHN GAVERIA</v>
      </c>
      <c r="Q163" s="66" t="str">
        <f>IFERROR(VLOOKUP(P163,[1]Disposition!$AB$9:$AC$495,2,0),"NO RECORD YET")</f>
        <v>Blk 9, Lott 9, Molave St. Hillsview Subd., Mayao Crossing, Lucena City</v>
      </c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18" customHeight="1">
      <c r="A164" s="188">
        <v>157</v>
      </c>
      <c r="B164" s="193" t="s">
        <v>1961</v>
      </c>
      <c r="C164" s="193" t="s">
        <v>19</v>
      </c>
      <c r="D164" s="190" t="s">
        <v>96</v>
      </c>
      <c r="E164" s="204" t="s">
        <v>1962</v>
      </c>
      <c r="F164" s="204" t="s">
        <v>1963</v>
      </c>
      <c r="G164" s="204" t="s">
        <v>1964</v>
      </c>
      <c r="H164" s="205"/>
      <c r="I164" s="210"/>
      <c r="J164" s="279" t="s">
        <v>1965</v>
      </c>
      <c r="K164" s="307" t="s">
        <v>1966</v>
      </c>
      <c r="L164" s="66"/>
      <c r="M164" s="66"/>
      <c r="N164" s="66"/>
      <c r="O164" s="66"/>
      <c r="P164" s="66" t="str">
        <f t="shared" si="3"/>
        <v>ONDONA JOHN  HOPE MILLAN</v>
      </c>
      <c r="Q164" s="66" t="str">
        <f>IFERROR(VLOOKUP(P164,[1]Disposition!$AB$9:$AC$495,2,0),"NO RECORD YET")</f>
        <v>Purok 7, Lao Proper, Plaridel, Misamis Occidental</v>
      </c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18" customHeight="1">
      <c r="A165" s="188">
        <v>158</v>
      </c>
      <c r="B165" s="193" t="s">
        <v>1967</v>
      </c>
      <c r="C165" s="193" t="s">
        <v>19</v>
      </c>
      <c r="D165" s="190" t="s">
        <v>96</v>
      </c>
      <c r="E165" s="204" t="s">
        <v>1121</v>
      </c>
      <c r="F165" s="204" t="s">
        <v>1968</v>
      </c>
      <c r="G165" s="204" t="s">
        <v>1969</v>
      </c>
      <c r="H165" s="205"/>
      <c r="I165" s="210"/>
      <c r="J165" s="279" t="s">
        <v>1970</v>
      </c>
      <c r="K165" s="307" t="s">
        <v>1971</v>
      </c>
      <c r="L165" s="66"/>
      <c r="M165" s="66"/>
      <c r="N165" s="66"/>
      <c r="O165" s="66"/>
      <c r="P165" s="66" t="str">
        <f t="shared" si="3"/>
        <v>JAVIER JAMES RYAN GAMINO</v>
      </c>
      <c r="Q165" s="66" t="str">
        <f>IFERROR(VLOOKUP(P165,[1]Disposition!$AB$9:$AC$495,2,0),"NO RECORD YET")</f>
        <v>Phase 8, Blk 7, Lot 30, Deca Homes, Tacunan, Davao City, Davao Del Sur, 8000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18" customHeight="1">
      <c r="A166" s="188">
        <v>159</v>
      </c>
      <c r="B166" s="193" t="s">
        <v>1972</v>
      </c>
      <c r="C166" s="193"/>
      <c r="D166" s="190" t="s">
        <v>24</v>
      </c>
      <c r="E166" s="191" t="s">
        <v>1973</v>
      </c>
      <c r="F166" s="191" t="s">
        <v>1974</v>
      </c>
      <c r="G166" s="191" t="s">
        <v>538</v>
      </c>
      <c r="H166" s="192"/>
      <c r="I166" s="212"/>
      <c r="J166" s="279"/>
      <c r="K166" s="282"/>
      <c r="L166" s="66"/>
      <c r="M166" s="66"/>
      <c r="N166" s="66"/>
      <c r="O166" s="66"/>
      <c r="P166" s="66" t="str">
        <f t="shared" si="3"/>
        <v>LABIAGA PERLIE MALAKI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spans="1:27" ht="18" customHeight="1">
      <c r="A167" s="188">
        <v>160</v>
      </c>
      <c r="B167" s="193" t="s">
        <v>1972</v>
      </c>
      <c r="C167" s="193" t="s">
        <v>19</v>
      </c>
      <c r="D167" s="190" t="s">
        <v>28</v>
      </c>
      <c r="E167" s="191" t="s">
        <v>1975</v>
      </c>
      <c r="F167" s="191" t="s">
        <v>603</v>
      </c>
      <c r="G167" s="191" t="s">
        <v>1976</v>
      </c>
      <c r="H167" s="192"/>
      <c r="I167" s="212"/>
      <c r="J167" s="185" t="s">
        <v>1977</v>
      </c>
      <c r="K167" s="307" t="s">
        <v>1978</v>
      </c>
      <c r="L167" s="66"/>
      <c r="M167" s="66"/>
      <c r="N167" s="66"/>
      <c r="O167" s="66"/>
      <c r="P167" s="66" t="str">
        <f t="shared" si="3"/>
        <v>ELOPRE JOHN PAUL GRAJIDO</v>
      </c>
      <c r="Q167" s="66" t="str">
        <f>IFERROR(VLOOKUP(P167,[1]Disposition!$AB$9:$AC$495,2,0),"NO RECORD YET")</f>
        <v>NO RECORD YET</v>
      </c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18" customHeight="1">
      <c r="A168" s="188">
        <v>161</v>
      </c>
      <c r="B168" s="189" t="s">
        <v>1979</v>
      </c>
      <c r="C168" s="189" t="s">
        <v>19</v>
      </c>
      <c r="D168" s="190" t="s">
        <v>160</v>
      </c>
      <c r="E168" s="191" t="s">
        <v>1980</v>
      </c>
      <c r="F168" s="191" t="s">
        <v>1981</v>
      </c>
      <c r="G168" s="191" t="s">
        <v>1982</v>
      </c>
      <c r="H168" s="192" t="s">
        <v>268</v>
      </c>
      <c r="I168" s="210"/>
      <c r="J168" s="279" t="s">
        <v>1983</v>
      </c>
      <c r="K168" s="307" t="s">
        <v>1984</v>
      </c>
      <c r="L168" s="66"/>
      <c r="M168" s="66"/>
      <c r="N168" s="66"/>
      <c r="O168" s="66"/>
      <c r="P168" s="66" t="str">
        <f t="shared" si="3"/>
        <v>AGUS CARCIOLO CAJANDAB</v>
      </c>
      <c r="Q168" s="66" t="str">
        <f>IFERROR(VLOOKUP(P168,[1]Disposition!$AB$9:$AC$495,2,0),"NO RECORD YET")</f>
        <v>Cainta, Rizal</v>
      </c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18" customHeight="1">
      <c r="A169" s="188">
        <v>162</v>
      </c>
      <c r="B169" s="189" t="s">
        <v>1985</v>
      </c>
      <c r="C169" s="189" t="s">
        <v>19</v>
      </c>
      <c r="D169" s="190" t="s">
        <v>96</v>
      </c>
      <c r="E169" s="191" t="s">
        <v>1986</v>
      </c>
      <c r="F169" s="191" t="s">
        <v>1987</v>
      </c>
      <c r="G169" s="191" t="s">
        <v>1988</v>
      </c>
      <c r="H169" s="192"/>
      <c r="I169" s="210"/>
      <c r="J169" s="279" t="s">
        <v>1989</v>
      </c>
      <c r="K169" s="307" t="s">
        <v>1990</v>
      </c>
      <c r="L169" s="66"/>
      <c r="M169" s="66"/>
      <c r="N169" s="66"/>
      <c r="O169" s="66"/>
      <c r="P169" s="66" t="str">
        <f t="shared" si="3"/>
        <v>ORNIDO JAN MICHAEL PONTILA</v>
      </c>
      <c r="Q169" s="66" t="str">
        <f>IFERROR(VLOOKUP(P169,[1]Disposition!$AB$9:$AC$495,2,0),"NO RECORD YET")</f>
        <v>Lot #19, Carigma Ext. Road 2, Brgy. San Jose (Pob.), City of Antipolo, Rizal</v>
      </c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18" customHeight="1">
      <c r="A170" s="188">
        <v>163</v>
      </c>
      <c r="B170" s="189" t="s">
        <v>1979</v>
      </c>
      <c r="C170" s="189" t="s">
        <v>19</v>
      </c>
      <c r="D170" s="190" t="s">
        <v>644</v>
      </c>
      <c r="E170" s="191" t="s">
        <v>1991</v>
      </c>
      <c r="F170" s="191" t="s">
        <v>1992</v>
      </c>
      <c r="G170" s="191" t="s">
        <v>1993</v>
      </c>
      <c r="H170" s="192"/>
      <c r="I170" s="212"/>
      <c r="J170" s="279" t="s">
        <v>1994</v>
      </c>
      <c r="K170" s="307" t="s">
        <v>1995</v>
      </c>
      <c r="L170" s="66"/>
      <c r="M170" s="66"/>
      <c r="N170" s="66"/>
      <c r="O170" s="66"/>
      <c r="P170" s="66" t="str">
        <f t="shared" si="3"/>
        <v>RANCE LEONARDO ESPINOSA</v>
      </c>
      <c r="Q170" s="66" t="str">
        <f>IFERROR(VLOOKUP(P170,[1]Disposition!$AB$9:$AC$495,2,0),"NO RECORD YET")</f>
        <v>11-B Saint Andrew St/. Don Bosco Vill, Paranaque City</v>
      </c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18" customHeight="1">
      <c r="A171" s="188">
        <v>164</v>
      </c>
      <c r="B171" s="189" t="s">
        <v>1979</v>
      </c>
      <c r="C171" s="193" t="s">
        <v>19</v>
      </c>
      <c r="D171" s="190" t="s">
        <v>28</v>
      </c>
      <c r="E171" s="195" t="s">
        <v>1996</v>
      </c>
      <c r="F171" s="195" t="s">
        <v>1997</v>
      </c>
      <c r="G171" s="195" t="s">
        <v>1998</v>
      </c>
      <c r="H171" s="194"/>
      <c r="I171" s="212"/>
      <c r="J171" s="185" t="s">
        <v>1999</v>
      </c>
      <c r="K171" s="307" t="s">
        <v>2000</v>
      </c>
      <c r="L171" s="66"/>
      <c r="M171" s="66"/>
      <c r="N171" s="66"/>
      <c r="O171" s="66"/>
      <c r="P171" s="66" t="str">
        <f t="shared" si="3"/>
        <v>CARBONELL JAKE GASPAR</v>
      </c>
      <c r="Q171" s="66" t="str">
        <f>IFERROR(VLOOKUP(P171,[1]Disposition!$AB$9:$AC$495,2,0),"NO RECORD YET")</f>
        <v>NO RECORD YET</v>
      </c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18" customHeight="1">
      <c r="A172" s="188">
        <v>165</v>
      </c>
      <c r="B172" s="189" t="s">
        <v>1979</v>
      </c>
      <c r="C172" s="193" t="s">
        <v>19</v>
      </c>
      <c r="D172" s="190" t="s">
        <v>28</v>
      </c>
      <c r="E172" s="195" t="s">
        <v>2001</v>
      </c>
      <c r="F172" s="195" t="s">
        <v>1440</v>
      </c>
      <c r="G172" s="195" t="s">
        <v>2002</v>
      </c>
      <c r="H172" s="194"/>
      <c r="I172" s="212"/>
      <c r="J172" s="185" t="s">
        <v>2003</v>
      </c>
      <c r="K172" s="307" t="s">
        <v>2004</v>
      </c>
      <c r="L172" s="66"/>
      <c r="M172" s="66"/>
      <c r="N172" s="66"/>
      <c r="O172" s="66"/>
      <c r="P172" s="66" t="str">
        <f t="shared" si="3"/>
        <v>MANCERA JOSHUA ARMENTA</v>
      </c>
      <c r="Q172" s="66" t="str">
        <f>IFERROR(VLOOKUP(P172,[1]Disposition!$AB$9:$AC$495,2,0),"NO RECORD YET")</f>
        <v>NO RECORD YET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18" customHeight="1">
      <c r="A173" s="188">
        <v>166</v>
      </c>
      <c r="B173" s="189" t="s">
        <v>2005</v>
      </c>
      <c r="C173" s="189" t="s">
        <v>19</v>
      </c>
      <c r="D173" s="190" t="s">
        <v>96</v>
      </c>
      <c r="E173" s="191" t="s">
        <v>2006</v>
      </c>
      <c r="F173" s="191" t="s">
        <v>2007</v>
      </c>
      <c r="G173" s="191" t="s">
        <v>2008</v>
      </c>
      <c r="H173" s="192"/>
      <c r="I173" s="210"/>
      <c r="J173" s="279" t="s">
        <v>2009</v>
      </c>
      <c r="K173" s="307" t="s">
        <v>2010</v>
      </c>
      <c r="L173" s="66"/>
      <c r="M173" s="66"/>
      <c r="N173" s="66"/>
      <c r="O173" s="66"/>
      <c r="P173" s="66" t="str">
        <f t="shared" si="3"/>
        <v>DOMINGUIANO JAY  ESTOYA</v>
      </c>
      <c r="Q173" s="66" t="str">
        <f>IFERROR(VLOOKUP(P173,[1]Disposition!$AB$9:$AC$495,2,0),"NO RECORD YET")</f>
        <v>Blk 35, #25 Sitio Maligaya, San isidro, Antipolo City</v>
      </c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18" customHeight="1">
      <c r="A174" s="188">
        <v>167</v>
      </c>
      <c r="B174" s="189" t="s">
        <v>2005</v>
      </c>
      <c r="C174" s="193" t="s">
        <v>39</v>
      </c>
      <c r="D174" s="190" t="s">
        <v>96</v>
      </c>
      <c r="E174" s="191" t="s">
        <v>2011</v>
      </c>
      <c r="F174" s="191" t="s">
        <v>2012</v>
      </c>
      <c r="G174" s="191" t="s">
        <v>2013</v>
      </c>
      <c r="H174" s="192"/>
      <c r="I174" s="210"/>
      <c r="J174" s="279" t="s">
        <v>2014</v>
      </c>
      <c r="K174" s="307" t="s">
        <v>2015</v>
      </c>
      <c r="L174" s="66" t="s">
        <v>2016</v>
      </c>
      <c r="M174" s="66"/>
      <c r="N174" s="66"/>
      <c r="O174" s="66"/>
      <c r="P174" s="66" t="str">
        <f>CONCATENATE(E529," ",F529," ",G529)</f>
        <v>PEREZ FATHIMA ALI</v>
      </c>
      <c r="Q174" s="66" t="str">
        <f>IFERROR(VLOOKUP(P174,[1]Disposition!$AB$9:$AC$495,2,0),"NO RECORD YET")</f>
        <v>#251 Telbang, Bayambang, Pangasinan/10H 4TH Avenue, Cubao, Quezon City</v>
      </c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18" customHeight="1">
      <c r="A175" s="188">
        <v>168</v>
      </c>
      <c r="B175" s="189" t="s">
        <v>2005</v>
      </c>
      <c r="C175" s="193" t="s">
        <v>39</v>
      </c>
      <c r="D175" s="190" t="s">
        <v>24</v>
      </c>
      <c r="E175" s="191" t="s">
        <v>2017</v>
      </c>
      <c r="F175" s="191" t="s">
        <v>2018</v>
      </c>
      <c r="G175" s="191" t="s">
        <v>2019</v>
      </c>
      <c r="H175" s="192"/>
      <c r="I175" s="212"/>
      <c r="J175" s="279" t="s">
        <v>2020</v>
      </c>
      <c r="K175" s="307" t="s">
        <v>2021</v>
      </c>
      <c r="L175" s="66"/>
      <c r="M175" s="66"/>
      <c r="N175" s="66"/>
      <c r="O175" s="66"/>
      <c r="P175" s="66" t="str">
        <f t="shared" ref="P175:P290" si="4">CONCATENATE(E175," ",F175," ",G175)</f>
        <v>NAZA CLAUDINE PALATTAO</v>
      </c>
      <c r="Q175" s="66" t="str">
        <f>IFERROR(VLOOKUP(P175,[1]Disposition!$AB$9:$AC$495,2,0),"NO RECORD YET")</f>
        <v>08 Francisco St., Krus na Ligas, Quezon City</v>
      </c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18" customHeight="1">
      <c r="A176" s="188">
        <v>169</v>
      </c>
      <c r="B176" s="189" t="s">
        <v>2022</v>
      </c>
      <c r="C176" s="189" t="s">
        <v>19</v>
      </c>
      <c r="D176" s="190" t="s">
        <v>96</v>
      </c>
      <c r="E176" s="191" t="s">
        <v>2023</v>
      </c>
      <c r="F176" s="191" t="s">
        <v>393</v>
      </c>
      <c r="G176" s="191" t="s">
        <v>2024</v>
      </c>
      <c r="H176" s="192"/>
      <c r="I176" s="210"/>
      <c r="J176" s="279" t="s">
        <v>2025</v>
      </c>
      <c r="K176" s="307" t="s">
        <v>2026</v>
      </c>
      <c r="L176" s="66"/>
      <c r="M176" s="66"/>
      <c r="N176" s="66"/>
      <c r="O176" s="66"/>
      <c r="P176" s="66" t="str">
        <f t="shared" si="4"/>
        <v>GALPO NICOLAS BERMUDO</v>
      </c>
      <c r="Q176" s="66" t="str">
        <f>IFERROR(VLOOKUP(P176,[1]Disposition!$AB$9:$AC$495,2,0),"NO RECORD YET")</f>
        <v>1283 Int 26, Tambunting St.. Sta. Cruz, Manila</v>
      </c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18" customHeight="1">
      <c r="A177" s="188">
        <v>170</v>
      </c>
      <c r="B177" s="189" t="s">
        <v>2022</v>
      </c>
      <c r="C177" s="189" t="s">
        <v>19</v>
      </c>
      <c r="D177" s="190" t="s">
        <v>644</v>
      </c>
      <c r="E177" s="191" t="s">
        <v>2027</v>
      </c>
      <c r="F177" s="191" t="s">
        <v>2028</v>
      </c>
      <c r="G177" s="191" t="s">
        <v>2029</v>
      </c>
      <c r="H177" s="192"/>
      <c r="I177" s="212"/>
      <c r="J177" s="279" t="s">
        <v>2030</v>
      </c>
      <c r="K177" s="307" t="s">
        <v>2031</v>
      </c>
      <c r="L177" s="66"/>
      <c r="M177" s="66"/>
      <c r="N177" s="66"/>
      <c r="O177" s="66"/>
      <c r="P177" s="66" t="str">
        <f t="shared" si="4"/>
        <v>ELECCION CHRISTOFFERSON CURAMING</v>
      </c>
      <c r="Q177" s="66" t="str">
        <f>IFERROR(VLOOKUP(P177,[1]Disposition!$AB$9:$AC$495,2,0),"NO RECORD YET")</f>
        <v>615 Everlasting St., La Colina Subd, Mambugan, Antipolo City, Rizal</v>
      </c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18" customHeight="1">
      <c r="A178" s="188">
        <v>171</v>
      </c>
      <c r="B178" s="189" t="s">
        <v>2032</v>
      </c>
      <c r="C178" s="193" t="s">
        <v>39</v>
      </c>
      <c r="D178" s="190" t="s">
        <v>96</v>
      </c>
      <c r="E178" s="204" t="s">
        <v>2033</v>
      </c>
      <c r="F178" s="204" t="s">
        <v>2034</v>
      </c>
      <c r="G178" s="204" t="s">
        <v>2035</v>
      </c>
      <c r="H178" s="205"/>
      <c r="I178" s="210"/>
      <c r="J178" s="279" t="s">
        <v>2036</v>
      </c>
      <c r="K178" s="307" t="s">
        <v>2037</v>
      </c>
      <c r="L178" s="66"/>
      <c r="M178" s="66"/>
      <c r="N178" s="66"/>
      <c r="O178" s="66"/>
      <c r="P178" s="66" t="str">
        <f t="shared" si="4"/>
        <v>CANAPI RODALYN ARGUELLES</v>
      </c>
      <c r="Q178" s="66" t="str">
        <f>IFERROR(VLOOKUP(P178,[1]Disposition!$AB$9:$AC$495,2,0),"NO RECORD YET")</f>
        <v>Blk 12 Lot 33, Hamburg Street, Mercedes Executive Village, San Andres (Pob), Cainta, Rizal</v>
      </c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18" customHeight="1">
      <c r="A179" s="188">
        <v>172</v>
      </c>
      <c r="B179" s="189" t="s">
        <v>2038</v>
      </c>
      <c r="C179" s="189" t="s">
        <v>19</v>
      </c>
      <c r="D179" s="194" t="s">
        <v>253</v>
      </c>
      <c r="E179" s="191" t="s">
        <v>2039</v>
      </c>
      <c r="F179" s="191" t="s">
        <v>2040</v>
      </c>
      <c r="G179" s="191" t="s">
        <v>2041</v>
      </c>
      <c r="H179" s="192"/>
      <c r="I179" s="210"/>
      <c r="J179" s="279" t="s">
        <v>2042</v>
      </c>
      <c r="K179" s="307" t="s">
        <v>2043</v>
      </c>
      <c r="L179" s="66"/>
      <c r="M179" s="66"/>
      <c r="N179" s="66"/>
      <c r="O179" s="66"/>
      <c r="P179" s="66" t="str">
        <f t="shared" si="4"/>
        <v>PANAGA MOHAMED TALAUE</v>
      </c>
      <c r="Q179" s="66" t="str">
        <f>IFERROR(VLOOKUP(P179,[1]Disposition!$AB$9:$AC$495,2,0),"NO RECORD YET")</f>
        <v>Phae 1  Blk 12 Lot 29,  E.R. San Isidro, Rodriguez, Rizal</v>
      </c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 spans="1:27" ht="18" customHeight="1">
      <c r="A180" s="188">
        <v>173</v>
      </c>
      <c r="B180" s="189" t="s">
        <v>2038</v>
      </c>
      <c r="C180" s="189" t="s">
        <v>19</v>
      </c>
      <c r="D180" s="190" t="s">
        <v>246</v>
      </c>
      <c r="E180" s="191" t="s">
        <v>1338</v>
      </c>
      <c r="F180" s="191" t="s">
        <v>400</v>
      </c>
      <c r="G180" s="191" t="s">
        <v>2044</v>
      </c>
      <c r="H180" s="192"/>
      <c r="I180" s="210"/>
      <c r="J180" s="279" t="s">
        <v>2045</v>
      </c>
      <c r="K180" s="282"/>
      <c r="L180" s="66"/>
      <c r="M180" s="66"/>
      <c r="N180" s="66"/>
      <c r="O180" s="66"/>
      <c r="P180" s="66" t="str">
        <f t="shared" si="4"/>
        <v>LOZANO CHRISTIAN MARQUEZ</v>
      </c>
      <c r="Q180" s="66" t="str">
        <f>IFERROR(VLOOKUP(P180,[1]Disposition!$AB$9:$AC$495,2,0),"NO RECORD YET")</f>
        <v>NO RECORD YET</v>
      </c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18" customHeight="1">
      <c r="A181" s="188">
        <v>174</v>
      </c>
      <c r="B181" s="189" t="s">
        <v>2046</v>
      </c>
      <c r="C181" s="193" t="s">
        <v>19</v>
      </c>
      <c r="D181" s="194" t="s">
        <v>253</v>
      </c>
      <c r="E181" s="191" t="s">
        <v>2047</v>
      </c>
      <c r="F181" s="191" t="s">
        <v>1186</v>
      </c>
      <c r="G181" s="191" t="s">
        <v>2048</v>
      </c>
      <c r="H181" s="192"/>
      <c r="I181" s="210"/>
      <c r="J181" s="279" t="s">
        <v>2049</v>
      </c>
      <c r="K181" s="307" t="s">
        <v>2050</v>
      </c>
      <c r="L181" s="66"/>
      <c r="M181" s="66"/>
      <c r="N181" s="66"/>
      <c r="O181" s="66"/>
      <c r="P181" s="66" t="str">
        <f t="shared" si="4"/>
        <v>CABELIS CHRISTOPHER ADENA</v>
      </c>
      <c r="Q181" s="66" t="str">
        <f>IFERROR(VLOOKUP(P181,[1]Disposition!$AB$9:$AC$495,2,0),"NO RECORD YET")</f>
        <v>201 B Makati Homes,  Milkweed St., Rizal, Makati City</v>
      </c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18" customHeight="1">
      <c r="A182" s="188">
        <v>175</v>
      </c>
      <c r="B182" s="189" t="s">
        <v>2051</v>
      </c>
      <c r="C182" s="189" t="s">
        <v>19</v>
      </c>
      <c r="D182" s="194" t="s">
        <v>96</v>
      </c>
      <c r="E182" s="191" t="s">
        <v>2052</v>
      </c>
      <c r="F182" s="191" t="s">
        <v>1292</v>
      </c>
      <c r="G182" s="191" t="s">
        <v>2053</v>
      </c>
      <c r="H182" s="192"/>
      <c r="I182" s="210"/>
      <c r="J182" s="279" t="s">
        <v>2054</v>
      </c>
      <c r="K182" s="307" t="s">
        <v>2055</v>
      </c>
      <c r="L182" s="66"/>
      <c r="M182" s="66"/>
      <c r="N182" s="66"/>
      <c r="O182" s="66"/>
      <c r="P182" s="66" t="str">
        <f t="shared" si="4"/>
        <v>BANTIC JUVENAL PULINNEK</v>
      </c>
      <c r="Q182" s="66" t="str">
        <f>IFERROR(VLOOKUP(P182,[1]Disposition!$AB$9:$AC$495,2,0),"NO RECORD YET")</f>
        <v>#20 Alley 1, Project 6, Quezon City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18" customHeight="1">
      <c r="A183" s="188">
        <v>176</v>
      </c>
      <c r="B183" s="189" t="s">
        <v>2051</v>
      </c>
      <c r="C183" s="193" t="s">
        <v>19</v>
      </c>
      <c r="D183" s="190" t="s">
        <v>246</v>
      </c>
      <c r="E183" s="191" t="s">
        <v>2056</v>
      </c>
      <c r="F183" s="191" t="s">
        <v>2057</v>
      </c>
      <c r="G183" s="191" t="s">
        <v>2058</v>
      </c>
      <c r="H183" s="192"/>
      <c r="I183" s="210"/>
      <c r="J183" s="279"/>
      <c r="K183" s="282" t="s">
        <v>2059</v>
      </c>
      <c r="L183" s="66"/>
      <c r="M183" s="66"/>
      <c r="N183" s="66"/>
      <c r="O183" s="66"/>
      <c r="P183" s="66" t="str">
        <f t="shared" si="4"/>
        <v>LAZO JANUS CESAR RUIZAN</v>
      </c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18" customHeight="1">
      <c r="A184" s="188">
        <v>177</v>
      </c>
      <c r="B184" s="189" t="s">
        <v>2051</v>
      </c>
      <c r="C184" s="189" t="s">
        <v>19</v>
      </c>
      <c r="D184" s="190" t="s">
        <v>366</v>
      </c>
      <c r="E184" s="191" t="s">
        <v>2060</v>
      </c>
      <c r="F184" s="191" t="s">
        <v>770</v>
      </c>
      <c r="G184" s="191" t="s">
        <v>2061</v>
      </c>
      <c r="H184" s="192"/>
      <c r="I184" s="212"/>
      <c r="J184" s="279" t="s">
        <v>2062</v>
      </c>
      <c r="K184" s="307" t="s">
        <v>2063</v>
      </c>
      <c r="L184" s="66"/>
      <c r="M184" s="66"/>
      <c r="N184" s="66"/>
      <c r="O184" s="66"/>
      <c r="P184" s="66" t="str">
        <f t="shared" si="4"/>
        <v>PACULAN MARK ANTHONY NIDUAZA</v>
      </c>
      <c r="Q184" s="66" t="str">
        <f>IFERROR(VLOOKUP(P184,[1]Disposition!$AB$9:$AC$495,2,0),"NO RECORD YET")</f>
        <v>Pagdalagan Sur, Bauang, La Union</v>
      </c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18" customHeight="1">
      <c r="A185" s="188">
        <v>178</v>
      </c>
      <c r="B185" s="189" t="s">
        <v>2051</v>
      </c>
      <c r="C185" s="189" t="s">
        <v>19</v>
      </c>
      <c r="D185" s="190" t="s">
        <v>366</v>
      </c>
      <c r="E185" s="191" t="s">
        <v>2064</v>
      </c>
      <c r="F185" s="191" t="s">
        <v>2065</v>
      </c>
      <c r="G185" s="191" t="s">
        <v>2066</v>
      </c>
      <c r="H185" s="192"/>
      <c r="I185" s="212"/>
      <c r="J185" s="279" t="s">
        <v>2067</v>
      </c>
      <c r="K185" s="307" t="s">
        <v>2068</v>
      </c>
      <c r="L185" s="66"/>
      <c r="M185" s="66"/>
      <c r="N185" s="66"/>
      <c r="O185" s="66"/>
      <c r="P185" s="66" t="str">
        <f t="shared" si="4"/>
        <v>SUPIL HARLIE MUTIA</v>
      </c>
      <c r="Q185" s="66" t="str">
        <f>IFERROR(VLOOKUP(P185,[1]Disposition!$AB$9:$AC$495,2,0),"NO RECORD YET")</f>
        <v>#34 Puelay, Caranglaan, Dagupan City</v>
      </c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spans="1:27" ht="18" customHeight="1">
      <c r="A186" s="188">
        <v>179</v>
      </c>
      <c r="B186" s="189" t="s">
        <v>2051</v>
      </c>
      <c r="C186" s="189" t="s">
        <v>19</v>
      </c>
      <c r="D186" s="190" t="s">
        <v>57</v>
      </c>
      <c r="E186" s="191" t="s">
        <v>1622</v>
      </c>
      <c r="F186" s="191" t="s">
        <v>2069</v>
      </c>
      <c r="G186" s="191" t="s">
        <v>2070</v>
      </c>
      <c r="H186" s="192"/>
      <c r="I186" s="212"/>
      <c r="J186" s="279" t="s">
        <v>2071</v>
      </c>
      <c r="K186" s="307" t="s">
        <v>2072</v>
      </c>
      <c r="L186" s="66"/>
      <c r="M186" s="66"/>
      <c r="N186" s="66"/>
      <c r="O186" s="66"/>
      <c r="P186" s="66" t="str">
        <f t="shared" si="4"/>
        <v>RIVERA RONALD BATIS</v>
      </c>
      <c r="Q186" s="66" t="str">
        <f>IFERROR(VLOOKUP(P186,[1]Disposition!$AB$9:$AC$495,2,0),"NO RECORD YET")</f>
        <v>Namboongan, Sto. Tomas, La Union</v>
      </c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18" customHeight="1">
      <c r="A187" s="188">
        <v>180</v>
      </c>
      <c r="B187" s="189" t="s">
        <v>2051</v>
      </c>
      <c r="C187" s="193" t="s">
        <v>39</v>
      </c>
      <c r="D187" s="190" t="s">
        <v>24</v>
      </c>
      <c r="E187" s="191" t="s">
        <v>2073</v>
      </c>
      <c r="F187" s="191" t="s">
        <v>2074</v>
      </c>
      <c r="G187" s="191" t="s">
        <v>2075</v>
      </c>
      <c r="H187" s="192"/>
      <c r="I187" s="212"/>
      <c r="J187" s="279" t="s">
        <v>2076</v>
      </c>
      <c r="K187" s="307" t="s">
        <v>2077</v>
      </c>
      <c r="L187" s="66"/>
      <c r="M187" s="66"/>
      <c r="N187" s="66"/>
      <c r="O187" s="66"/>
      <c r="P187" s="66" t="str">
        <f t="shared" si="4"/>
        <v>QUIAÑO CRYSTAL JEZZELLE CARIASO</v>
      </c>
      <c r="Q187" s="66" t="str">
        <f>IFERROR(VLOOKUP(P187,[1]Disposition!$AB$9:$AC$495,2,0),"NO RECORD YET")</f>
        <v>#055 Guinabang, Bacnotan, La Union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spans="1:27" ht="18" customHeight="1">
      <c r="A188" s="188">
        <v>181</v>
      </c>
      <c r="B188" s="189" t="s">
        <v>2051</v>
      </c>
      <c r="C188" s="193" t="s">
        <v>39</v>
      </c>
      <c r="D188" s="190" t="s">
        <v>28</v>
      </c>
      <c r="E188" s="191" t="s">
        <v>2078</v>
      </c>
      <c r="F188" s="191" t="s">
        <v>2079</v>
      </c>
      <c r="G188" s="191" t="s">
        <v>2080</v>
      </c>
      <c r="H188" s="192"/>
      <c r="I188" s="212"/>
      <c r="J188" s="281" t="s">
        <v>2081</v>
      </c>
      <c r="K188" s="307" t="s">
        <v>2082</v>
      </c>
      <c r="L188" s="66"/>
      <c r="M188" s="66"/>
      <c r="N188" s="66"/>
      <c r="O188" s="66"/>
      <c r="P188" s="66" t="str">
        <f t="shared" si="4"/>
        <v>AREOLA MARJORIE BALZA</v>
      </c>
      <c r="Q188" s="66" t="str">
        <f>IFERROR(VLOOKUP(P188,[1]Disposition!$AB$9:$AC$495,2,0),"NO RECORD YET")</f>
        <v>NO RECORD YET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spans="1:27" ht="18" customHeight="1">
      <c r="A189" s="188">
        <v>182</v>
      </c>
      <c r="B189" s="189" t="s">
        <v>2051</v>
      </c>
      <c r="C189" s="193" t="s">
        <v>39</v>
      </c>
      <c r="D189" s="190" t="s">
        <v>28</v>
      </c>
      <c r="E189" s="191" t="s">
        <v>2083</v>
      </c>
      <c r="F189" s="191" t="s">
        <v>2084</v>
      </c>
      <c r="G189" s="191" t="s">
        <v>2085</v>
      </c>
      <c r="H189" s="192"/>
      <c r="I189" s="212"/>
      <c r="J189" s="281" t="s">
        <v>2086</v>
      </c>
      <c r="K189" s="307" t="s">
        <v>2087</v>
      </c>
      <c r="L189" s="66"/>
      <c r="M189" s="66"/>
      <c r="N189" s="66"/>
      <c r="O189" s="66"/>
      <c r="P189" s="66" t="str">
        <f t="shared" si="4"/>
        <v>LAMES MAYJEAN GAGET</v>
      </c>
      <c r="Q189" s="66" t="str">
        <f>IFERROR(VLOOKUP(P189,[1]Disposition!$AB$9:$AC$495,2,0),"NO RECORD YET")</f>
        <v>NO RECORD YET</v>
      </c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spans="1:27" ht="18" customHeight="1">
      <c r="A190" s="188">
        <v>183</v>
      </c>
      <c r="B190" s="193" t="s">
        <v>2088</v>
      </c>
      <c r="C190" s="193" t="s">
        <v>19</v>
      </c>
      <c r="D190" s="190" t="s">
        <v>160</v>
      </c>
      <c r="E190" s="191" t="s">
        <v>2089</v>
      </c>
      <c r="F190" s="191" t="s">
        <v>1436</v>
      </c>
      <c r="G190" s="191" t="s">
        <v>2090</v>
      </c>
      <c r="H190" s="192"/>
      <c r="I190" s="210"/>
      <c r="J190" s="279" t="s">
        <v>2091</v>
      </c>
      <c r="K190" s="307" t="s">
        <v>2092</v>
      </c>
      <c r="L190" s="66"/>
      <c r="M190" s="66"/>
      <c r="N190" s="66"/>
      <c r="O190" s="66"/>
      <c r="P190" s="66" t="str">
        <f t="shared" si="4"/>
        <v>BACCAY PEDRO IQUIN</v>
      </c>
      <c r="Q190" s="66" t="str">
        <f>IFERROR(VLOOKUP(P190,[1]Disposition!$AB$9:$AC$495,2,0),"NO RECORD YET")</f>
        <v>Blk2, Lot19, Orchid St., Camella Townhomes, Talon 3, Las Piñas City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spans="1:27" ht="18" customHeight="1">
      <c r="A191" s="188">
        <v>184</v>
      </c>
      <c r="B191" s="193" t="s">
        <v>2088</v>
      </c>
      <c r="C191" s="193" t="s">
        <v>19</v>
      </c>
      <c r="D191" s="190" t="s">
        <v>96</v>
      </c>
      <c r="E191" s="191" t="s">
        <v>2093</v>
      </c>
      <c r="F191" s="191" t="s">
        <v>2094</v>
      </c>
      <c r="G191" s="191" t="s">
        <v>2095</v>
      </c>
      <c r="H191" s="192"/>
      <c r="I191" s="210"/>
      <c r="J191" s="279" t="s">
        <v>2096</v>
      </c>
      <c r="K191" s="307" t="s">
        <v>2097</v>
      </c>
      <c r="L191" s="66"/>
      <c r="M191" s="66"/>
      <c r="N191" s="66"/>
      <c r="O191" s="66"/>
      <c r="P191" s="66" t="str">
        <f t="shared" si="4"/>
        <v>BABATE JAN NOEL ADUCA</v>
      </c>
      <c r="Q191" s="66" t="str">
        <f>IFERROR(VLOOKUP(P191,[1]Disposition!$AB$9:$AC$495,2,0),"NO RECORD YET")</f>
        <v>Cacaligan, Bantay</v>
      </c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spans="1:27" ht="18" customHeight="1">
      <c r="A192" s="188">
        <v>185</v>
      </c>
      <c r="B192" s="193" t="s">
        <v>2088</v>
      </c>
      <c r="C192" s="193" t="s">
        <v>39</v>
      </c>
      <c r="D192" s="190" t="s">
        <v>96</v>
      </c>
      <c r="E192" s="191" t="s">
        <v>2098</v>
      </c>
      <c r="F192" s="191" t="s">
        <v>2099</v>
      </c>
      <c r="G192" s="191" t="s">
        <v>2100</v>
      </c>
      <c r="H192" s="192"/>
      <c r="I192" s="210"/>
      <c r="J192" s="279" t="s">
        <v>2101</v>
      </c>
      <c r="K192" s="307" t="s">
        <v>2102</v>
      </c>
      <c r="L192" s="66"/>
      <c r="M192" s="66"/>
      <c r="N192" s="66"/>
      <c r="O192" s="66"/>
      <c r="P192" s="66" t="str">
        <f t="shared" si="4"/>
        <v>MORA CHARMAINE JOY TAMAYO</v>
      </c>
      <c r="Q192" s="66" t="str">
        <f>IFERROR(VLOOKUP(P192,[1]Disposition!$AB$9:$AC$495,2,0),"NO RECORD YET")</f>
        <v>375 F. San Diego Viente Reales, Valenzuela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spans="1:27" ht="18" customHeight="1">
      <c r="A193" s="188">
        <v>186</v>
      </c>
      <c r="B193" s="193" t="s">
        <v>2088</v>
      </c>
      <c r="C193" s="193" t="s">
        <v>19</v>
      </c>
      <c r="D193" s="190" t="s">
        <v>246</v>
      </c>
      <c r="E193" s="204" t="s">
        <v>2103</v>
      </c>
      <c r="F193" s="204" t="s">
        <v>2104</v>
      </c>
      <c r="G193" s="204" t="s">
        <v>2105</v>
      </c>
      <c r="H193" s="205" t="s">
        <v>268</v>
      </c>
      <c r="I193" s="210"/>
      <c r="J193" s="279" t="s">
        <v>2106</v>
      </c>
      <c r="K193" s="282"/>
      <c r="L193" s="66"/>
      <c r="M193" s="66"/>
      <c r="N193" s="66"/>
      <c r="O193" s="66"/>
      <c r="P193" s="66" t="str">
        <f t="shared" si="4"/>
        <v>BIRUNG PABLO LUGUTAN</v>
      </c>
      <c r="Q193" s="66" t="str">
        <f>IFERROR(VLOOKUP(P193,[1]Disposition!$AB$9:$AC$495,2,0),"NO RECORD YET")</f>
        <v>NO RECORD YET</v>
      </c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ht="18" customHeight="1">
      <c r="A194" s="188">
        <v>187</v>
      </c>
      <c r="B194" s="193" t="s">
        <v>2088</v>
      </c>
      <c r="C194" s="193" t="s">
        <v>19</v>
      </c>
      <c r="D194" s="190" t="s">
        <v>366</v>
      </c>
      <c r="E194" s="191" t="s">
        <v>2033</v>
      </c>
      <c r="F194" s="191" t="s">
        <v>2107</v>
      </c>
      <c r="G194" s="191" t="s">
        <v>2108</v>
      </c>
      <c r="H194" s="192"/>
      <c r="I194" s="212"/>
      <c r="J194" s="279" t="s">
        <v>2109</v>
      </c>
      <c r="K194" s="307" t="s">
        <v>2037</v>
      </c>
      <c r="L194" s="66"/>
      <c r="M194" s="66"/>
      <c r="N194" s="66"/>
      <c r="O194" s="66"/>
      <c r="P194" s="66" t="str">
        <f t="shared" si="4"/>
        <v>CANAPI CHARLIE MEMAN</v>
      </c>
      <c r="Q194" s="66" t="str">
        <f>IFERROR(VLOOKUP(P194,[1]Disposition!$AB$9:$AC$495,2,0),"NO RECORD YET")</f>
        <v>205 Bonifacio Street, Centro Northwest, Solana, Cagayan</v>
      </c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spans="1:27" ht="18" customHeight="1">
      <c r="A195" s="188">
        <v>188</v>
      </c>
      <c r="B195" s="193" t="s">
        <v>2088</v>
      </c>
      <c r="C195" s="193" t="s">
        <v>39</v>
      </c>
      <c r="D195" s="190" t="s">
        <v>366</v>
      </c>
      <c r="E195" s="191" t="s">
        <v>2110</v>
      </c>
      <c r="F195" s="191" t="s">
        <v>2111</v>
      </c>
      <c r="G195" s="191" t="s">
        <v>2112</v>
      </c>
      <c r="H195" s="192"/>
      <c r="I195" s="212"/>
      <c r="J195" s="279" t="s">
        <v>2113</v>
      </c>
      <c r="K195" s="307" t="s">
        <v>2114</v>
      </c>
      <c r="L195" s="66"/>
      <c r="M195" s="66"/>
      <c r="N195" s="66"/>
      <c r="O195" s="66"/>
      <c r="P195" s="66" t="str">
        <f t="shared" si="4"/>
        <v>MILLARE OLIVIA ANTONIO</v>
      </c>
      <c r="Q195" s="66" t="str">
        <f>IFERROR(VLOOKUP(P195,[1]Disposition!$AB$9:$AC$495,2,0),"NO RECORD YET")</f>
        <v>#355 Antonios St., Carig Sur,Tuguegarao City, Cagayan</v>
      </c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spans="1:27" ht="18" customHeight="1">
      <c r="A196" s="188">
        <v>189</v>
      </c>
      <c r="B196" s="193" t="s">
        <v>2088</v>
      </c>
      <c r="C196" s="193" t="s">
        <v>19</v>
      </c>
      <c r="D196" s="190" t="s">
        <v>366</v>
      </c>
      <c r="E196" s="191" t="s">
        <v>2019</v>
      </c>
      <c r="F196" s="191" t="s">
        <v>2115</v>
      </c>
      <c r="G196" s="191" t="s">
        <v>2116</v>
      </c>
      <c r="H196" s="192"/>
      <c r="I196" s="212"/>
      <c r="J196" s="279" t="s">
        <v>2117</v>
      </c>
      <c r="K196" s="307" t="s">
        <v>2118</v>
      </c>
      <c r="L196" s="66"/>
      <c r="M196" s="66"/>
      <c r="N196" s="66"/>
      <c r="O196" s="66"/>
      <c r="P196" s="66" t="str">
        <f t="shared" si="4"/>
        <v>PALATTAO JOHNY FER MABORRANG</v>
      </c>
      <c r="Q196" s="66" t="str">
        <f>IFERROR(VLOOKUP(P196,[1]Disposition!$AB$9:$AC$495,2,0),"NO RECORD YET")</f>
        <v>Bauan West, Solana, Cagayan</v>
      </c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spans="1:27" ht="18" customHeight="1">
      <c r="A197" s="188">
        <v>190</v>
      </c>
      <c r="B197" s="193" t="s">
        <v>2088</v>
      </c>
      <c r="C197" s="193" t="s">
        <v>39</v>
      </c>
      <c r="D197" s="190" t="s">
        <v>366</v>
      </c>
      <c r="E197" s="191" t="s">
        <v>2119</v>
      </c>
      <c r="F197" s="191" t="s">
        <v>2120</v>
      </c>
      <c r="G197" s="191" t="s">
        <v>2121</v>
      </c>
      <c r="H197" s="192"/>
      <c r="I197" s="212"/>
      <c r="J197" s="279" t="s">
        <v>2122</v>
      </c>
      <c r="K197" s="307" t="s">
        <v>2123</v>
      </c>
      <c r="L197" s="66"/>
      <c r="M197" s="66"/>
      <c r="N197" s="66"/>
      <c r="O197" s="66"/>
      <c r="P197" s="66" t="str">
        <f t="shared" si="4"/>
        <v>TUMBALI JAYANN PASICOLAN</v>
      </c>
      <c r="Q197" s="66" t="str">
        <f>IFERROR(VLOOKUP(P197,[1]Disposition!$AB$9:$AC$495,2,0),"NO RECORD YET")</f>
        <v>189 Luquilu, Cabagan, Isabela</v>
      </c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spans="1:27" ht="18" customHeight="1">
      <c r="A198" s="188">
        <v>191</v>
      </c>
      <c r="B198" s="193" t="s">
        <v>2088</v>
      </c>
      <c r="C198" s="193" t="s">
        <v>19</v>
      </c>
      <c r="D198" s="190" t="s">
        <v>57</v>
      </c>
      <c r="E198" s="191" t="s">
        <v>2124</v>
      </c>
      <c r="F198" s="191" t="s">
        <v>839</v>
      </c>
      <c r="G198" s="191" t="s">
        <v>2125</v>
      </c>
      <c r="H198" s="192"/>
      <c r="I198" s="212"/>
      <c r="J198" s="279" t="s">
        <v>2126</v>
      </c>
      <c r="K198" s="307" t="s">
        <v>2127</v>
      </c>
      <c r="L198" s="66"/>
      <c r="M198" s="66"/>
      <c r="N198" s="66"/>
      <c r="O198" s="66"/>
      <c r="P198" s="66" t="str">
        <f t="shared" si="4"/>
        <v>BUCAG JAMES TAGUBA</v>
      </c>
      <c r="Q198" s="66" t="str">
        <f>IFERROR(VLOOKUP(P198,[1]Disposition!$AB$9:$AC$495,2,0),"NO RECORD YET")</f>
        <v>San Isidro West, Santa Maria, Isabela</v>
      </c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spans="1:27" ht="18" customHeight="1">
      <c r="A199" s="188">
        <v>192</v>
      </c>
      <c r="B199" s="193" t="s">
        <v>2088</v>
      </c>
      <c r="C199" s="193" t="s">
        <v>39</v>
      </c>
      <c r="D199" s="190" t="s">
        <v>24</v>
      </c>
      <c r="E199" s="191" t="s">
        <v>2128</v>
      </c>
      <c r="F199" s="191" t="s">
        <v>1350</v>
      </c>
      <c r="G199" s="191" t="s">
        <v>2129</v>
      </c>
      <c r="H199" s="192"/>
      <c r="I199" s="212"/>
      <c r="J199" s="279" t="s">
        <v>2130</v>
      </c>
      <c r="K199" s="307" t="s">
        <v>2131</v>
      </c>
      <c r="L199" s="66"/>
      <c r="M199" s="66"/>
      <c r="N199" s="66"/>
      <c r="O199" s="66"/>
      <c r="P199" s="66" t="str">
        <f t="shared" si="4"/>
        <v>LABANG MARY JOY ZIPAGAN</v>
      </c>
      <c r="Q199" s="66" t="str">
        <f>IFERROR(VLOOKUP(P199,[1]Disposition!$AB$9:$AC$495,2,0),"NO RECORD YET")</f>
        <v>Purok 2, Brgy. Garita, Cabagan, Isabela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spans="1:27" ht="18" customHeight="1">
      <c r="A200" s="188">
        <v>193</v>
      </c>
      <c r="B200" s="193" t="s">
        <v>2088</v>
      </c>
      <c r="C200" s="193" t="s">
        <v>19</v>
      </c>
      <c r="D200" s="190" t="s">
        <v>28</v>
      </c>
      <c r="E200" s="195" t="s">
        <v>2132</v>
      </c>
      <c r="F200" s="195" t="s">
        <v>1298</v>
      </c>
      <c r="G200" s="195" t="s">
        <v>2133</v>
      </c>
      <c r="H200" s="194" t="s">
        <v>268</v>
      </c>
      <c r="I200" s="212"/>
      <c r="J200" s="185" t="s">
        <v>2134</v>
      </c>
      <c r="K200" s="307" t="s">
        <v>2135</v>
      </c>
      <c r="L200" s="66"/>
      <c r="M200" s="66"/>
      <c r="N200" s="66"/>
      <c r="O200" s="66"/>
      <c r="P200" s="66" t="str">
        <f t="shared" si="4"/>
        <v>GUZMAN EMILIO TUMOLVA</v>
      </c>
      <c r="Q200" s="66" t="str">
        <f>IFERROR(VLOOKUP(P200,[1]Disposition!$AB$9:$AC$495,2,0),"NO RECORD YET")</f>
        <v>NO RECORD YET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18" customHeight="1">
      <c r="A201" s="188">
        <v>195</v>
      </c>
      <c r="B201" s="189" t="s">
        <v>2136</v>
      </c>
      <c r="C201" s="189" t="s">
        <v>19</v>
      </c>
      <c r="D201" s="190" t="s">
        <v>160</v>
      </c>
      <c r="E201" s="191" t="s">
        <v>2137</v>
      </c>
      <c r="F201" s="191" t="s">
        <v>2138</v>
      </c>
      <c r="G201" s="191" t="s">
        <v>2139</v>
      </c>
      <c r="H201" s="192"/>
      <c r="I201" s="210"/>
      <c r="J201" s="279" t="s">
        <v>2140</v>
      </c>
      <c r="K201" s="307" t="s">
        <v>2141</v>
      </c>
      <c r="L201" s="66"/>
      <c r="M201" s="66"/>
      <c r="N201" s="66"/>
      <c r="O201" s="66"/>
      <c r="P201" s="66" t="str">
        <f t="shared" si="4"/>
        <v>ANDRES JOSE WILSON HACIÑAS</v>
      </c>
      <c r="Q201" s="66" t="str">
        <f>IFERROR(VLOOKUP(P201,[1]Disposition!$AB$9:$AC$495,2,0),"NO RECORD YET")</f>
        <v>B4 L8 Eugenio Hieghts, Kaypian, Frnacisco Homes, SJDM,  Bulacan</v>
      </c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18" customHeight="1">
      <c r="A202" s="188">
        <v>196</v>
      </c>
      <c r="B202" s="189" t="s">
        <v>2136</v>
      </c>
      <c r="C202" s="193" t="s">
        <v>39</v>
      </c>
      <c r="D202" s="194" t="s">
        <v>253</v>
      </c>
      <c r="E202" s="191" t="s">
        <v>2142</v>
      </c>
      <c r="F202" s="191" t="s">
        <v>427</v>
      </c>
      <c r="G202" s="191" t="s">
        <v>2143</v>
      </c>
      <c r="H202" s="192"/>
      <c r="I202" s="210"/>
      <c r="J202" s="279" t="s">
        <v>2144</v>
      </c>
      <c r="K202" s="307" t="s">
        <v>2145</v>
      </c>
      <c r="L202" s="66"/>
      <c r="M202" s="66"/>
      <c r="N202" s="66"/>
      <c r="O202" s="66"/>
      <c r="P202" s="66" t="str">
        <f t="shared" si="4"/>
        <v>RAMIREZ MA CRISTINA GRAZA</v>
      </c>
      <c r="Q202" s="66" t="str">
        <f>IFERROR(VLOOKUP(P202,[1]Disposition!$AB$9:$AC$495,2,0),"NO RECORD YET")</f>
        <v>Nunez St., Brgy. Magsaysay, Norte, Cabanatuan City</v>
      </c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18" customHeight="1">
      <c r="A203" s="188">
        <v>197</v>
      </c>
      <c r="B203" s="189" t="s">
        <v>2136</v>
      </c>
      <c r="C203" s="193" t="s">
        <v>39</v>
      </c>
      <c r="D203" s="194" t="s">
        <v>253</v>
      </c>
      <c r="E203" s="191" t="s">
        <v>2146</v>
      </c>
      <c r="F203" s="191" t="s">
        <v>2147</v>
      </c>
      <c r="G203" s="191" t="s">
        <v>2148</v>
      </c>
      <c r="H203" s="192"/>
      <c r="I203" s="210"/>
      <c r="J203" s="279" t="s">
        <v>2149</v>
      </c>
      <c r="K203" s="307" t="s">
        <v>2150</v>
      </c>
      <c r="L203" s="66"/>
      <c r="M203" s="66"/>
      <c r="N203" s="66"/>
      <c r="O203" s="66"/>
      <c r="P203" s="66" t="str">
        <f t="shared" si="4"/>
        <v>BANDULA MARIA GERLYINES CABRERA</v>
      </c>
      <c r="Q203" s="66" t="str">
        <f>IFERROR(VLOOKUP(P203,[1]Disposition!$AB$9:$AC$495,2,0),"NO RECORD YET")</f>
        <v>596 Moras Dela Paz, Sto. Tomas, Pampanga</v>
      </c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18" customHeight="1">
      <c r="A204" s="188">
        <v>198</v>
      </c>
      <c r="B204" s="189" t="s">
        <v>2136</v>
      </c>
      <c r="C204" s="193" t="s">
        <v>39</v>
      </c>
      <c r="D204" s="190" t="s">
        <v>246</v>
      </c>
      <c r="E204" s="191" t="s">
        <v>2151</v>
      </c>
      <c r="F204" s="191" t="s">
        <v>2152</v>
      </c>
      <c r="G204" s="191" t="s">
        <v>151</v>
      </c>
      <c r="H204" s="192"/>
      <c r="I204" s="210"/>
      <c r="J204" s="279" t="s">
        <v>2153</v>
      </c>
      <c r="K204" s="282"/>
      <c r="L204" s="66"/>
      <c r="M204" s="66"/>
      <c r="N204" s="66"/>
      <c r="O204" s="66"/>
      <c r="P204" s="66" t="str">
        <f t="shared" si="4"/>
        <v>MANALO CZARMAINE JOYCE RAMOS</v>
      </c>
      <c r="Q204" s="66" t="str">
        <f>IFERROR(VLOOKUP(P204,[1]Disposition!$AB$9:$AC$495,2,0),"NO RECORD YET")</f>
        <v>NO RECORD YET</v>
      </c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18" customHeight="1">
      <c r="A205" s="188">
        <v>199</v>
      </c>
      <c r="B205" s="189" t="s">
        <v>2136</v>
      </c>
      <c r="C205" s="193" t="s">
        <v>39</v>
      </c>
      <c r="D205" s="190" t="s">
        <v>277</v>
      </c>
      <c r="E205" s="191" t="s">
        <v>2154</v>
      </c>
      <c r="F205" s="191" t="s">
        <v>2155</v>
      </c>
      <c r="G205" s="191" t="s">
        <v>2156</v>
      </c>
      <c r="H205" s="192"/>
      <c r="I205" s="212"/>
      <c r="J205" s="279" t="s">
        <v>2157</v>
      </c>
      <c r="K205" s="307" t="s">
        <v>2158</v>
      </c>
      <c r="L205" s="66"/>
      <c r="M205" s="66"/>
      <c r="N205" s="66"/>
      <c r="O205" s="66"/>
      <c r="P205" s="66" t="str">
        <f t="shared" si="4"/>
        <v>GUINTO EDITHA  ANICIETE</v>
      </c>
      <c r="Q205" s="66" t="str">
        <f>IFERROR(VLOOKUP(P205,[1]Disposition!$AB$9:$AC$495,2,0),"NO RECORD YET")</f>
        <v>Brgy., Puti, MasantolL, Pampanga</v>
      </c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18" customHeight="1">
      <c r="A206" s="188">
        <v>200</v>
      </c>
      <c r="B206" s="189" t="s">
        <v>2136</v>
      </c>
      <c r="C206" s="189" t="s">
        <v>19</v>
      </c>
      <c r="D206" s="190" t="s">
        <v>57</v>
      </c>
      <c r="E206" s="191" t="s">
        <v>1942</v>
      </c>
      <c r="F206" s="191" t="s">
        <v>2159</v>
      </c>
      <c r="G206" s="191" t="s">
        <v>2160</v>
      </c>
      <c r="H206" s="202"/>
      <c r="I206" s="212"/>
      <c r="J206" s="279" t="s">
        <v>2161</v>
      </c>
      <c r="K206" s="307" t="s">
        <v>2162</v>
      </c>
      <c r="L206" s="66"/>
      <c r="M206" s="66"/>
      <c r="N206" s="66"/>
      <c r="O206" s="66"/>
      <c r="P206" s="66" t="str">
        <f t="shared" si="4"/>
        <v>VELASCO ACE PAGADUAN</v>
      </c>
      <c r="Q206" s="66" t="str">
        <f>IFERROR(VLOOKUP(P206,[1]Disposition!$AB$9:$AC$495,2,0),"NO RECORD YET")</f>
        <v>Purok 4, Brgy. Pitombayog, Mayantoc, Tarlac</v>
      </c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18" customHeight="1">
      <c r="A207" s="188">
        <v>201</v>
      </c>
      <c r="B207" s="189" t="s">
        <v>2136</v>
      </c>
      <c r="C207" s="193" t="s">
        <v>19</v>
      </c>
      <c r="D207" s="190" t="s">
        <v>24</v>
      </c>
      <c r="E207" s="191" t="s">
        <v>2163</v>
      </c>
      <c r="F207" s="191" t="s">
        <v>2164</v>
      </c>
      <c r="G207" s="191" t="s">
        <v>2165</v>
      </c>
      <c r="H207" s="192"/>
      <c r="I207" s="212"/>
      <c r="J207" s="279" t="s">
        <v>2166</v>
      </c>
      <c r="K207" s="307" t="s">
        <v>2167</v>
      </c>
      <c r="L207" s="66"/>
      <c r="M207" s="66"/>
      <c r="N207" s="66"/>
      <c r="O207" s="66"/>
      <c r="P207" s="66" t="str">
        <f t="shared" si="4"/>
        <v>GRAGASIN JOEVEN TABAGO</v>
      </c>
      <c r="Q207" s="66" t="str">
        <f>IFERROR(VLOOKUP(P207,[1]Disposition!$AB$9:$AC$495,2,0),"NO RECORD YET")</f>
        <v>213 PRK Raniag, Nipaco, Paniqui, Tarlac</v>
      </c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18" customHeight="1">
      <c r="A208" s="188">
        <v>202</v>
      </c>
      <c r="B208" s="189" t="s">
        <v>2136</v>
      </c>
      <c r="C208" s="193" t="s">
        <v>39</v>
      </c>
      <c r="D208" s="194" t="s">
        <v>28</v>
      </c>
      <c r="E208" s="204" t="s">
        <v>2168</v>
      </c>
      <c r="F208" s="204" t="s">
        <v>2169</v>
      </c>
      <c r="G208" s="204" t="s">
        <v>2170</v>
      </c>
      <c r="H208" s="205"/>
      <c r="I208" s="212"/>
      <c r="J208" s="279" t="s">
        <v>2171</v>
      </c>
      <c r="K208" s="307" t="s">
        <v>2172</v>
      </c>
      <c r="L208" s="66"/>
      <c r="M208" s="66"/>
      <c r="N208" s="66"/>
      <c r="O208" s="66"/>
      <c r="P208" s="66" t="str">
        <f t="shared" si="4"/>
        <v>JARANILLA MA ANNIE CAABAS</v>
      </c>
      <c r="Q208" s="66" t="str">
        <f>IFERROR(VLOOKUP(P208,[1]Disposition!$AB$9:$AC$495,2,0),"NO RECORD YET")</f>
        <v>Busuang Rd., Purok Pag-asa, Brgy. Caramay, Roxas, Palawan)</v>
      </c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18" customHeight="1">
      <c r="A209" s="188">
        <v>203</v>
      </c>
      <c r="B209" s="189" t="s">
        <v>2173</v>
      </c>
      <c r="C209" s="255" t="s">
        <v>19</v>
      </c>
      <c r="D209" s="196" t="s">
        <v>160</v>
      </c>
      <c r="E209" s="191" t="s">
        <v>2019</v>
      </c>
      <c r="F209" s="197" t="s">
        <v>2174</v>
      </c>
      <c r="G209" s="197" t="s">
        <v>2175</v>
      </c>
      <c r="H209" s="198"/>
      <c r="I209" s="210"/>
      <c r="J209" s="299" t="s">
        <v>2176</v>
      </c>
      <c r="K209" s="307" t="s">
        <v>2118</v>
      </c>
      <c r="L209" s="293"/>
      <c r="M209" s="293"/>
      <c r="N209" s="293"/>
      <c r="O209" s="293"/>
      <c r="P209" s="293" t="str">
        <f t="shared" si="4"/>
        <v>PALATTAO ALDRIN RACELIS</v>
      </c>
      <c r="Q209" s="293" t="str">
        <f>IFERROR(VLOOKUP(P209,[1]Disposition!$AB$9:$AC$495,2,0),"NO RECORD YET")</f>
        <v>Unit A2 Condo 11, Camp Crame, Quezon City</v>
      </c>
      <c r="R209" s="293"/>
      <c r="S209" s="293"/>
      <c r="T209" s="293"/>
      <c r="U209" s="293"/>
      <c r="V209" s="293"/>
      <c r="W209" s="293"/>
      <c r="X209" s="293"/>
      <c r="Y209" s="293"/>
      <c r="Z209" s="293"/>
      <c r="AA209" s="293"/>
    </row>
    <row r="210" spans="1:27" ht="18" customHeight="1">
      <c r="A210" s="188">
        <v>204</v>
      </c>
      <c r="B210" s="189" t="s">
        <v>2173</v>
      </c>
      <c r="C210" s="193" t="s">
        <v>19</v>
      </c>
      <c r="D210" s="190" t="s">
        <v>246</v>
      </c>
      <c r="E210" s="191" t="s">
        <v>1658</v>
      </c>
      <c r="F210" s="191" t="s">
        <v>2177</v>
      </c>
      <c r="G210" s="191" t="s">
        <v>2178</v>
      </c>
      <c r="H210" s="192"/>
      <c r="I210" s="210"/>
      <c r="J210" s="279" t="s">
        <v>2179</v>
      </c>
      <c r="K210" s="307" t="s">
        <v>2180</v>
      </c>
      <c r="L210" s="66"/>
      <c r="M210" s="66"/>
      <c r="N210" s="66"/>
      <c r="O210" s="66"/>
      <c r="P210" s="66" t="str">
        <f t="shared" si="4"/>
        <v>SULIT REYNALD LOUIE SAN MIGUEL</v>
      </c>
      <c r="Q210" s="66" t="str">
        <f>IFERROR(VLOOKUP(P210,[1]Disposition!$AB$9:$AC$495,2,0),"NO RECORD YET")</f>
        <v>49 Balubarab St., Malinta, Valenzuela City</v>
      </c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18" customHeight="1">
      <c r="A211" s="188">
        <v>205</v>
      </c>
      <c r="B211" s="189" t="s">
        <v>2173</v>
      </c>
      <c r="C211" s="193" t="s">
        <v>39</v>
      </c>
      <c r="D211" s="194" t="s">
        <v>28</v>
      </c>
      <c r="E211" s="204" t="s">
        <v>2181</v>
      </c>
      <c r="F211" s="204" t="s">
        <v>2182</v>
      </c>
      <c r="G211" s="204" t="s">
        <v>2183</v>
      </c>
      <c r="H211" s="205"/>
      <c r="I211" s="212"/>
      <c r="J211" s="279" t="s">
        <v>2184</v>
      </c>
      <c r="K211" s="307" t="s">
        <v>2185</v>
      </c>
      <c r="L211" s="66"/>
      <c r="M211" s="66"/>
      <c r="N211" s="66"/>
      <c r="O211" s="66"/>
      <c r="P211" s="66" t="str">
        <f t="shared" si="4"/>
        <v>DICHOSO KAYCEE PIZARRA</v>
      </c>
      <c r="Q211" s="66" t="str">
        <f>IFERROR(VLOOKUP(P211,[1]Disposition!$AB$9:$AC$495,2,0),"NO RECORD YET")</f>
        <v>NO RECORD YET</v>
      </c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18" customHeight="1">
      <c r="A212" s="188">
        <v>206</v>
      </c>
      <c r="B212" s="189" t="s">
        <v>2186</v>
      </c>
      <c r="C212" s="189" t="s">
        <v>19</v>
      </c>
      <c r="D212" s="190" t="s">
        <v>96</v>
      </c>
      <c r="E212" s="204" t="s">
        <v>2187</v>
      </c>
      <c r="F212" s="204" t="s">
        <v>2188</v>
      </c>
      <c r="G212" s="204" t="s">
        <v>2189</v>
      </c>
      <c r="H212" s="205"/>
      <c r="I212" s="210"/>
      <c r="J212" s="279" t="s">
        <v>2190</v>
      </c>
      <c r="K212" s="307" t="s">
        <v>2191</v>
      </c>
      <c r="L212" s="66"/>
      <c r="M212" s="66"/>
      <c r="N212" s="66"/>
      <c r="O212" s="66"/>
      <c r="P212" s="66" t="str">
        <f t="shared" si="4"/>
        <v>BALLESTEROS MHARK VISTA</v>
      </c>
      <c r="Q212" s="66" t="str">
        <f>IFERROR(VLOOKUP(P212,[1]Disposition!$AB$9:$AC$495,2,0),"NO RECORD YET")</f>
        <v>114 Maguindanao St., Culiat, Quezon City</v>
      </c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18" customHeight="1">
      <c r="A213" s="188">
        <v>207</v>
      </c>
      <c r="B213" s="189" t="s">
        <v>2186</v>
      </c>
      <c r="C213" s="189" t="s">
        <v>19</v>
      </c>
      <c r="D213" s="190" t="s">
        <v>366</v>
      </c>
      <c r="E213" s="191" t="s">
        <v>2192</v>
      </c>
      <c r="F213" s="191" t="s">
        <v>619</v>
      </c>
      <c r="G213" s="191" t="s">
        <v>2100</v>
      </c>
      <c r="H213" s="192"/>
      <c r="I213" s="212"/>
      <c r="J213" s="279" t="s">
        <v>2193</v>
      </c>
      <c r="K213" s="307" t="s">
        <v>2194</v>
      </c>
      <c r="L213" s="66"/>
      <c r="M213" s="66"/>
      <c r="N213" s="66"/>
      <c r="O213" s="66"/>
      <c r="P213" s="66" t="str">
        <f t="shared" si="4"/>
        <v>SIBUNGA JOSEPH TAMAYO</v>
      </c>
      <c r="Q213" s="66" t="str">
        <f>IFERROR(VLOOKUP(P213,[1]Disposition!$AB$9:$AC$495,2,0),"NO RECORD YET")</f>
        <v>#2312 Adonis St., Pandacan, Manila</v>
      </c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18" customHeight="1">
      <c r="A214" s="188">
        <v>208</v>
      </c>
      <c r="B214" s="189" t="s">
        <v>2195</v>
      </c>
      <c r="C214" s="189" t="s">
        <v>19</v>
      </c>
      <c r="D214" s="190" t="s">
        <v>160</v>
      </c>
      <c r="E214" s="191" t="s">
        <v>2196</v>
      </c>
      <c r="F214" s="191" t="s">
        <v>2197</v>
      </c>
      <c r="G214" s="191" t="s">
        <v>2198</v>
      </c>
      <c r="H214" s="192"/>
      <c r="I214" s="210"/>
      <c r="J214" s="279" t="s">
        <v>2199</v>
      </c>
      <c r="K214" s="307" t="s">
        <v>2200</v>
      </c>
      <c r="L214" s="66"/>
      <c r="M214" s="66"/>
      <c r="N214" s="66"/>
      <c r="O214" s="66"/>
      <c r="P214" s="66" t="str">
        <f t="shared" si="4"/>
        <v>AN SANTI RAYMUND NEVADO</v>
      </c>
      <c r="Q214" s="66" t="str">
        <f>IFERROR(VLOOKUP(P214,[1]Disposition!$AB$9:$AC$495,2,0),"NO RECORD YET")</f>
        <v>28 Saint Andrew ST., Holy Spirit, Quezon City</v>
      </c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18" customHeight="1">
      <c r="A215" s="188">
        <v>209</v>
      </c>
      <c r="B215" s="189" t="s">
        <v>2195</v>
      </c>
      <c r="C215" s="189" t="s">
        <v>19</v>
      </c>
      <c r="D215" s="190" t="s">
        <v>96</v>
      </c>
      <c r="E215" s="204" t="s">
        <v>2201</v>
      </c>
      <c r="F215" s="204" t="s">
        <v>2202</v>
      </c>
      <c r="G215" s="204" t="s">
        <v>2203</v>
      </c>
      <c r="H215" s="205"/>
      <c r="I215" s="210"/>
      <c r="J215" s="279" t="s">
        <v>2204</v>
      </c>
      <c r="K215" s="307" t="s">
        <v>2205</v>
      </c>
      <c r="L215" s="66"/>
      <c r="M215" s="66"/>
      <c r="N215" s="66"/>
      <c r="O215" s="66"/>
      <c r="P215" s="66" t="str">
        <f t="shared" si="4"/>
        <v>HADJI OSOPH SOLAIMAN   MONESIT</v>
      </c>
      <c r="Q215" s="66" t="str">
        <f>IFERROR(VLOOKUP(P215,[1]Disposition!$AB$9:$AC$495,2,0),"NO RECORD YET")</f>
        <v>27 Libyan Street Muslim Compound, Culiat, Quezon City</v>
      </c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18" customHeight="1">
      <c r="A216" s="188">
        <v>210</v>
      </c>
      <c r="B216" s="189" t="s">
        <v>2195</v>
      </c>
      <c r="C216" s="189" t="s">
        <v>19</v>
      </c>
      <c r="D216" s="190" t="s">
        <v>24</v>
      </c>
      <c r="E216" s="191" t="s">
        <v>2206</v>
      </c>
      <c r="F216" s="191" t="s">
        <v>2207</v>
      </c>
      <c r="G216" s="191" t="s">
        <v>760</v>
      </c>
      <c r="H216" s="192"/>
      <c r="I216" s="212"/>
      <c r="J216" s="279" t="s">
        <v>2208</v>
      </c>
      <c r="K216" s="307" t="s">
        <v>2209</v>
      </c>
      <c r="L216" s="66"/>
      <c r="M216" s="66"/>
      <c r="N216" s="66"/>
      <c r="O216" s="66"/>
      <c r="P216" s="66" t="str">
        <f t="shared" si="4"/>
        <v>BALDERAMA HARLEY GALANG</v>
      </c>
      <c r="Q216" s="66" t="str">
        <f>IFERROR(VLOOKUP(P216,[1]Disposition!$AB$9:$AC$495,2,0),"NO RECORD YET")</f>
        <v>Calumangan, Bago City, Negros Occidenta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18" customHeight="1">
      <c r="A217" s="188">
        <v>211</v>
      </c>
      <c r="B217" s="189" t="s">
        <v>2195</v>
      </c>
      <c r="C217" s="189" t="s">
        <v>19</v>
      </c>
      <c r="D217" s="190" t="s">
        <v>24</v>
      </c>
      <c r="E217" s="191" t="s">
        <v>457</v>
      </c>
      <c r="F217" s="191" t="s">
        <v>2210</v>
      </c>
      <c r="G217" s="191" t="s">
        <v>2211</v>
      </c>
      <c r="H217" s="192" t="s">
        <v>268</v>
      </c>
      <c r="I217" s="212"/>
      <c r="J217" s="279" t="s">
        <v>2212</v>
      </c>
      <c r="K217" s="307" t="s">
        <v>2213</v>
      </c>
      <c r="L217" s="66"/>
      <c r="M217" s="66"/>
      <c r="N217" s="66"/>
      <c r="O217" s="66"/>
      <c r="P217" s="66" t="str">
        <f t="shared" si="4"/>
        <v>CORDERO GEMINIANO MATINING</v>
      </c>
      <c r="Q217" s="66" t="str">
        <f>IFERROR(VLOOKUP(P217,[1]Disposition!$AB$9:$AC$495,2,0),"NO RECORD YET")</f>
        <v>Marfrancisco, Pinamalayan, Oriental Mindoro</v>
      </c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18" customHeight="1">
      <c r="A218" s="188">
        <v>212</v>
      </c>
      <c r="B218" s="189" t="s">
        <v>2195</v>
      </c>
      <c r="C218" s="193" t="s">
        <v>39</v>
      </c>
      <c r="D218" s="194" t="s">
        <v>28</v>
      </c>
      <c r="E218" s="204" t="s">
        <v>2214</v>
      </c>
      <c r="F218" s="204" t="s">
        <v>2215</v>
      </c>
      <c r="G218" s="204" t="s">
        <v>2216</v>
      </c>
      <c r="H218" s="205"/>
      <c r="I218" s="212"/>
      <c r="J218" s="279" t="s">
        <v>2217</v>
      </c>
      <c r="K218" s="307" t="s">
        <v>2218</v>
      </c>
      <c r="L218" s="66"/>
      <c r="M218" s="66"/>
      <c r="N218" s="66"/>
      <c r="O218" s="66"/>
      <c r="P218" s="66" t="str">
        <f t="shared" si="4"/>
        <v>CONDES MARY ROSE DEL CASTILLO</v>
      </c>
      <c r="Q218" s="66" t="str">
        <f>IFERROR(VLOOKUP(P218,[1]Disposition!$AB$9:$AC$495,2,0),"NO RECORD YET")</f>
        <v>Palayan St., Paclasan (Pob), Roxas, Oriental Mindoro</v>
      </c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18" customHeight="1">
      <c r="A219" s="188">
        <v>213</v>
      </c>
      <c r="B219" s="189" t="s">
        <v>2195</v>
      </c>
      <c r="C219" s="193" t="s">
        <v>39</v>
      </c>
      <c r="D219" s="194" t="s">
        <v>28</v>
      </c>
      <c r="E219" s="204" t="s">
        <v>2219</v>
      </c>
      <c r="F219" s="204" t="s">
        <v>2220</v>
      </c>
      <c r="G219" s="204" t="s">
        <v>732</v>
      </c>
      <c r="H219" s="205"/>
      <c r="I219" s="212"/>
      <c r="J219" s="279" t="s">
        <v>2221</v>
      </c>
      <c r="K219" s="307" t="s">
        <v>2222</v>
      </c>
      <c r="L219" s="66"/>
      <c r="M219" s="66"/>
      <c r="N219" s="66"/>
      <c r="O219" s="66"/>
      <c r="P219" s="66" t="str">
        <f t="shared" si="4"/>
        <v>NALING ANN JENETH SALAZAR</v>
      </c>
      <c r="Q219" s="66" t="str">
        <f>IFERROR(VLOOKUP(P219,[1]Disposition!$AB$9:$AC$495,2,0),"NO RECORD YET")</f>
        <v>NO RECORD YET</v>
      </c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18" customHeight="1">
      <c r="A220" s="188">
        <v>214</v>
      </c>
      <c r="B220" s="193" t="s">
        <v>2223</v>
      </c>
      <c r="C220" s="193" t="s">
        <v>19</v>
      </c>
      <c r="D220" s="190" t="s">
        <v>28</v>
      </c>
      <c r="E220" s="195" t="s">
        <v>2224</v>
      </c>
      <c r="F220" s="195" t="s">
        <v>2225</v>
      </c>
      <c r="G220" s="195" t="s">
        <v>2226</v>
      </c>
      <c r="H220" s="194" t="s">
        <v>268</v>
      </c>
      <c r="I220" s="212"/>
      <c r="J220" s="185" t="s">
        <v>2227</v>
      </c>
      <c r="K220" s="307" t="s">
        <v>2228</v>
      </c>
      <c r="L220" s="66"/>
      <c r="M220" s="66"/>
      <c r="N220" s="66"/>
      <c r="O220" s="66"/>
      <c r="P220" s="66" t="str">
        <f t="shared" si="4"/>
        <v>NIEZ JORDAN ESTRELLA</v>
      </c>
      <c r="Q220" s="66" t="str">
        <f>IFERROR(VLOOKUP(P220,[1]Disposition!$AB$9:$AC$495,2,0),"NO RECORD YET")</f>
        <v>NO RECORD YET</v>
      </c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18" customHeight="1">
      <c r="A221" s="188">
        <v>215</v>
      </c>
      <c r="B221" s="189" t="s">
        <v>2229</v>
      </c>
      <c r="C221" s="193" t="s">
        <v>19</v>
      </c>
      <c r="D221" s="222" t="s">
        <v>160</v>
      </c>
      <c r="E221" s="252" t="s">
        <v>1891</v>
      </c>
      <c r="F221" s="252" t="s">
        <v>501</v>
      </c>
      <c r="G221" s="252" t="s">
        <v>2230</v>
      </c>
      <c r="H221" s="253"/>
      <c r="I221" s="210"/>
      <c r="J221" s="279" t="s">
        <v>2231</v>
      </c>
      <c r="K221" s="307" t="s">
        <v>2232</v>
      </c>
      <c r="L221" s="300"/>
      <c r="M221" s="66"/>
      <c r="N221" s="300"/>
      <c r="O221" s="300"/>
      <c r="P221" s="66" t="str">
        <f t="shared" si="4"/>
        <v>DAVID ROMMEL CARRO</v>
      </c>
      <c r="Q221" s="66" t="str">
        <f>IFERROR(VLOOKUP(P221,[1]Disposition!$AB$9:$AC$495,2,0),"NO RECORD YET")</f>
        <v>2239 Zapote St., Camartin, Brgy 178, Caloocan City</v>
      </c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</row>
    <row r="222" spans="1:27" ht="18" customHeight="1">
      <c r="A222" s="188">
        <v>216</v>
      </c>
      <c r="B222" s="189" t="s">
        <v>2229</v>
      </c>
      <c r="C222" s="189" t="s">
        <v>19</v>
      </c>
      <c r="D222" s="190" t="s">
        <v>96</v>
      </c>
      <c r="E222" s="204" t="s">
        <v>297</v>
      </c>
      <c r="F222" s="204" t="s">
        <v>2233</v>
      </c>
      <c r="G222" s="204" t="s">
        <v>2017</v>
      </c>
      <c r="H222" s="205"/>
      <c r="I222" s="210"/>
      <c r="J222" s="279" t="s">
        <v>2234</v>
      </c>
      <c r="K222" s="307" t="s">
        <v>2235</v>
      </c>
      <c r="L222" s="66"/>
      <c r="M222" s="66"/>
      <c r="N222" s="66"/>
      <c r="O222" s="66"/>
      <c r="P222" s="66" t="str">
        <f t="shared" si="4"/>
        <v>DOCTOLERO REGGIEMAR NAZA</v>
      </c>
      <c r="Q222" s="66" t="str">
        <f>IFERROR(VLOOKUP(P222,[1]Disposition!$AB$9:$AC$495,2,0),"NO RECORD YET")</f>
        <v>Purok 3, San Isidro, Talisay, Camarines Norte</v>
      </c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18" customHeight="1">
      <c r="A223" s="188">
        <v>217</v>
      </c>
      <c r="B223" s="189" t="s">
        <v>2229</v>
      </c>
      <c r="C223" s="189" t="s">
        <v>19</v>
      </c>
      <c r="D223" s="190" t="s">
        <v>96</v>
      </c>
      <c r="E223" s="204" t="s">
        <v>2236</v>
      </c>
      <c r="F223" s="204" t="s">
        <v>2237</v>
      </c>
      <c r="G223" s="204" t="s">
        <v>934</v>
      </c>
      <c r="H223" s="205"/>
      <c r="I223" s="210"/>
      <c r="J223" s="279" t="s">
        <v>2238</v>
      </c>
      <c r="K223" s="307" t="s">
        <v>2239</v>
      </c>
      <c r="L223" s="66"/>
      <c r="M223" s="66"/>
      <c r="N223" s="66"/>
      <c r="O223" s="66"/>
      <c r="P223" s="66" t="str">
        <f t="shared" si="4"/>
        <v>STA INES ERROL MOLINA</v>
      </c>
      <c r="Q223" s="66" t="str">
        <f>IFERROR(VLOOKUP(P223,[1]Disposition!$AB$9:$AC$495,2,0),"NO RECORD YET")</f>
        <v>#55, Ibong Sapa (San Vicente Sur), Virac (Capital), Catanduanes</v>
      </c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18" customHeight="1">
      <c r="A224" s="188">
        <v>218</v>
      </c>
      <c r="B224" s="189" t="s">
        <v>2229</v>
      </c>
      <c r="C224" s="189" t="s">
        <v>19</v>
      </c>
      <c r="D224" s="190" t="s">
        <v>57</v>
      </c>
      <c r="E224" s="191" t="s">
        <v>2240</v>
      </c>
      <c r="F224" s="191" t="s">
        <v>2241</v>
      </c>
      <c r="G224" s="191" t="s">
        <v>2242</v>
      </c>
      <c r="H224" s="192"/>
      <c r="I224" s="212"/>
      <c r="J224" s="279" t="s">
        <v>2243</v>
      </c>
      <c r="K224" s="307" t="s">
        <v>2244</v>
      </c>
      <c r="L224" s="66"/>
      <c r="M224" s="66"/>
      <c r="N224" s="66"/>
      <c r="O224" s="66"/>
      <c r="P224" s="66" t="str">
        <f t="shared" si="4"/>
        <v>ORANTE JOHN MICHEAL  CEPRIA</v>
      </c>
      <c r="Q224" s="66" t="str">
        <f>IFERROR(VLOOKUP(P224,[1]Disposition!$AB$9:$AC$495,2,0),"NO RECORD YET")</f>
        <v>One  1, San Luis, Nabua, Camarines Sur</v>
      </c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18" customHeight="1">
      <c r="A225" s="188">
        <v>219</v>
      </c>
      <c r="B225" s="189" t="s">
        <v>2229</v>
      </c>
      <c r="C225" s="189" t="s">
        <v>19</v>
      </c>
      <c r="D225" s="190" t="s">
        <v>24</v>
      </c>
      <c r="E225" s="191" t="s">
        <v>2245</v>
      </c>
      <c r="F225" s="191" t="s">
        <v>400</v>
      </c>
      <c r="G225" s="191" t="s">
        <v>2246</v>
      </c>
      <c r="H225" s="192"/>
      <c r="I225" s="212"/>
      <c r="J225" s="279" t="s">
        <v>2247</v>
      </c>
      <c r="K225" s="307" t="s">
        <v>2248</v>
      </c>
      <c r="L225" s="66"/>
      <c r="M225" s="66"/>
      <c r="N225" s="66"/>
      <c r="O225" s="66"/>
      <c r="P225" s="66" t="str">
        <f t="shared" si="4"/>
        <v>DELEÑA CHRISTIAN CUELA</v>
      </c>
      <c r="Q225" s="66" t="str">
        <f>IFERROR(VLOOKUP(P225,[1]Disposition!$AB$9:$AC$495,2,0),"NO RECORD YET")</f>
        <v>Sampaguita St., Brgy Bitaogan Presentacion, Camarines Sur</v>
      </c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18" customHeight="1">
      <c r="A226" s="188">
        <v>220</v>
      </c>
      <c r="B226" s="189" t="s">
        <v>2229</v>
      </c>
      <c r="C226" s="193" t="s">
        <v>39</v>
      </c>
      <c r="D226" s="190" t="s">
        <v>40</v>
      </c>
      <c r="E226" s="191" t="s">
        <v>2249</v>
      </c>
      <c r="F226" s="191" t="s">
        <v>2250</v>
      </c>
      <c r="G226" s="191" t="s">
        <v>2251</v>
      </c>
      <c r="H226" s="192"/>
      <c r="I226" s="210"/>
      <c r="J226" s="279"/>
      <c r="K226" s="282"/>
      <c r="L226" s="66"/>
      <c r="M226" s="66"/>
      <c r="N226" s="66"/>
      <c r="O226" s="66"/>
      <c r="P226" s="66" t="str">
        <f t="shared" si="4"/>
        <v>MIRANDA DONNAH ABRERA</v>
      </c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18" customHeight="1">
      <c r="A227" s="188">
        <v>221</v>
      </c>
      <c r="B227" s="189" t="s">
        <v>2252</v>
      </c>
      <c r="C227" s="193" t="s">
        <v>19</v>
      </c>
      <c r="D227" s="190" t="s">
        <v>160</v>
      </c>
      <c r="E227" s="191" t="s">
        <v>2253</v>
      </c>
      <c r="F227" s="191" t="s">
        <v>2254</v>
      </c>
      <c r="G227" s="191" t="s">
        <v>2255</v>
      </c>
      <c r="H227" s="192"/>
      <c r="I227" s="210"/>
      <c r="J227" s="279" t="s">
        <v>2256</v>
      </c>
      <c r="K227" s="307" t="s">
        <v>2257</v>
      </c>
      <c r="L227" s="66"/>
      <c r="M227" s="66"/>
      <c r="N227" s="66"/>
      <c r="O227" s="66"/>
      <c r="P227" s="66" t="str">
        <f t="shared" si="4"/>
        <v>PALPARA RANDY TAMBANILLO</v>
      </c>
      <c r="Q227" s="66" t="str">
        <f>IFERROR(VLOOKUP(P227,[1]Disposition!$AB$9:$AC$495,2,0),"NO RECORD YET")</f>
        <v>Labao Ext., Napindan, Taguig City</v>
      </c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18" customHeight="1">
      <c r="A228" s="188">
        <v>222</v>
      </c>
      <c r="B228" s="189" t="s">
        <v>2252</v>
      </c>
      <c r="C228" s="189" t="s">
        <v>19</v>
      </c>
      <c r="D228" s="194" t="s">
        <v>253</v>
      </c>
      <c r="E228" s="191" t="s">
        <v>2258</v>
      </c>
      <c r="F228" s="191" t="s">
        <v>2259</v>
      </c>
      <c r="G228" s="191" t="s">
        <v>2260</v>
      </c>
      <c r="H228" s="192"/>
      <c r="I228" s="210"/>
      <c r="J228" s="279" t="s">
        <v>2261</v>
      </c>
      <c r="K228" s="307" t="s">
        <v>2262</v>
      </c>
      <c r="L228" s="66"/>
      <c r="M228" s="66"/>
      <c r="N228" s="66"/>
      <c r="O228" s="66"/>
      <c r="P228" s="66" t="str">
        <f t="shared" si="4"/>
        <v>FAMINIANO LAURENCE ANTHONY MARABE</v>
      </c>
      <c r="Q228" s="66" t="str">
        <f>IFERROR(VLOOKUP(P228,[1]Disposition!$AB$9:$AC$495,2,0),"NO RECORD YET")</f>
        <v>ASV Compound, Banga, Aklan</v>
      </c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18" customHeight="1">
      <c r="A229" s="188">
        <v>223</v>
      </c>
      <c r="B229" s="189" t="s">
        <v>2263</v>
      </c>
      <c r="C229" s="193" t="s">
        <v>39</v>
      </c>
      <c r="D229" s="190" t="s">
        <v>96</v>
      </c>
      <c r="E229" s="204" t="s">
        <v>2264</v>
      </c>
      <c r="F229" s="204" t="s">
        <v>2265</v>
      </c>
      <c r="G229" s="204" t="s">
        <v>2266</v>
      </c>
      <c r="H229" s="205"/>
      <c r="I229" s="210"/>
      <c r="J229" s="279" t="s">
        <v>2267</v>
      </c>
      <c r="K229" s="307" t="s">
        <v>2268</v>
      </c>
      <c r="L229" s="66"/>
      <c r="M229" s="66"/>
      <c r="N229" s="66"/>
      <c r="O229" s="66"/>
      <c r="P229" s="66" t="str">
        <f t="shared" si="4"/>
        <v>PRUGALIDAD GERALIE LOMILLO</v>
      </c>
      <c r="Q229" s="66" t="str">
        <f>IFERROR(VLOOKUP(P229,[1]Disposition!$AB$9:$AC$495,2,0),"NO RECORD YET")</f>
        <v>158 Evangelista Street, Purok II (Pob.), Pavia, Iloilo</v>
      </c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18" customHeight="1">
      <c r="A230" s="188">
        <v>224</v>
      </c>
      <c r="B230" s="189" t="s">
        <v>2263</v>
      </c>
      <c r="C230" s="189" t="s">
        <v>19</v>
      </c>
      <c r="D230" s="190" t="s">
        <v>28</v>
      </c>
      <c r="E230" s="191" t="s">
        <v>2269</v>
      </c>
      <c r="F230" s="191" t="s">
        <v>2270</v>
      </c>
      <c r="G230" s="191" t="s">
        <v>2271</v>
      </c>
      <c r="H230" s="192"/>
      <c r="I230" s="212"/>
      <c r="J230" s="281" t="s">
        <v>2272</v>
      </c>
      <c r="K230" s="307" t="s">
        <v>2273</v>
      </c>
      <c r="L230" s="66"/>
      <c r="M230" s="66"/>
      <c r="N230" s="66"/>
      <c r="O230" s="66"/>
      <c r="P230" s="66" t="str">
        <f t="shared" si="4"/>
        <v>LOCOP HERRAEL KARL GIDOR</v>
      </c>
      <c r="Q230" s="66" t="str">
        <f>IFERROR(VLOOKUP(P230,[1]Disposition!$AB$9:$AC$495,2,0),"NO RECORD YET")</f>
        <v>NO RECORD YET</v>
      </c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18" customHeight="1">
      <c r="A231" s="188">
        <v>225</v>
      </c>
      <c r="B231" s="189" t="s">
        <v>2263</v>
      </c>
      <c r="C231" s="189" t="s">
        <v>19</v>
      </c>
      <c r="D231" s="190" t="s">
        <v>28</v>
      </c>
      <c r="E231" s="191" t="s">
        <v>2274</v>
      </c>
      <c r="F231" s="191" t="s">
        <v>2275</v>
      </c>
      <c r="G231" s="191" t="s">
        <v>2276</v>
      </c>
      <c r="H231" s="192"/>
      <c r="I231" s="212"/>
      <c r="J231" s="281" t="s">
        <v>2277</v>
      </c>
      <c r="K231" s="307" t="s">
        <v>2278</v>
      </c>
      <c r="L231" s="66"/>
      <c r="M231" s="66"/>
      <c r="N231" s="66"/>
      <c r="O231" s="66"/>
      <c r="P231" s="66" t="str">
        <f t="shared" si="4"/>
        <v>RECTO C.J. KLARK  URETA</v>
      </c>
      <c r="Q231" s="66" t="str">
        <f>IFERROR(VLOOKUP(P231,[1]Disposition!$AB$9:$AC$495,2,0),"NO RECORD YET")</f>
        <v>NO RECORD YET</v>
      </c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18" customHeight="1">
      <c r="A232" s="188">
        <v>226</v>
      </c>
      <c r="B232" s="189" t="s">
        <v>2279</v>
      </c>
      <c r="C232" s="193" t="s">
        <v>39</v>
      </c>
      <c r="D232" s="190" t="s">
        <v>96</v>
      </c>
      <c r="E232" s="191" t="s">
        <v>2280</v>
      </c>
      <c r="F232" s="191" t="s">
        <v>2281</v>
      </c>
      <c r="G232" s="191" t="s">
        <v>2282</v>
      </c>
      <c r="H232" s="192"/>
      <c r="I232" s="210"/>
      <c r="J232" s="279" t="s">
        <v>2283</v>
      </c>
      <c r="K232" s="307" t="s">
        <v>2284</v>
      </c>
      <c r="L232" s="66"/>
      <c r="M232" s="66"/>
      <c r="N232" s="66"/>
      <c r="O232" s="66"/>
      <c r="P232" s="66" t="str">
        <f t="shared" si="4"/>
        <v>QUINDO IRA BANGGA</v>
      </c>
      <c r="Q232" s="66" t="str">
        <f>IFERROR(VLOOKUP(P232,[1]Disposition!$AB$9:$AC$495,2,0),"NO RECORD YET")</f>
        <v>Block 6 Lot 1, Core Shelter Bajumpandan, Dumaguete City, Negros Oriental</v>
      </c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18" customHeight="1">
      <c r="A233" s="188">
        <v>227</v>
      </c>
      <c r="B233" s="189" t="s">
        <v>2279</v>
      </c>
      <c r="C233" s="189" t="s">
        <v>19</v>
      </c>
      <c r="D233" s="190" t="s">
        <v>96</v>
      </c>
      <c r="E233" s="204" t="s">
        <v>2285</v>
      </c>
      <c r="F233" s="204" t="s">
        <v>2286</v>
      </c>
      <c r="G233" s="204" t="s">
        <v>2287</v>
      </c>
      <c r="H233" s="205"/>
      <c r="I233" s="210"/>
      <c r="J233" s="279" t="s">
        <v>2288</v>
      </c>
      <c r="K233" s="307" t="s">
        <v>2289</v>
      </c>
      <c r="L233" s="66"/>
      <c r="M233" s="66"/>
      <c r="N233" s="66"/>
      <c r="O233" s="66"/>
      <c r="P233" s="66" t="str">
        <f t="shared" si="4"/>
        <v>TUGAOEN ALVIN REY ENGHUG</v>
      </c>
      <c r="Q233" s="66" t="str">
        <f>IFERROR(VLOOKUP(P233,[1]Disposition!$AB$9:$AC$495,2,0),"NO RECORD YET")</f>
        <v>Guinsuan, Poblacion, Zamboanguita, Negros Oriental</v>
      </c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18" customHeight="1">
      <c r="A234" s="188">
        <v>228</v>
      </c>
      <c r="B234" s="189" t="s">
        <v>2279</v>
      </c>
      <c r="C234" s="189" t="s">
        <v>19</v>
      </c>
      <c r="D234" s="190" t="s">
        <v>28</v>
      </c>
      <c r="E234" s="191" t="s">
        <v>2290</v>
      </c>
      <c r="F234" s="191" t="s">
        <v>2291</v>
      </c>
      <c r="G234" s="191" t="s">
        <v>2292</v>
      </c>
      <c r="H234" s="192"/>
      <c r="I234" s="212"/>
      <c r="J234" s="185" t="s">
        <v>2293</v>
      </c>
      <c r="K234" s="307" t="s">
        <v>2294</v>
      </c>
      <c r="L234" s="66"/>
      <c r="M234" s="66"/>
      <c r="N234" s="66"/>
      <c r="O234" s="66"/>
      <c r="P234" s="66" t="str">
        <f t="shared" si="4"/>
        <v>ESCALONA JERLY JUBELAG</v>
      </c>
      <c r="Q234" s="66" t="str">
        <f>IFERROR(VLOOKUP(P234,[1]Disposition!$AB$9:$AC$495,2,0),"NO RECORD YET")</f>
        <v>NO RECORD YET</v>
      </c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18" customHeight="1">
      <c r="A235" s="188">
        <v>229</v>
      </c>
      <c r="B235" s="189" t="s">
        <v>2279</v>
      </c>
      <c r="C235" s="193" t="s">
        <v>19</v>
      </c>
      <c r="D235" s="190" t="s">
        <v>28</v>
      </c>
      <c r="E235" s="195" t="s">
        <v>2295</v>
      </c>
      <c r="F235" s="195" t="s">
        <v>2296</v>
      </c>
      <c r="G235" s="195" t="s">
        <v>2297</v>
      </c>
      <c r="H235" s="194"/>
      <c r="I235" s="212"/>
      <c r="J235" s="281" t="s">
        <v>2298</v>
      </c>
      <c r="K235" s="307" t="s">
        <v>2299</v>
      </c>
      <c r="L235" s="66"/>
      <c r="M235" s="66"/>
      <c r="N235" s="66"/>
      <c r="O235" s="66"/>
      <c r="P235" s="66" t="str">
        <f t="shared" si="4"/>
        <v>ABONG MARK CLENTON (NO MIDDLE NAME)</v>
      </c>
      <c r="Q235" s="66" t="str">
        <f>IFERROR(VLOOKUP(P235,[1]Disposition!$AB$9:$AC$495,2,0),"NO RECORD YET")</f>
        <v>NO RECORD YET</v>
      </c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18" customHeight="1">
      <c r="A236" s="188">
        <v>230</v>
      </c>
      <c r="B236" s="189" t="s">
        <v>2300</v>
      </c>
      <c r="C236" s="193" t="s">
        <v>19</v>
      </c>
      <c r="D236" s="190" t="s">
        <v>160</v>
      </c>
      <c r="E236" s="191" t="s">
        <v>2301</v>
      </c>
      <c r="F236" s="191" t="s">
        <v>2302</v>
      </c>
      <c r="G236" s="191" t="s">
        <v>2303</v>
      </c>
      <c r="H236" s="192"/>
      <c r="I236" s="210"/>
      <c r="J236" s="279" t="s">
        <v>2304</v>
      </c>
      <c r="K236" s="307" t="s">
        <v>2305</v>
      </c>
      <c r="L236" s="66"/>
      <c r="M236" s="66"/>
      <c r="N236" s="66"/>
      <c r="O236" s="66"/>
      <c r="P236" s="66" t="str">
        <f t="shared" si="4"/>
        <v>JAYOMA BREIZEL MENORCA</v>
      </c>
      <c r="Q236" s="66" t="str">
        <f>IFERROR(VLOOKUP(P236,[1]Disposition!$AB$9:$AC$495,2,0),"NO RECORD YET")</f>
        <v>4826 Dorca Townhome, Rayos Compound, Rosatrio, Pasig City</v>
      </c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18" customHeight="1">
      <c r="A237" s="188">
        <v>231</v>
      </c>
      <c r="B237" s="189" t="s">
        <v>2306</v>
      </c>
      <c r="C237" s="193" t="s">
        <v>19</v>
      </c>
      <c r="D237" s="190" t="s">
        <v>96</v>
      </c>
      <c r="E237" s="204" t="s">
        <v>2307</v>
      </c>
      <c r="F237" s="204" t="s">
        <v>770</v>
      </c>
      <c r="G237" s="204" t="s">
        <v>950</v>
      </c>
      <c r="H237" s="205"/>
      <c r="I237" s="210"/>
      <c r="J237" s="279" t="s">
        <v>2308</v>
      </c>
      <c r="K237" s="307" t="s">
        <v>2309</v>
      </c>
      <c r="L237" s="66"/>
      <c r="M237" s="66"/>
      <c r="N237" s="66"/>
      <c r="O237" s="66"/>
      <c r="P237" s="66" t="str">
        <f t="shared" si="4"/>
        <v>FREDELUCES MARK ANTHONY RECLA</v>
      </c>
      <c r="Q237" s="66" t="str">
        <f>IFERROR(VLOOKUP(P237,[1]Disposition!$AB$9:$AC$495,2,0),"NO RECORD YET")</f>
        <v>064 Middle Nivel Hills, Apas, Cebu City(Capital), Cebu</v>
      </c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18" customHeight="1">
      <c r="A238" s="188">
        <v>232</v>
      </c>
      <c r="B238" s="189" t="s">
        <v>2306</v>
      </c>
      <c r="C238" s="189" t="s">
        <v>19</v>
      </c>
      <c r="D238" s="190" t="s">
        <v>366</v>
      </c>
      <c r="E238" s="191" t="s">
        <v>2310</v>
      </c>
      <c r="F238" s="191" t="s">
        <v>2311</v>
      </c>
      <c r="G238" s="191" t="s">
        <v>2312</v>
      </c>
      <c r="H238" s="192"/>
      <c r="I238" s="212"/>
      <c r="J238" s="279" t="s">
        <v>2313</v>
      </c>
      <c r="K238" s="307" t="s">
        <v>2314</v>
      </c>
      <c r="L238" s="66"/>
      <c r="M238" s="66"/>
      <c r="N238" s="66"/>
      <c r="O238" s="66"/>
      <c r="P238" s="66" t="str">
        <f t="shared" si="4"/>
        <v>ERSAN GIOVANNI PACIFICO</v>
      </c>
      <c r="Q238" s="66" t="str">
        <f>IFERROR(VLOOKUP(P238,[1]Disposition!$AB$9:$AC$495,2,0),"NO RECORD YET")</f>
        <v>T-008 Jagobiao, Mandaue City, Cebu</v>
      </c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18" customHeight="1">
      <c r="A239" s="188">
        <v>233</v>
      </c>
      <c r="B239" s="189" t="s">
        <v>2306</v>
      </c>
      <c r="C239" s="193" t="s">
        <v>19</v>
      </c>
      <c r="D239" s="190" t="s">
        <v>28</v>
      </c>
      <c r="E239" s="195" t="s">
        <v>2315</v>
      </c>
      <c r="F239" s="195" t="s">
        <v>268</v>
      </c>
      <c r="G239" s="195" t="s">
        <v>2316</v>
      </c>
      <c r="H239" s="194"/>
      <c r="I239" s="212"/>
      <c r="J239" s="281" t="s">
        <v>2317</v>
      </c>
      <c r="K239" s="307" t="s">
        <v>2318</v>
      </c>
      <c r="L239" s="66"/>
      <c r="M239" s="66"/>
      <c r="N239" s="66"/>
      <c r="O239" s="66"/>
      <c r="P239" s="66" t="str">
        <f t="shared" si="4"/>
        <v>CAÑETE JR CAPURAS</v>
      </c>
      <c r="Q239" s="66" t="str">
        <f>IFERROR(VLOOKUP(P239,[1]Disposition!$AB$9:$AC$495,2,0),"NO RECORD YET")</f>
        <v>NO RECORD YET</v>
      </c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18" customHeight="1">
      <c r="A240" s="188">
        <v>234</v>
      </c>
      <c r="B240" s="189" t="s">
        <v>2306</v>
      </c>
      <c r="C240" s="193" t="s">
        <v>19</v>
      </c>
      <c r="D240" s="190" t="s">
        <v>28</v>
      </c>
      <c r="E240" s="195" t="s">
        <v>2319</v>
      </c>
      <c r="F240" s="195" t="s">
        <v>2320</v>
      </c>
      <c r="G240" s="195" t="s">
        <v>2321</v>
      </c>
      <c r="H240" s="194"/>
      <c r="I240" s="212"/>
      <c r="J240" s="281" t="s">
        <v>2322</v>
      </c>
      <c r="K240" s="307" t="s">
        <v>2323</v>
      </c>
      <c r="L240" s="66"/>
      <c r="M240" s="66"/>
      <c r="N240" s="66"/>
      <c r="O240" s="66"/>
      <c r="P240" s="66" t="str">
        <f t="shared" si="4"/>
        <v>TAASINE JOHN RAY PATRON</v>
      </c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18" customHeight="1">
      <c r="A241" s="188">
        <v>235</v>
      </c>
      <c r="B241" s="189" t="s">
        <v>2324</v>
      </c>
      <c r="C241" s="189" t="s">
        <v>19</v>
      </c>
      <c r="D241" s="190" t="s">
        <v>96</v>
      </c>
      <c r="E241" s="204" t="s">
        <v>2325</v>
      </c>
      <c r="F241" s="204" t="s">
        <v>2326</v>
      </c>
      <c r="G241" s="204" t="s">
        <v>2327</v>
      </c>
      <c r="H241" s="205"/>
      <c r="I241" s="210"/>
      <c r="J241" s="279" t="s">
        <v>2328</v>
      </c>
      <c r="K241" s="307" t="s">
        <v>2329</v>
      </c>
      <c r="L241" s="66"/>
      <c r="M241" s="66"/>
      <c r="N241" s="66"/>
      <c r="O241" s="66"/>
      <c r="P241" s="66" t="str">
        <f t="shared" si="4"/>
        <v>CANUDAY JACKERON TING</v>
      </c>
      <c r="Q241" s="66" t="str">
        <f>IFERROR(VLOOKUP(P241,[1]Disposition!$AB$9:$AC$495,2,0),"NO RECORD YET")</f>
        <v>Blk 4 Lot 4, Dona Rufina Subdivision, Brgy Guintagbucan, Abuyog, Leyte</v>
      </c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18" customHeight="1">
      <c r="A242" s="188">
        <v>236</v>
      </c>
      <c r="B242" s="189" t="s">
        <v>2324</v>
      </c>
      <c r="C242" s="189" t="s">
        <v>19</v>
      </c>
      <c r="D242" s="190" t="s">
        <v>366</v>
      </c>
      <c r="E242" s="191" t="s">
        <v>1539</v>
      </c>
      <c r="F242" s="191" t="s">
        <v>1186</v>
      </c>
      <c r="G242" s="191" t="s">
        <v>2330</v>
      </c>
      <c r="H242" s="192"/>
      <c r="I242" s="212"/>
      <c r="J242" s="279" t="s">
        <v>2331</v>
      </c>
      <c r="K242" s="307" t="s">
        <v>2332</v>
      </c>
      <c r="L242" s="66"/>
      <c r="M242" s="66"/>
      <c r="N242" s="66"/>
      <c r="O242" s="66"/>
      <c r="P242" s="66" t="str">
        <f t="shared" si="4"/>
        <v>AVILA CHRISTOPHER BALEÑA</v>
      </c>
      <c r="Q242" s="66" t="str">
        <f>IFERROR(VLOOKUP(P242,[1]Disposition!$AB$9:$AC$495,2,0),"NO RECORD YET")</f>
        <v>B12 Lot 21 St. Ignatius St., San Jose Townhomes, Pasong Camachile II, Gen. Trias, Cavite</v>
      </c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18" customHeight="1">
      <c r="A243" s="188">
        <v>237</v>
      </c>
      <c r="B243" s="189" t="s">
        <v>2324</v>
      </c>
      <c r="C243" s="189" t="s">
        <v>19</v>
      </c>
      <c r="D243" s="190" t="s">
        <v>57</v>
      </c>
      <c r="E243" s="191" t="s">
        <v>2333</v>
      </c>
      <c r="F243" s="191" t="s">
        <v>2334</v>
      </c>
      <c r="G243" s="191" t="s">
        <v>2335</v>
      </c>
      <c r="H243" s="192" t="s">
        <v>268</v>
      </c>
      <c r="I243" s="212"/>
      <c r="J243" s="279" t="s">
        <v>2336</v>
      </c>
      <c r="K243" s="307" t="s">
        <v>2337</v>
      </c>
      <c r="L243" s="66"/>
      <c r="M243" s="66"/>
      <c r="N243" s="66"/>
      <c r="O243" s="66"/>
      <c r="P243" s="66" t="str">
        <f t="shared" si="4"/>
        <v>SEPTIMO LEO CACA</v>
      </c>
      <c r="Q243" s="66" t="str">
        <f>IFERROR(VLOOKUP(P243,[1]Disposition!$AB$9:$AC$495,2,0),"NO RECORD YET")</f>
        <v>Zone 2, Barayong, Palo, Leyte</v>
      </c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18" customHeight="1">
      <c r="A244" s="188">
        <v>238</v>
      </c>
      <c r="B244" s="189" t="s">
        <v>2324</v>
      </c>
      <c r="C244" s="193" t="s">
        <v>19</v>
      </c>
      <c r="D244" s="190" t="s">
        <v>28</v>
      </c>
      <c r="E244" s="195" t="s">
        <v>2338</v>
      </c>
      <c r="F244" s="195" t="s">
        <v>2339</v>
      </c>
      <c r="G244" s="195" t="s">
        <v>2340</v>
      </c>
      <c r="H244" s="194"/>
      <c r="I244" s="212"/>
      <c r="J244" s="281" t="s">
        <v>2341</v>
      </c>
      <c r="K244" s="307" t="s">
        <v>2342</v>
      </c>
      <c r="L244" s="66"/>
      <c r="M244" s="66"/>
      <c r="N244" s="66"/>
      <c r="O244" s="66"/>
      <c r="P244" s="66" t="str">
        <f t="shared" si="4"/>
        <v>ANCHOVAS ESHIER QUIÑONES</v>
      </c>
      <c r="Q244" s="66" t="str">
        <f>IFERROR(VLOOKUP(P244,[1]Disposition!$AB$9:$AC$495,2,0),"NO RECORD YET")</f>
        <v>NO RECORD YET</v>
      </c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18" customHeight="1">
      <c r="A245" s="188">
        <v>239</v>
      </c>
      <c r="B245" s="189" t="s">
        <v>2324</v>
      </c>
      <c r="C245" s="193" t="s">
        <v>39</v>
      </c>
      <c r="D245" s="190" t="s">
        <v>28</v>
      </c>
      <c r="E245" s="191" t="s">
        <v>2343</v>
      </c>
      <c r="F245" s="191" t="s">
        <v>2344</v>
      </c>
      <c r="G245" s="191" t="s">
        <v>2345</v>
      </c>
      <c r="H245" s="192"/>
      <c r="I245" s="212"/>
      <c r="J245" s="281" t="s">
        <v>2346</v>
      </c>
      <c r="K245" s="307" t="s">
        <v>2347</v>
      </c>
      <c r="L245" s="66"/>
      <c r="M245" s="66"/>
      <c r="N245" s="66"/>
      <c r="O245" s="66"/>
      <c r="P245" s="66" t="str">
        <f t="shared" si="4"/>
        <v>PACIENCIA METALLICA LYH OCTAVIANO</v>
      </c>
      <c r="Q245" s="66" t="str">
        <f>IFERROR(VLOOKUP(P245,[1]Disposition!$AB$9:$AC$495,2,0),"NO RECORD YET")</f>
        <v>NO RECORD YET</v>
      </c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18" customHeight="1">
      <c r="A246" s="188">
        <v>240</v>
      </c>
      <c r="B246" s="189" t="s">
        <v>2348</v>
      </c>
      <c r="C246" s="189" t="s">
        <v>19</v>
      </c>
      <c r="D246" s="190" t="s">
        <v>96</v>
      </c>
      <c r="E246" s="204" t="s">
        <v>2349</v>
      </c>
      <c r="F246" s="204" t="s">
        <v>2350</v>
      </c>
      <c r="G246" s="204" t="s">
        <v>2351</v>
      </c>
      <c r="H246" s="205"/>
      <c r="I246" s="210"/>
      <c r="J246" s="279" t="s">
        <v>2352</v>
      </c>
      <c r="K246" s="307" t="s">
        <v>2353</v>
      </c>
      <c r="L246" s="66"/>
      <c r="M246" s="66"/>
      <c r="N246" s="66"/>
      <c r="O246" s="66"/>
      <c r="P246" s="66" t="str">
        <f t="shared" si="4"/>
        <v>PONTANAR MARK ALLAN TUALA</v>
      </c>
      <c r="Q246" s="66" t="str">
        <f>IFERROR(VLOOKUP(P246,[1]Disposition!$AB$9:$AC$495,2,0),"NO RECORD YET")</f>
        <v>MabiniI, Villa Calixto, Sudiacal, Liloy, Zamboanga del Norte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18" customHeight="1">
      <c r="A247" s="188">
        <v>241</v>
      </c>
      <c r="B247" s="189" t="s">
        <v>2348</v>
      </c>
      <c r="C247" s="189" t="s">
        <v>19</v>
      </c>
      <c r="D247" s="190" t="s">
        <v>366</v>
      </c>
      <c r="E247" s="191" t="s">
        <v>2354</v>
      </c>
      <c r="F247" s="191" t="s">
        <v>2355</v>
      </c>
      <c r="G247" s="191" t="s">
        <v>2356</v>
      </c>
      <c r="H247" s="192"/>
      <c r="I247" s="210"/>
      <c r="J247" s="279" t="s">
        <v>2357</v>
      </c>
      <c r="K247" s="307" t="s">
        <v>2358</v>
      </c>
      <c r="L247" s="66"/>
      <c r="M247" s="66"/>
      <c r="N247" s="66"/>
      <c r="O247" s="66"/>
      <c r="P247" s="66" t="str">
        <f t="shared" si="4"/>
        <v>HADJIMUDDIN JULMONER PASLANGAN</v>
      </c>
      <c r="Q247" s="66" t="str">
        <f>IFERROR(VLOOKUP(P247,[1]Disposition!$AB$9:$AC$495,2,0),"NO RECORD YET")</f>
        <v>PRO9 IT Office, Camp Abendan, Mercedes, Zaboanga City, Zamboanga Del Sur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18" customHeight="1">
      <c r="A248" s="188">
        <v>242</v>
      </c>
      <c r="B248" s="189" t="s">
        <v>2348</v>
      </c>
      <c r="C248" s="189" t="s">
        <v>19</v>
      </c>
      <c r="D248" s="190" t="s">
        <v>366</v>
      </c>
      <c r="E248" s="191" t="s">
        <v>1590</v>
      </c>
      <c r="F248" s="191" t="s">
        <v>2359</v>
      </c>
      <c r="G248" s="191" t="s">
        <v>2360</v>
      </c>
      <c r="H248" s="192"/>
      <c r="I248" s="210"/>
      <c r="J248" s="279" t="s">
        <v>2361</v>
      </c>
      <c r="K248" s="307" t="s">
        <v>2362</v>
      </c>
      <c r="L248" s="66"/>
      <c r="M248" s="66"/>
      <c r="N248" s="66"/>
      <c r="O248" s="66"/>
      <c r="P248" s="66" t="str">
        <f t="shared" si="4"/>
        <v>HUSSEIN IQBAR IMLANI</v>
      </c>
      <c r="Q248" s="66" t="str">
        <f>IFERROR(VLOOKUP(P248,[1]Disposition!$AB$9:$AC$495,2,0),"NO RECORD YET")</f>
        <v>06 Sulu ST., Salam Compound , Culiat, Tandang Sora, Quezon City</v>
      </c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18" customHeight="1">
      <c r="A249" s="188">
        <v>243</v>
      </c>
      <c r="B249" s="189" t="s">
        <v>2348</v>
      </c>
      <c r="C249" s="189" t="s">
        <v>19</v>
      </c>
      <c r="D249" s="190" t="s">
        <v>24</v>
      </c>
      <c r="E249" s="191" t="s">
        <v>2363</v>
      </c>
      <c r="F249" s="191" t="s">
        <v>2364</v>
      </c>
      <c r="G249" s="191" t="s">
        <v>2365</v>
      </c>
      <c r="H249" s="192"/>
      <c r="I249" s="212"/>
      <c r="J249" s="279" t="s">
        <v>2366</v>
      </c>
      <c r="K249" s="307" t="s">
        <v>2367</v>
      </c>
      <c r="L249" s="66"/>
      <c r="M249" s="66"/>
      <c r="N249" s="66"/>
      <c r="O249" s="66"/>
      <c r="P249" s="66" t="str">
        <f t="shared" si="4"/>
        <v>ABDUHARI AL-MITRA PUNGUTAN</v>
      </c>
      <c r="Q249" s="66" t="str">
        <f>IFERROR(VLOOKUP(P249,[1]Disposition!$AB$9:$AC$495,2,0),"NO RECORD YET")</f>
        <v>23A Alsalam St., Salam Compound, Culiat, Tandang Sora, Quezon City</v>
      </c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18" customHeight="1">
      <c r="A250" s="188">
        <v>244</v>
      </c>
      <c r="B250" s="189" t="s">
        <v>2348</v>
      </c>
      <c r="C250" s="189" t="s">
        <v>19</v>
      </c>
      <c r="D250" s="194" t="s">
        <v>28</v>
      </c>
      <c r="E250" s="204" t="s">
        <v>2368</v>
      </c>
      <c r="F250" s="204" t="s">
        <v>2369</v>
      </c>
      <c r="G250" s="204" t="s">
        <v>2370</v>
      </c>
      <c r="H250" s="205"/>
      <c r="I250" s="210"/>
      <c r="J250" s="279" t="s">
        <v>2371</v>
      </c>
      <c r="K250" s="307" t="s">
        <v>2372</v>
      </c>
      <c r="L250" s="66"/>
      <c r="M250" s="66"/>
      <c r="N250" s="66"/>
      <c r="O250" s="66"/>
      <c r="P250" s="66" t="str">
        <f t="shared" si="4"/>
        <v>ALAWI NABIL HAJINULLA</v>
      </c>
      <c r="Q250" s="66" t="str">
        <f>IFERROR(VLOOKUP(P250,[1]Disposition!$AB$9:$AC$495,2,0),"NO RECORD YET")</f>
        <v>Bilukan, Kajatian, Indanan, Sulu</v>
      </c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18" customHeight="1">
      <c r="A251" s="188">
        <v>245</v>
      </c>
      <c r="B251" s="189" t="s">
        <v>2348</v>
      </c>
      <c r="C251" s="193" t="s">
        <v>19</v>
      </c>
      <c r="D251" s="190" t="s">
        <v>28</v>
      </c>
      <c r="E251" s="195" t="s">
        <v>2373</v>
      </c>
      <c r="F251" s="195" t="s">
        <v>2374</v>
      </c>
      <c r="G251" s="195" t="s">
        <v>2375</v>
      </c>
      <c r="H251" s="194"/>
      <c r="I251" s="212"/>
      <c r="J251" s="279" t="s">
        <v>1510</v>
      </c>
      <c r="K251" s="307" t="s">
        <v>2376</v>
      </c>
      <c r="L251" s="66"/>
      <c r="M251" s="66"/>
      <c r="N251" s="66"/>
      <c r="O251" s="66"/>
      <c r="P251" s="66" t="str">
        <f t="shared" si="4"/>
        <v>NERI FREDIMAR SIMON</v>
      </c>
      <c r="Q251" s="66" t="str">
        <f>IFERROR(VLOOKUP(P251,[1]Disposition!$AB$9:$AC$495,2,0),"NO RECORD YET")</f>
        <v>NO RECORD YET</v>
      </c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18" customHeight="1">
      <c r="A252" s="188">
        <v>246</v>
      </c>
      <c r="B252" s="189" t="s">
        <v>2348</v>
      </c>
      <c r="C252" s="193" t="s">
        <v>39</v>
      </c>
      <c r="D252" s="190" t="s">
        <v>28</v>
      </c>
      <c r="E252" s="191" t="s">
        <v>2377</v>
      </c>
      <c r="F252" s="191" t="s">
        <v>2378</v>
      </c>
      <c r="G252" s="191" t="s">
        <v>2379</v>
      </c>
      <c r="H252" s="192"/>
      <c r="I252" s="210"/>
      <c r="J252" s="279" t="s">
        <v>1510</v>
      </c>
      <c r="K252" s="307" t="s">
        <v>2380</v>
      </c>
      <c r="L252" s="66"/>
      <c r="M252" s="66"/>
      <c r="N252" s="66"/>
      <c r="O252" s="66"/>
      <c r="P252" s="66" t="str">
        <f t="shared" si="4"/>
        <v>ASIRI DELFAIZA SARAJAN</v>
      </c>
      <c r="Q252" s="66" t="str">
        <f>IFERROR(VLOOKUP(P252,[1]Disposition!$AB$9:$AC$495,2,0),"NO RECORD YET")</f>
        <v>NO RECORD YET</v>
      </c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18" customHeight="1">
      <c r="A253" s="188">
        <v>247</v>
      </c>
      <c r="B253" s="189" t="s">
        <v>2348</v>
      </c>
      <c r="C253" s="193" t="s">
        <v>39</v>
      </c>
      <c r="D253" s="190" t="s">
        <v>28</v>
      </c>
      <c r="E253" s="191" t="s">
        <v>2381</v>
      </c>
      <c r="F253" s="191" t="s">
        <v>2382</v>
      </c>
      <c r="G253" s="191" t="s">
        <v>2383</v>
      </c>
      <c r="H253" s="192"/>
      <c r="I253" s="210"/>
      <c r="J253" s="185" t="s">
        <v>2384</v>
      </c>
      <c r="K253" s="307" t="s">
        <v>2385</v>
      </c>
      <c r="L253" s="66"/>
      <c r="M253" s="66"/>
      <c r="N253" s="66"/>
      <c r="O253" s="66"/>
      <c r="P253" s="66" t="str">
        <f t="shared" si="4"/>
        <v>TAGID-ID NORIYAM PATTA</v>
      </c>
      <c r="Q253" s="66" t="str">
        <f>IFERROR(VLOOKUP(P253,[1]Disposition!$AB$9:$AC$495,2,0),"NO RECORD YET")</f>
        <v>NO RECORD YET</v>
      </c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18" customHeight="1">
      <c r="A254" s="188">
        <v>248</v>
      </c>
      <c r="B254" s="189" t="s">
        <v>2386</v>
      </c>
      <c r="C254" s="189" t="s">
        <v>19</v>
      </c>
      <c r="D254" s="194" t="s">
        <v>96</v>
      </c>
      <c r="E254" s="191" t="s">
        <v>2387</v>
      </c>
      <c r="F254" s="191" t="s">
        <v>2388</v>
      </c>
      <c r="G254" s="191" t="s">
        <v>2389</v>
      </c>
      <c r="H254" s="192"/>
      <c r="I254" s="210"/>
      <c r="J254" s="279" t="s">
        <v>2390</v>
      </c>
      <c r="K254" s="307" t="s">
        <v>2391</v>
      </c>
      <c r="L254" s="66"/>
      <c r="M254" s="66"/>
      <c r="N254" s="66"/>
      <c r="O254" s="66"/>
      <c r="P254" s="66" t="str">
        <f t="shared" si="4"/>
        <v>CABAÑEROS JULIUS STEVE SABELLA</v>
      </c>
      <c r="Q254" s="66" t="str">
        <f>IFERROR(VLOOKUP(P254,[1]Disposition!$AB$9:$AC$495,2,0),"NO RECORD YET")</f>
        <v>HOUSE # 654, Zone 5, Bayabas, Cagayan de Oro, Misamis, Oriental</v>
      </c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18" customHeight="1">
      <c r="A255" s="188">
        <v>249</v>
      </c>
      <c r="B255" s="189" t="s">
        <v>2386</v>
      </c>
      <c r="C255" s="193" t="s">
        <v>39</v>
      </c>
      <c r="D255" s="190" t="s">
        <v>96</v>
      </c>
      <c r="E255" s="204" t="s">
        <v>2392</v>
      </c>
      <c r="F255" s="204" t="s">
        <v>2393</v>
      </c>
      <c r="G255" s="204" t="s">
        <v>2394</v>
      </c>
      <c r="H255" s="205"/>
      <c r="I255" s="210"/>
      <c r="J255" s="279" t="s">
        <v>2395</v>
      </c>
      <c r="K255" s="307" t="s">
        <v>2396</v>
      </c>
      <c r="L255" s="66"/>
      <c r="M255" s="66"/>
      <c r="N255" s="66"/>
      <c r="O255" s="66"/>
      <c r="P255" s="66" t="str">
        <f t="shared" si="4"/>
        <v>BATBAT MATT KYNNPEARL CABURATAN</v>
      </c>
      <c r="Q255" s="66" t="str">
        <f>IFERROR(VLOOKUP(P255,[1]Disposition!$AB$9:$AC$495,2,0),"NO RECORD YET")</f>
        <v>Block 39 Lot 3, Kisanlu Subdivision, Iponan, Cagayan de Oro, Misamis Oriental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18" customHeight="1">
      <c r="A256" s="188">
        <v>250</v>
      </c>
      <c r="B256" s="189" t="s">
        <v>2386</v>
      </c>
      <c r="C256" s="189" t="s">
        <v>19</v>
      </c>
      <c r="D256" s="190" t="s">
        <v>96</v>
      </c>
      <c r="E256" s="204" t="s">
        <v>2397</v>
      </c>
      <c r="F256" s="204" t="s">
        <v>2398</v>
      </c>
      <c r="G256" s="204" t="s">
        <v>2399</v>
      </c>
      <c r="H256" s="205"/>
      <c r="I256" s="210"/>
      <c r="J256" s="279" t="s">
        <v>2400</v>
      </c>
      <c r="K256" s="307" t="s">
        <v>2401</v>
      </c>
      <c r="L256" s="66"/>
      <c r="M256" s="66"/>
      <c r="N256" s="66"/>
      <c r="O256" s="66"/>
      <c r="P256" s="66" t="str">
        <f t="shared" si="4"/>
        <v>MACATOL GEORGE GALITO</v>
      </c>
      <c r="Q256" s="66" t="str">
        <f>IFERROR(VLOOKUP(P256,[1]Disposition!$AB$9:$AC$495,2,0),"NO RECORD YET")</f>
        <v>Zone 6, Capisnon, Kauswagan, Cagayan de Oro City), Misamis Oriental</v>
      </c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18" customHeight="1">
      <c r="A257" s="188">
        <v>251</v>
      </c>
      <c r="B257" s="189" t="s">
        <v>2386</v>
      </c>
      <c r="C257" s="189" t="s">
        <v>19</v>
      </c>
      <c r="D257" s="190" t="s">
        <v>366</v>
      </c>
      <c r="E257" s="191" t="s">
        <v>410</v>
      </c>
      <c r="F257" s="191" t="s">
        <v>2402</v>
      </c>
      <c r="G257" s="203" t="s">
        <v>2403</v>
      </c>
      <c r="H257" s="192"/>
      <c r="I257" s="212"/>
      <c r="J257" s="279" t="s">
        <v>2404</v>
      </c>
      <c r="K257" s="307" t="s">
        <v>2405</v>
      </c>
      <c r="L257" s="66"/>
      <c r="M257" s="66"/>
      <c r="N257" s="66"/>
      <c r="O257" s="66"/>
      <c r="P257" s="66" t="str">
        <f t="shared" si="4"/>
        <v>BAUTISTA CESAR ESCARZA</v>
      </c>
      <c r="Q257" s="66" t="str">
        <f>IFERROR(VLOOKUP(P257,[1]Disposition!$AB$9:$AC$495,2,0),"NO RECORD YET")</f>
        <v>Pacao, Alamada, North Cotabato</v>
      </c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spans="1:27" ht="18" customHeight="1">
      <c r="A258" s="188">
        <v>252</v>
      </c>
      <c r="B258" s="189" t="s">
        <v>2386</v>
      </c>
      <c r="C258" s="193" t="s">
        <v>19</v>
      </c>
      <c r="D258" s="190" t="s">
        <v>28</v>
      </c>
      <c r="E258" s="195" t="s">
        <v>1792</v>
      </c>
      <c r="F258" s="195" t="s">
        <v>2406</v>
      </c>
      <c r="G258" s="195" t="s">
        <v>2407</v>
      </c>
      <c r="H258" s="194" t="s">
        <v>268</v>
      </c>
      <c r="I258" s="212"/>
      <c r="J258" s="281" t="s">
        <v>2408</v>
      </c>
      <c r="K258" s="307" t="s">
        <v>2409</v>
      </c>
      <c r="L258" s="66"/>
      <c r="M258" s="66"/>
      <c r="N258" s="66"/>
      <c r="O258" s="66"/>
      <c r="P258" s="66" t="str">
        <f t="shared" si="4"/>
        <v>ARROYO REYNALDO PASCO</v>
      </c>
      <c r="Q258" s="66" t="str">
        <f>IFERROR(VLOOKUP(P258,[1]Disposition!$AB$9:$AC$495,2,0),"NO RECORD YET")</f>
        <v>NO RECORD YET</v>
      </c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spans="1:27" ht="18" customHeight="1">
      <c r="A259" s="188">
        <v>253</v>
      </c>
      <c r="B259" s="189" t="s">
        <v>2386</v>
      </c>
      <c r="C259" s="193" t="s">
        <v>39</v>
      </c>
      <c r="D259" s="194" t="s">
        <v>28</v>
      </c>
      <c r="E259" s="204" t="s">
        <v>2410</v>
      </c>
      <c r="F259" s="204" t="s">
        <v>2411</v>
      </c>
      <c r="G259" s="204" t="s">
        <v>2412</v>
      </c>
      <c r="H259" s="194"/>
      <c r="I259" s="212"/>
      <c r="J259" s="279" t="s">
        <v>2413</v>
      </c>
      <c r="K259" s="307" t="s">
        <v>2414</v>
      </c>
      <c r="L259" s="66"/>
      <c r="M259" s="66"/>
      <c r="N259" s="66"/>
      <c r="O259" s="66"/>
      <c r="P259" s="66" t="str">
        <f t="shared" si="4"/>
        <v>MACAPILIT MARYLAND SEPLON</v>
      </c>
      <c r="Q259" s="66" t="str">
        <f>IFERROR(VLOOKUP(P259,[1]Disposition!$AB$9:$AC$495,2,0),"NO RECORD YET")</f>
        <v>JBN Subd. Carangan, Ozamis City, Misamis Occidental</v>
      </c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spans="1:27" ht="18" customHeight="1">
      <c r="A260" s="188">
        <v>254</v>
      </c>
      <c r="B260" s="189" t="s">
        <v>2386</v>
      </c>
      <c r="C260" s="193" t="s">
        <v>19</v>
      </c>
      <c r="D260" s="190" t="s">
        <v>28</v>
      </c>
      <c r="E260" s="195" t="s">
        <v>2415</v>
      </c>
      <c r="F260" s="195" t="s">
        <v>2416</v>
      </c>
      <c r="G260" s="195" t="s">
        <v>2417</v>
      </c>
      <c r="H260" s="194" t="s">
        <v>268</v>
      </c>
      <c r="I260" s="212"/>
      <c r="J260" s="281" t="s">
        <v>2418</v>
      </c>
      <c r="K260" s="307" t="s">
        <v>2419</v>
      </c>
      <c r="L260" s="66"/>
      <c r="M260" s="66"/>
      <c r="N260" s="66"/>
      <c r="O260" s="66"/>
      <c r="P260" s="66" t="str">
        <f t="shared" si="4"/>
        <v>PADAYOGDOG FRANCISCO EMPINADO</v>
      </c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spans="1:27" ht="18" customHeight="1">
      <c r="A261" s="188">
        <v>255</v>
      </c>
      <c r="B261" s="189" t="s">
        <v>2420</v>
      </c>
      <c r="C261" s="189" t="s">
        <v>19</v>
      </c>
      <c r="D261" s="194" t="s">
        <v>96</v>
      </c>
      <c r="E261" s="191" t="s">
        <v>2421</v>
      </c>
      <c r="F261" s="191" t="s">
        <v>2422</v>
      </c>
      <c r="G261" s="191" t="s">
        <v>2423</v>
      </c>
      <c r="H261" s="192"/>
      <c r="I261" s="210"/>
      <c r="J261" s="279" t="s">
        <v>2424</v>
      </c>
      <c r="K261" s="307" t="s">
        <v>2425</v>
      </c>
      <c r="L261" s="66"/>
      <c r="M261" s="66"/>
      <c r="N261" s="66"/>
      <c r="O261" s="66"/>
      <c r="P261" s="66" t="str">
        <f t="shared" si="4"/>
        <v>BONTIA ISAAC MEDEL  AMAD</v>
      </c>
      <c r="Q261" s="66" t="str">
        <f>IFERROR(VLOOKUP(P261,[1]Disposition!$AB$9:$AC$495,2,0),"NO RECORD YET")</f>
        <v>3-D Mother Theresa St., Brgy. 9-A (Pob.) Davao City, Davao Del Sur</v>
      </c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spans="1:27" ht="18" customHeight="1">
      <c r="A262" s="188">
        <v>256</v>
      </c>
      <c r="B262" s="189" t="s">
        <v>2420</v>
      </c>
      <c r="C262" s="193" t="s">
        <v>39</v>
      </c>
      <c r="D262" s="190" t="s">
        <v>96</v>
      </c>
      <c r="E262" s="204" t="s">
        <v>2426</v>
      </c>
      <c r="F262" s="204" t="s">
        <v>2427</v>
      </c>
      <c r="G262" s="204" t="s">
        <v>2428</v>
      </c>
      <c r="H262" s="205"/>
      <c r="I262" s="210"/>
      <c r="J262" s="279" t="s">
        <v>2429</v>
      </c>
      <c r="K262" s="307" t="s">
        <v>2430</v>
      </c>
      <c r="L262" s="66"/>
      <c r="M262" s="66"/>
      <c r="N262" s="66"/>
      <c r="O262" s="66"/>
      <c r="P262" s="66" t="str">
        <f t="shared" si="4"/>
        <v>TUBA GLORELYN GADIANE</v>
      </c>
      <c r="Q262" s="66" t="str">
        <f>IFERROR(VLOOKUP(P262,[1]Disposition!$AB$9:$AC$495,2,0),"NO RECORD YET")</f>
        <v>Blk 8 Lot 8&amp;10, Gen. Trinio ST., Mutual Homes Subd, Communal, Davao City, Davao Del Sur</v>
      </c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spans="1:27" ht="18" customHeight="1">
      <c r="A263" s="188">
        <v>257</v>
      </c>
      <c r="B263" s="189" t="s">
        <v>2420</v>
      </c>
      <c r="C263" s="189" t="s">
        <v>19</v>
      </c>
      <c r="D263" s="190" t="s">
        <v>24</v>
      </c>
      <c r="E263" s="191" t="s">
        <v>2431</v>
      </c>
      <c r="F263" s="191" t="s">
        <v>2432</v>
      </c>
      <c r="G263" s="191" t="s">
        <v>2433</v>
      </c>
      <c r="H263" s="192"/>
      <c r="I263" s="212"/>
      <c r="J263" s="279" t="s">
        <v>2434</v>
      </c>
      <c r="K263" s="307" t="s">
        <v>2435</v>
      </c>
      <c r="L263" s="66"/>
      <c r="M263" s="66"/>
      <c r="N263" s="66"/>
      <c r="O263" s="66"/>
      <c r="P263" s="66" t="str">
        <f t="shared" si="4"/>
        <v>ANGELES MARK DANIEL MAMITAG</v>
      </c>
      <c r="Q263" s="66" t="str">
        <f>IFERROR(VLOOKUP(P263,[1]Disposition!$AB$9:$AC$495,2,0),"NO RECORD YET")</f>
        <v>4A Jones St., Dulong Bayan 2, San Mateo, Rizal</v>
      </c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spans="1:27" ht="18" customHeight="1">
      <c r="A264" s="188">
        <v>258</v>
      </c>
      <c r="B264" s="189" t="s">
        <v>2420</v>
      </c>
      <c r="C264" s="189" t="s">
        <v>19</v>
      </c>
      <c r="D264" s="190" t="s">
        <v>28</v>
      </c>
      <c r="E264" s="191" t="s">
        <v>2436</v>
      </c>
      <c r="F264" s="191" t="s">
        <v>2437</v>
      </c>
      <c r="G264" s="191" t="s">
        <v>2438</v>
      </c>
      <c r="H264" s="192"/>
      <c r="I264" s="212"/>
      <c r="J264" s="279" t="s">
        <v>1510</v>
      </c>
      <c r="K264" s="307" t="s">
        <v>2439</v>
      </c>
      <c r="L264" s="66"/>
      <c r="M264" s="66"/>
      <c r="N264" s="66"/>
      <c r="O264" s="66"/>
      <c r="P264" s="66" t="str">
        <f t="shared" si="4"/>
        <v>ARLES VINZELL ROMANO</v>
      </c>
      <c r="Q264" s="66" t="str">
        <f>IFERROR(VLOOKUP(P264,[1]Disposition!$AB$9:$AC$495,2,0),"NO RECORD YET")</f>
        <v>NO RECORD YET</v>
      </c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spans="1:27" ht="18" customHeight="1">
      <c r="A265" s="188">
        <v>259</v>
      </c>
      <c r="B265" s="189" t="s">
        <v>2420</v>
      </c>
      <c r="C265" s="189" t="s">
        <v>19</v>
      </c>
      <c r="D265" s="194" t="s">
        <v>28</v>
      </c>
      <c r="E265" s="204" t="s">
        <v>177</v>
      </c>
      <c r="F265" s="204" t="s">
        <v>2440</v>
      </c>
      <c r="G265" s="204" t="s">
        <v>2441</v>
      </c>
      <c r="H265" s="205"/>
      <c r="I265" s="212"/>
      <c r="J265" s="279" t="s">
        <v>2442</v>
      </c>
      <c r="K265" s="307" t="s">
        <v>2443</v>
      </c>
      <c r="L265" s="66"/>
      <c r="M265" s="66"/>
      <c r="N265" s="66"/>
      <c r="O265" s="66"/>
      <c r="P265" s="66" t="str">
        <f t="shared" si="4"/>
        <v>BUEZA JAMES VINCENT LLIDO</v>
      </c>
      <c r="Q265" s="66" t="str">
        <f>IFERROR(VLOOKUP(P265,[1]Disposition!$AB$9:$AC$495,2,0),"NO RECORD YET")</f>
        <v>B1-18 Dusnai Vill., Dumoy, Talomo (Pob.), Davao City, Davao Del Sur</v>
      </c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spans="1:27" ht="18" customHeight="1">
      <c r="A266" s="188">
        <v>260</v>
      </c>
      <c r="B266" s="189" t="s">
        <v>2420</v>
      </c>
      <c r="C266" s="193" t="s">
        <v>19</v>
      </c>
      <c r="D266" s="190" t="s">
        <v>28</v>
      </c>
      <c r="E266" s="195" t="s">
        <v>1038</v>
      </c>
      <c r="F266" s="195" t="s">
        <v>2444</v>
      </c>
      <c r="G266" s="195" t="s">
        <v>2445</v>
      </c>
      <c r="H266" s="194"/>
      <c r="I266" s="212"/>
      <c r="J266" s="281" t="s">
        <v>2446</v>
      </c>
      <c r="K266" s="307" t="s">
        <v>2447</v>
      </c>
      <c r="L266" s="66"/>
      <c r="M266" s="66"/>
      <c r="N266" s="66"/>
      <c r="O266" s="66"/>
      <c r="P266" s="66" t="str">
        <f t="shared" si="4"/>
        <v>LOPEZ JAYVEE POCDOL</v>
      </c>
      <c r="Q266" s="66" t="str">
        <f>IFERROR(VLOOKUP(P266,[1]Disposition!$AB$9:$AC$495,2,0),"NO RECORD YET")</f>
        <v>NO RECORD YET</v>
      </c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ht="18" customHeight="1">
      <c r="A267" s="188">
        <v>261</v>
      </c>
      <c r="B267" s="189" t="s">
        <v>2420</v>
      </c>
      <c r="C267" s="189" t="s">
        <v>19</v>
      </c>
      <c r="D267" s="190" t="s">
        <v>28</v>
      </c>
      <c r="E267" s="191" t="s">
        <v>2448</v>
      </c>
      <c r="F267" s="191" t="s">
        <v>2449</v>
      </c>
      <c r="G267" s="191" t="s">
        <v>2450</v>
      </c>
      <c r="H267" s="192"/>
      <c r="I267" s="212"/>
      <c r="J267" s="281" t="s">
        <v>2451</v>
      </c>
      <c r="K267" s="307" t="s">
        <v>2452</v>
      </c>
      <c r="L267" s="66"/>
      <c r="M267" s="66"/>
      <c r="N267" s="66"/>
      <c r="O267" s="66"/>
      <c r="P267" s="66" t="str">
        <f t="shared" si="4"/>
        <v>SALDIVAR ROMMEL JOHN GICANA</v>
      </c>
      <c r="Q267" s="66" t="str">
        <f>IFERROR(VLOOKUP(P267,[1]Disposition!$AB$9:$AC$495,2,0),"NO RECORD YET")</f>
        <v>NO RECORD YET</v>
      </c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ht="18" customHeight="1">
      <c r="A268" s="188">
        <v>262</v>
      </c>
      <c r="B268" s="189" t="s">
        <v>2420</v>
      </c>
      <c r="C268" s="193" t="s">
        <v>19</v>
      </c>
      <c r="D268" s="190" t="s">
        <v>40</v>
      </c>
      <c r="E268" s="191" t="s">
        <v>2453</v>
      </c>
      <c r="F268" s="191" t="s">
        <v>2454</v>
      </c>
      <c r="G268" s="191" t="s">
        <v>2455</v>
      </c>
      <c r="H268" s="192"/>
      <c r="I268" s="210"/>
      <c r="J268" s="279" t="s">
        <v>2456</v>
      </c>
      <c r="K268" s="307" t="s">
        <v>2457</v>
      </c>
      <c r="L268" s="66"/>
      <c r="M268" s="66"/>
      <c r="N268" s="66"/>
      <c r="O268" s="66"/>
      <c r="P268" s="66" t="str">
        <f t="shared" si="4"/>
        <v>CHIDROME JAES ALLAN CHANTENGCO</v>
      </c>
      <c r="Q268" s="66" t="str">
        <f>IFERROR(VLOOKUP(P268,[1]Disposition!$AB$9:$AC$495,2,0),"NO RECORD YET")</f>
        <v>38A 5th Avenue, Brgy. Socorro, CUBao, Quezon City</v>
      </c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spans="1:27" ht="18" customHeight="1">
      <c r="A269" s="188">
        <v>263</v>
      </c>
      <c r="B269" s="189" t="s">
        <v>2458</v>
      </c>
      <c r="C269" s="189" t="s">
        <v>19</v>
      </c>
      <c r="D269" s="194" t="s">
        <v>96</v>
      </c>
      <c r="E269" s="191" t="s">
        <v>2459</v>
      </c>
      <c r="F269" s="191" t="s">
        <v>2460</v>
      </c>
      <c r="G269" s="191" t="s">
        <v>636</v>
      </c>
      <c r="H269" s="192" t="s">
        <v>1105</v>
      </c>
      <c r="I269" s="210"/>
      <c r="J269" s="279" t="s">
        <v>2461</v>
      </c>
      <c r="K269" s="307" t="s">
        <v>2462</v>
      </c>
      <c r="L269" s="66"/>
      <c r="M269" s="66"/>
      <c r="N269" s="66"/>
      <c r="O269" s="66"/>
      <c r="P269" s="66" t="str">
        <f t="shared" si="4"/>
        <v>HICBAN DIONISIO SANTOS</v>
      </c>
      <c r="Q269" s="66" t="str">
        <f>IFERROR(VLOOKUP(P269,[1]Disposition!$AB$9:$AC$495,2,0),"NO RECORD YET")</f>
        <v>B2 L17 Phase 1, Mabini St., Doña Soledad Subd. Labangal, General Santos City</v>
      </c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spans="1:27" ht="18" customHeight="1">
      <c r="A270" s="188">
        <v>264</v>
      </c>
      <c r="B270" s="189" t="s">
        <v>2458</v>
      </c>
      <c r="C270" s="193" t="s">
        <v>19</v>
      </c>
      <c r="D270" s="190" t="s">
        <v>246</v>
      </c>
      <c r="E270" s="191" t="s">
        <v>2463</v>
      </c>
      <c r="F270" s="191" t="s">
        <v>285</v>
      </c>
      <c r="G270" s="191" t="s">
        <v>2464</v>
      </c>
      <c r="H270" s="192"/>
      <c r="I270" s="210"/>
      <c r="J270" s="279"/>
      <c r="K270" s="282"/>
      <c r="L270" s="66"/>
      <c r="M270" s="66"/>
      <c r="N270" s="66"/>
      <c r="O270" s="66"/>
      <c r="P270" s="66" t="str">
        <f t="shared" si="4"/>
        <v>SUASIN ARIEL PINES</v>
      </c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18" customHeight="1">
      <c r="A271" s="188">
        <v>265</v>
      </c>
      <c r="B271" s="189" t="s">
        <v>2458</v>
      </c>
      <c r="C271" s="193" t="s">
        <v>39</v>
      </c>
      <c r="D271" s="190" t="s">
        <v>1043</v>
      </c>
      <c r="E271" s="191" t="s">
        <v>2465</v>
      </c>
      <c r="F271" s="191" t="s">
        <v>2466</v>
      </c>
      <c r="G271" s="191" t="s">
        <v>2467</v>
      </c>
      <c r="H271" s="192"/>
      <c r="I271" s="212"/>
      <c r="J271" s="279" t="s">
        <v>2468</v>
      </c>
      <c r="K271" s="307" t="s">
        <v>2469</v>
      </c>
      <c r="L271" s="66"/>
      <c r="M271" s="66"/>
      <c r="N271" s="66"/>
      <c r="O271" s="66"/>
      <c r="P271" s="66" t="str">
        <f t="shared" si="4"/>
        <v>DEITA ANN MARIE SOTOMIL</v>
      </c>
      <c r="Q271" s="66" t="str">
        <f>IFERROR(VLOOKUP(P271,[1]Disposition!$AB$9:$AC$495,2,0),"NO RECORD YET")</f>
        <v>Purok Sampaguita, Poblacion, Norala, South Cotabato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18" customHeight="1">
      <c r="A272" s="188">
        <v>266</v>
      </c>
      <c r="B272" s="189" t="s">
        <v>2458</v>
      </c>
      <c r="C272" s="193" t="s">
        <v>39</v>
      </c>
      <c r="D272" s="190" t="s">
        <v>24</v>
      </c>
      <c r="E272" s="191" t="s">
        <v>2470</v>
      </c>
      <c r="F272" s="191" t="s">
        <v>2471</v>
      </c>
      <c r="G272" s="191" t="s">
        <v>2472</v>
      </c>
      <c r="H272" s="192"/>
      <c r="I272" s="212"/>
      <c r="J272" s="279"/>
      <c r="K272" s="282"/>
      <c r="L272" s="66"/>
      <c r="M272" s="66"/>
      <c r="N272" s="66"/>
      <c r="O272" s="66"/>
      <c r="P272" s="66" t="str">
        <f t="shared" si="4"/>
        <v>ELANGA STEPHANIE ERESE</v>
      </c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18" customHeight="1">
      <c r="A273" s="188">
        <v>267</v>
      </c>
      <c r="B273" s="189" t="s">
        <v>2473</v>
      </c>
      <c r="C273" s="189" t="s">
        <v>19</v>
      </c>
      <c r="D273" s="194" t="s">
        <v>253</v>
      </c>
      <c r="E273" s="191" t="s">
        <v>2474</v>
      </c>
      <c r="F273" s="191" t="s">
        <v>1086</v>
      </c>
      <c r="G273" s="191" t="s">
        <v>2475</v>
      </c>
      <c r="H273" s="192"/>
      <c r="I273" s="210"/>
      <c r="J273" s="279" t="s">
        <v>2476</v>
      </c>
      <c r="K273" s="307" t="s">
        <v>2477</v>
      </c>
      <c r="L273" s="66"/>
      <c r="M273" s="66"/>
      <c r="N273" s="66"/>
      <c r="O273" s="66"/>
      <c r="P273" s="66" t="str">
        <f t="shared" si="4"/>
        <v>CABILOS ROBERT MONTALBAN</v>
      </c>
      <c r="Q273" s="66" t="str">
        <f>IFERROR(VLOOKUP(P273,[1]Disposition!$AB$9:$AC$495,2,0),"NO RECORD YET")</f>
        <v>St. Paul St., Janssenville Subd., Taytay, Rizal</v>
      </c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18" customHeight="1">
      <c r="A274" s="188">
        <v>268</v>
      </c>
      <c r="B274" s="189" t="s">
        <v>2473</v>
      </c>
      <c r="C274" s="189" t="s">
        <v>19</v>
      </c>
      <c r="D274" s="190" t="s">
        <v>644</v>
      </c>
      <c r="E274" s="191" t="s">
        <v>2478</v>
      </c>
      <c r="F274" s="191" t="s">
        <v>2479</v>
      </c>
      <c r="G274" s="191" t="s">
        <v>2480</v>
      </c>
      <c r="H274" s="192"/>
      <c r="I274" s="212"/>
      <c r="J274" s="279" t="s">
        <v>2481</v>
      </c>
      <c r="K274" s="307" t="s">
        <v>2482</v>
      </c>
      <c r="L274" s="66"/>
      <c r="M274" s="66"/>
      <c r="N274" s="66"/>
      <c r="O274" s="66"/>
      <c r="P274" s="66" t="str">
        <f t="shared" si="4"/>
        <v>COMON RAQUIL MANATAD</v>
      </c>
      <c r="Q274" s="66" t="str">
        <f>IFERROR(VLOOKUP(P274,[1]Disposition!$AB$9:$AC$495,2,0),"NO RECORD YET")</f>
        <v>Pacifico, San isidro, Surigao Del Norte</v>
      </c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18" customHeight="1">
      <c r="A275" s="188">
        <v>269</v>
      </c>
      <c r="B275" s="189" t="s">
        <v>2473</v>
      </c>
      <c r="C275" s="189" t="s">
        <v>19</v>
      </c>
      <c r="D275" s="194" t="s">
        <v>28</v>
      </c>
      <c r="E275" s="204" t="s">
        <v>2483</v>
      </c>
      <c r="F275" s="204" t="s">
        <v>2484</v>
      </c>
      <c r="G275" s="204" t="s">
        <v>2485</v>
      </c>
      <c r="H275" s="205"/>
      <c r="I275" s="212"/>
      <c r="J275" s="279" t="s">
        <v>2486</v>
      </c>
      <c r="K275" s="307" t="s">
        <v>2487</v>
      </c>
      <c r="L275" s="66"/>
      <c r="M275" s="66"/>
      <c r="N275" s="66"/>
      <c r="O275" s="66"/>
      <c r="P275" s="66" t="str">
        <f t="shared" si="4"/>
        <v>ALABA NIEL CAGAMPANG</v>
      </c>
      <c r="Q275" s="66" t="str">
        <f>IFERROR(VLOOKUP(P275,[1]Disposition!$AB$9:$AC$495,2,0),"NO RECORD YET")</f>
        <v>Lower, Dumarait, Balingasag, Misamis Oriental</v>
      </c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18" customHeight="1">
      <c r="A276" s="188">
        <v>270</v>
      </c>
      <c r="B276" s="193" t="s">
        <v>2488</v>
      </c>
      <c r="C276" s="189" t="s">
        <v>19</v>
      </c>
      <c r="D276" s="190" t="s">
        <v>96</v>
      </c>
      <c r="E276" s="204" t="s">
        <v>2489</v>
      </c>
      <c r="F276" s="204" t="s">
        <v>754</v>
      </c>
      <c r="G276" s="204" t="s">
        <v>2490</v>
      </c>
      <c r="H276" s="205"/>
      <c r="I276" s="210"/>
      <c r="J276" s="279" t="s">
        <v>2491</v>
      </c>
      <c r="K276" s="307" t="s">
        <v>2492</v>
      </c>
      <c r="L276" s="66"/>
      <c r="M276" s="66"/>
      <c r="N276" s="66"/>
      <c r="O276" s="66"/>
      <c r="P276" s="66" t="str">
        <f t="shared" si="4"/>
        <v>BUMAL-O RYAN BALDO</v>
      </c>
      <c r="Q276" s="66" t="str">
        <f>IFERROR(VLOOKUP(P276,[1]Disposition!$AB$9:$AC$495,2,0),"NO RECORD YET")</f>
        <v>81 Purok 8, Bakakeng Norte, Baguio City, Benguet</v>
      </c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18" customHeight="1">
      <c r="A277" s="188">
        <v>271</v>
      </c>
      <c r="B277" s="193" t="s">
        <v>2488</v>
      </c>
      <c r="C277" s="193" t="s">
        <v>19</v>
      </c>
      <c r="D277" s="190" t="s">
        <v>96</v>
      </c>
      <c r="E277" s="204" t="s">
        <v>2493</v>
      </c>
      <c r="F277" s="204" t="s">
        <v>2494</v>
      </c>
      <c r="G277" s="204" t="s">
        <v>814</v>
      </c>
      <c r="H277" s="205"/>
      <c r="I277" s="210"/>
      <c r="J277" s="279" t="s">
        <v>2495</v>
      </c>
      <c r="K277" s="307" t="s">
        <v>2496</v>
      </c>
      <c r="L277" s="66"/>
      <c r="M277" s="66"/>
      <c r="N277" s="66"/>
      <c r="O277" s="66"/>
      <c r="P277" s="66" t="str">
        <f t="shared" si="4"/>
        <v>KELLY CARTNER RHYSE PASCUAL</v>
      </c>
      <c r="Q277" s="66" t="str">
        <f>IFERROR(VLOOKUP(P277,[1]Disposition!$AB$9:$AC$495,2,0),"NO RECORD YET")</f>
        <v>8 Purok 27, Irisan, Baguio City</v>
      </c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18" customHeight="1">
      <c r="A278" s="188">
        <v>272</v>
      </c>
      <c r="B278" s="193" t="s">
        <v>2488</v>
      </c>
      <c r="C278" s="193" t="s">
        <v>19</v>
      </c>
      <c r="D278" s="190" t="s">
        <v>96</v>
      </c>
      <c r="E278" s="204" t="s">
        <v>2497</v>
      </c>
      <c r="F278" s="204" t="s">
        <v>2498</v>
      </c>
      <c r="G278" s="204" t="s">
        <v>2499</v>
      </c>
      <c r="H278" s="205"/>
      <c r="I278" s="210"/>
      <c r="J278" s="279" t="s">
        <v>2500</v>
      </c>
      <c r="K278" s="307" t="s">
        <v>2501</v>
      </c>
      <c r="L278" s="66"/>
      <c r="M278" s="66"/>
      <c r="N278" s="66"/>
      <c r="O278" s="66"/>
      <c r="P278" s="66" t="str">
        <f t="shared" si="4"/>
        <v>LAOYAN SILVER MARK TALLASE</v>
      </c>
      <c r="Q278" s="66" t="str">
        <f>IFERROR(VLOOKUP(P278,[1]Disposition!$AB$9:$AC$495,2,0),"NO RECORD YET")</f>
        <v>Purok 25, Irisan, Bagiuo City, Benguet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18" customHeight="1">
      <c r="A279" s="188">
        <v>273</v>
      </c>
      <c r="B279" s="193" t="s">
        <v>2488</v>
      </c>
      <c r="C279" s="193" t="s">
        <v>39</v>
      </c>
      <c r="D279" s="190" t="s">
        <v>24</v>
      </c>
      <c r="E279" s="191" t="s">
        <v>2044</v>
      </c>
      <c r="F279" s="191" t="s">
        <v>2502</v>
      </c>
      <c r="G279" s="191" t="s">
        <v>2503</v>
      </c>
      <c r="H279" s="192"/>
      <c r="I279" s="212"/>
      <c r="J279" s="279" t="s">
        <v>2504</v>
      </c>
      <c r="K279" s="307" t="s">
        <v>2505</v>
      </c>
      <c r="L279" s="66"/>
      <c r="M279" s="66"/>
      <c r="N279" s="66"/>
      <c r="O279" s="66"/>
      <c r="P279" s="66" t="str">
        <f t="shared" si="4"/>
        <v>MARQUEZ MARISOL BALASON</v>
      </c>
      <c r="Q279" s="66" t="str">
        <f>IFERROR(VLOOKUP(P279,[1]Disposition!$AB$9:$AC$495,2,0),"NO RECORD YET")</f>
        <v>#281 Feeder Rd II, Brgy Unzad, Villasis, Pangasinan</v>
      </c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18" customHeight="1">
      <c r="A280" s="188">
        <v>274</v>
      </c>
      <c r="B280" s="193" t="s">
        <v>2488</v>
      </c>
      <c r="C280" s="193" t="s">
        <v>39</v>
      </c>
      <c r="D280" s="190" t="s">
        <v>24</v>
      </c>
      <c r="E280" s="191" t="s">
        <v>2506</v>
      </c>
      <c r="F280" s="191" t="s">
        <v>2507</v>
      </c>
      <c r="G280" s="191" t="s">
        <v>2508</v>
      </c>
      <c r="H280" s="192"/>
      <c r="I280" s="212"/>
      <c r="J280" s="279" t="s">
        <v>2509</v>
      </c>
      <c r="K280" s="307" t="s">
        <v>2510</v>
      </c>
      <c r="L280" s="66"/>
      <c r="M280" s="66"/>
      <c r="N280" s="66"/>
      <c r="O280" s="66"/>
      <c r="P280" s="66" t="str">
        <f t="shared" si="4"/>
        <v>SAGGOT FREDA AMMAGAY</v>
      </c>
      <c r="Q280" s="66" t="str">
        <f>IFERROR(VLOOKUP(P280,[1]Disposition!$AB$9:$AC$495,2,0),"NO RECORD YET")</f>
        <v>Luplupa, Tinglayan, Kalinga</v>
      </c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18" customHeight="1">
      <c r="A281" s="188">
        <v>275</v>
      </c>
      <c r="B281" s="193" t="s">
        <v>2488</v>
      </c>
      <c r="C281" s="193" t="s">
        <v>39</v>
      </c>
      <c r="D281" s="194" t="s">
        <v>28</v>
      </c>
      <c r="E281" s="204" t="s">
        <v>2438</v>
      </c>
      <c r="F281" s="204" t="s">
        <v>2511</v>
      </c>
      <c r="G281" s="204" t="s">
        <v>2512</v>
      </c>
      <c r="H281" s="205"/>
      <c r="I281" s="212"/>
      <c r="J281" s="279" t="s">
        <v>2513</v>
      </c>
      <c r="K281" s="307" t="s">
        <v>2514</v>
      </c>
      <c r="L281" s="66"/>
      <c r="M281" s="66"/>
      <c r="N281" s="66"/>
      <c r="O281" s="66"/>
      <c r="P281" s="66" t="str">
        <f t="shared" si="4"/>
        <v>ROMANO PERCY BAG-AYAN</v>
      </c>
      <c r="Q281" s="66" t="str">
        <f>IFERROR(VLOOKUP(P281,[1]Disposition!$AB$9:$AC$495,2,0),"NO RECORD YET")</f>
        <v>NO RECORD YET</v>
      </c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18" customHeight="1">
      <c r="A282" s="188">
        <v>276</v>
      </c>
      <c r="B282" s="193" t="s">
        <v>2488</v>
      </c>
      <c r="C282" s="193" t="s">
        <v>19</v>
      </c>
      <c r="D282" s="190" t="s">
        <v>28</v>
      </c>
      <c r="E282" s="195" t="s">
        <v>2515</v>
      </c>
      <c r="F282" s="195" t="s">
        <v>2516</v>
      </c>
      <c r="G282" s="195" t="s">
        <v>2517</v>
      </c>
      <c r="H282" s="194"/>
      <c r="I282" s="212"/>
      <c r="J282" s="281" t="s">
        <v>2518</v>
      </c>
      <c r="K282" s="307" t="s">
        <v>2519</v>
      </c>
      <c r="L282" s="66"/>
      <c r="M282" s="66"/>
      <c r="N282" s="66"/>
      <c r="O282" s="66"/>
      <c r="P282" s="66" t="str">
        <f t="shared" si="4"/>
        <v>FONSICA VILMER GUILOAN</v>
      </c>
      <c r="Q282" s="66" t="str">
        <f>IFERROR(VLOOKUP(P282,[1]Disposition!$AB$9:$AC$495,2,0),"NO RECORD YET")</f>
        <v>NO RECORD YET</v>
      </c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18" customHeight="1">
      <c r="A283" s="188">
        <v>277</v>
      </c>
      <c r="B283" s="193" t="s">
        <v>2488</v>
      </c>
      <c r="C283" s="193" t="s">
        <v>19</v>
      </c>
      <c r="D283" s="190" t="s">
        <v>28</v>
      </c>
      <c r="E283" s="195" t="s">
        <v>2520</v>
      </c>
      <c r="F283" s="195" t="s">
        <v>2521</v>
      </c>
      <c r="G283" s="195" t="s">
        <v>2522</v>
      </c>
      <c r="H283" s="194"/>
      <c r="I283" s="212"/>
      <c r="J283" s="281" t="s">
        <v>2523</v>
      </c>
      <c r="K283" s="307" t="s">
        <v>2524</v>
      </c>
      <c r="L283" s="66"/>
      <c r="M283" s="66"/>
      <c r="N283" s="66"/>
      <c r="O283" s="66"/>
      <c r="P283" s="66" t="str">
        <f t="shared" si="4"/>
        <v>PATERNO JEFFREY PAUS</v>
      </c>
      <c r="Q283" s="66" t="str">
        <f>IFERROR(VLOOKUP(P283,[1]Disposition!$AB$9:$AC$495,2,0),"NO RECORD YET")</f>
        <v>NO RECORD YET</v>
      </c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18" customHeight="1">
      <c r="A284" s="188">
        <v>278</v>
      </c>
      <c r="B284" s="189" t="s">
        <v>2525</v>
      </c>
      <c r="C284" s="189" t="s">
        <v>19</v>
      </c>
      <c r="D284" s="190" t="s">
        <v>96</v>
      </c>
      <c r="E284" s="204" t="s">
        <v>2526</v>
      </c>
      <c r="F284" s="204" t="s">
        <v>2527</v>
      </c>
      <c r="G284" s="204" t="s">
        <v>2528</v>
      </c>
      <c r="H284" s="205"/>
      <c r="I284" s="210"/>
      <c r="J284" s="279" t="s">
        <v>2529</v>
      </c>
      <c r="K284" s="307" t="s">
        <v>2530</v>
      </c>
      <c r="L284" s="66"/>
      <c r="M284" s="66"/>
      <c r="N284" s="66"/>
      <c r="O284" s="66"/>
      <c r="P284" s="66" t="str">
        <f t="shared" si="4"/>
        <v>CORDON ANDREO BISIN</v>
      </c>
      <c r="Q284" s="66" t="str">
        <f>IFERROR(VLOOKUP(P284,[1]Disposition!$AB$9:$AC$495,2,0),"NO RECORD YET")</f>
        <v>Camp BGen Salipada K Pendatun, Making, Parang, Maguindanao</v>
      </c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18" customHeight="1">
      <c r="A285" s="188">
        <v>279</v>
      </c>
      <c r="B285" s="189" t="s">
        <v>2525</v>
      </c>
      <c r="C285" s="189" t="s">
        <v>19</v>
      </c>
      <c r="D285" s="190" t="s">
        <v>246</v>
      </c>
      <c r="E285" s="191" t="s">
        <v>2531</v>
      </c>
      <c r="F285" s="191" t="s">
        <v>1440</v>
      </c>
      <c r="G285" s="191" t="s">
        <v>2532</v>
      </c>
      <c r="H285" s="192"/>
      <c r="I285" s="210"/>
      <c r="J285" s="279" t="s">
        <v>2533</v>
      </c>
      <c r="K285" s="282"/>
      <c r="L285" s="66"/>
      <c r="M285" s="66"/>
      <c r="N285" s="66"/>
      <c r="O285" s="66"/>
      <c r="P285" s="66" t="str">
        <f t="shared" si="4"/>
        <v>NADERA JOSHUA SABATE</v>
      </c>
      <c r="Q285" s="66" t="str">
        <f>IFERROR(VLOOKUP(P285,[1]Disposition!$AB$9:$AC$495,2,0),"NO RECORD YET")</f>
        <v>NO RECORD YET</v>
      </c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18" customHeight="1">
      <c r="A286" s="188">
        <v>280</v>
      </c>
      <c r="B286" s="189" t="s">
        <v>2525</v>
      </c>
      <c r="C286" s="189" t="s">
        <v>19</v>
      </c>
      <c r="D286" s="190" t="s">
        <v>366</v>
      </c>
      <c r="E286" s="191" t="s">
        <v>513</v>
      </c>
      <c r="F286" s="191" t="s">
        <v>2534</v>
      </c>
      <c r="G286" s="191" t="s">
        <v>914</v>
      </c>
      <c r="H286" s="192"/>
      <c r="I286" s="212"/>
      <c r="J286" s="279" t="s">
        <v>2535</v>
      </c>
      <c r="K286" s="307" t="s">
        <v>2536</v>
      </c>
      <c r="L286" s="66"/>
      <c r="M286" s="66"/>
      <c r="N286" s="66"/>
      <c r="O286" s="66"/>
      <c r="P286" s="66" t="str">
        <f t="shared" si="4"/>
        <v>LIM BENEDICT LEE</v>
      </c>
      <c r="Q286" s="66" t="str">
        <f>IFERROR(VLOOKUP(P286,[1]Disposition!$AB$9:$AC$495,2,0),"NO RECORD YET")</f>
        <v>102-C Mudjahidin St., Salam Compound, Culiat, Tandang Sora, Quezon City</v>
      </c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18" customHeight="1">
      <c r="A287" s="188">
        <v>281</v>
      </c>
      <c r="B287" s="189" t="s">
        <v>2525</v>
      </c>
      <c r="C287" s="189" t="s">
        <v>19</v>
      </c>
      <c r="D287" s="190" t="s">
        <v>24</v>
      </c>
      <c r="E287" s="191" t="s">
        <v>2537</v>
      </c>
      <c r="F287" s="191" t="s">
        <v>2374</v>
      </c>
      <c r="G287" s="191" t="s">
        <v>2538</v>
      </c>
      <c r="H287" s="192"/>
      <c r="I287" s="212"/>
      <c r="J287" s="279" t="s">
        <v>2539</v>
      </c>
      <c r="K287" s="307" t="s">
        <v>2540</v>
      </c>
      <c r="L287" s="66"/>
      <c r="M287" s="66"/>
      <c r="N287" s="66"/>
      <c r="O287" s="66"/>
      <c r="P287" s="66" t="str">
        <f t="shared" si="4"/>
        <v>SUGUITAN FREDIMAR PATTUNG</v>
      </c>
      <c r="Q287" s="66" t="str">
        <f>IFERROR(VLOOKUP(P287,[1]Disposition!$AB$9:$AC$495,2,0),"NO RECORD YET")</f>
        <v>Poblacion, Baggao, Cagayan Valley</v>
      </c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18" customHeight="1">
      <c r="A288" s="188">
        <v>282</v>
      </c>
      <c r="B288" s="189" t="s">
        <v>2525</v>
      </c>
      <c r="C288" s="189" t="s">
        <v>19</v>
      </c>
      <c r="D288" s="190" t="s">
        <v>28</v>
      </c>
      <c r="E288" s="191" t="s">
        <v>2541</v>
      </c>
      <c r="F288" s="191" t="s">
        <v>2542</v>
      </c>
      <c r="G288" s="191" t="s">
        <v>2543</v>
      </c>
      <c r="H288" s="192"/>
      <c r="I288" s="212"/>
      <c r="J288" s="281" t="s">
        <v>2544</v>
      </c>
      <c r="K288" s="307" t="s">
        <v>2545</v>
      </c>
      <c r="L288" s="66"/>
      <c r="M288" s="66"/>
      <c r="N288" s="66"/>
      <c r="O288" s="66"/>
      <c r="P288" s="66" t="str">
        <f t="shared" si="4"/>
        <v>DIRINDIGEN MORSI MACABNGKAS</v>
      </c>
      <c r="Q288" s="66" t="str">
        <f>IFERROR(VLOOKUP(P288,[1]Disposition!$AB$9:$AC$495,2,0),"NO RECORD YET")</f>
        <v>NO RECORD YET</v>
      </c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18" customHeight="1">
      <c r="A289" s="188">
        <v>283</v>
      </c>
      <c r="B289" s="189" t="s">
        <v>2525</v>
      </c>
      <c r="C289" s="193" t="s">
        <v>39</v>
      </c>
      <c r="D289" s="190" t="s">
        <v>28</v>
      </c>
      <c r="E289" s="191" t="s">
        <v>2546</v>
      </c>
      <c r="F289" s="191" t="s">
        <v>2547</v>
      </c>
      <c r="G289" s="191" t="s">
        <v>2548</v>
      </c>
      <c r="H289" s="192"/>
      <c r="I289" s="212"/>
      <c r="J289" s="281" t="s">
        <v>2549</v>
      </c>
      <c r="K289" s="307" t="s">
        <v>2550</v>
      </c>
      <c r="L289" s="66"/>
      <c r="M289" s="66"/>
      <c r="N289" s="66"/>
      <c r="O289" s="66"/>
      <c r="P289" s="66" t="str">
        <f t="shared" si="4"/>
        <v>HASANBASA NURMIHAR SABDANI</v>
      </c>
      <c r="Q289" s="66" t="str">
        <f>IFERROR(VLOOKUP(P289,[1]Disposition!$AB$9:$AC$495,2,0),"NO RECORD YET")</f>
        <v>NO RECORD YET</v>
      </c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18" customHeight="1">
      <c r="A290" s="188">
        <v>284</v>
      </c>
      <c r="B290" s="189" t="s">
        <v>2525</v>
      </c>
      <c r="C290" s="193" t="s">
        <v>39</v>
      </c>
      <c r="D290" s="190" t="s">
        <v>28</v>
      </c>
      <c r="E290" s="191" t="s">
        <v>2551</v>
      </c>
      <c r="F290" s="191" t="s">
        <v>2552</v>
      </c>
      <c r="G290" s="191" t="s">
        <v>2553</v>
      </c>
      <c r="H290" s="192"/>
      <c r="I290" s="212"/>
      <c r="J290" s="281" t="s">
        <v>2554</v>
      </c>
      <c r="K290" s="307" t="s">
        <v>2555</v>
      </c>
      <c r="L290" s="66"/>
      <c r="M290" s="66"/>
      <c r="N290" s="66"/>
      <c r="O290" s="66"/>
      <c r="P290" s="66" t="str">
        <f t="shared" si="4"/>
        <v>TRINIDAD NOHVILENE MAR BELDIA</v>
      </c>
      <c r="Q290" s="66" t="str">
        <f>IFERROR(VLOOKUP(P290,[1]Disposition!$AB$9:$AC$495,2,0),"NO RECORD YET")</f>
        <v>NO RECORD YET</v>
      </c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18" customHeight="1">
      <c r="A291" s="188">
        <v>285</v>
      </c>
      <c r="B291" s="189" t="s">
        <v>2556</v>
      </c>
      <c r="C291" s="189" t="s">
        <v>19</v>
      </c>
      <c r="D291" s="190" t="s">
        <v>20</v>
      </c>
      <c r="E291" s="191" t="s">
        <v>1589</v>
      </c>
      <c r="F291" s="191" t="s">
        <v>2557</v>
      </c>
      <c r="G291" s="191" t="s">
        <v>151</v>
      </c>
      <c r="H291" s="192"/>
      <c r="I291" s="210"/>
      <c r="J291" s="279" t="s">
        <v>2558</v>
      </c>
      <c r="K291" s="307" t="s">
        <v>2559</v>
      </c>
      <c r="L291" s="66"/>
      <c r="M291" s="66"/>
      <c r="N291" s="66"/>
      <c r="O291" s="66"/>
      <c r="P291" s="66" t="str">
        <f>CONCATENATE(E506," ",F506," ",G506)</f>
        <v>MANANON ALBERT VILLEGAS</v>
      </c>
      <c r="Q291" s="66" t="str">
        <f>IFERROR(VLOOKUP(P291,[1]Disposition!$AB$9:$AC$495,2,0),"NO RECORD YET")</f>
        <v>63 Bautista St., AFPOVAI, Taguig City</v>
      </c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18" customHeight="1">
      <c r="A292" s="188">
        <v>286</v>
      </c>
      <c r="B292" s="189" t="s">
        <v>2556</v>
      </c>
      <c r="C292" s="189" t="s">
        <v>19</v>
      </c>
      <c r="D292" s="190" t="s">
        <v>160</v>
      </c>
      <c r="E292" s="191" t="s">
        <v>854</v>
      </c>
      <c r="F292" s="191" t="s">
        <v>2560</v>
      </c>
      <c r="G292" s="191" t="s">
        <v>2561</v>
      </c>
      <c r="H292" s="192"/>
      <c r="I292" s="210"/>
      <c r="J292" s="279" t="s">
        <v>2562</v>
      </c>
      <c r="K292" s="307" t="s">
        <v>2563</v>
      </c>
      <c r="L292" s="66"/>
      <c r="M292" s="66"/>
      <c r="N292" s="66"/>
      <c r="O292" s="66"/>
      <c r="P292" s="66" t="str">
        <f t="shared" ref="P292:P312" si="5">CONCATENATE(E292," ",F292," ",G292)</f>
        <v>RUIZ RONIE BATARA</v>
      </c>
      <c r="Q292" s="66" t="str">
        <f>IFERROR(VLOOKUP(P292,[1]Disposition!$AB$9:$AC$495,2,0),"NO RECORD YET")</f>
        <v>B41 L21 Acacia St., S Heights II Subd., United Better Living, San Pedro, Laguna</v>
      </c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18" customHeight="1">
      <c r="A293" s="188">
        <v>287</v>
      </c>
      <c r="B293" s="189" t="s">
        <v>2556</v>
      </c>
      <c r="C293" s="189" t="s">
        <v>19</v>
      </c>
      <c r="D293" s="190" t="s">
        <v>246</v>
      </c>
      <c r="E293" s="191" t="s">
        <v>2564</v>
      </c>
      <c r="F293" s="191" t="s">
        <v>2565</v>
      </c>
      <c r="G293" s="191" t="s">
        <v>2566</v>
      </c>
      <c r="H293" s="192"/>
      <c r="I293" s="210"/>
      <c r="J293" s="279" t="s">
        <v>1510</v>
      </c>
      <c r="K293" s="307" t="s">
        <v>2567</v>
      </c>
      <c r="L293" s="66"/>
      <c r="M293" s="66"/>
      <c r="N293" s="66"/>
      <c r="O293" s="66"/>
      <c r="P293" s="66" t="str">
        <f t="shared" si="5"/>
        <v>ORENSE ANDREW AYALIN</v>
      </c>
      <c r="Q293" s="66" t="str">
        <f>IFERROR(VLOOKUP(P293,[1]Disposition!$AB$9:$AC$495,2,0),"NO RECORD YET")</f>
        <v>NO RECORD YET</v>
      </c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18" customHeight="1">
      <c r="A294" s="188">
        <v>288</v>
      </c>
      <c r="B294" s="189" t="s">
        <v>2556</v>
      </c>
      <c r="C294" s="193" t="s">
        <v>19</v>
      </c>
      <c r="D294" s="190" t="s">
        <v>28</v>
      </c>
      <c r="E294" s="195" t="s">
        <v>2568</v>
      </c>
      <c r="F294" s="195" t="s">
        <v>1733</v>
      </c>
      <c r="G294" s="195" t="s">
        <v>2569</v>
      </c>
      <c r="H294" s="194"/>
      <c r="I294" s="210"/>
      <c r="J294" s="281" t="s">
        <v>2570</v>
      </c>
      <c r="K294" s="307" t="s">
        <v>2571</v>
      </c>
      <c r="L294" s="66"/>
      <c r="M294" s="66"/>
      <c r="N294" s="66"/>
      <c r="O294" s="66"/>
      <c r="P294" s="66" t="str">
        <f t="shared" si="5"/>
        <v>ANGLIGEN MARLON PINANGI</v>
      </c>
      <c r="Q294" s="66" t="str">
        <f>IFERROR(VLOOKUP(P294,[1]Disposition!$AB$9:$AC$495,2,0),"NO RECORD YET")</f>
        <v>NO RECORD YET</v>
      </c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18" customHeight="1">
      <c r="A295" s="188">
        <v>289</v>
      </c>
      <c r="B295" s="189" t="s">
        <v>2556</v>
      </c>
      <c r="C295" s="193" t="s">
        <v>19</v>
      </c>
      <c r="D295" s="190" t="s">
        <v>28</v>
      </c>
      <c r="E295" s="195" t="s">
        <v>2572</v>
      </c>
      <c r="F295" s="195" t="s">
        <v>2573</v>
      </c>
      <c r="G295" s="195" t="s">
        <v>2574</v>
      </c>
      <c r="H295" s="194"/>
      <c r="I295" s="210"/>
      <c r="J295" s="281" t="s">
        <v>2575</v>
      </c>
      <c r="K295" s="307" t="s">
        <v>2576</v>
      </c>
      <c r="L295" s="66"/>
      <c r="M295" s="66"/>
      <c r="N295" s="66"/>
      <c r="O295" s="66"/>
      <c r="P295" s="66" t="str">
        <f t="shared" si="5"/>
        <v>APACIBLE KIM SANDELL CAMO</v>
      </c>
      <c r="Q295" s="66" t="str">
        <f>IFERROR(VLOOKUP(P295,[1]Disposition!$AB$9:$AC$495,2,0),"NO RECORD YET")</f>
        <v>NO RECORD YET</v>
      </c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18" customHeight="1">
      <c r="A296" s="188">
        <v>290</v>
      </c>
      <c r="B296" s="189" t="s">
        <v>2556</v>
      </c>
      <c r="C296" s="193" t="s">
        <v>19</v>
      </c>
      <c r="D296" s="190" t="s">
        <v>28</v>
      </c>
      <c r="E296" s="195" t="s">
        <v>2577</v>
      </c>
      <c r="F296" s="195" t="s">
        <v>1968</v>
      </c>
      <c r="G296" s="195" t="s">
        <v>2578</v>
      </c>
      <c r="H296" s="194"/>
      <c r="I296" s="210"/>
      <c r="J296" s="281" t="s">
        <v>2579</v>
      </c>
      <c r="K296" s="307" t="s">
        <v>2580</v>
      </c>
      <c r="L296" s="66"/>
      <c r="M296" s="66"/>
      <c r="N296" s="66"/>
      <c r="O296" s="66"/>
      <c r="P296" s="66" t="str">
        <f t="shared" si="5"/>
        <v>MACAPUNO JAMES RYAN DE SAGUN</v>
      </c>
      <c r="Q296" s="66" t="str">
        <f>IFERROR(VLOOKUP(P296,[1]Disposition!$AB$9:$AC$495,2,0),"NO RECORD YET")</f>
        <v>NO RECORD YET</v>
      </c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18" customHeight="1">
      <c r="A297" s="188">
        <v>291</v>
      </c>
      <c r="B297" s="193" t="s">
        <v>2581</v>
      </c>
      <c r="C297" s="193" t="s">
        <v>19</v>
      </c>
      <c r="D297" s="190" t="s">
        <v>160</v>
      </c>
      <c r="E297" s="191" t="s">
        <v>2582</v>
      </c>
      <c r="F297" s="191" t="s">
        <v>2583</v>
      </c>
      <c r="G297" s="191" t="s">
        <v>2584</v>
      </c>
      <c r="H297" s="192"/>
      <c r="I297" s="210"/>
      <c r="J297" s="279" t="s">
        <v>2585</v>
      </c>
      <c r="K297" s="307" t="s">
        <v>2586</v>
      </c>
      <c r="L297" s="66"/>
      <c r="M297" s="66"/>
      <c r="N297" s="66"/>
      <c r="O297" s="66"/>
      <c r="P297" s="66" t="str">
        <f t="shared" si="5"/>
        <v>ANUNCIO ALEJANDER TALAMPAS</v>
      </c>
      <c r="Q297" s="66" t="str">
        <f>IFERROR(VLOOKUP(P297,[1]Disposition!$AB$9:$AC$495,2,0),"NO RECORD YET")</f>
        <v>159 Labao St., Purok 2, Napindaa, Taguig City</v>
      </c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18" customHeight="1">
      <c r="A298" s="188">
        <v>292</v>
      </c>
      <c r="B298" s="193" t="s">
        <v>2587</v>
      </c>
      <c r="C298" s="193" t="s">
        <v>19</v>
      </c>
      <c r="D298" s="190" t="s">
        <v>160</v>
      </c>
      <c r="E298" s="191" t="s">
        <v>1622</v>
      </c>
      <c r="F298" s="191" t="s">
        <v>2588</v>
      </c>
      <c r="G298" s="191" t="s">
        <v>2589</v>
      </c>
      <c r="H298" s="192"/>
      <c r="I298" s="210"/>
      <c r="J298" s="279" t="s">
        <v>2590</v>
      </c>
      <c r="K298" s="307" t="s">
        <v>2591</v>
      </c>
      <c r="L298" s="66"/>
      <c r="M298" s="66"/>
      <c r="N298" s="66"/>
      <c r="O298" s="66"/>
      <c r="P298" s="66" t="str">
        <f t="shared" si="5"/>
        <v>RIVERA ROBIN DATUL</v>
      </c>
      <c r="Q298" s="66" t="str">
        <f>IFERROR(VLOOKUP(P298,[1]Disposition!$AB$9:$AC$495,2,0),"NO RECORD YET")</f>
        <v>53 Masaya St, UP Village, Quezon City</v>
      </c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18" customHeight="1">
      <c r="A299" s="188">
        <v>293</v>
      </c>
      <c r="B299" s="193" t="s">
        <v>2592</v>
      </c>
      <c r="C299" s="193" t="s">
        <v>19</v>
      </c>
      <c r="D299" s="190" t="s">
        <v>160</v>
      </c>
      <c r="E299" s="191" t="s">
        <v>2593</v>
      </c>
      <c r="F299" s="191" t="s">
        <v>30</v>
      </c>
      <c r="G299" s="191" t="s">
        <v>2594</v>
      </c>
      <c r="H299" s="192"/>
      <c r="I299" s="210"/>
      <c r="J299" s="279" t="s">
        <v>2595</v>
      </c>
      <c r="K299" s="307" t="s">
        <v>2596</v>
      </c>
      <c r="L299" s="66"/>
      <c r="M299" s="66"/>
      <c r="N299" s="66"/>
      <c r="O299" s="66"/>
      <c r="P299" s="66" t="str">
        <f t="shared" si="5"/>
        <v>MIGUEL GERALD POBLETE</v>
      </c>
      <c r="Q299" s="66" t="str">
        <f>IFERROR(VLOOKUP(P299,[1]Disposition!$AB$9:$AC$495,2,0),"NO RECORD YET")</f>
        <v>Annagunan West, Tugegarao City, Cagayan</v>
      </c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18" customHeight="1">
      <c r="A300" s="188">
        <v>294</v>
      </c>
      <c r="B300" s="193" t="s">
        <v>2597</v>
      </c>
      <c r="C300" s="193" t="s">
        <v>19</v>
      </c>
      <c r="D300" s="190" t="s">
        <v>160</v>
      </c>
      <c r="E300" s="191" t="s">
        <v>2598</v>
      </c>
      <c r="F300" s="191" t="s">
        <v>2599</v>
      </c>
      <c r="G300" s="191" t="s">
        <v>2600</v>
      </c>
      <c r="H300" s="192"/>
      <c r="I300" s="210"/>
      <c r="J300" s="279" t="s">
        <v>2601</v>
      </c>
      <c r="K300" s="307" t="s">
        <v>2602</v>
      </c>
      <c r="L300" s="66"/>
      <c r="M300" s="66"/>
      <c r="N300" s="66"/>
      <c r="O300" s="66"/>
      <c r="P300" s="66" t="str">
        <f t="shared" si="5"/>
        <v>LUMIBAO RENE JASPER CUNANAN</v>
      </c>
      <c r="Q300" s="66" t="str">
        <f>IFERROR(VLOOKUP(P300,[1]Disposition!$AB$9:$AC$495,2,0),"NO RECORD YET")</f>
        <v>52 LOT 16 Stonington St., Phase 7, Dizon Estate, San Agustin, San Fernando City</v>
      </c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18" customHeight="1">
      <c r="A301" s="188">
        <v>295</v>
      </c>
      <c r="B301" s="193" t="s">
        <v>2603</v>
      </c>
      <c r="C301" s="193" t="s">
        <v>39</v>
      </c>
      <c r="D301" s="190" t="s">
        <v>160</v>
      </c>
      <c r="E301" s="191" t="s">
        <v>2604</v>
      </c>
      <c r="F301" s="191" t="s">
        <v>2605</v>
      </c>
      <c r="G301" s="191" t="s">
        <v>2606</v>
      </c>
      <c r="H301" s="192"/>
      <c r="I301" s="210"/>
      <c r="J301" s="279" t="s">
        <v>2607</v>
      </c>
      <c r="K301" s="307" t="s">
        <v>2608</v>
      </c>
      <c r="L301" s="66"/>
      <c r="M301" s="66"/>
      <c r="N301" s="66"/>
      <c r="O301" s="66"/>
      <c r="P301" s="66" t="str">
        <f t="shared" si="5"/>
        <v>PINAGOD ANALYN  BINGWAOEL</v>
      </c>
      <c r="Q301" s="66" t="str">
        <f>IFERROR(VLOOKUP(P301,[1]Disposition!$AB$9:$AC$495,2,0),"NO RECORD YET")</f>
        <v>NO RECORD YET</v>
      </c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18" customHeight="1">
      <c r="A302" s="188">
        <v>296</v>
      </c>
      <c r="B302" s="193" t="s">
        <v>2609</v>
      </c>
      <c r="C302" s="193" t="s">
        <v>19</v>
      </c>
      <c r="D302" s="190" t="s">
        <v>160</v>
      </c>
      <c r="E302" s="191" t="s">
        <v>636</v>
      </c>
      <c r="F302" s="191" t="s">
        <v>2610</v>
      </c>
      <c r="G302" s="191" t="s">
        <v>2611</v>
      </c>
      <c r="H302" s="192"/>
      <c r="I302" s="210"/>
      <c r="J302" s="279" t="s">
        <v>2612</v>
      </c>
      <c r="K302" s="307" t="s">
        <v>2613</v>
      </c>
      <c r="L302" s="66"/>
      <c r="M302" s="66"/>
      <c r="N302" s="66"/>
      <c r="O302" s="66"/>
      <c r="P302" s="66" t="str">
        <f t="shared" si="5"/>
        <v>SANTOS JAY WALTER SANTIAGO</v>
      </c>
      <c r="Q302" s="66" t="str">
        <f>IFERROR(VLOOKUP(P302,[1]Disposition!$AB$9:$AC$495,2,0),"NO RECORD YET")</f>
        <v>#109-B Herbosa St., Tondo, Manila</v>
      </c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18" customHeight="1">
      <c r="A303" s="188">
        <v>297</v>
      </c>
      <c r="B303" s="193" t="s">
        <v>2614</v>
      </c>
      <c r="C303" s="193" t="s">
        <v>19</v>
      </c>
      <c r="D303" s="190" t="s">
        <v>160</v>
      </c>
      <c r="E303" s="191" t="s">
        <v>2615</v>
      </c>
      <c r="F303" s="191" t="s">
        <v>2616</v>
      </c>
      <c r="G303" s="191" t="s">
        <v>2617</v>
      </c>
      <c r="H303" s="192"/>
      <c r="I303" s="210"/>
      <c r="J303" s="279" t="s">
        <v>2612</v>
      </c>
      <c r="K303" s="307" t="s">
        <v>2618</v>
      </c>
      <c r="L303" s="66"/>
      <c r="M303" s="66"/>
      <c r="N303" s="66"/>
      <c r="O303" s="66"/>
      <c r="P303" s="66" t="str">
        <f t="shared" si="5"/>
        <v>BAUSA RIQUE ARCOS</v>
      </c>
      <c r="Q303" s="66" t="str">
        <f>IFERROR(VLOOKUP(P303,[1]Disposition!$AB$9:$AC$495,2,0),"NO RECORD YET")</f>
        <v>Legaspi, Albay</v>
      </c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18" customHeight="1">
      <c r="A304" s="188">
        <v>298</v>
      </c>
      <c r="B304" s="193" t="s">
        <v>2619</v>
      </c>
      <c r="C304" s="193" t="s">
        <v>19</v>
      </c>
      <c r="D304" s="190" t="s">
        <v>160</v>
      </c>
      <c r="E304" s="191" t="s">
        <v>2620</v>
      </c>
      <c r="F304" s="191" t="s">
        <v>2621</v>
      </c>
      <c r="G304" s="191" t="s">
        <v>2622</v>
      </c>
      <c r="H304" s="192"/>
      <c r="I304" s="210"/>
      <c r="J304" s="279" t="s">
        <v>2623</v>
      </c>
      <c r="K304" s="307" t="s">
        <v>2624</v>
      </c>
      <c r="L304" s="66"/>
      <c r="M304" s="66"/>
      <c r="N304" s="66"/>
      <c r="O304" s="66"/>
      <c r="P304" s="66" t="str">
        <f t="shared" si="5"/>
        <v>DECENA RONALD  LUCIO</v>
      </c>
      <c r="Q304" s="66" t="str">
        <f>IFERROR(VLOOKUP(P304,[1]Disposition!$AB$9:$AC$495,2,0),"NO RECORD YET")</f>
        <v>Brgy., Andres Bonifacio,Mayorga, Leyte</v>
      </c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18" customHeight="1">
      <c r="A305" s="188">
        <v>299</v>
      </c>
      <c r="B305" s="193" t="s">
        <v>2625</v>
      </c>
      <c r="C305" s="189" t="s">
        <v>19</v>
      </c>
      <c r="D305" s="194" t="s">
        <v>96</v>
      </c>
      <c r="E305" s="191" t="s">
        <v>2626</v>
      </c>
      <c r="F305" s="191" t="s">
        <v>2627</v>
      </c>
      <c r="G305" s="191" t="s">
        <v>2628</v>
      </c>
      <c r="H305" s="192"/>
      <c r="I305" s="210"/>
      <c r="J305" s="279" t="s">
        <v>2629</v>
      </c>
      <c r="K305" s="307" t="s">
        <v>2630</v>
      </c>
      <c r="L305" s="66"/>
      <c r="M305" s="66"/>
      <c r="N305" s="66"/>
      <c r="O305" s="66"/>
      <c r="P305" s="66" t="str">
        <f t="shared" si="5"/>
        <v>BELOYA GENESON DORIENDES</v>
      </c>
      <c r="Q305" s="66" t="str">
        <f>IFERROR(VLOOKUP(P305,[1]Disposition!$AB$9:$AC$495,2,0),"NO RECORD YET")</f>
        <v>Tetuan, Zamboanga City</v>
      </c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18" customHeight="1">
      <c r="A306" s="188">
        <v>300</v>
      </c>
      <c r="B306" s="193" t="s">
        <v>2625</v>
      </c>
      <c r="C306" s="189" t="s">
        <v>19</v>
      </c>
      <c r="D306" s="190" t="s">
        <v>366</v>
      </c>
      <c r="E306" s="191" t="s">
        <v>2631</v>
      </c>
      <c r="F306" s="191" t="s">
        <v>2632</v>
      </c>
      <c r="G306" s="191" t="s">
        <v>2633</v>
      </c>
      <c r="H306" s="192"/>
      <c r="I306" s="210"/>
      <c r="J306" s="279" t="s">
        <v>2634</v>
      </c>
      <c r="K306" s="307" t="s">
        <v>2635</v>
      </c>
      <c r="L306" s="66"/>
      <c r="M306" s="66"/>
      <c r="N306" s="66"/>
      <c r="O306" s="66"/>
      <c r="P306" s="66" t="str">
        <f t="shared" si="5"/>
        <v>MUKTAJAR GAJIR MUHARRANI</v>
      </c>
      <c r="Q306" s="66" t="str">
        <f>IFERROR(VLOOKUP(P306,[1]Disposition!$AB$9:$AC$495,2,0),"NO RECORD YET")</f>
        <v>Lot 22, Phase 1, Blue Homes Executive Subd., Cabatangan, Zamboanga City</v>
      </c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18" customHeight="1">
      <c r="A307" s="188">
        <v>301</v>
      </c>
      <c r="B307" s="193" t="s">
        <v>2636</v>
      </c>
      <c r="C307" s="193" t="s">
        <v>19</v>
      </c>
      <c r="D307" s="190" t="s">
        <v>160</v>
      </c>
      <c r="E307" s="191" t="s">
        <v>834</v>
      </c>
      <c r="F307" s="191" t="s">
        <v>354</v>
      </c>
      <c r="G307" s="191" t="s">
        <v>2637</v>
      </c>
      <c r="H307" s="192"/>
      <c r="I307" s="210"/>
      <c r="J307" s="279" t="s">
        <v>2638</v>
      </c>
      <c r="K307" s="307" t="s">
        <v>2639</v>
      </c>
      <c r="L307" s="66"/>
      <c r="M307" s="66"/>
      <c r="N307" s="66"/>
      <c r="O307" s="66"/>
      <c r="P307" s="66" t="str">
        <f t="shared" si="5"/>
        <v>FAJARDO ROY RAMA</v>
      </c>
      <c r="Q307" s="66" t="str">
        <f>IFERROR(VLOOKUP(P307,[1]Disposition!$AB$9:$AC$495,2,0),"NO RECORD YET")</f>
        <v>042 Camp Alagar, Lapasan, Cagayan De Oro</v>
      </c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18" customHeight="1">
      <c r="A308" s="188">
        <v>302</v>
      </c>
      <c r="B308" s="193" t="s">
        <v>2640</v>
      </c>
      <c r="C308" s="193" t="s">
        <v>19</v>
      </c>
      <c r="D308" s="190" t="s">
        <v>160</v>
      </c>
      <c r="E308" s="191" t="s">
        <v>2641</v>
      </c>
      <c r="F308" s="191" t="s">
        <v>2642</v>
      </c>
      <c r="G308" s="191" t="s">
        <v>2643</v>
      </c>
      <c r="H308" s="192"/>
      <c r="I308" s="210"/>
      <c r="J308" s="279" t="s">
        <v>2644</v>
      </c>
      <c r="K308" s="307" t="s">
        <v>2645</v>
      </c>
      <c r="L308" s="66"/>
      <c r="M308" s="66"/>
      <c r="N308" s="66"/>
      <c r="O308" s="66"/>
      <c r="P308" s="66" t="str">
        <f t="shared" si="5"/>
        <v>SANTILLANA JULIUS  PASCUA</v>
      </c>
      <c r="Q308" s="66" t="str">
        <f>IFERROR(VLOOKUP(P308,[1]Disposition!$AB$9:$AC$495,2,0),"NO RECORD YET")</f>
        <v>75 De Guzman ST., Toril, Davao City</v>
      </c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18" customHeight="1">
      <c r="A309" s="188">
        <v>303</v>
      </c>
      <c r="B309" s="193" t="s">
        <v>2646</v>
      </c>
      <c r="C309" s="193" t="s">
        <v>19</v>
      </c>
      <c r="D309" s="190" t="s">
        <v>246</v>
      </c>
      <c r="E309" s="191" t="s">
        <v>2647</v>
      </c>
      <c r="F309" s="191" t="s">
        <v>2648</v>
      </c>
      <c r="G309" s="191" t="s">
        <v>182</v>
      </c>
      <c r="H309" s="192"/>
      <c r="I309" s="210"/>
      <c r="J309" s="279"/>
      <c r="K309" s="282"/>
      <c r="L309" s="66"/>
      <c r="M309" s="66"/>
      <c r="N309" s="66"/>
      <c r="O309" s="66"/>
      <c r="P309" s="66" t="str">
        <f t="shared" si="5"/>
        <v>CALENDAS RYAN ALEXANDER CASTILLO</v>
      </c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18" customHeight="1">
      <c r="A310" s="188">
        <v>304</v>
      </c>
      <c r="B310" s="193" t="s">
        <v>2649</v>
      </c>
      <c r="C310" s="189" t="s">
        <v>19</v>
      </c>
      <c r="D310" s="194" t="s">
        <v>96</v>
      </c>
      <c r="E310" s="191" t="s">
        <v>2650</v>
      </c>
      <c r="F310" s="191" t="s">
        <v>2651</v>
      </c>
      <c r="G310" s="191" t="s">
        <v>2652</v>
      </c>
      <c r="H310" s="192" t="s">
        <v>268</v>
      </c>
      <c r="I310" s="210"/>
      <c r="J310" s="279" t="s">
        <v>2653</v>
      </c>
      <c r="K310" s="307" t="s">
        <v>2654</v>
      </c>
      <c r="L310" s="66"/>
      <c r="M310" s="66"/>
      <c r="N310" s="66"/>
      <c r="O310" s="66"/>
      <c r="P310" s="66" t="str">
        <f t="shared" si="5"/>
        <v>CERDANA NESTOR SEMBRANO</v>
      </c>
      <c r="Q310" s="66" t="str">
        <f>IFERROR(VLOOKUP(P310,[1]Disposition!$AB$9:$AC$495,2,0),"NO RECORD YET")</f>
        <v>Upper Katungal, Tacurong City, Sultan Kudarat</v>
      </c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18" customHeight="1">
      <c r="A311" s="188">
        <v>305</v>
      </c>
      <c r="B311" s="193" t="s">
        <v>2655</v>
      </c>
      <c r="C311" s="193" t="s">
        <v>19</v>
      </c>
      <c r="D311" s="190" t="s">
        <v>160</v>
      </c>
      <c r="E311" s="191" t="s">
        <v>2656</v>
      </c>
      <c r="F311" s="191" t="s">
        <v>684</v>
      </c>
      <c r="G311" s="191" t="s">
        <v>2657</v>
      </c>
      <c r="H311" s="192"/>
      <c r="I311" s="210"/>
      <c r="J311" s="279" t="s">
        <v>2658</v>
      </c>
      <c r="K311" s="307" t="s">
        <v>2659</v>
      </c>
      <c r="L311" s="66"/>
      <c r="M311" s="66"/>
      <c r="N311" s="66"/>
      <c r="O311" s="66"/>
      <c r="P311" s="66" t="str">
        <f t="shared" si="5"/>
        <v>VIRTUDAZO MICHAEL TAREPE</v>
      </c>
      <c r="Q311" s="66" t="str">
        <f>IFERROR(VLOOKUP(P311,[1]Disposition!$AB$9:$AC$495,2,0),"NO RECORD YET")</f>
        <v>Purok 7, Mabuhay (Pob), Santa Monica (Sapao), Surigao Del Norte</v>
      </c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18" customHeight="1">
      <c r="A312" s="188">
        <v>306</v>
      </c>
      <c r="B312" s="189" t="s">
        <v>2660</v>
      </c>
      <c r="C312" s="193" t="s">
        <v>19</v>
      </c>
      <c r="D312" s="190" t="s">
        <v>160</v>
      </c>
      <c r="E312" s="191" t="s">
        <v>2661</v>
      </c>
      <c r="F312" s="191" t="s">
        <v>2662</v>
      </c>
      <c r="G312" s="191" t="s">
        <v>2663</v>
      </c>
      <c r="H312" s="192"/>
      <c r="I312" s="210"/>
      <c r="J312" s="279" t="s">
        <v>2664</v>
      </c>
      <c r="K312" s="307" t="s">
        <v>2665</v>
      </c>
      <c r="L312" s="66"/>
      <c r="M312" s="66"/>
      <c r="N312" s="66"/>
      <c r="O312" s="66"/>
      <c r="P312" s="66" t="str">
        <f t="shared" si="5"/>
        <v>CARIAS NEIL CARLOS</v>
      </c>
      <c r="Q312" s="66" t="str">
        <f>IFERROR(VLOOKUP(P312,[1]Disposition!$AB$9:$AC$495,2,0),"NO RECORD YET")</f>
        <v>Tulingan St. Caloocan City, Brgy.16, Caloocan City</v>
      </c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18" customHeight="1">
      <c r="A313" s="188">
        <v>307</v>
      </c>
      <c r="B313" s="189" t="s">
        <v>801</v>
      </c>
      <c r="C313" s="189" t="s">
        <v>19</v>
      </c>
      <c r="D313" s="190" t="s">
        <v>20</v>
      </c>
      <c r="E313" s="191" t="s">
        <v>802</v>
      </c>
      <c r="F313" s="191" t="s">
        <v>803</v>
      </c>
      <c r="G313" s="191" t="s">
        <v>804</v>
      </c>
      <c r="H313" s="192" t="s">
        <v>268</v>
      </c>
      <c r="I313" s="210"/>
      <c r="J313" s="279" t="s">
        <v>805</v>
      </c>
      <c r="K313" s="307" t="s">
        <v>806</v>
      </c>
      <c r="L313" s="66">
        <f>2024-87</f>
        <v>1937</v>
      </c>
      <c r="M313" s="66"/>
      <c r="N313" s="66"/>
      <c r="O313" s="66"/>
      <c r="P313" s="66" t="e">
        <f>CONCATENATE(#REF!," ",#REF!," ",#REF!)</f>
        <v>#REF!</v>
      </c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18" customHeight="1">
      <c r="A314" s="188">
        <v>308</v>
      </c>
      <c r="B314" s="189" t="s">
        <v>801</v>
      </c>
      <c r="C314" s="193" t="s">
        <v>39</v>
      </c>
      <c r="D314" s="190" t="s">
        <v>160</v>
      </c>
      <c r="E314" s="191" t="s">
        <v>807</v>
      </c>
      <c r="F314" s="191" t="s">
        <v>808</v>
      </c>
      <c r="G314" s="191" t="s">
        <v>809</v>
      </c>
      <c r="H314" s="192"/>
      <c r="I314" s="210"/>
      <c r="J314" s="279" t="s">
        <v>810</v>
      </c>
      <c r="K314" s="307" t="s">
        <v>811</v>
      </c>
      <c r="L314" s="66"/>
      <c r="M314" s="66"/>
      <c r="N314" s="66"/>
      <c r="O314" s="66"/>
      <c r="P314" s="66" t="str">
        <f t="shared" ref="P314:P353" si="6">CONCATENATE(E314," ",F314," ",G314)</f>
        <v>SUCGANG ROSE ANNE ROXAS</v>
      </c>
      <c r="Q314" s="66" t="str">
        <f>IFERROR(VLOOKUP(P314,[1]Disposition!$AB$9:$AC$495,2,0),"NO RECORD YET")</f>
        <v># 203 JP Rizal St., San Roque, Marikina City</v>
      </c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18" customHeight="1">
      <c r="A315" s="188">
        <v>309</v>
      </c>
      <c r="B315" s="193" t="s">
        <v>801</v>
      </c>
      <c r="C315" s="193" t="s">
        <v>19</v>
      </c>
      <c r="D315" s="190" t="s">
        <v>277</v>
      </c>
      <c r="E315" s="191" t="s">
        <v>812</v>
      </c>
      <c r="F315" s="191" t="s">
        <v>813</v>
      </c>
      <c r="G315" s="191" t="s">
        <v>814</v>
      </c>
      <c r="H315" s="192"/>
      <c r="I315" s="210"/>
      <c r="J315" s="279" t="s">
        <v>815</v>
      </c>
      <c r="K315" s="307" t="s">
        <v>816</v>
      </c>
      <c r="L315" s="66"/>
      <c r="M315" s="66"/>
      <c r="N315" s="66"/>
      <c r="O315" s="66"/>
      <c r="P315" s="66" t="str">
        <f t="shared" si="6"/>
        <v>MELCHOR JUNVI PASCUAL</v>
      </c>
      <c r="Q315" s="66" t="str">
        <f>IFERROR(VLOOKUP(P315,[1]Disposition!$AB$9:$AC$495,2,0),"NO RECORD YET")</f>
        <v>47C Session Road, Talanay Area C, Batasan Hills, Quezon City</v>
      </c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18" customHeight="1">
      <c r="A316" s="188">
        <v>310</v>
      </c>
      <c r="B316" s="189" t="s">
        <v>817</v>
      </c>
      <c r="C316" s="189" t="s">
        <v>19</v>
      </c>
      <c r="D316" s="190" t="s">
        <v>57</v>
      </c>
      <c r="E316" s="191" t="s">
        <v>818</v>
      </c>
      <c r="F316" s="191" t="s">
        <v>432</v>
      </c>
      <c r="G316" s="191" t="s">
        <v>819</v>
      </c>
      <c r="H316" s="192" t="s">
        <v>268</v>
      </c>
      <c r="I316" s="210"/>
      <c r="J316" s="279" t="s">
        <v>820</v>
      </c>
      <c r="K316" s="307" t="s">
        <v>821</v>
      </c>
      <c r="L316" s="66"/>
      <c r="M316" s="66"/>
      <c r="N316" s="66"/>
      <c r="O316" s="66"/>
      <c r="P316" s="66" t="str">
        <f t="shared" si="6"/>
        <v>CANJA ROBERTO GINETA</v>
      </c>
      <c r="Q316" s="66" t="str">
        <f>IFERROR(VLOOKUP(P316,[1]Disposition!$AB$9:$AC$495,2,0),"NO RECORD YET")</f>
        <v>Brgy. Mambabanga, Luna, Isabela</v>
      </c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18" customHeight="1">
      <c r="A317" s="188">
        <v>311</v>
      </c>
      <c r="B317" s="193" t="s">
        <v>801</v>
      </c>
      <c r="C317" s="193"/>
      <c r="D317" s="190" t="s">
        <v>644</v>
      </c>
      <c r="E317" s="191" t="s">
        <v>822</v>
      </c>
      <c r="F317" s="191" t="s">
        <v>823</v>
      </c>
      <c r="G317" s="191" t="s">
        <v>824</v>
      </c>
      <c r="H317" s="192"/>
      <c r="I317" s="210"/>
      <c r="J317" s="279"/>
      <c r="K317" s="282"/>
      <c r="L317" s="66"/>
      <c r="M317" s="66"/>
      <c r="N317" s="66"/>
      <c r="O317" s="66"/>
      <c r="P317" s="66" t="str">
        <f t="shared" si="6"/>
        <v>MANUEL MARK  ALMONTE</v>
      </c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8" customHeight="1">
      <c r="A318" s="188">
        <v>312</v>
      </c>
      <c r="B318" s="193" t="s">
        <v>801</v>
      </c>
      <c r="C318" s="193" t="s">
        <v>39</v>
      </c>
      <c r="D318" s="194" t="s">
        <v>24</v>
      </c>
      <c r="E318" s="204" t="s">
        <v>825</v>
      </c>
      <c r="F318" s="204" t="s">
        <v>826</v>
      </c>
      <c r="G318" s="204" t="s">
        <v>827</v>
      </c>
      <c r="H318" s="205"/>
      <c r="I318" s="210"/>
      <c r="J318" s="279" t="s">
        <v>828</v>
      </c>
      <c r="K318" s="307" t="s">
        <v>551</v>
      </c>
      <c r="L318" s="66"/>
      <c r="M318" s="66"/>
      <c r="N318" s="66"/>
      <c r="O318" s="66"/>
      <c r="P318" s="66" t="str">
        <f t="shared" si="6"/>
        <v>CRUZAT MARIEL ARELLANO</v>
      </c>
      <c r="Q318" s="66" t="str">
        <f>IFERROR(VLOOKUP(P318,[1]Disposition!$AB$9:$AC$495,2,0),"NO RECORD YET")</f>
        <v>Brgy. Conrazon, Bansud, Oriental Mindoro</v>
      </c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8" customHeight="1">
      <c r="A319" s="188">
        <v>313</v>
      </c>
      <c r="B319" s="193" t="s">
        <v>801</v>
      </c>
      <c r="C319" s="193" t="s">
        <v>39</v>
      </c>
      <c r="D319" s="194" t="s">
        <v>24</v>
      </c>
      <c r="E319" s="204" t="s">
        <v>829</v>
      </c>
      <c r="F319" s="204" t="s">
        <v>830</v>
      </c>
      <c r="G319" s="204" t="s">
        <v>831</v>
      </c>
      <c r="H319" s="205"/>
      <c r="I319" s="210"/>
      <c r="J319" s="279" t="s">
        <v>832</v>
      </c>
      <c r="K319" s="307" t="s">
        <v>833</v>
      </c>
      <c r="L319" s="66"/>
      <c r="M319" s="66"/>
      <c r="N319" s="66"/>
      <c r="O319" s="66"/>
      <c r="P319" s="66" t="str">
        <f t="shared" si="6"/>
        <v>MERQUE JUDE ANN GRIEGO</v>
      </c>
      <c r="Q319" s="66" t="str">
        <f>IFERROR(VLOOKUP(P319,[1]Disposition!$AB$9:$AC$495,2,0),"NO RECORD YET")</f>
        <v>Riverside, Victoria, Roxas, Oriental Mindoro</v>
      </c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8" customHeight="1">
      <c r="A320" s="188">
        <v>314</v>
      </c>
      <c r="B320" s="193" t="s">
        <v>801</v>
      </c>
      <c r="C320" s="193" t="s">
        <v>39</v>
      </c>
      <c r="D320" s="190" t="s">
        <v>40</v>
      </c>
      <c r="E320" s="191" t="s">
        <v>834</v>
      </c>
      <c r="F320" s="191" t="s">
        <v>835</v>
      </c>
      <c r="G320" s="191" t="s">
        <v>836</v>
      </c>
      <c r="H320" s="192"/>
      <c r="I320" s="210"/>
      <c r="J320" s="285"/>
      <c r="K320" s="282"/>
      <c r="L320" s="66"/>
      <c r="M320" s="66"/>
      <c r="N320" s="66"/>
      <c r="O320" s="66"/>
      <c r="P320" s="66" t="str">
        <f t="shared" si="6"/>
        <v>FAJARDO JAMELA CRUZ</v>
      </c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8" customHeight="1">
      <c r="A321" s="188">
        <v>315</v>
      </c>
      <c r="B321" s="193" t="s">
        <v>837</v>
      </c>
      <c r="C321" s="193" t="s">
        <v>19</v>
      </c>
      <c r="D321" s="190" t="s">
        <v>96</v>
      </c>
      <c r="E321" s="204" t="s">
        <v>838</v>
      </c>
      <c r="F321" s="204" t="s">
        <v>839</v>
      </c>
      <c r="G321" s="204" t="s">
        <v>840</v>
      </c>
      <c r="H321" s="205"/>
      <c r="I321" s="210"/>
      <c r="J321" s="279" t="s">
        <v>841</v>
      </c>
      <c r="K321" s="307" t="s">
        <v>842</v>
      </c>
      <c r="L321" s="66"/>
      <c r="M321" s="66"/>
      <c r="N321" s="66"/>
      <c r="O321" s="66"/>
      <c r="P321" s="66" t="str">
        <f t="shared" si="6"/>
        <v>SYTICO JAMES ALCERA</v>
      </c>
      <c r="Q321" s="66" t="str">
        <f>IFERROR(VLOOKUP(P321,[1]Disposition!$AB$9:$AC$495,2,0),"NO RECORD YET")</f>
        <v>Estillero St., Commonwealth, Roario, Northern Samar</v>
      </c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8" customHeight="1">
      <c r="A322" s="188">
        <v>316</v>
      </c>
      <c r="B322" s="193" t="s">
        <v>837</v>
      </c>
      <c r="C322" s="193" t="s">
        <v>19</v>
      </c>
      <c r="D322" s="190" t="s">
        <v>28</v>
      </c>
      <c r="E322" s="195" t="s">
        <v>843</v>
      </c>
      <c r="F322" s="195" t="s">
        <v>844</v>
      </c>
      <c r="G322" s="195" t="s">
        <v>845</v>
      </c>
      <c r="H322" s="194"/>
      <c r="I322" s="210"/>
      <c r="J322" s="281" t="s">
        <v>846</v>
      </c>
      <c r="K322" s="307" t="s">
        <v>847</v>
      </c>
      <c r="L322" s="66"/>
      <c r="M322" s="66"/>
      <c r="N322" s="66"/>
      <c r="O322" s="66"/>
      <c r="P322" s="66" t="str">
        <f t="shared" si="6"/>
        <v>APALLA RUEL AMPIS</v>
      </c>
      <c r="Q322" s="66" t="str">
        <f>IFERROR(VLOOKUP(P322,[1]Disposition!$AB$9:$AC$495,2,0),"NO RECORD YET")</f>
        <v>NO RECORD YET</v>
      </c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8" customHeight="1">
      <c r="A323" s="188">
        <v>317</v>
      </c>
      <c r="B323" s="193" t="s">
        <v>837</v>
      </c>
      <c r="C323" s="193" t="s">
        <v>19</v>
      </c>
      <c r="D323" s="190" t="s">
        <v>28</v>
      </c>
      <c r="E323" s="195" t="s">
        <v>848</v>
      </c>
      <c r="F323" s="195" t="s">
        <v>849</v>
      </c>
      <c r="G323" s="195" t="s">
        <v>146</v>
      </c>
      <c r="H323" s="194"/>
      <c r="I323" s="210"/>
      <c r="J323" s="281" t="s">
        <v>850</v>
      </c>
      <c r="K323" s="307" t="s">
        <v>851</v>
      </c>
      <c r="L323" s="66"/>
      <c r="M323" s="66"/>
      <c r="N323" s="66"/>
      <c r="O323" s="66"/>
      <c r="P323" s="66" t="str">
        <f t="shared" si="6"/>
        <v>DICO JOEMAR RODRIGUEZ</v>
      </c>
      <c r="Q323" s="66" t="str">
        <f>IFERROR(VLOOKUP(P323,[1]Disposition!$AB$9:$AC$495,2,0),"NO RECORD YET")</f>
        <v>NO RECORD YET</v>
      </c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8" customHeight="1">
      <c r="A324" s="188">
        <v>318</v>
      </c>
      <c r="B324" s="193" t="s">
        <v>837</v>
      </c>
      <c r="C324" s="193" t="s">
        <v>19</v>
      </c>
      <c r="D324" s="190" t="s">
        <v>28</v>
      </c>
      <c r="E324" s="195" t="s">
        <v>852</v>
      </c>
      <c r="F324" s="195" t="s">
        <v>853</v>
      </c>
      <c r="G324" s="195" t="s">
        <v>854</v>
      </c>
      <c r="H324" s="194"/>
      <c r="I324" s="210"/>
      <c r="J324" s="281" t="s">
        <v>855</v>
      </c>
      <c r="K324" s="307" t="s">
        <v>856</v>
      </c>
      <c r="L324" s="66"/>
      <c r="M324" s="66"/>
      <c r="N324" s="66"/>
      <c r="O324" s="66"/>
      <c r="P324" s="66" t="str">
        <f t="shared" si="6"/>
        <v>FRANK JEFF BRIAN RUIZ</v>
      </c>
      <c r="Q324" s="66" t="str">
        <f>IFERROR(VLOOKUP(P324,[1]Disposition!$AB$9:$AC$495,2,0),"NO RECORD YET")</f>
        <v>NO RECORD YET</v>
      </c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8" customHeight="1">
      <c r="A325" s="188">
        <v>319</v>
      </c>
      <c r="B325" s="193" t="s">
        <v>837</v>
      </c>
      <c r="C325" s="193" t="s">
        <v>19</v>
      </c>
      <c r="D325" s="190" t="s">
        <v>28</v>
      </c>
      <c r="E325" s="195" t="s">
        <v>857</v>
      </c>
      <c r="F325" s="195" t="s">
        <v>858</v>
      </c>
      <c r="G325" s="195" t="s">
        <v>401</v>
      </c>
      <c r="H325" s="194"/>
      <c r="I325" s="210"/>
      <c r="J325" s="185" t="s">
        <v>859</v>
      </c>
      <c r="K325" s="307" t="s">
        <v>860</v>
      </c>
      <c r="L325" s="66"/>
      <c r="M325" s="66"/>
      <c r="N325" s="66"/>
      <c r="O325" s="66"/>
      <c r="P325" s="66" t="str">
        <f t="shared" si="6"/>
        <v>TAGUINOD DANNY BOY ONG</v>
      </c>
      <c r="Q325" s="66" t="str">
        <f>IFERROR(VLOOKUP(P325,[1]Disposition!$AB$9:$AC$495,2,0),"NO RECORD YET")</f>
        <v>NO RECORD YET</v>
      </c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8" customHeight="1">
      <c r="A326" s="188">
        <v>320</v>
      </c>
      <c r="B326" s="193" t="s">
        <v>837</v>
      </c>
      <c r="C326" s="193" t="s">
        <v>39</v>
      </c>
      <c r="D326" s="190" t="s">
        <v>40</v>
      </c>
      <c r="E326" s="191" t="s">
        <v>861</v>
      </c>
      <c r="F326" s="191" t="s">
        <v>862</v>
      </c>
      <c r="G326" s="191" t="s">
        <v>863</v>
      </c>
      <c r="H326" s="192"/>
      <c r="I326" s="210"/>
      <c r="J326" s="279" t="s">
        <v>864</v>
      </c>
      <c r="K326" s="307" t="s">
        <v>865</v>
      </c>
      <c r="L326" s="66"/>
      <c r="M326" s="66"/>
      <c r="N326" s="66"/>
      <c r="O326" s="66"/>
      <c r="P326" s="66" t="str">
        <f t="shared" si="6"/>
        <v>ANARNA DARIA CALAMAYA</v>
      </c>
      <c r="Q326" s="66" t="str">
        <f>IFERROR(VLOOKUP(P326,[1]Disposition!$AB$9:$AC$495,2,0),"NO RECORD YET")</f>
        <v>79 Narra St., Marikina Heights, Marikina City.</v>
      </c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8" customHeight="1">
      <c r="A327" s="188">
        <v>321</v>
      </c>
      <c r="B327" s="193" t="s">
        <v>837</v>
      </c>
      <c r="C327" s="193" t="s">
        <v>39</v>
      </c>
      <c r="D327" s="190" t="s">
        <v>40</v>
      </c>
      <c r="E327" s="191" t="s">
        <v>866</v>
      </c>
      <c r="F327" s="191" t="s">
        <v>867</v>
      </c>
      <c r="G327" s="191" t="s">
        <v>868</v>
      </c>
      <c r="H327" s="192"/>
      <c r="I327" s="210"/>
      <c r="J327" s="279" t="s">
        <v>869</v>
      </c>
      <c r="K327" s="307" t="s">
        <v>870</v>
      </c>
      <c r="L327" s="66"/>
      <c r="M327" s="66"/>
      <c r="N327" s="66"/>
      <c r="O327" s="66"/>
      <c r="P327" s="66" t="str">
        <f t="shared" si="6"/>
        <v>GUALVEZ ANABELLE BAYONA</v>
      </c>
      <c r="Q327" s="66" t="str">
        <f>IFERROR(VLOOKUP(P327,[1]Disposition!$AB$9:$AC$495,2,0),"NO RECORD YET")</f>
        <v>161 Kanlaon St, Maharlika, Quezon City</v>
      </c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8" customHeight="1">
      <c r="A328" s="188">
        <v>322</v>
      </c>
      <c r="B328" s="193" t="s">
        <v>837</v>
      </c>
      <c r="C328" s="193" t="s">
        <v>39</v>
      </c>
      <c r="D328" s="190" t="s">
        <v>40</v>
      </c>
      <c r="E328" s="191" t="s">
        <v>871</v>
      </c>
      <c r="F328" s="191" t="s">
        <v>872</v>
      </c>
      <c r="G328" s="191" t="s">
        <v>873</v>
      </c>
      <c r="H328" s="192"/>
      <c r="I328" s="228"/>
      <c r="J328" s="285"/>
      <c r="K328" s="282"/>
      <c r="L328" s="66"/>
      <c r="M328" s="66"/>
      <c r="N328" s="66"/>
      <c r="O328" s="66"/>
      <c r="P328" s="66" t="str">
        <f t="shared" si="6"/>
        <v>LAGGUI DANIELLA MARIE ALLAUIGAN</v>
      </c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8" customHeight="1">
      <c r="A329" s="188">
        <v>323</v>
      </c>
      <c r="B329" s="193" t="s">
        <v>837</v>
      </c>
      <c r="C329" s="193" t="s">
        <v>39</v>
      </c>
      <c r="D329" s="190" t="s">
        <v>40</v>
      </c>
      <c r="E329" s="191" t="s">
        <v>874</v>
      </c>
      <c r="F329" s="191" t="s">
        <v>875</v>
      </c>
      <c r="G329" s="191" t="s">
        <v>876</v>
      </c>
      <c r="H329" s="192"/>
      <c r="I329" s="210"/>
      <c r="J329" s="279" t="s">
        <v>877</v>
      </c>
      <c r="K329" s="307" t="s">
        <v>878</v>
      </c>
      <c r="L329" s="66"/>
      <c r="M329" s="66"/>
      <c r="N329" s="66"/>
      <c r="O329" s="66"/>
      <c r="P329" s="66" t="str">
        <f t="shared" si="6"/>
        <v>MISTICA MA FELIRITA SUBIDO</v>
      </c>
      <c r="Q329" s="66" t="str">
        <f>IFERROR(VLOOKUP(P329,[1]Disposition!$AB$9:$AC$495,2,0),"NO RECORD YET")</f>
        <v>44 San Isidro St, Santol, Brgy. Sto Nino, Quezon City</v>
      </c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8" customHeight="1">
      <c r="A330" s="188">
        <v>324</v>
      </c>
      <c r="B330" s="193" t="s">
        <v>837</v>
      </c>
      <c r="C330" s="193" t="s">
        <v>39</v>
      </c>
      <c r="D330" s="190" t="s">
        <v>40</v>
      </c>
      <c r="E330" s="191" t="s">
        <v>879</v>
      </c>
      <c r="F330" s="191" t="s">
        <v>880</v>
      </c>
      <c r="G330" s="191" t="s">
        <v>881</v>
      </c>
      <c r="H330" s="202"/>
      <c r="I330" s="212"/>
      <c r="J330" s="279" t="s">
        <v>882</v>
      </c>
      <c r="K330" s="307" t="s">
        <v>883</v>
      </c>
      <c r="L330" s="66"/>
      <c r="M330" s="66"/>
      <c r="N330" s="66"/>
      <c r="O330" s="66"/>
      <c r="P330" s="66" t="str">
        <f t="shared" si="6"/>
        <v>NIEVA AILEEN SABELA</v>
      </c>
      <c r="Q330" s="66" t="str">
        <f>IFERROR(VLOOKUP(P330,[1]Disposition!$AB$9:$AC$495,2,0),"NO RECORD YET")</f>
        <v>Blk 10 Lot 42 Phase 1, E.P. Village, Brgy. Pinagsama, Taguig City</v>
      </c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8" customHeight="1">
      <c r="A331" s="188">
        <v>325</v>
      </c>
      <c r="B331" s="193" t="s">
        <v>837</v>
      </c>
      <c r="C331" s="193" t="s">
        <v>39</v>
      </c>
      <c r="D331" s="194" t="s">
        <v>40</v>
      </c>
      <c r="E331" s="204" t="s">
        <v>884</v>
      </c>
      <c r="F331" s="204" t="s">
        <v>885</v>
      </c>
      <c r="G331" s="204" t="s">
        <v>886</v>
      </c>
      <c r="H331" s="205"/>
      <c r="I331" s="212"/>
      <c r="J331" s="279"/>
      <c r="K331" s="282"/>
      <c r="L331" s="66"/>
      <c r="M331" s="66"/>
      <c r="N331" s="66"/>
      <c r="O331" s="66"/>
      <c r="P331" s="66" t="str">
        <f t="shared" si="6"/>
        <v>PILAR JESSA KRIS CORDOVA</v>
      </c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8" customHeight="1">
      <c r="A332" s="188">
        <v>326</v>
      </c>
      <c r="B332" s="193" t="s">
        <v>837</v>
      </c>
      <c r="C332" s="193" t="s">
        <v>39</v>
      </c>
      <c r="D332" s="190" t="s">
        <v>40</v>
      </c>
      <c r="E332" s="191" t="s">
        <v>887</v>
      </c>
      <c r="F332" s="191" t="s">
        <v>888</v>
      </c>
      <c r="G332" s="191" t="s">
        <v>639</v>
      </c>
      <c r="H332" s="192"/>
      <c r="I332" s="212"/>
      <c r="J332" s="279" t="s">
        <v>889</v>
      </c>
      <c r="K332" s="307" t="s">
        <v>890</v>
      </c>
      <c r="L332" s="66"/>
      <c r="M332" s="66"/>
      <c r="N332" s="66"/>
      <c r="O332" s="66"/>
      <c r="P332" s="66" t="str">
        <f t="shared" si="6"/>
        <v>TURALBA KIMBERLY JOYCE FONTANILLA</v>
      </c>
      <c r="Q332" s="66" t="str">
        <f>IFERROR(VLOOKUP(P332,[1]Disposition!$AB$9:$AC$495,2,0),"NO RECORD YET")</f>
        <v>Blk  30 Lot 31-32 Expansion 2, Heroesville 1 Subd., Gaya-gaya, SJDM, Bulacan</v>
      </c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8" customHeight="1">
      <c r="A333" s="188">
        <v>327</v>
      </c>
      <c r="B333" s="189" t="s">
        <v>891</v>
      </c>
      <c r="C333" s="193" t="s">
        <v>39</v>
      </c>
      <c r="D333" s="190" t="s">
        <v>246</v>
      </c>
      <c r="E333" s="191" t="s">
        <v>892</v>
      </c>
      <c r="F333" s="191" t="s">
        <v>422</v>
      </c>
      <c r="G333" s="191" t="s">
        <v>893</v>
      </c>
      <c r="H333" s="192"/>
      <c r="I333" s="210"/>
      <c r="J333" s="279"/>
      <c r="K333" s="282"/>
      <c r="L333" s="257"/>
      <c r="M333" s="257"/>
      <c r="N333" s="257"/>
      <c r="O333" s="257"/>
      <c r="P333" s="257" t="str">
        <f t="shared" si="6"/>
        <v>PAMITTAN JOCELYN LATTAO</v>
      </c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  <c r="AA333" s="257"/>
    </row>
    <row r="334" spans="1:27" ht="18" customHeight="1">
      <c r="A334" s="188">
        <v>328</v>
      </c>
      <c r="B334" s="189" t="s">
        <v>891</v>
      </c>
      <c r="C334" s="193" t="s">
        <v>19</v>
      </c>
      <c r="D334" s="190" t="s">
        <v>28</v>
      </c>
      <c r="E334" s="195" t="s">
        <v>894</v>
      </c>
      <c r="F334" s="195" t="s">
        <v>895</v>
      </c>
      <c r="G334" s="195" t="s">
        <v>896</v>
      </c>
      <c r="H334" s="194"/>
      <c r="I334" s="210"/>
      <c r="J334" s="65" t="s">
        <v>897</v>
      </c>
      <c r="K334" s="307" t="s">
        <v>898</v>
      </c>
      <c r="L334" s="66"/>
      <c r="M334" s="66"/>
      <c r="N334" s="66"/>
      <c r="O334" s="66"/>
      <c r="P334" s="66" t="str">
        <f t="shared" si="6"/>
        <v>VALLEJOS DRANREB GAPAL</v>
      </c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8" customHeight="1">
      <c r="A335" s="188">
        <v>329</v>
      </c>
      <c r="B335" s="189" t="s">
        <v>891</v>
      </c>
      <c r="C335" s="189" t="s">
        <v>19</v>
      </c>
      <c r="D335" s="190" t="s">
        <v>40</v>
      </c>
      <c r="E335" s="191" t="s">
        <v>899</v>
      </c>
      <c r="F335" s="191" t="s">
        <v>900</v>
      </c>
      <c r="G335" s="191" t="s">
        <v>901</v>
      </c>
      <c r="H335" s="192"/>
      <c r="I335" s="210"/>
      <c r="J335" s="279" t="s">
        <v>902</v>
      </c>
      <c r="K335" s="307" t="s">
        <v>903</v>
      </c>
      <c r="L335" s="66"/>
      <c r="M335" s="66"/>
      <c r="N335" s="66"/>
      <c r="O335" s="66"/>
      <c r="P335" s="66" t="str">
        <f t="shared" si="6"/>
        <v>ACORDA ELPIDIO PALARCA</v>
      </c>
      <c r="Q335" s="66" t="str">
        <f>IFERROR(VLOOKUP(P335,[1]Disposition!$AB$9:$AC$495,2,0),"NO RECORD YET")</f>
        <v>44 - T Llano St., Brgy. Sangandaan, Tandang Sora, Quezon City</v>
      </c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8" customHeight="1">
      <c r="A336" s="188">
        <v>330</v>
      </c>
      <c r="B336" s="189" t="s">
        <v>891</v>
      </c>
      <c r="C336" s="193" t="s">
        <v>39</v>
      </c>
      <c r="D336" s="190" t="s">
        <v>40</v>
      </c>
      <c r="E336" s="191" t="s">
        <v>904</v>
      </c>
      <c r="F336" s="191" t="s">
        <v>905</v>
      </c>
      <c r="G336" s="191" t="s">
        <v>906</v>
      </c>
      <c r="H336" s="192"/>
      <c r="I336" s="212"/>
      <c r="J336" s="279" t="s">
        <v>907</v>
      </c>
      <c r="K336" s="307" t="s">
        <v>908</v>
      </c>
      <c r="L336" s="66"/>
      <c r="M336" s="66"/>
      <c r="N336" s="66"/>
      <c r="O336" s="66"/>
      <c r="P336" s="66" t="str">
        <f t="shared" si="6"/>
        <v>BACLIG NEILJANE ADONA</v>
      </c>
      <c r="Q336" s="66" t="str">
        <f>IFERROR(VLOOKUP(P336,[1]Disposition!$AB$9:$AC$495,2,0),"NO RECORD YET")</f>
        <v>Blk 9 Lot 19,  Rosario Complex, San Pedro, Laguna</v>
      </c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8" customHeight="1">
      <c r="A337" s="188">
        <v>331</v>
      </c>
      <c r="B337" s="189" t="s">
        <v>891</v>
      </c>
      <c r="C337" s="193" t="s">
        <v>39</v>
      </c>
      <c r="D337" s="190" t="s">
        <v>40</v>
      </c>
      <c r="E337" s="191" t="s">
        <v>909</v>
      </c>
      <c r="F337" s="191" t="s">
        <v>910</v>
      </c>
      <c r="G337" s="191" t="s">
        <v>911</v>
      </c>
      <c r="H337" s="192"/>
      <c r="I337" s="210"/>
      <c r="J337" s="279" t="s">
        <v>912</v>
      </c>
      <c r="K337" s="307" t="s">
        <v>913</v>
      </c>
      <c r="L337" s="66"/>
      <c r="M337" s="66"/>
      <c r="N337" s="66"/>
      <c r="O337" s="66"/>
      <c r="P337" s="66" t="str">
        <f t="shared" si="6"/>
        <v>HERRERA PACIVICA BAYHON</v>
      </c>
      <c r="Q337" s="66" t="str">
        <f>IFERROR(VLOOKUP(P337,[1]Disposition!$AB$9:$AC$495,2,0),"NO RECORD YET")</f>
        <v>30 L Woodd St., Balara, Quezon City</v>
      </c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8" customHeight="1">
      <c r="A338" s="188">
        <v>332</v>
      </c>
      <c r="B338" s="189" t="s">
        <v>891</v>
      </c>
      <c r="C338" s="193" t="s">
        <v>39</v>
      </c>
      <c r="D338" s="190" t="s">
        <v>40</v>
      </c>
      <c r="E338" s="191" t="s">
        <v>914</v>
      </c>
      <c r="F338" s="191" t="s">
        <v>915</v>
      </c>
      <c r="G338" s="191" t="s">
        <v>916</v>
      </c>
      <c r="H338" s="192"/>
      <c r="I338" s="210"/>
      <c r="J338" s="279" t="s">
        <v>917</v>
      </c>
      <c r="K338" s="307" t="s">
        <v>918</v>
      </c>
      <c r="L338" s="66"/>
      <c r="M338" s="66"/>
      <c r="N338" s="66"/>
      <c r="O338" s="66"/>
      <c r="P338" s="66" t="str">
        <f t="shared" si="6"/>
        <v>LEE MARIA ELISA SUERO</v>
      </c>
      <c r="Q338" s="66" t="str">
        <f>IFERROR(VLOOKUP(P338,[1]Disposition!$AB$9:$AC$495,2,0),"NO RECORD YET")</f>
        <v>36 Mindanao St., Filipinas Village, Marikina</v>
      </c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8" customHeight="1">
      <c r="A339" s="188">
        <v>333</v>
      </c>
      <c r="B339" s="189" t="s">
        <v>919</v>
      </c>
      <c r="C339" s="189" t="s">
        <v>19</v>
      </c>
      <c r="D339" s="190" t="s">
        <v>160</v>
      </c>
      <c r="E339" s="191" t="s">
        <v>920</v>
      </c>
      <c r="F339" s="191" t="s">
        <v>501</v>
      </c>
      <c r="G339" s="191" t="s">
        <v>921</v>
      </c>
      <c r="H339" s="192"/>
      <c r="I339" s="210"/>
      <c r="J339" s="279" t="s">
        <v>922</v>
      </c>
      <c r="K339" s="307" t="s">
        <v>923</v>
      </c>
      <c r="L339" s="66"/>
      <c r="M339" s="66"/>
      <c r="N339" s="66"/>
      <c r="O339" s="66"/>
      <c r="P339" s="66" t="str">
        <f t="shared" si="6"/>
        <v>BALMACEDA ROMMEL BANGUILAN</v>
      </c>
      <c r="Q339" s="66">
        <f>IFERROR(VLOOKUP(P339,[1]Disposition!$AB$9:$AC$495,2,0),"NO RECORD YET")</f>
        <v>0</v>
      </c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8" customHeight="1">
      <c r="A340" s="188">
        <v>334</v>
      </c>
      <c r="B340" s="189" t="s">
        <v>924</v>
      </c>
      <c r="C340" s="189" t="s">
        <v>19</v>
      </c>
      <c r="D340" s="190" t="s">
        <v>160</v>
      </c>
      <c r="E340" s="191" t="s">
        <v>318</v>
      </c>
      <c r="F340" s="191" t="s">
        <v>925</v>
      </c>
      <c r="G340" s="191" t="s">
        <v>926</v>
      </c>
      <c r="H340" s="192"/>
      <c r="I340" s="210"/>
      <c r="J340" s="279" t="s">
        <v>927</v>
      </c>
      <c r="K340" s="307" t="s">
        <v>928</v>
      </c>
      <c r="L340" s="66"/>
      <c r="M340" s="66"/>
      <c r="N340" s="66"/>
      <c r="O340" s="66"/>
      <c r="P340" s="66" t="str">
        <f t="shared" si="6"/>
        <v>AQUINO JOHANNES GOLD LUCERO</v>
      </c>
      <c r="Q340" s="66" t="str">
        <f>IFERROR(VLOOKUP(P340,[1]Disposition!$AB$9:$AC$495,2,0),"NO RECORD YET")</f>
        <v>L11A B43 Galaxy St., Rancho Estate 3,  Concepcion Dos, Marikina City</v>
      </c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8" customHeight="1">
      <c r="A341" s="188">
        <v>335</v>
      </c>
      <c r="B341" s="189" t="s">
        <v>919</v>
      </c>
      <c r="C341" s="189" t="s">
        <v>19</v>
      </c>
      <c r="D341" s="190" t="s">
        <v>366</v>
      </c>
      <c r="E341" s="191" t="s">
        <v>929</v>
      </c>
      <c r="F341" s="191" t="s">
        <v>930</v>
      </c>
      <c r="G341" s="191" t="s">
        <v>931</v>
      </c>
      <c r="H341" s="192"/>
      <c r="I341" s="210"/>
      <c r="J341" s="279" t="s">
        <v>932</v>
      </c>
      <c r="K341" s="307" t="s">
        <v>933</v>
      </c>
      <c r="L341" s="66"/>
      <c r="M341" s="66"/>
      <c r="N341" s="66"/>
      <c r="O341" s="66"/>
      <c r="P341" s="66" t="str">
        <f t="shared" si="6"/>
        <v>PALISOC PREMIER HAROLD TABUÑAR</v>
      </c>
      <c r="Q341" s="66" t="str">
        <f>IFERROR(VLOOKUP(P341,[1]Disposition!$AB$9:$AC$495,2,0),"NO RECORD YET")</f>
        <v>81 Felipe Calderon St., Pussuac, Sto Domingo, Ilocos sur,</v>
      </c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8" customHeight="1">
      <c r="A342" s="188">
        <v>336</v>
      </c>
      <c r="B342" s="189" t="s">
        <v>919</v>
      </c>
      <c r="C342" s="189" t="s">
        <v>19</v>
      </c>
      <c r="D342" s="190" t="s">
        <v>28</v>
      </c>
      <c r="E342" s="195" t="s">
        <v>934</v>
      </c>
      <c r="F342" s="195" t="s">
        <v>935</v>
      </c>
      <c r="G342" s="195" t="s">
        <v>936</v>
      </c>
      <c r="H342" s="194"/>
      <c r="I342" s="210"/>
      <c r="J342" s="185" t="s">
        <v>937</v>
      </c>
      <c r="K342" s="307" t="s">
        <v>938</v>
      </c>
      <c r="L342" s="66"/>
      <c r="M342" s="66"/>
      <c r="N342" s="66"/>
      <c r="O342" s="66"/>
      <c r="P342" s="66" t="str">
        <f t="shared" si="6"/>
        <v>MOLINA DOMINICK EZRA GACES</v>
      </c>
      <c r="Q342" s="66" t="str">
        <f>IFERROR(VLOOKUP(P342,[1]Disposition!$AB$9:$AC$495,2,0),"NO RECORD YET")</f>
        <v>NO RECORD YET</v>
      </c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8" customHeight="1">
      <c r="A343" s="188">
        <v>337</v>
      </c>
      <c r="B343" s="189" t="s">
        <v>919</v>
      </c>
      <c r="C343" s="193" t="s">
        <v>39</v>
      </c>
      <c r="D343" s="190" t="s">
        <v>40</v>
      </c>
      <c r="E343" s="191" t="s">
        <v>939</v>
      </c>
      <c r="F343" s="191" t="s">
        <v>940</v>
      </c>
      <c r="G343" s="191" t="s">
        <v>941</v>
      </c>
      <c r="H343" s="192"/>
      <c r="I343" s="210"/>
      <c r="J343" s="279"/>
      <c r="K343" s="282"/>
      <c r="L343" s="66"/>
      <c r="M343" s="66"/>
      <c r="N343" s="66"/>
      <c r="O343" s="66"/>
      <c r="P343" s="66" t="str">
        <f t="shared" si="6"/>
        <v>ALCANTARA JHINNA-LOU SAN ESTEBAN</v>
      </c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8" customHeight="1">
      <c r="A344" s="188">
        <v>338</v>
      </c>
      <c r="B344" s="189" t="s">
        <v>919</v>
      </c>
      <c r="C344" s="193" t="s">
        <v>39</v>
      </c>
      <c r="D344" s="190" t="s">
        <v>40</v>
      </c>
      <c r="E344" s="191" t="s">
        <v>942</v>
      </c>
      <c r="F344" s="191" t="s">
        <v>943</v>
      </c>
      <c r="G344" s="191" t="s">
        <v>944</v>
      </c>
      <c r="H344" s="192"/>
      <c r="I344" s="210"/>
      <c r="J344" s="279" t="s">
        <v>945</v>
      </c>
      <c r="K344" s="307" t="s">
        <v>946</v>
      </c>
      <c r="L344" s="66"/>
      <c r="M344" s="66"/>
      <c r="N344" s="66"/>
      <c r="O344" s="66"/>
      <c r="P344" s="66" t="str">
        <f t="shared" si="6"/>
        <v>MATEO MARIAN AILEEN R'JOSE</v>
      </c>
      <c r="Q344" s="66" t="str">
        <f>IFERROR(VLOOKUP(P344,[1]Disposition!$AB$9:$AC$495,2,0),"NO RECORD YET")</f>
        <v>369 Dalisay St., Bacood, Sta. Mesa, Manila</v>
      </c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8" customHeight="1">
      <c r="A345" s="188">
        <v>339</v>
      </c>
      <c r="B345" s="189" t="s">
        <v>919</v>
      </c>
      <c r="C345" s="193" t="s">
        <v>39</v>
      </c>
      <c r="D345" s="194" t="s">
        <v>40</v>
      </c>
      <c r="E345" s="204" t="s">
        <v>947</v>
      </c>
      <c r="F345" s="204" t="s">
        <v>948</v>
      </c>
      <c r="G345" s="204" t="s">
        <v>949</v>
      </c>
      <c r="H345" s="194"/>
      <c r="I345" s="228"/>
      <c r="J345" s="279"/>
      <c r="K345" s="282"/>
      <c r="L345" s="66"/>
      <c r="M345" s="66"/>
      <c r="N345" s="66"/>
      <c r="O345" s="66"/>
      <c r="P345" s="66" t="str">
        <f t="shared" si="6"/>
        <v>PAREDES CONNIE VALDEZ</v>
      </c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8" customHeight="1">
      <c r="A346" s="188">
        <v>340</v>
      </c>
      <c r="B346" s="189" t="s">
        <v>919</v>
      </c>
      <c r="C346" s="193" t="s">
        <v>39</v>
      </c>
      <c r="D346" s="190" t="s">
        <v>40</v>
      </c>
      <c r="E346" s="191" t="s">
        <v>950</v>
      </c>
      <c r="F346" s="191" t="s">
        <v>951</v>
      </c>
      <c r="G346" s="191" t="s">
        <v>952</v>
      </c>
      <c r="H346" s="192"/>
      <c r="I346" s="210"/>
      <c r="J346" s="279" t="s">
        <v>953</v>
      </c>
      <c r="K346" s="307" t="s">
        <v>954</v>
      </c>
      <c r="L346" s="66"/>
      <c r="M346" s="66"/>
      <c r="N346" s="66"/>
      <c r="O346" s="66"/>
      <c r="P346" s="66" t="str">
        <f t="shared" si="6"/>
        <v>RECLA SILVINA LLANTO</v>
      </c>
      <c r="Q346" s="66" t="str">
        <f>IFERROR(VLOOKUP(P346,[1]Disposition!$AB$9:$AC$495,2,0),"NO RECORD YET")</f>
        <v>Cluster 5,14B Greehills Garden Square Condominium, Bonnie Serrano Ave., Quezon City</v>
      </c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8" customHeight="1">
      <c r="A347" s="188">
        <v>341</v>
      </c>
      <c r="B347" s="189" t="s">
        <v>919</v>
      </c>
      <c r="C347" s="193" t="s">
        <v>39</v>
      </c>
      <c r="D347" s="190" t="s">
        <v>40</v>
      </c>
      <c r="E347" s="191" t="s">
        <v>955</v>
      </c>
      <c r="F347" s="191" t="s">
        <v>956</v>
      </c>
      <c r="G347" s="191" t="s">
        <v>957</v>
      </c>
      <c r="H347" s="192"/>
      <c r="I347" s="210"/>
      <c r="J347" s="279" t="s">
        <v>958</v>
      </c>
      <c r="K347" s="307" t="s">
        <v>959</v>
      </c>
      <c r="L347" s="66"/>
      <c r="M347" s="66"/>
      <c r="N347" s="66"/>
      <c r="O347" s="66"/>
      <c r="P347" s="66" t="str">
        <f t="shared" si="6"/>
        <v>RUMBAOA SHIRLY CABUSORA</v>
      </c>
      <c r="Q347" s="66" t="str">
        <f>IFERROR(VLOOKUP(P347,[1]Disposition!$AB$9:$AC$495,2,0),"NO RECORD YET")</f>
        <v>13A 1st Avenue, Brgy Bagong Lipunan ng Crame, Quezon City</v>
      </c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8" customHeight="1">
      <c r="A348" s="188">
        <v>342</v>
      </c>
      <c r="B348" s="189" t="s">
        <v>919</v>
      </c>
      <c r="C348" s="193" t="s">
        <v>39</v>
      </c>
      <c r="D348" s="190" t="s">
        <v>40</v>
      </c>
      <c r="E348" s="191" t="s">
        <v>960</v>
      </c>
      <c r="F348" s="191" t="s">
        <v>961</v>
      </c>
      <c r="G348" s="191" t="s">
        <v>962</v>
      </c>
      <c r="H348" s="192"/>
      <c r="I348" s="210"/>
      <c r="J348" s="279" t="s">
        <v>963</v>
      </c>
      <c r="K348" s="307" t="s">
        <v>964</v>
      </c>
      <c r="L348" s="66"/>
      <c r="M348" s="66"/>
      <c r="N348" s="66"/>
      <c r="O348" s="66"/>
      <c r="P348" s="66" t="str">
        <f t="shared" si="6"/>
        <v>UNTALAN RACHEL  GUTIERREZ</v>
      </c>
      <c r="Q348" s="66" t="str">
        <f>IFERROR(VLOOKUP(P348,[1]Disposition!$AB$9:$AC$495,2,0),"NO RECORD YET")</f>
        <v>Mahacot West,  Batangas City</v>
      </c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8" customHeight="1">
      <c r="A349" s="188">
        <v>343</v>
      </c>
      <c r="B349" s="189" t="s">
        <v>965</v>
      </c>
      <c r="C349" s="193" t="s">
        <v>19</v>
      </c>
      <c r="D349" s="190" t="s">
        <v>277</v>
      </c>
      <c r="E349" s="191" t="s">
        <v>966</v>
      </c>
      <c r="F349" s="191" t="s">
        <v>967</v>
      </c>
      <c r="G349" s="191" t="s">
        <v>968</v>
      </c>
      <c r="H349" s="192"/>
      <c r="I349" s="212"/>
      <c r="J349" s="279" t="s">
        <v>969</v>
      </c>
      <c r="K349" s="307" t="s">
        <v>970</v>
      </c>
      <c r="L349" s="66"/>
      <c r="M349" s="66"/>
      <c r="N349" s="66"/>
      <c r="O349" s="66"/>
      <c r="P349" s="66" t="str">
        <f t="shared" si="6"/>
        <v>MINA EDGAR LABIAO</v>
      </c>
      <c r="Q349" s="66" t="str">
        <f>IFERROR(VLOOKUP(P349,[1]Disposition!$AB$9:$AC$495,2,0),"NO RECORD YET")</f>
        <v>Adarna St., Brgy. Commonwealth, Quezon City</v>
      </c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8" customHeight="1">
      <c r="A350" s="188">
        <v>344</v>
      </c>
      <c r="B350" s="189" t="s">
        <v>965</v>
      </c>
      <c r="C350" s="189" t="s">
        <v>19</v>
      </c>
      <c r="D350" s="190" t="s">
        <v>644</v>
      </c>
      <c r="E350" s="191" t="s">
        <v>971</v>
      </c>
      <c r="F350" s="191" t="s">
        <v>972</v>
      </c>
      <c r="G350" s="191" t="s">
        <v>973</v>
      </c>
      <c r="H350" s="192"/>
      <c r="I350" s="228"/>
      <c r="J350" s="279" t="s">
        <v>974</v>
      </c>
      <c r="K350" s="307" t="s">
        <v>975</v>
      </c>
      <c r="L350" s="66"/>
      <c r="M350" s="66"/>
      <c r="N350" s="66"/>
      <c r="O350" s="66"/>
      <c r="P350" s="66" t="str">
        <f t="shared" si="6"/>
        <v>AGUILAR JAMES BENEDICT GALVEZ</v>
      </c>
      <c r="Q350" s="66" t="str">
        <f>IFERROR(VLOOKUP(P350,[1]Disposition!$AB$9:$AC$495,2,0),"NO RECORD YET")</f>
        <v>528 Sampaguit St., San Juan Ildefonso, Bulacan</v>
      </c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8" customHeight="1">
      <c r="A351" s="188">
        <v>345</v>
      </c>
      <c r="B351" s="189" t="s">
        <v>965</v>
      </c>
      <c r="C351" s="189" t="s">
        <v>19</v>
      </c>
      <c r="D351" s="190" t="s">
        <v>24</v>
      </c>
      <c r="E351" s="191" t="s">
        <v>976</v>
      </c>
      <c r="F351" s="191" t="s">
        <v>977</v>
      </c>
      <c r="G351" s="191" t="s">
        <v>242</v>
      </c>
      <c r="H351" s="192"/>
      <c r="I351" s="212"/>
      <c r="J351" s="279" t="s">
        <v>978</v>
      </c>
      <c r="K351" s="307" t="s">
        <v>979</v>
      </c>
      <c r="L351" s="66"/>
      <c r="M351" s="66"/>
      <c r="N351" s="66"/>
      <c r="O351" s="66"/>
      <c r="P351" s="66" t="str">
        <f t="shared" si="6"/>
        <v>TAMANIO ANTHONY ELKING SALVADOR</v>
      </c>
      <c r="Q351" s="66" t="str">
        <f>IFERROR(VLOOKUP(P351,[1]Disposition!$AB$9:$AC$495,2,0),"NO RECORD YET")</f>
        <v>Blk 42 L 25 Ascencsion Ave., Brgy. Grater Lagro, Quezon City</v>
      </c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8" customHeight="1">
      <c r="A352" s="188">
        <v>346</v>
      </c>
      <c r="B352" s="189" t="s">
        <v>965</v>
      </c>
      <c r="C352" s="189" t="s">
        <v>19</v>
      </c>
      <c r="D352" s="190" t="s">
        <v>28</v>
      </c>
      <c r="E352" s="195" t="s">
        <v>980</v>
      </c>
      <c r="F352" s="195" t="s">
        <v>981</v>
      </c>
      <c r="G352" s="195" t="s">
        <v>982</v>
      </c>
      <c r="H352" s="194"/>
      <c r="I352" s="212"/>
      <c r="J352" s="185" t="s">
        <v>126</v>
      </c>
      <c r="K352" s="307" t="s">
        <v>983</v>
      </c>
      <c r="L352" s="66"/>
      <c r="M352" s="66"/>
      <c r="N352" s="66"/>
      <c r="O352" s="66"/>
      <c r="P352" s="66" t="str">
        <f t="shared" si="6"/>
        <v>BARQUIN CHRISTIAN PAUL SAN VICENTE</v>
      </c>
      <c r="Q352" s="66" t="str">
        <f>IFERROR(VLOOKUP(P352,[1]Disposition!$AB$9:$AC$495,2,0),"NO RECORD YET")</f>
        <v>NO RECORD YET</v>
      </c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8" customHeight="1">
      <c r="A353" s="188">
        <v>347</v>
      </c>
      <c r="B353" s="189" t="s">
        <v>965</v>
      </c>
      <c r="C353" s="193" t="s">
        <v>19</v>
      </c>
      <c r="D353" s="190" t="s">
        <v>28</v>
      </c>
      <c r="E353" s="195" t="s">
        <v>984</v>
      </c>
      <c r="F353" s="195" t="s">
        <v>985</v>
      </c>
      <c r="G353" s="195" t="s">
        <v>986</v>
      </c>
      <c r="H353" s="194"/>
      <c r="I353" s="210"/>
      <c r="J353" s="185" t="s">
        <v>987</v>
      </c>
      <c r="K353" s="307" t="s">
        <v>988</v>
      </c>
      <c r="L353" s="66"/>
      <c r="M353" s="66"/>
      <c r="N353" s="66"/>
      <c r="O353" s="66"/>
      <c r="P353" s="66" t="str">
        <f t="shared" si="6"/>
        <v>GUINAOWA JAYMAR GUDAREN</v>
      </c>
      <c r="Q353" s="66" t="str">
        <f>IFERROR(VLOOKUP(P353,[1]Disposition!$AB$9:$AC$495,2,0),"NO RECORD YET")</f>
        <v>NO RECORD YET</v>
      </c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18" customHeight="1">
      <c r="A354" s="188">
        <v>348</v>
      </c>
      <c r="B354" s="189" t="s">
        <v>965</v>
      </c>
      <c r="C354" s="193" t="s">
        <v>39</v>
      </c>
      <c r="D354" s="190" t="s">
        <v>40</v>
      </c>
      <c r="E354" s="191" t="s">
        <v>989</v>
      </c>
      <c r="F354" s="191" t="s">
        <v>990</v>
      </c>
      <c r="G354" s="191" t="s">
        <v>991</v>
      </c>
      <c r="H354" s="192"/>
      <c r="I354" s="210"/>
      <c r="J354" s="279" t="s">
        <v>992</v>
      </c>
      <c r="K354" s="308" t="s">
        <v>993</v>
      </c>
      <c r="L354" s="66"/>
      <c r="M354" s="66"/>
      <c r="N354" s="66"/>
      <c r="O354" s="66"/>
      <c r="P354" s="66" t="str">
        <f>CONCATENATE('DISPO Att'!D384," ",'DISPO Att'!E384," ",'DISPO Att'!F384)</f>
        <v>PCPT FERMANTEZ DINA</v>
      </c>
      <c r="Q354" s="66" t="str">
        <f>IFERROR(VLOOKUP(P354,[1]Disposition!$AB$9:$AC$495,2,0),"NO RECORD YET")</f>
        <v>NO RECORD YET</v>
      </c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18" customHeight="1">
      <c r="A355" s="188">
        <v>349</v>
      </c>
      <c r="B355" s="189" t="s">
        <v>965</v>
      </c>
      <c r="C355" s="189" t="s">
        <v>19</v>
      </c>
      <c r="D355" s="190" t="s">
        <v>40</v>
      </c>
      <c r="E355" s="191" t="s">
        <v>994</v>
      </c>
      <c r="F355" s="191" t="s">
        <v>995</v>
      </c>
      <c r="G355" s="191" t="s">
        <v>996</v>
      </c>
      <c r="H355" s="192"/>
      <c r="I355" s="210"/>
      <c r="J355" s="279"/>
      <c r="K355" s="282"/>
      <c r="L355" s="66"/>
      <c r="M355" s="66"/>
      <c r="N355" s="66"/>
      <c r="O355" s="66"/>
      <c r="P355" s="66" t="str">
        <f t="shared" ref="P355:P365" si="7">CONCATENATE(E355," ",F355," ",G355)</f>
        <v>BUITRE TIMOTHY JOSEPH SIPIN</v>
      </c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18" customHeight="1">
      <c r="A356" s="188">
        <v>350</v>
      </c>
      <c r="B356" s="189" t="s">
        <v>965</v>
      </c>
      <c r="C356" s="193" t="s">
        <v>39</v>
      </c>
      <c r="D356" s="190" t="s">
        <v>40</v>
      </c>
      <c r="E356" s="191" t="s">
        <v>997</v>
      </c>
      <c r="F356" s="191" t="s">
        <v>998</v>
      </c>
      <c r="G356" s="191" t="s">
        <v>999</v>
      </c>
      <c r="H356" s="192"/>
      <c r="I356" s="210"/>
      <c r="J356" s="285"/>
      <c r="K356" s="282"/>
      <c r="L356" s="66"/>
      <c r="M356" s="66"/>
      <c r="N356" s="66"/>
      <c r="O356" s="66"/>
      <c r="P356" s="66" t="str">
        <f t="shared" si="7"/>
        <v>ENRIQUEZ ARIANE GRACE DE LEON</v>
      </c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18" customHeight="1">
      <c r="A357" s="188">
        <v>351</v>
      </c>
      <c r="B357" s="189" t="s">
        <v>965</v>
      </c>
      <c r="C357" s="189" t="s">
        <v>19</v>
      </c>
      <c r="D357" s="190" t="s">
        <v>40</v>
      </c>
      <c r="E357" s="191" t="s">
        <v>1000</v>
      </c>
      <c r="F357" s="191" t="s">
        <v>1001</v>
      </c>
      <c r="G357" s="191" t="s">
        <v>1002</v>
      </c>
      <c r="H357" s="192"/>
      <c r="I357" s="210"/>
      <c r="J357" s="279" t="s">
        <v>1003</v>
      </c>
      <c r="K357" s="307" t="s">
        <v>1004</v>
      </c>
      <c r="L357" s="66"/>
      <c r="M357" s="66"/>
      <c r="N357" s="66"/>
      <c r="O357" s="66"/>
      <c r="P357" s="66" t="str">
        <f t="shared" si="7"/>
        <v>HAPAN IAN CARLO VILLANUEVA</v>
      </c>
      <c r="Q357" s="66" t="str">
        <f>IFERROR(VLOOKUP(P357,[1]Disposition!$AB$9:$AC$495,2,0),"NO RECORD YET")</f>
        <v>Blk 6 Lot 3Phase K1, Francisco Homes, Brgy. Yakal, San Jose Del Monte, Bulacan</v>
      </c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18" customHeight="1">
      <c r="A358" s="188">
        <v>352</v>
      </c>
      <c r="B358" s="189" t="s">
        <v>1005</v>
      </c>
      <c r="C358" s="193" t="s">
        <v>39</v>
      </c>
      <c r="D358" s="190" t="s">
        <v>246</v>
      </c>
      <c r="E358" s="191" t="s">
        <v>151</v>
      </c>
      <c r="F358" s="191" t="s">
        <v>1006</v>
      </c>
      <c r="G358" s="191" t="s">
        <v>1007</v>
      </c>
      <c r="H358" s="192"/>
      <c r="I358" s="210"/>
      <c r="J358" s="279"/>
      <c r="K358" s="282"/>
      <c r="L358" s="66"/>
      <c r="M358" s="66"/>
      <c r="N358" s="66"/>
      <c r="O358" s="66"/>
      <c r="P358" s="66" t="str">
        <f t="shared" si="7"/>
        <v>RAMOS CHRISHELLE SAGUN</v>
      </c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18" customHeight="1">
      <c r="A359" s="188">
        <v>353</v>
      </c>
      <c r="B359" s="189" t="s">
        <v>1008</v>
      </c>
      <c r="C359" s="189" t="s">
        <v>19</v>
      </c>
      <c r="D359" s="190" t="s">
        <v>644</v>
      </c>
      <c r="E359" s="191" t="s">
        <v>1009</v>
      </c>
      <c r="F359" s="191" t="s">
        <v>1010</v>
      </c>
      <c r="G359" s="191" t="s">
        <v>1011</v>
      </c>
      <c r="H359" s="192"/>
      <c r="I359" s="212"/>
      <c r="J359" s="279" t="s">
        <v>1012</v>
      </c>
      <c r="K359" s="307" t="s">
        <v>1013</v>
      </c>
      <c r="L359" s="66"/>
      <c r="M359" s="66"/>
      <c r="N359" s="66"/>
      <c r="O359" s="66"/>
      <c r="P359" s="66" t="str">
        <f t="shared" si="7"/>
        <v>FRONDA JIMMSON CILOCILO</v>
      </c>
      <c r="Q359" s="66" t="str">
        <f>IFERROR(VLOOKUP(P359,[1]Disposition!$AB$9:$AC$495,2,0),"NO RECORD YET")</f>
        <v>31 NHA Delpan Bliss, Tondo, Manila</v>
      </c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18" customHeight="1">
      <c r="A360" s="188">
        <v>354</v>
      </c>
      <c r="B360" s="189" t="s">
        <v>1008</v>
      </c>
      <c r="C360" s="189" t="s">
        <v>19</v>
      </c>
      <c r="D360" s="190" t="s">
        <v>40</v>
      </c>
      <c r="E360" s="191" t="s">
        <v>1014</v>
      </c>
      <c r="F360" s="191" t="s">
        <v>1015</v>
      </c>
      <c r="G360" s="191" t="s">
        <v>91</v>
      </c>
      <c r="H360" s="192"/>
      <c r="I360" s="212"/>
      <c r="J360" s="279" t="s">
        <v>1016</v>
      </c>
      <c r="K360" s="307" t="s">
        <v>1017</v>
      </c>
      <c r="L360" s="66"/>
      <c r="M360" s="66"/>
      <c r="N360" s="66"/>
      <c r="O360" s="66"/>
      <c r="P360" s="66" t="str">
        <f t="shared" si="7"/>
        <v>AQUINO  ROGELIO PATIÑO</v>
      </c>
      <c r="Q360" s="66" t="str">
        <f>IFERROR(VLOOKUP(P360,[1]Disposition!$AB$9:$AC$495,2,0),"NO RECORD YET")</f>
        <v>556 Kaunlaran St., Brgy. Commonwealth, Quezon City</v>
      </c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18" customHeight="1">
      <c r="A361" s="188">
        <v>355</v>
      </c>
      <c r="B361" s="189" t="s">
        <v>1008</v>
      </c>
      <c r="C361" s="189" t="s">
        <v>19</v>
      </c>
      <c r="D361" s="190" t="s">
        <v>40</v>
      </c>
      <c r="E361" s="191" t="s">
        <v>1018</v>
      </c>
      <c r="F361" s="191" t="s">
        <v>754</v>
      </c>
      <c r="G361" s="191" t="s">
        <v>1019</v>
      </c>
      <c r="H361" s="192"/>
      <c r="I361" s="212"/>
      <c r="J361" s="279"/>
      <c r="K361" s="282"/>
      <c r="L361" s="66"/>
      <c r="M361" s="66"/>
      <c r="N361" s="66"/>
      <c r="O361" s="66"/>
      <c r="P361" s="66" t="str">
        <f t="shared" si="7"/>
        <v>CATANEO RYAN VINLUAN</v>
      </c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18" customHeight="1">
      <c r="A362" s="188">
        <v>356</v>
      </c>
      <c r="B362" s="189" t="s">
        <v>1008</v>
      </c>
      <c r="C362" s="189" t="s">
        <v>19</v>
      </c>
      <c r="D362" s="190" t="s">
        <v>40</v>
      </c>
      <c r="E362" s="191" t="s">
        <v>1020</v>
      </c>
      <c r="F362" s="191" t="s">
        <v>528</v>
      </c>
      <c r="G362" s="191" t="s">
        <v>1021</v>
      </c>
      <c r="H362" s="192"/>
      <c r="I362" s="212"/>
      <c r="J362" s="279" t="s">
        <v>1022</v>
      </c>
      <c r="K362" s="307" t="s">
        <v>1023</v>
      </c>
      <c r="L362" s="66"/>
      <c r="M362" s="66"/>
      <c r="N362" s="66"/>
      <c r="O362" s="66"/>
      <c r="P362" s="66" t="str">
        <f t="shared" si="7"/>
        <v>CELADIÑA TEODORO CUISON</v>
      </c>
      <c r="Q362" s="66" t="str">
        <f>IFERROR(VLOOKUP(P362,[1]Disposition!$AB$9:$AC$495,2,0),"NO RECORD YET")</f>
        <v>Balud, San Fernando, Cebu</v>
      </c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18" customHeight="1">
      <c r="A363" s="188">
        <v>357</v>
      </c>
      <c r="B363" s="189" t="s">
        <v>1008</v>
      </c>
      <c r="C363" s="189" t="s">
        <v>19</v>
      </c>
      <c r="D363" s="190" t="s">
        <v>40</v>
      </c>
      <c r="E363" s="191" t="s">
        <v>1024</v>
      </c>
      <c r="F363" s="191" t="s">
        <v>1025</v>
      </c>
      <c r="G363" s="191" t="s">
        <v>1026</v>
      </c>
      <c r="H363" s="242"/>
      <c r="I363" s="212"/>
      <c r="J363" s="279" t="s">
        <v>1027</v>
      </c>
      <c r="K363" s="307" t="s">
        <v>148</v>
      </c>
      <c r="L363" s="66"/>
      <c r="M363" s="66"/>
      <c r="N363" s="66"/>
      <c r="O363" s="66"/>
      <c r="P363" s="66" t="str">
        <f t="shared" si="7"/>
        <v>FERNANDEZ ROWEN BON</v>
      </c>
      <c r="Q363" s="66" t="str">
        <f>IFERROR(VLOOKUP(P363,[1]Disposition!$AB$9:$AC$495,2,0),"NO RECORD YET")</f>
        <v>Blk 17 LOT 8 Heroesville 1Subd.,  Phase 1. BRGY. Gaya-Gaya, San Jose Del Monte, Bulacan</v>
      </c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18" customHeight="1">
      <c r="A364" s="188">
        <v>358</v>
      </c>
      <c r="B364" s="189" t="s">
        <v>1008</v>
      </c>
      <c r="C364" s="189" t="s">
        <v>19</v>
      </c>
      <c r="D364" s="190" t="s">
        <v>40</v>
      </c>
      <c r="E364" s="191" t="s">
        <v>636</v>
      </c>
      <c r="F364" s="191" t="s">
        <v>1028</v>
      </c>
      <c r="G364" s="191" t="s">
        <v>1029</v>
      </c>
      <c r="H364" s="202"/>
      <c r="I364" s="212"/>
      <c r="J364" s="279" t="s">
        <v>1030</v>
      </c>
      <c r="K364" s="307" t="s">
        <v>1031</v>
      </c>
      <c r="L364" s="66"/>
      <c r="M364" s="66"/>
      <c r="N364" s="66"/>
      <c r="O364" s="66"/>
      <c r="P364" s="66" t="str">
        <f t="shared" si="7"/>
        <v>SANTOS ALLAN SASUTA</v>
      </c>
      <c r="Q364" s="66" t="str">
        <f>IFERROR(VLOOKUP(P364,[1]Disposition!$AB$9:$AC$495,2,0),"NO RECORD YET")</f>
        <v>Rd 25 B36 L49 Brgy. Bagong Nayon, Cogeo Vill., Antipolo</v>
      </c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18" customHeight="1">
      <c r="A365" s="188">
        <v>359</v>
      </c>
      <c r="B365" s="189" t="s">
        <v>1008</v>
      </c>
      <c r="C365" s="193" t="s">
        <v>39</v>
      </c>
      <c r="D365" s="190" t="s">
        <v>40</v>
      </c>
      <c r="E365" s="191" t="s">
        <v>1032</v>
      </c>
      <c r="F365" s="191" t="s">
        <v>1033</v>
      </c>
      <c r="G365" s="191" t="s">
        <v>1034</v>
      </c>
      <c r="H365" s="242"/>
      <c r="I365" s="212"/>
      <c r="J365" s="279" t="s">
        <v>1035</v>
      </c>
      <c r="K365" s="307" t="s">
        <v>1036</v>
      </c>
      <c r="L365" s="66"/>
      <c r="M365" s="66"/>
      <c r="N365" s="66"/>
      <c r="O365" s="66"/>
      <c r="P365" s="66" t="str">
        <f t="shared" si="7"/>
        <v>SANCHEZ SHERYL  PALLONES</v>
      </c>
      <c r="Q365" s="66" t="str">
        <f>IFERROR(VLOOKUP(P365,[1]Disposition!$AB$9:$AC$495,2,0),"NO RECORD YET")</f>
        <v>NO RECORD YET</v>
      </c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18" customHeight="1">
      <c r="A366" s="188">
        <v>360</v>
      </c>
      <c r="B366" s="193" t="s">
        <v>1037</v>
      </c>
      <c r="C366" s="189" t="s">
        <v>19</v>
      </c>
      <c r="D366" s="190" t="s">
        <v>96</v>
      </c>
      <c r="E366" s="191" t="s">
        <v>1038</v>
      </c>
      <c r="F366" s="191" t="s">
        <v>413</v>
      </c>
      <c r="G366" s="191" t="s">
        <v>1039</v>
      </c>
      <c r="H366" s="192" t="s">
        <v>268</v>
      </c>
      <c r="I366" s="210"/>
      <c r="J366" s="279" t="s">
        <v>1041</v>
      </c>
      <c r="K366" s="307" t="s">
        <v>1042</v>
      </c>
      <c r="L366" s="66"/>
      <c r="M366" s="66"/>
      <c r="N366" s="66"/>
      <c r="O366" s="66"/>
      <c r="P366" s="66" t="str">
        <f>CONCATENATE(E437," ",F437," ",G437)</f>
        <v>DE LEON YVETTE VILLAVERDE</v>
      </c>
      <c r="Q366" s="66" t="str">
        <f>IFERROR(VLOOKUP(P366,[1]Disposition!$AB$9:$AC$495,2,0),"NO RECORD YET")</f>
        <v>140 N. Domingo St., Brgy. Pedro Cruz, San Juan City</v>
      </c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18" customHeight="1">
      <c r="A367" s="188">
        <v>361</v>
      </c>
      <c r="B367" s="193" t="s">
        <v>1037</v>
      </c>
      <c r="C367" s="193" t="s">
        <v>39</v>
      </c>
      <c r="D367" s="190" t="s">
        <v>1043</v>
      </c>
      <c r="E367" s="191" t="s">
        <v>1044</v>
      </c>
      <c r="F367" s="191" t="s">
        <v>1045</v>
      </c>
      <c r="G367" s="191" t="s">
        <v>1046</v>
      </c>
      <c r="H367" s="192"/>
      <c r="I367" s="210"/>
      <c r="J367" s="279" t="s">
        <v>1048</v>
      </c>
      <c r="K367" s="307" t="s">
        <v>1049</v>
      </c>
      <c r="L367" s="66"/>
      <c r="M367" s="66"/>
      <c r="N367" s="66"/>
      <c r="O367" s="66"/>
      <c r="P367" s="66" t="str">
        <f t="shared" ref="P367:P370" si="8">CONCATENATE(E367," ",F367," ",G367)</f>
        <v>GASCON MARIA LUZ BUMAGAT</v>
      </c>
      <c r="Q367" s="66" t="str">
        <f>IFERROR(VLOOKUP(P367,[1]Disposition!$AB$9:$AC$495,2,0),"NO RECORD YET")</f>
        <v>3065 Abucay St., Manuguit Subd., Tondo, Manila</v>
      </c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18" customHeight="1">
      <c r="A368" s="188">
        <v>362</v>
      </c>
      <c r="B368" s="193" t="s">
        <v>1037</v>
      </c>
      <c r="C368" s="189" t="s">
        <v>19</v>
      </c>
      <c r="D368" s="190" t="s">
        <v>366</v>
      </c>
      <c r="E368" s="191" t="s">
        <v>1050</v>
      </c>
      <c r="F368" s="191" t="s">
        <v>1051</v>
      </c>
      <c r="G368" s="191" t="s">
        <v>1052</v>
      </c>
      <c r="H368" s="192"/>
      <c r="I368" s="210"/>
      <c r="J368" s="279" t="s">
        <v>1053</v>
      </c>
      <c r="K368" s="307" t="s">
        <v>1054</v>
      </c>
      <c r="L368" s="66"/>
      <c r="M368" s="66"/>
      <c r="N368" s="66"/>
      <c r="O368" s="66"/>
      <c r="P368" s="66" t="str">
        <f t="shared" si="8"/>
        <v>TABAFUNDA RONNEL NACIS</v>
      </c>
      <c r="Q368" s="66" t="str">
        <f>IFERROR(VLOOKUP(P368,[1]Disposition!$AB$9:$AC$495,2,0),"NO RECORD YET")</f>
        <v>Brgy. Paagan, Bacnotan, La Union</v>
      </c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18" customHeight="1">
      <c r="A369" s="188">
        <v>363</v>
      </c>
      <c r="B369" s="193" t="s">
        <v>1037</v>
      </c>
      <c r="C369" s="189" t="s">
        <v>19</v>
      </c>
      <c r="D369" s="190" t="s">
        <v>366</v>
      </c>
      <c r="E369" s="191" t="s">
        <v>1055</v>
      </c>
      <c r="F369" s="191" t="s">
        <v>690</v>
      </c>
      <c r="G369" s="191" t="s">
        <v>1056</v>
      </c>
      <c r="H369" s="192"/>
      <c r="I369" s="210"/>
      <c r="J369" s="279" t="s">
        <v>1057</v>
      </c>
      <c r="K369" s="307" t="s">
        <v>1058</v>
      </c>
      <c r="L369" s="66"/>
      <c r="M369" s="66"/>
      <c r="N369" s="66"/>
      <c r="O369" s="66"/>
      <c r="P369" s="66" t="str">
        <f t="shared" si="8"/>
        <v>WALIS GILBERT JACKSON</v>
      </c>
      <c r="Q369" s="66" t="str">
        <f>IFERROR(VLOOKUP(P369,[1]Disposition!$AB$9:$AC$495,2,0),"NO RECORD YET")</f>
        <v>713 Babasit, Manaoag, Pangasinan</v>
      </c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18" customHeight="1">
      <c r="A370" s="188">
        <v>364</v>
      </c>
      <c r="B370" s="193" t="s">
        <v>1037</v>
      </c>
      <c r="C370" s="189" t="s">
        <v>19</v>
      </c>
      <c r="D370" s="194" t="s">
        <v>28</v>
      </c>
      <c r="E370" s="204" t="s">
        <v>1059</v>
      </c>
      <c r="F370" s="204" t="s">
        <v>1060</v>
      </c>
      <c r="G370" s="204" t="s">
        <v>1061</v>
      </c>
      <c r="H370" s="205"/>
      <c r="I370" s="212"/>
      <c r="J370" s="279" t="s">
        <v>1063</v>
      </c>
      <c r="K370" s="307" t="s">
        <v>1064</v>
      </c>
      <c r="L370" s="66"/>
      <c r="M370" s="66"/>
      <c r="N370" s="66"/>
      <c r="O370" s="66"/>
      <c r="P370" s="66" t="str">
        <f t="shared" si="8"/>
        <v>MAMENTA CRISTOPHER ALLAS</v>
      </c>
      <c r="Q370" s="66" t="str">
        <f>IFERROR(VLOOKUP(P370,[1]Disposition!$AB$9:$AC$495,2,0),"NO RECORD YET")</f>
        <v>Zone 4, Legaspi, Tayug, Pangasinan</v>
      </c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18" customHeight="1">
      <c r="A371" s="188">
        <v>365</v>
      </c>
      <c r="B371" s="193" t="s">
        <v>1065</v>
      </c>
      <c r="C371" s="193" t="s">
        <v>39</v>
      </c>
      <c r="D371" s="190" t="s">
        <v>20</v>
      </c>
      <c r="E371" s="191" t="s">
        <v>1066</v>
      </c>
      <c r="F371" s="191" t="s">
        <v>1067</v>
      </c>
      <c r="G371" s="191" t="s">
        <v>1068</v>
      </c>
      <c r="H371" s="192"/>
      <c r="I371" s="210"/>
      <c r="J371" s="279" t="s">
        <v>1069</v>
      </c>
      <c r="K371" s="308" t="s">
        <v>1070</v>
      </c>
      <c r="L371" s="66"/>
      <c r="M371" s="66"/>
      <c r="N371" s="66"/>
      <c r="O371" s="66"/>
      <c r="P371" s="66" t="str">
        <f>CONCATENATE(E544," ",F544," ",G544)</f>
        <v>PEÑAVERDE SHARMAINE RODRIGUEZ</v>
      </c>
      <c r="Q371" s="66" t="str">
        <f>IFERROR(VLOOKUP(P371,[1]Disposition!$AB$9:$AC$495,2,0),"NO RECORD YET")</f>
        <v>Blk 1 Lot 126 Phase 1F Sub Urban San Jose Rodriguez Rizal</v>
      </c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18" customHeight="1">
      <c r="A372" s="188">
        <v>366</v>
      </c>
      <c r="B372" s="193" t="s">
        <v>1065</v>
      </c>
      <c r="C372" s="193" t="s">
        <v>19</v>
      </c>
      <c r="D372" s="194" t="s">
        <v>20</v>
      </c>
      <c r="E372" s="195" t="s">
        <v>1071</v>
      </c>
      <c r="F372" s="195" t="s">
        <v>1072</v>
      </c>
      <c r="G372" s="195" t="s">
        <v>1073</v>
      </c>
      <c r="H372" s="194"/>
      <c r="I372" s="212"/>
      <c r="J372" s="281"/>
      <c r="K372" s="282"/>
      <c r="L372" s="66"/>
      <c r="M372" s="66"/>
      <c r="N372" s="66"/>
      <c r="O372" s="66"/>
      <c r="P372" s="66" t="str">
        <f>CONCATENATE('DISPO Att'!D372," ",'DISPO Att'!E372," ",'DISPO Att'!F372)</f>
        <v>PCOL ESCOBAL CARLO JOSEPH</v>
      </c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18" customHeight="1">
      <c r="A373" s="188">
        <v>367</v>
      </c>
      <c r="B373" s="193" t="s">
        <v>1065</v>
      </c>
      <c r="C373" s="193" t="s">
        <v>19</v>
      </c>
      <c r="D373" s="194" t="s">
        <v>20</v>
      </c>
      <c r="E373" s="191" t="s">
        <v>936</v>
      </c>
      <c r="F373" s="191" t="s">
        <v>1074</v>
      </c>
      <c r="G373" s="191" t="s">
        <v>1075</v>
      </c>
      <c r="H373" s="192" t="s">
        <v>268</v>
      </c>
      <c r="I373" s="210"/>
      <c r="J373" s="279"/>
      <c r="K373" s="282"/>
      <c r="L373" s="66"/>
      <c r="M373" s="66"/>
      <c r="N373" s="66"/>
      <c r="O373" s="66"/>
      <c r="P373" s="66" t="str">
        <f>CONCATENATE('DISPO Att'!D373," ",'DISPO Att'!E373," ",'DISPO Att'!F373)</f>
        <v>PCOL GACES JUANITO</v>
      </c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18" customHeight="1">
      <c r="A374" s="188">
        <v>368</v>
      </c>
      <c r="B374" s="193" t="s">
        <v>1065</v>
      </c>
      <c r="C374" s="189" t="s">
        <v>19</v>
      </c>
      <c r="D374" s="190" t="s">
        <v>160</v>
      </c>
      <c r="E374" s="191" t="s">
        <v>1076</v>
      </c>
      <c r="F374" s="191" t="s">
        <v>1077</v>
      </c>
      <c r="G374" s="191" t="s">
        <v>647</v>
      </c>
      <c r="H374" s="192"/>
      <c r="I374" s="210"/>
      <c r="J374" s="279" t="s">
        <v>1078</v>
      </c>
      <c r="K374" s="307" t="s">
        <v>1079</v>
      </c>
      <c r="L374" s="66"/>
      <c r="M374" s="66"/>
      <c r="N374" s="66"/>
      <c r="O374" s="66"/>
      <c r="P374" s="66" t="str">
        <f>CONCATENATE('DISPO Att'!D374," ",'DISPO Att'!E374," ",'DISPO Att'!F374)</f>
        <v>PLTCOL BORJA BRIAN THEO</v>
      </c>
      <c r="Q374" s="66" t="str">
        <f>IFERROR(VLOOKUP(P374,[1]Disposition!$AB$9:$AC$495,2,0),"NO RECORD YET")</f>
        <v>NO RECORD YET</v>
      </c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18" customHeight="1">
      <c r="A375" s="188">
        <v>369</v>
      </c>
      <c r="B375" s="43" t="s">
        <v>1080</v>
      </c>
      <c r="C375" s="254" t="s">
        <v>19</v>
      </c>
      <c r="D375" s="194" t="s">
        <v>160</v>
      </c>
      <c r="E375" s="195" t="s">
        <v>1081</v>
      </c>
      <c r="F375" s="195" t="s">
        <v>1082</v>
      </c>
      <c r="G375" s="195" t="s">
        <v>1083</v>
      </c>
      <c r="H375" s="192"/>
      <c r="I375" s="229"/>
      <c r="J375" s="283"/>
      <c r="K375" s="282"/>
      <c r="L375" s="174"/>
      <c r="M375" s="174"/>
      <c r="N375" s="174"/>
      <c r="O375" s="174"/>
      <c r="P375" s="174" t="str">
        <f>CONCATENATE(E375," ",F375," ",G375)</f>
        <v>FONCARDAS MARK REYES</v>
      </c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</row>
    <row r="376" spans="1:27" ht="18" customHeight="1">
      <c r="A376" s="188">
        <v>370</v>
      </c>
      <c r="B376" s="193" t="s">
        <v>1065</v>
      </c>
      <c r="C376" s="193" t="s">
        <v>39</v>
      </c>
      <c r="D376" s="190" t="s">
        <v>160</v>
      </c>
      <c r="E376" s="191" t="s">
        <v>1084</v>
      </c>
      <c r="F376" s="191" t="s">
        <v>1085</v>
      </c>
      <c r="G376" s="191" t="s">
        <v>256</v>
      </c>
      <c r="H376" s="192"/>
      <c r="I376" s="210"/>
      <c r="J376" s="279"/>
      <c r="K376" s="282"/>
      <c r="L376" s="66"/>
      <c r="M376" s="66"/>
      <c r="N376" s="66"/>
      <c r="O376" s="66"/>
      <c r="P376" s="66" t="str">
        <f>CONCATENATE('DISPO Att'!D376," ",'DISPO Att'!E376," ",'DISPO Att'!F376)</f>
        <v>PLTCOL MARAMAG MARCIANA</v>
      </c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18" customHeight="1">
      <c r="A377" s="188">
        <v>371</v>
      </c>
      <c r="B377" s="193" t="s">
        <v>1065</v>
      </c>
      <c r="C377" s="189" t="s">
        <v>19</v>
      </c>
      <c r="D377" s="190" t="s">
        <v>160</v>
      </c>
      <c r="E377" s="191" t="s">
        <v>1083</v>
      </c>
      <c r="F377" s="191" t="s">
        <v>1086</v>
      </c>
      <c r="G377" s="191" t="s">
        <v>1087</v>
      </c>
      <c r="H377" s="192"/>
      <c r="I377" s="210"/>
      <c r="J377" s="279" t="s">
        <v>1088</v>
      </c>
      <c r="K377" s="307" t="s">
        <v>1089</v>
      </c>
      <c r="L377" s="66"/>
      <c r="M377" s="66"/>
      <c r="N377" s="66"/>
      <c r="O377" s="66"/>
      <c r="P377" s="66" t="str">
        <f>CONCATENATE('DISPO Att'!D377," ",'DISPO Att'!E377," ",'DISPO Att'!F377)</f>
        <v>PLTCOL REYES ROBERT</v>
      </c>
      <c r="Q377" s="66" t="str">
        <f>IFERROR(VLOOKUP(P377,[1]Disposition!$AB$9:$AC$495,2,0),"NO RECORD YET")</f>
        <v>NO RECORD YET</v>
      </c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18" customHeight="1">
      <c r="A378" s="188">
        <v>372</v>
      </c>
      <c r="B378" s="193" t="s">
        <v>1065</v>
      </c>
      <c r="C378" s="193" t="s">
        <v>39</v>
      </c>
      <c r="D378" s="190" t="s">
        <v>253</v>
      </c>
      <c r="E378" s="191" t="s">
        <v>1090</v>
      </c>
      <c r="F378" s="191" t="s">
        <v>1091</v>
      </c>
      <c r="G378" s="191" t="s">
        <v>1092</v>
      </c>
      <c r="H378" s="192"/>
      <c r="I378" s="210"/>
      <c r="J378" s="279" t="s">
        <v>1093</v>
      </c>
      <c r="K378" s="307" t="s">
        <v>1094</v>
      </c>
      <c r="L378" s="66"/>
      <c r="M378" s="66"/>
      <c r="N378" s="66"/>
      <c r="O378" s="66"/>
      <c r="P378" s="66" t="str">
        <f>CONCATENATE('DISPO Att'!D378," ",'DISPO Att'!E378," ",'DISPO Att'!F378)</f>
        <v>PMAJ BELLY JOCELYN</v>
      </c>
      <c r="Q378" s="66" t="str">
        <f>IFERROR(VLOOKUP(P378,[1]Disposition!$AB$9:$AC$495,2,0),"NO RECORD YET")</f>
        <v>NO RECORD YET</v>
      </c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18" customHeight="1">
      <c r="A379" s="188">
        <v>373</v>
      </c>
      <c r="B379" s="193" t="s">
        <v>1065</v>
      </c>
      <c r="C379" s="193" t="s">
        <v>39</v>
      </c>
      <c r="D379" s="190" t="s">
        <v>253</v>
      </c>
      <c r="E379" s="191" t="s">
        <v>836</v>
      </c>
      <c r="F379" s="191" t="s">
        <v>1095</v>
      </c>
      <c r="G379" s="191" t="s">
        <v>1096</v>
      </c>
      <c r="H379" s="192"/>
      <c r="I379" s="210"/>
      <c r="J379" s="279" t="s">
        <v>1097</v>
      </c>
      <c r="K379" s="307" t="s">
        <v>1098</v>
      </c>
      <c r="L379" s="66"/>
      <c r="M379" s="66"/>
      <c r="N379" s="66"/>
      <c r="O379" s="66"/>
      <c r="P379" s="66" t="str">
        <f>CONCATENATE('DISPO Att'!D379," ",'DISPO Att'!E379," ",'DISPO Att'!F379)</f>
        <v>PMAJ CRUZ MARICON</v>
      </c>
      <c r="Q379" s="66" t="str">
        <f>IFERROR(VLOOKUP(P379,[1]Disposition!$AB$9:$AC$495,2,0),"NO RECORD YET")</f>
        <v>NO RECORD YET</v>
      </c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18" customHeight="1">
      <c r="A380" s="188">
        <v>374</v>
      </c>
      <c r="B380" s="193" t="s">
        <v>1065</v>
      </c>
      <c r="C380" s="231" t="s">
        <v>19</v>
      </c>
      <c r="D380" s="190" t="s">
        <v>253</v>
      </c>
      <c r="E380" s="191" t="s">
        <v>211</v>
      </c>
      <c r="F380" s="191" t="s">
        <v>1086</v>
      </c>
      <c r="G380" s="191" t="s">
        <v>1099</v>
      </c>
      <c r="H380" s="192"/>
      <c r="I380" s="210"/>
      <c r="J380" s="279" t="s">
        <v>1100</v>
      </c>
      <c r="K380" s="307" t="s">
        <v>1101</v>
      </c>
      <c r="L380" s="66"/>
      <c r="M380" s="66"/>
      <c r="N380" s="66"/>
      <c r="O380" s="66"/>
      <c r="P380" s="66" t="str">
        <f>CONCATENATE('DISPO Att'!D380," ",'DISPO Att'!E380," ",'DISPO Att'!F380)</f>
        <v>PMAJ TAN ROBERT</v>
      </c>
      <c r="Q380" s="66" t="str">
        <f>IFERROR(VLOOKUP(P380,[1]Disposition!$AB$9:$AC$495,2,0),"NO RECORD YET")</f>
        <v>NO RECORD YET</v>
      </c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18" customHeight="1">
      <c r="A381" s="188">
        <v>375</v>
      </c>
      <c r="B381" s="193" t="s">
        <v>1065</v>
      </c>
      <c r="C381" s="231" t="s">
        <v>19</v>
      </c>
      <c r="D381" s="190" t="s">
        <v>96</v>
      </c>
      <c r="E381" s="191" t="s">
        <v>1102</v>
      </c>
      <c r="F381" s="191" t="s">
        <v>1103</v>
      </c>
      <c r="G381" s="191" t="s">
        <v>1104</v>
      </c>
      <c r="H381" s="192" t="s">
        <v>1105</v>
      </c>
      <c r="I381" s="210"/>
      <c r="J381" s="279" t="s">
        <v>1106</v>
      </c>
      <c r="K381" s="307" t="s">
        <v>1107</v>
      </c>
      <c r="L381" s="66"/>
      <c r="M381" s="66"/>
      <c r="N381" s="66"/>
      <c r="O381" s="66"/>
      <c r="P381" s="66" t="str">
        <f>CONCATENATE('DISPO Att'!D381," ",'DISPO Att'!E381," ",'DISPO Att'!F381)</f>
        <v>PCPT BATALLER SHERWIN SOLOMON</v>
      </c>
      <c r="Q381" s="66" t="str">
        <f>IFERROR(VLOOKUP(P381,[1]Disposition!$AB$9:$AC$495,2,0),"NO RECORD YET")</f>
        <v>NO RECORD YET</v>
      </c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18" customHeight="1">
      <c r="A382" s="188">
        <v>376</v>
      </c>
      <c r="B382" s="193" t="s">
        <v>1065</v>
      </c>
      <c r="C382" s="189" t="s">
        <v>19</v>
      </c>
      <c r="D382" s="190" t="s">
        <v>96</v>
      </c>
      <c r="E382" s="204" t="s">
        <v>1108</v>
      </c>
      <c r="F382" s="204" t="s">
        <v>1109</v>
      </c>
      <c r="G382" s="204" t="s">
        <v>759</v>
      </c>
      <c r="H382" s="205" t="s">
        <v>268</v>
      </c>
      <c r="I382" s="210"/>
      <c r="J382" s="279" t="s">
        <v>1110</v>
      </c>
      <c r="K382" s="307" t="s">
        <v>1111</v>
      </c>
      <c r="L382" s="66"/>
      <c r="M382" s="66"/>
      <c r="N382" s="66"/>
      <c r="O382" s="66"/>
      <c r="P382" s="66" t="str">
        <f>CONCATENATE('DISPO Att'!D382," ",'DISPO Att'!E382," ",'DISPO Att'!F382)</f>
        <v>PCPT CABATIN ROGEL VERGEL</v>
      </c>
      <c r="Q382" s="66" t="str">
        <f>IFERROR(VLOOKUP(P382,[1]Disposition!$AB$9:$AC$495,2,0),"NO RECORD YET")</f>
        <v>NO RECORD YET</v>
      </c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18" customHeight="1">
      <c r="A383" s="188">
        <v>377</v>
      </c>
      <c r="B383" s="193" t="s">
        <v>1065</v>
      </c>
      <c r="C383" s="193" t="s">
        <v>39</v>
      </c>
      <c r="D383" s="190" t="s">
        <v>96</v>
      </c>
      <c r="E383" s="204" t="s">
        <v>836</v>
      </c>
      <c r="F383" s="204" t="s">
        <v>1112</v>
      </c>
      <c r="G383" s="204" t="s">
        <v>1113</v>
      </c>
      <c r="H383" s="205"/>
      <c r="I383" s="210"/>
      <c r="J383" s="279" t="s">
        <v>1114</v>
      </c>
      <c r="K383" s="307" t="s">
        <v>1115</v>
      </c>
      <c r="L383" s="66"/>
      <c r="M383" s="66"/>
      <c r="N383" s="66"/>
      <c r="O383" s="66"/>
      <c r="P383" s="66" t="str">
        <f>CONCATENATE('DISPO Att'!D383," ",'DISPO Att'!E383," ",'DISPO Att'!F383)</f>
        <v>PCPT CRUZ CRISTINA JOY</v>
      </c>
      <c r="Q383" s="66" t="str">
        <f>IFERROR(VLOOKUP(P383,[1]Disposition!$AB$9:$AC$495,2,0),"NO RECORD YET")</f>
        <v>NO RECORD YET</v>
      </c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18" customHeight="1">
      <c r="A384" s="188">
        <v>378</v>
      </c>
      <c r="B384" s="193" t="s">
        <v>1065</v>
      </c>
      <c r="C384" s="193" t="s">
        <v>39</v>
      </c>
      <c r="D384" s="190" t="s">
        <v>96</v>
      </c>
      <c r="E384" s="204" t="s">
        <v>1116</v>
      </c>
      <c r="F384" s="204" t="s">
        <v>1117</v>
      </c>
      <c r="G384" s="204" t="s">
        <v>1118</v>
      </c>
      <c r="H384" s="194"/>
      <c r="I384" s="210"/>
      <c r="J384" s="279" t="s">
        <v>1119</v>
      </c>
      <c r="K384" s="307" t="s">
        <v>1120</v>
      </c>
      <c r="L384" s="66"/>
      <c r="M384" s="66"/>
      <c r="N384" s="66"/>
      <c r="O384" s="66"/>
      <c r="P384" s="66" t="str">
        <f>CONCATENATE(E546," ",F546," ",G546)</f>
        <v>JOAQUIN ROMEO LISING</v>
      </c>
      <c r="Q384" s="66" t="str">
        <f>IFERROR(VLOOKUP(P384,[1]Disposition!$AB$9:$AC$495,2,0),"NO RECORD YET")</f>
        <v>Unit 203 MB21, Diego Silang Vill, Ususa, Taguig City</v>
      </c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18" customHeight="1">
      <c r="A385" s="188">
        <v>379</v>
      </c>
      <c r="B385" s="193" t="s">
        <v>1065</v>
      </c>
      <c r="C385" s="193" t="s">
        <v>39</v>
      </c>
      <c r="D385" s="190" t="s">
        <v>96</v>
      </c>
      <c r="E385" s="191" t="s">
        <v>1121</v>
      </c>
      <c r="F385" s="191" t="s">
        <v>1122</v>
      </c>
      <c r="G385" s="191" t="s">
        <v>1123</v>
      </c>
      <c r="H385" s="192"/>
      <c r="I385" s="210"/>
      <c r="J385" s="279" t="s">
        <v>1124</v>
      </c>
      <c r="K385" s="307" t="s">
        <v>1125</v>
      </c>
      <c r="L385" s="66"/>
      <c r="M385" s="66"/>
      <c r="N385" s="66"/>
      <c r="O385" s="66"/>
      <c r="P385" s="66" t="str">
        <f>CONCATENATE('DISPO Att'!D385," ",'DISPO Att'!E385," ",'DISPO Att'!F385)</f>
        <v>PCPT JAVIER ROGINA</v>
      </c>
      <c r="Q385" s="66" t="str">
        <f>IFERROR(VLOOKUP(P385,[1]Disposition!$AB$9:$AC$495,2,0),"NO RECORD YET")</f>
        <v>NO RECORD YET</v>
      </c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18" customHeight="1">
      <c r="A386" s="188">
        <v>380</v>
      </c>
      <c r="B386" s="193" t="s">
        <v>1065</v>
      </c>
      <c r="C386" s="189" t="s">
        <v>19</v>
      </c>
      <c r="D386" s="190" t="s">
        <v>96</v>
      </c>
      <c r="E386" s="204" t="s">
        <v>1126</v>
      </c>
      <c r="F386" s="204" t="s">
        <v>1127</v>
      </c>
      <c r="G386" s="204" t="s">
        <v>1128</v>
      </c>
      <c r="H386" s="205"/>
      <c r="I386" s="210"/>
      <c r="J386" s="279" t="s">
        <v>1129</v>
      </c>
      <c r="K386" s="307" t="s">
        <v>1130</v>
      </c>
      <c r="L386" s="66"/>
      <c r="M386" s="66"/>
      <c r="N386" s="66"/>
      <c r="O386" s="66"/>
      <c r="P386" s="66" t="str">
        <f>CONCATENATE('DISPO Att'!D386," ",'DISPO Att'!E386," ",'DISPO Att'!F386)</f>
        <v>PCPT QUIDEZ BRYAN MARK</v>
      </c>
      <c r="Q386" s="66" t="str">
        <f>IFERROR(VLOOKUP(P386,[1]Disposition!$AB$9:$AC$495,2,0),"NO RECORD YET")</f>
        <v>NO RECORD YET</v>
      </c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18" customHeight="1">
      <c r="A387" s="188">
        <v>381</v>
      </c>
      <c r="B387" s="193" t="s">
        <v>1131</v>
      </c>
      <c r="C387" s="193" t="s">
        <v>39</v>
      </c>
      <c r="D387" s="190" t="s">
        <v>96</v>
      </c>
      <c r="E387" s="191" t="s">
        <v>1132</v>
      </c>
      <c r="F387" s="191" t="s">
        <v>1133</v>
      </c>
      <c r="G387" s="191" t="s">
        <v>1134</v>
      </c>
      <c r="H387" s="192"/>
      <c r="I387" s="210"/>
      <c r="J387" s="279" t="s">
        <v>1135</v>
      </c>
      <c r="K387" s="307" t="s">
        <v>1136</v>
      </c>
      <c r="L387" s="66"/>
      <c r="M387" s="66"/>
      <c r="N387" s="66"/>
      <c r="O387" s="66"/>
      <c r="P387" s="66" t="str">
        <f>CONCATENATE('DISPO Att'!D387," ",'DISPO Att'!E387," ",'DISPO Att'!F387)</f>
        <v>PCPT TAJON VERONICA</v>
      </c>
      <c r="Q387" s="66" t="str">
        <f>IFERROR(VLOOKUP(P387,[1]Disposition!$AB$9:$AC$495,2,0),"NO RECORD YET")</f>
        <v>NO RECORD YET</v>
      </c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18" customHeight="1">
      <c r="A388" s="188">
        <v>382</v>
      </c>
      <c r="B388" s="193" t="s">
        <v>1065</v>
      </c>
      <c r="C388" s="189" t="s">
        <v>19</v>
      </c>
      <c r="D388" s="205" t="s">
        <v>246</v>
      </c>
      <c r="E388" s="204" t="s">
        <v>1137</v>
      </c>
      <c r="F388" s="204" t="s">
        <v>1138</v>
      </c>
      <c r="G388" s="204" t="s">
        <v>1139</v>
      </c>
      <c r="H388" s="194"/>
      <c r="I388" s="210"/>
      <c r="J388" s="279" t="s">
        <v>1140</v>
      </c>
      <c r="K388" s="307" t="s">
        <v>1141</v>
      </c>
      <c r="L388" s="66"/>
      <c r="M388" s="66"/>
      <c r="N388" s="66"/>
      <c r="O388" s="66"/>
      <c r="P388" s="66" t="str">
        <f>CONCATENATE('DISPO Att'!D388," ",'DISPO Att'!E388," ",'DISPO Att'!F388)</f>
        <v>PLT SIA ENARD</v>
      </c>
      <c r="Q388" s="66" t="str">
        <f>IFERROR(VLOOKUP(P388,[1]Disposition!$AB$9:$AC$495,2,0),"NO RECORD YET")</f>
        <v>NO RECORD YET</v>
      </c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18" customHeight="1">
      <c r="A389" s="188">
        <v>383</v>
      </c>
      <c r="B389" s="193" t="s">
        <v>1065</v>
      </c>
      <c r="C389" s="189" t="s">
        <v>19</v>
      </c>
      <c r="D389" s="190" t="s">
        <v>277</v>
      </c>
      <c r="E389" s="191" t="s">
        <v>1142</v>
      </c>
      <c r="F389" s="191" t="s">
        <v>1143</v>
      </c>
      <c r="G389" s="191" t="s">
        <v>1144</v>
      </c>
      <c r="H389" s="192"/>
      <c r="I389" s="212"/>
      <c r="J389" s="301" t="s">
        <v>1145</v>
      </c>
      <c r="K389" s="307" t="s">
        <v>1146</v>
      </c>
      <c r="L389" s="66"/>
      <c r="M389" s="66"/>
      <c r="N389" s="66"/>
      <c r="O389" s="66"/>
      <c r="P389" s="66" t="str">
        <f>CONCATENATE('DISPO Att'!D389," ",'DISPO Att'!E389," ",'DISPO Att'!F389)</f>
        <v>PCMS SABIO SHERWIN</v>
      </c>
      <c r="Q389" s="66" t="str">
        <f>IFERROR(VLOOKUP(P389,[1]Disposition!$AB$9:$AC$495,2,0),"NO RECORD YET")</f>
        <v>NO RECORD YET</v>
      </c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18" customHeight="1">
      <c r="A390" s="188">
        <v>384</v>
      </c>
      <c r="B390" s="193" t="s">
        <v>1065</v>
      </c>
      <c r="C390" s="189" t="s">
        <v>19</v>
      </c>
      <c r="D390" s="190" t="s">
        <v>366</v>
      </c>
      <c r="E390" s="191" t="s">
        <v>1147</v>
      </c>
      <c r="F390" s="191" t="s">
        <v>322</v>
      </c>
      <c r="G390" s="191" t="s">
        <v>1148</v>
      </c>
      <c r="H390" s="192"/>
      <c r="I390" s="212"/>
      <c r="J390" s="279" t="s">
        <v>1149</v>
      </c>
      <c r="K390" s="307" t="s">
        <v>1150</v>
      </c>
      <c r="L390" s="66"/>
      <c r="M390" s="66"/>
      <c r="N390" s="66"/>
      <c r="O390" s="66"/>
      <c r="P390" s="66" t="str">
        <f>CONCATENATE('DISPO Att'!D390," ",'DISPO Att'!E390," ",'DISPO Att'!F390)</f>
        <v>PSMS DIÑA JEREMY</v>
      </c>
      <c r="Q390" s="66" t="str">
        <f>IFERROR(VLOOKUP(P390,[1]Disposition!$AB$9:$AC$495,2,0),"NO RECORD YET")</f>
        <v>NO RECORD YET</v>
      </c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18" customHeight="1">
      <c r="A391" s="188">
        <v>385</v>
      </c>
      <c r="B391" s="193" t="s">
        <v>1065</v>
      </c>
      <c r="C391" s="189" t="s">
        <v>19</v>
      </c>
      <c r="D391" s="190" t="s">
        <v>366</v>
      </c>
      <c r="E391" s="191" t="s">
        <v>1151</v>
      </c>
      <c r="F391" s="191" t="s">
        <v>1152</v>
      </c>
      <c r="G391" s="191" t="s">
        <v>1153</v>
      </c>
      <c r="H391" s="192"/>
      <c r="I391" s="212"/>
      <c r="J391" s="279" t="s">
        <v>1154</v>
      </c>
      <c r="K391" s="307" t="s">
        <v>1155</v>
      </c>
      <c r="L391" s="66"/>
      <c r="M391" s="66"/>
      <c r="N391" s="66"/>
      <c r="O391" s="66"/>
      <c r="P391" s="66" t="str">
        <f>CONCATENATE('DISPO Att'!D391," ",'DISPO Att'!E391," ",'DISPO Att'!F391)</f>
        <v>PSMS SIGGAYO WILLARD</v>
      </c>
      <c r="Q391" s="66" t="str">
        <f>IFERROR(VLOOKUP(P391,[1]Disposition!$AB$9:$AC$495,2,0),"NO RECORD YET")</f>
        <v>NO RECORD YET</v>
      </c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18" customHeight="1">
      <c r="A392" s="188">
        <v>386</v>
      </c>
      <c r="B392" s="193" t="s">
        <v>1065</v>
      </c>
      <c r="C392" s="193" t="s">
        <v>39</v>
      </c>
      <c r="D392" s="190" t="s">
        <v>366</v>
      </c>
      <c r="E392" s="191" t="s">
        <v>1128</v>
      </c>
      <c r="F392" s="191" t="s">
        <v>1156</v>
      </c>
      <c r="G392" s="191" t="s">
        <v>906</v>
      </c>
      <c r="H392" s="192"/>
      <c r="I392" s="212"/>
      <c r="J392" s="279" t="s">
        <v>1157</v>
      </c>
      <c r="K392" s="307" t="s">
        <v>1158</v>
      </c>
      <c r="L392" s="66"/>
      <c r="M392" s="66"/>
      <c r="N392" s="66"/>
      <c r="O392" s="66"/>
      <c r="P392" s="66" t="str">
        <f>CONCATENATE('DISPO Att'!D392," ",'DISPO Att'!E392," ",'DISPO Att'!F392)</f>
        <v>PSMS SORIANO NEPTHALIE</v>
      </c>
      <c r="Q392" s="66" t="str">
        <f>IFERROR(VLOOKUP(P392,[1]Disposition!$AB$9:$AC$495,2,0),"NO RECORD YET")</f>
        <v>NO RECORD YET</v>
      </c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18" customHeight="1">
      <c r="A393" s="188">
        <v>387</v>
      </c>
      <c r="B393" s="193" t="s">
        <v>1065</v>
      </c>
      <c r="C393" s="189" t="s">
        <v>19</v>
      </c>
      <c r="D393" s="190" t="s">
        <v>366</v>
      </c>
      <c r="E393" s="191" t="s">
        <v>1159</v>
      </c>
      <c r="F393" s="191" t="s">
        <v>754</v>
      </c>
      <c r="G393" s="191" t="s">
        <v>1160</v>
      </c>
      <c r="H393" s="192"/>
      <c r="I393" s="212"/>
      <c r="J393" s="279" t="s">
        <v>1161</v>
      </c>
      <c r="K393" s="307" t="s">
        <v>1162</v>
      </c>
      <c r="L393" s="66"/>
      <c r="M393" s="66"/>
      <c r="N393" s="66"/>
      <c r="O393" s="66"/>
      <c r="P393" s="66" t="str">
        <f>CONCATENATE('DISPO Att'!D393," ",'DISPO Att'!E393," ",'DISPO Att'!F393)</f>
        <v>PSMS ECHEGOYEN RYAN</v>
      </c>
      <c r="Q393" s="66" t="str">
        <f>IFERROR(VLOOKUP(P393,[1]Disposition!$AB$9:$AC$495,2,0),"NO RECORD YET")</f>
        <v>NO RECORD YET</v>
      </c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spans="1:27" ht="18" customHeight="1">
      <c r="A394" s="188">
        <v>388</v>
      </c>
      <c r="B394" s="193" t="s">
        <v>1065</v>
      </c>
      <c r="C394" s="189" t="s">
        <v>19</v>
      </c>
      <c r="D394" s="190" t="s">
        <v>644</v>
      </c>
      <c r="E394" s="191" t="s">
        <v>1163</v>
      </c>
      <c r="F394" s="191" t="s">
        <v>690</v>
      </c>
      <c r="G394" s="191" t="s">
        <v>1164</v>
      </c>
      <c r="H394" s="192"/>
      <c r="I394" s="212"/>
      <c r="J394" s="279" t="s">
        <v>1165</v>
      </c>
      <c r="K394" s="307" t="s">
        <v>1166</v>
      </c>
      <c r="L394" s="66"/>
      <c r="M394" s="66"/>
      <c r="N394" s="66"/>
      <c r="O394" s="66"/>
      <c r="P394" s="66" t="str">
        <f>CONCATENATE('DISPO Att'!D394," ",'DISPO Att'!E394," ",'DISPO Att'!F394)</f>
        <v>PSSg TABUYO GILBERT</v>
      </c>
      <c r="Q394" s="66" t="str">
        <f>IFERROR(VLOOKUP(P394,[1]Disposition!$AB$9:$AC$495,2,0),"NO RECORD YET")</f>
        <v>NO RECORD YET</v>
      </c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18" customHeight="1">
      <c r="A395" s="188">
        <v>389</v>
      </c>
      <c r="B395" s="193" t="s">
        <v>1065</v>
      </c>
      <c r="C395" s="189" t="s">
        <v>19</v>
      </c>
      <c r="D395" s="190" t="s">
        <v>24</v>
      </c>
      <c r="E395" s="191" t="s">
        <v>1167</v>
      </c>
      <c r="F395" s="191" t="s">
        <v>1168</v>
      </c>
      <c r="G395" s="191" t="s">
        <v>1169</v>
      </c>
      <c r="H395" s="192"/>
      <c r="I395" s="210"/>
      <c r="J395" s="279" t="s">
        <v>1170</v>
      </c>
      <c r="K395" s="307" t="s">
        <v>1171</v>
      </c>
      <c r="L395" s="66"/>
      <c r="M395" s="66"/>
      <c r="N395" s="66"/>
      <c r="O395" s="66"/>
      <c r="P395" s="66" t="str">
        <f>CONCATENATE('DISPO Att'!D395," ",'DISPO Att'!E395," ",'DISPO Att'!F395)</f>
        <v>PCpl ARCANGEL OLIVER</v>
      </c>
      <c r="Q395" s="66" t="str">
        <f>IFERROR(VLOOKUP(P395,[1]Disposition!$AB$9:$AC$495,2,0),"NO RECORD YET")</f>
        <v>NO RECORD YET</v>
      </c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18" customHeight="1">
      <c r="A396" s="188">
        <v>390</v>
      </c>
      <c r="B396" s="193" t="s">
        <v>1065</v>
      </c>
      <c r="C396" s="193" t="s">
        <v>19</v>
      </c>
      <c r="D396" s="190" t="s">
        <v>24</v>
      </c>
      <c r="E396" s="191" t="s">
        <v>1172</v>
      </c>
      <c r="F396" s="191" t="s">
        <v>1173</v>
      </c>
      <c r="G396" s="191" t="s">
        <v>1174</v>
      </c>
      <c r="H396" s="192"/>
      <c r="I396" s="212"/>
      <c r="J396" s="279" t="s">
        <v>1175</v>
      </c>
      <c r="K396" s="307" t="s">
        <v>1176</v>
      </c>
      <c r="L396" s="66"/>
      <c r="M396" s="66"/>
      <c r="N396" s="66"/>
      <c r="O396" s="66"/>
      <c r="P396" s="66" t="str">
        <f>CONCATENATE(E396," ",F396," ",G396)</f>
        <v>GOMEZ RICH MICHAEL LIBU</v>
      </c>
      <c r="Q396" s="66" t="str">
        <f>IFERROR(VLOOKUP(P396,[1]Disposition!$AB$9:$AC$495,2,0),"NO RECORD YET")</f>
        <v>482 Mali St., Cutcut, Angeles City, Pampanga</v>
      </c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18" customHeight="1">
      <c r="A397" s="188">
        <v>391</v>
      </c>
      <c r="B397" s="193" t="s">
        <v>1065</v>
      </c>
      <c r="C397" s="189" t="s">
        <v>19</v>
      </c>
      <c r="D397" s="194" t="s">
        <v>28</v>
      </c>
      <c r="E397" s="195" t="s">
        <v>1177</v>
      </c>
      <c r="F397" s="195" t="s">
        <v>432</v>
      </c>
      <c r="G397" s="195" t="s">
        <v>1178</v>
      </c>
      <c r="H397" s="194" t="s">
        <v>268</v>
      </c>
      <c r="I397" s="210"/>
      <c r="J397" s="281" t="s">
        <v>1179</v>
      </c>
      <c r="K397" s="307" t="s">
        <v>1180</v>
      </c>
      <c r="L397" s="66"/>
      <c r="M397" s="66"/>
      <c r="N397" s="66"/>
      <c r="O397" s="66"/>
      <c r="P397" s="66" t="str">
        <f>CONCATENATE('DISPO Att'!D397," ",'DISPO Att'!E397," ",'DISPO Att'!F397)</f>
        <v>Pat CARIAGA ROBERTO</v>
      </c>
      <c r="Q397" s="66" t="str">
        <f>IFERROR(VLOOKUP(P397,[1]Disposition!$AB$9:$AC$495,2,0),"NO RECORD YET")</f>
        <v>NO RECORD YET</v>
      </c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18" customHeight="1">
      <c r="A398" s="188">
        <v>392</v>
      </c>
      <c r="B398" s="193" t="s">
        <v>1065</v>
      </c>
      <c r="C398" s="189" t="s">
        <v>19</v>
      </c>
      <c r="D398" s="194" t="s">
        <v>28</v>
      </c>
      <c r="E398" s="195" t="s">
        <v>1181</v>
      </c>
      <c r="F398" s="195" t="s">
        <v>1182</v>
      </c>
      <c r="G398" s="195" t="s">
        <v>1183</v>
      </c>
      <c r="H398" s="194"/>
      <c r="I398" s="212"/>
      <c r="J398" s="281" t="s">
        <v>1184</v>
      </c>
      <c r="K398" s="307" t="s">
        <v>1185</v>
      </c>
      <c r="L398" s="66"/>
      <c r="M398" s="66"/>
      <c r="N398" s="66"/>
      <c r="O398" s="66"/>
      <c r="P398" s="66" t="str">
        <f>CONCATENATE('DISPO Att'!D398," ",'DISPO Att'!E398," ",'DISPO Att'!F398)</f>
        <v>Pat COSISI FREDERICK</v>
      </c>
      <c r="Q398" s="66" t="str">
        <f>IFERROR(VLOOKUP(P398,[1]Disposition!$AB$9:$AC$495,2,0),"NO RECORD YET")</f>
        <v>NO RECORD YET</v>
      </c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18" customHeight="1">
      <c r="A399" s="188">
        <v>393</v>
      </c>
      <c r="B399" s="193" t="s">
        <v>1065</v>
      </c>
      <c r="C399" s="189" t="s">
        <v>19</v>
      </c>
      <c r="D399" s="194" t="s">
        <v>28</v>
      </c>
      <c r="E399" s="195" t="s">
        <v>999</v>
      </c>
      <c r="F399" s="195" t="s">
        <v>1186</v>
      </c>
      <c r="G399" s="195" t="s">
        <v>1187</v>
      </c>
      <c r="H399" s="194"/>
      <c r="I399" s="212"/>
      <c r="J399" s="281" t="s">
        <v>1188</v>
      </c>
      <c r="K399" s="307" t="s">
        <v>1189</v>
      </c>
      <c r="L399" s="66"/>
      <c r="M399" s="66"/>
      <c r="N399" s="66"/>
      <c r="O399" s="66"/>
      <c r="P399" s="66" t="str">
        <f>CONCATENATE('DISPO Att'!D399," ",'DISPO Att'!E399," ",'DISPO Att'!F399)</f>
        <v>Pat DE LEON CHRISTOPHER</v>
      </c>
      <c r="Q399" s="66" t="str">
        <f>IFERROR(VLOOKUP(P399,[1]Disposition!$AB$9:$AC$495,2,0),"NO RECORD YET")</f>
        <v>NO RECORD YET</v>
      </c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18" customHeight="1">
      <c r="A400" s="188">
        <v>394</v>
      </c>
      <c r="B400" s="193" t="s">
        <v>1065</v>
      </c>
      <c r="C400" s="189" t="s">
        <v>19</v>
      </c>
      <c r="D400" s="194" t="s">
        <v>28</v>
      </c>
      <c r="E400" s="195" t="s">
        <v>135</v>
      </c>
      <c r="F400" s="195" t="s">
        <v>1190</v>
      </c>
      <c r="G400" s="195" t="s">
        <v>1191</v>
      </c>
      <c r="H400" s="194"/>
      <c r="I400" s="212"/>
      <c r="J400" s="281" t="s">
        <v>1192</v>
      </c>
      <c r="K400" s="307" t="s">
        <v>1193</v>
      </c>
      <c r="L400" s="66"/>
      <c r="M400" s="66"/>
      <c r="N400" s="66"/>
      <c r="O400" s="66"/>
      <c r="P400" s="66" t="str">
        <f>CONCATENATE('DISPO Att'!D400," ",'DISPO Att'!E400," ",'DISPO Att'!F400)</f>
        <v>Pat DEL ROSARIO BRIGGS</v>
      </c>
      <c r="Q400" s="66" t="str">
        <f>IFERROR(VLOOKUP(P400,[1]Disposition!$AB$9:$AC$495,2,0),"NO RECORD YET")</f>
        <v>NO RECORD YET</v>
      </c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18" customHeight="1">
      <c r="A401" s="188">
        <v>395</v>
      </c>
      <c r="B401" s="193" t="s">
        <v>1065</v>
      </c>
      <c r="C401" s="193" t="s">
        <v>39</v>
      </c>
      <c r="D401" s="190" t="s">
        <v>28</v>
      </c>
      <c r="E401" s="191" t="s">
        <v>1194</v>
      </c>
      <c r="F401" s="191" t="s">
        <v>108</v>
      </c>
      <c r="G401" s="191" t="s">
        <v>822</v>
      </c>
      <c r="H401" s="192"/>
      <c r="I401" s="212"/>
      <c r="J401" s="281" t="s">
        <v>1195</v>
      </c>
      <c r="K401" s="307" t="s">
        <v>1196</v>
      </c>
      <c r="L401" s="66"/>
      <c r="M401" s="66"/>
      <c r="N401" s="66"/>
      <c r="O401" s="66"/>
      <c r="P401" s="66" t="str">
        <f>CONCATENATE(E401," ",F401," ",G401)</f>
        <v>MELGAR CATHERINE MANUEL</v>
      </c>
      <c r="Q401" s="66" t="str">
        <f>IFERROR(VLOOKUP(P401,[1]Disposition!$AB$9:$AC$495,2,0),"NO RECORD YET")</f>
        <v>NO RECORD YET</v>
      </c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18" customHeight="1">
      <c r="A402" s="188">
        <v>396</v>
      </c>
      <c r="B402" s="193" t="s">
        <v>1065</v>
      </c>
      <c r="C402" s="193" t="s">
        <v>39</v>
      </c>
      <c r="D402" s="190" t="s">
        <v>40</v>
      </c>
      <c r="E402" s="191" t="s">
        <v>1197</v>
      </c>
      <c r="F402" s="191" t="s">
        <v>1198</v>
      </c>
      <c r="G402" s="191" t="s">
        <v>1199</v>
      </c>
      <c r="H402" s="192"/>
      <c r="I402" s="210"/>
      <c r="J402" s="279" t="s">
        <v>1200</v>
      </c>
      <c r="K402" s="307" t="s">
        <v>1201</v>
      </c>
      <c r="L402" s="66"/>
      <c r="M402" s="66"/>
      <c r="N402" s="66"/>
      <c r="O402" s="66"/>
      <c r="P402" s="66" t="str">
        <f>CONCATENATE('DISPO Att'!D402," ",'DISPO Att'!E402," ",'DISPO Att'!F402)</f>
        <v>NUP ALFONSO IRANIE</v>
      </c>
      <c r="Q402" s="66" t="str">
        <f>IFERROR(VLOOKUP(P402,[1]Disposition!$AB$9:$AC$495,2,0),"NO RECORD YET")</f>
        <v>NO RECORD YET</v>
      </c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18" customHeight="1">
      <c r="A403" s="188">
        <v>397</v>
      </c>
      <c r="B403" s="193" t="s">
        <v>1202</v>
      </c>
      <c r="C403" s="193" t="s">
        <v>39</v>
      </c>
      <c r="D403" s="190" t="s">
        <v>40</v>
      </c>
      <c r="E403" s="191" t="s">
        <v>1203</v>
      </c>
      <c r="F403" s="191" t="s">
        <v>1204</v>
      </c>
      <c r="G403" s="191" t="s">
        <v>1205</v>
      </c>
      <c r="H403" s="192"/>
      <c r="I403" s="210"/>
      <c r="J403" s="279" t="s">
        <v>1206</v>
      </c>
      <c r="K403" s="307" t="s">
        <v>1207</v>
      </c>
      <c r="L403" s="66"/>
      <c r="M403" s="66"/>
      <c r="N403" s="66"/>
      <c r="O403" s="66"/>
      <c r="P403" s="66" t="str">
        <f>CONCATENATE('DISPO Att'!D403," ",'DISPO Att'!E403," ",'DISPO Att'!F403)</f>
        <v>NUP BUSTARDE MA GOUDELIA</v>
      </c>
      <c r="Q403" s="66" t="str">
        <f>IFERROR(VLOOKUP(P403,[1]Disposition!$AB$9:$AC$495,2,0),"NO RECORD YET")</f>
        <v>NO RECORD YET</v>
      </c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18" customHeight="1">
      <c r="A404" s="188">
        <v>398</v>
      </c>
      <c r="B404" s="193" t="s">
        <v>1065</v>
      </c>
      <c r="C404" s="193" t="s">
        <v>39</v>
      </c>
      <c r="D404" s="190" t="s">
        <v>40</v>
      </c>
      <c r="E404" s="191" t="s">
        <v>256</v>
      </c>
      <c r="F404" s="191" t="s">
        <v>1208</v>
      </c>
      <c r="G404" s="191" t="s">
        <v>1209</v>
      </c>
      <c r="H404" s="192"/>
      <c r="I404" s="223"/>
      <c r="J404" s="279" t="s">
        <v>1210</v>
      </c>
      <c r="K404" s="307" t="s">
        <v>1211</v>
      </c>
      <c r="L404" s="66"/>
      <c r="M404" s="66"/>
      <c r="N404" s="66"/>
      <c r="O404" s="66"/>
      <c r="P404" s="66" t="str">
        <f>CONCATENATE('DISPO Att'!D404," ",'DISPO Att'!E404," ",'DISPO Att'!F404)</f>
        <v>NUP DELA CRUZ MELANIA</v>
      </c>
      <c r="Q404" s="66" t="str">
        <f>IFERROR(VLOOKUP(P404,[1]Disposition!$AB$9:$AC$495,2,0),"NO RECORD YET")</f>
        <v>NO RECORD YET</v>
      </c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18" customHeight="1">
      <c r="A405" s="188">
        <v>399</v>
      </c>
      <c r="B405" s="193" t="s">
        <v>1065</v>
      </c>
      <c r="C405" s="189" t="s">
        <v>19</v>
      </c>
      <c r="D405" s="190" t="s">
        <v>40</v>
      </c>
      <c r="E405" s="191" t="s">
        <v>1212</v>
      </c>
      <c r="F405" s="191" t="s">
        <v>1213</v>
      </c>
      <c r="G405" s="191" t="s">
        <v>1214</v>
      </c>
      <c r="H405" s="192"/>
      <c r="I405" s="223"/>
      <c r="J405" s="279"/>
      <c r="K405" s="282"/>
      <c r="L405" s="66"/>
      <c r="M405" s="66"/>
      <c r="N405" s="66"/>
      <c r="O405" s="66"/>
      <c r="P405" s="66" t="str">
        <f>CONCATENATE('DISPO Att'!D405," ",'DISPO Att'!E405," ",'DISPO Att'!F405)</f>
        <v>NUP DE LANA XZYRON</v>
      </c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spans="1:27" ht="18" customHeight="1">
      <c r="A406" s="188">
        <v>400</v>
      </c>
      <c r="B406" s="193" t="s">
        <v>1065</v>
      </c>
      <c r="C406" s="193" t="s">
        <v>39</v>
      </c>
      <c r="D406" s="190" t="s">
        <v>40</v>
      </c>
      <c r="E406" s="191" t="s">
        <v>1215</v>
      </c>
      <c r="F406" s="191" t="s">
        <v>1216</v>
      </c>
      <c r="G406" s="191" t="s">
        <v>1217</v>
      </c>
      <c r="H406" s="192"/>
      <c r="I406" s="210"/>
      <c r="J406" s="279" t="s">
        <v>1218</v>
      </c>
      <c r="K406" s="308" t="s">
        <v>1219</v>
      </c>
      <c r="L406" s="66"/>
      <c r="M406" s="66"/>
      <c r="N406" s="66"/>
      <c r="O406" s="66"/>
      <c r="P406" s="66" t="str">
        <f>CONCATENATE('DISPO Att'!D406," ",'DISPO Att'!E406," ",'DISPO Att'!F406)</f>
        <v>NUP MANDAL BIBIANA</v>
      </c>
      <c r="Q406" s="66" t="str">
        <f>IFERROR(VLOOKUP(P406,[1]Disposition!$AB$9:$AC$495,2,0),"NO RECORD YET")</f>
        <v>NO RECORD YET</v>
      </c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18" customHeight="1">
      <c r="A407" s="188">
        <v>401</v>
      </c>
      <c r="B407" s="193" t="s">
        <v>1065</v>
      </c>
      <c r="C407" s="193" t="s">
        <v>39</v>
      </c>
      <c r="D407" s="190" t="s">
        <v>40</v>
      </c>
      <c r="E407" s="191" t="s">
        <v>1220</v>
      </c>
      <c r="F407" s="191" t="s">
        <v>1221</v>
      </c>
      <c r="G407" s="191" t="s">
        <v>836</v>
      </c>
      <c r="H407" s="192"/>
      <c r="I407" s="223"/>
      <c r="J407" s="279" t="s">
        <v>1222</v>
      </c>
      <c r="K407" s="307" t="s">
        <v>1223</v>
      </c>
      <c r="L407" s="66"/>
      <c r="M407" s="66"/>
      <c r="N407" s="66"/>
      <c r="O407" s="66"/>
      <c r="P407" s="66" t="str">
        <f>CONCATENATE('DISPO Att'!D407," ",'DISPO Att'!E407," ",'DISPO Att'!F407)</f>
        <v>NUP MEJIA GIRLIE</v>
      </c>
      <c r="Q407" s="66" t="str">
        <f>IFERROR(VLOOKUP(P407,[1]Disposition!$AB$9:$AC$495,2,0),"NO RECORD YET")</f>
        <v>NO RECORD YET</v>
      </c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18" customHeight="1">
      <c r="A408" s="188">
        <v>402</v>
      </c>
      <c r="B408" s="193" t="s">
        <v>1065</v>
      </c>
      <c r="C408" s="193" t="s">
        <v>39</v>
      </c>
      <c r="D408" s="190" t="s">
        <v>40</v>
      </c>
      <c r="E408" s="191" t="s">
        <v>1224</v>
      </c>
      <c r="F408" s="191" t="s">
        <v>1225</v>
      </c>
      <c r="G408" s="191" t="s">
        <v>1226</v>
      </c>
      <c r="H408" s="192"/>
      <c r="I408" s="210"/>
      <c r="J408" s="279" t="s">
        <v>1227</v>
      </c>
      <c r="K408" s="307" t="s">
        <v>1228</v>
      </c>
      <c r="L408" s="66"/>
      <c r="M408" s="66"/>
      <c r="N408" s="66"/>
      <c r="O408" s="66"/>
      <c r="P408" s="66" t="str">
        <f>CONCATENATE('DISPO Att'!D408," ",'DISPO Att'!E408," ",'DISPO Att'!F408)</f>
        <v>NUP VASQUEZ ANNIE</v>
      </c>
      <c r="Q408" s="66" t="str">
        <f>IFERROR(VLOOKUP(P408,[1]Disposition!$AB$9:$AC$495,2,0),"NO RECORD YET")</f>
        <v>NO RECORD YET</v>
      </c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18" customHeight="1">
      <c r="A409" s="188">
        <v>403</v>
      </c>
      <c r="B409" s="193" t="s">
        <v>1229</v>
      </c>
      <c r="C409" s="193" t="s">
        <v>39</v>
      </c>
      <c r="D409" s="205" t="s">
        <v>96</v>
      </c>
      <c r="E409" s="204" t="s">
        <v>1230</v>
      </c>
      <c r="F409" s="204" t="s">
        <v>171</v>
      </c>
      <c r="G409" s="204" t="s">
        <v>1231</v>
      </c>
      <c r="H409" s="205"/>
      <c r="I409" s="210"/>
      <c r="J409" s="279" t="s">
        <v>1232</v>
      </c>
      <c r="K409" s="307" t="s">
        <v>1233</v>
      </c>
      <c r="L409" s="66"/>
      <c r="M409" s="66"/>
      <c r="N409" s="66"/>
      <c r="O409" s="66"/>
      <c r="P409" s="66" t="str">
        <f>CONCATENATE('DISPO Att'!D409," ",'DISPO Att'!E409," ",'DISPO Att'!F409)</f>
        <v>PCPT MARTINEZ ANGELICA</v>
      </c>
      <c r="Q409" s="66" t="str">
        <f>IFERROR(VLOOKUP(P409,[1]Disposition!$AB$9:$AC$495,2,0),"NO RECORD YET")</f>
        <v>NO RECORD YET</v>
      </c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18" customHeight="1">
      <c r="A410" s="188">
        <v>404</v>
      </c>
      <c r="B410" s="193" t="s">
        <v>1229</v>
      </c>
      <c r="C410" s="189" t="s">
        <v>19</v>
      </c>
      <c r="D410" s="205" t="s">
        <v>96</v>
      </c>
      <c r="E410" s="204" t="s">
        <v>1234</v>
      </c>
      <c r="F410" s="204" t="s">
        <v>1235</v>
      </c>
      <c r="G410" s="204" t="s">
        <v>1236</v>
      </c>
      <c r="H410" s="194"/>
      <c r="I410" s="210"/>
      <c r="J410" s="279" t="s">
        <v>1237</v>
      </c>
      <c r="K410" s="307" t="s">
        <v>1238</v>
      </c>
      <c r="L410" s="66"/>
      <c r="M410" s="66"/>
      <c r="N410" s="66"/>
      <c r="O410" s="66"/>
      <c r="P410" s="66" t="str">
        <f>CONCATENATE('DISPO Att'!D410," ",'DISPO Att'!E410," ",'DISPO Att'!F410)</f>
        <v>PCPT PILASPILAS MARK JAYSON</v>
      </c>
      <c r="Q410" s="66" t="str">
        <f>IFERROR(VLOOKUP(P410,[1]Disposition!$AB$9:$AC$495,2,0),"NO RECORD YET")</f>
        <v>NO RECORD YET</v>
      </c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18" customHeight="1">
      <c r="A411" s="188">
        <v>405</v>
      </c>
      <c r="B411" s="193" t="s">
        <v>1229</v>
      </c>
      <c r="C411" s="189" t="s">
        <v>19</v>
      </c>
      <c r="D411" s="205" t="s">
        <v>246</v>
      </c>
      <c r="E411" s="204" t="s">
        <v>1239</v>
      </c>
      <c r="F411" s="204" t="s">
        <v>1240</v>
      </c>
      <c r="G411" s="204" t="s">
        <v>1128</v>
      </c>
      <c r="H411" s="205"/>
      <c r="I411" s="210"/>
      <c r="J411" s="279" t="s">
        <v>1241</v>
      </c>
      <c r="K411" s="307" t="s">
        <v>1242</v>
      </c>
      <c r="L411" s="66"/>
      <c r="M411" s="66"/>
      <c r="N411" s="66"/>
      <c r="O411" s="66"/>
      <c r="P411" s="66" t="str">
        <f>CONCATENATE('DISPO Att'!D411," ",'DISPO Att'!E411," ",'DISPO Att'!F411)</f>
        <v>PLT BILLOTE KYLE BENEDICT</v>
      </c>
      <c r="Q411" s="66" t="str">
        <f>IFERROR(VLOOKUP(P411,[1]Disposition!$AB$9:$AC$495,2,0),"NO RECORD YET")</f>
        <v>NO RECORD YET</v>
      </c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18" customHeight="1">
      <c r="A412" s="188">
        <v>406</v>
      </c>
      <c r="B412" s="193" t="s">
        <v>1229</v>
      </c>
      <c r="C412" s="189" t="s">
        <v>19</v>
      </c>
      <c r="D412" s="194" t="s">
        <v>28</v>
      </c>
      <c r="E412" s="195" t="s">
        <v>1243</v>
      </c>
      <c r="F412" s="195" t="s">
        <v>1244</v>
      </c>
      <c r="G412" s="195" t="s">
        <v>1245</v>
      </c>
      <c r="H412" s="194"/>
      <c r="I412" s="210"/>
      <c r="J412" s="281" t="s">
        <v>1246</v>
      </c>
      <c r="K412" s="307" t="s">
        <v>1247</v>
      </c>
      <c r="L412" s="66"/>
      <c r="M412" s="66"/>
      <c r="N412" s="66"/>
      <c r="O412" s="66"/>
      <c r="P412" s="66" t="str">
        <f>CONCATENATE('DISPO Att'!D412," ",'DISPO Att'!E412," ",'DISPO Att'!F412)</f>
        <v>Pat BURIGSAY MARC IVOR JAN</v>
      </c>
      <c r="Q412" s="66" t="str">
        <f>IFERROR(VLOOKUP(P412,[1]Disposition!$AB$9:$AC$495,2,0),"NO RECORD YET")</f>
        <v>NO RECORD YET</v>
      </c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18" customHeight="1">
      <c r="A413" s="188">
        <v>407</v>
      </c>
      <c r="B413" s="193" t="s">
        <v>1229</v>
      </c>
      <c r="C413" s="189" t="s">
        <v>19</v>
      </c>
      <c r="D413" s="194" t="s">
        <v>28</v>
      </c>
      <c r="E413" s="195" t="s">
        <v>311</v>
      </c>
      <c r="F413" s="195" t="s">
        <v>1248</v>
      </c>
      <c r="G413" s="195" t="s">
        <v>1249</v>
      </c>
      <c r="H413" s="194"/>
      <c r="I413" s="210"/>
      <c r="J413" s="185" t="s">
        <v>1250</v>
      </c>
      <c r="K413" s="307" t="s">
        <v>1251</v>
      </c>
      <c r="L413" s="66"/>
      <c r="M413" s="66"/>
      <c r="N413" s="66"/>
      <c r="O413" s="66"/>
      <c r="P413" s="66" t="str">
        <f>CONCATENATE('DISPO Att'!D413," ",'DISPO Att'!E413," ",'DISPO Att'!F413)</f>
        <v>Pat CASTRO VOLTAIRE</v>
      </c>
      <c r="Q413" s="66" t="str">
        <f>IFERROR(VLOOKUP(P413,[1]Disposition!$AB$9:$AC$495,2,0),"NO RECORD YET")</f>
        <v>NO RECORD YET</v>
      </c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18" customHeight="1">
      <c r="A414" s="188">
        <v>408</v>
      </c>
      <c r="B414" s="193" t="s">
        <v>1229</v>
      </c>
      <c r="C414" s="189" t="s">
        <v>19</v>
      </c>
      <c r="D414" s="194" t="s">
        <v>28</v>
      </c>
      <c r="E414" s="195" t="s">
        <v>1252</v>
      </c>
      <c r="F414" s="195" t="s">
        <v>1253</v>
      </c>
      <c r="G414" s="195" t="s">
        <v>311</v>
      </c>
      <c r="H414" s="194" t="s">
        <v>268</v>
      </c>
      <c r="I414" s="212"/>
      <c r="J414" s="281" t="s">
        <v>1254</v>
      </c>
      <c r="K414" s="307" t="s">
        <v>1255</v>
      </c>
      <c r="L414" s="66"/>
      <c r="M414" s="66"/>
      <c r="N414" s="66"/>
      <c r="O414" s="66"/>
      <c r="P414" s="66" t="str">
        <f>CONCATENATE('DISPO Att'!D414," ",'DISPO Att'!E414," ",'DISPO Att'!F414)</f>
        <v>Pat HERRERA  EDGARDO</v>
      </c>
      <c r="Q414" s="66" t="str">
        <f>IFERROR(VLOOKUP(P414,[1]Disposition!$AB$9:$AC$495,2,0),"NO RECORD YET")</f>
        <v>NO RECORD YET</v>
      </c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18" customHeight="1">
      <c r="A415" s="188">
        <v>409</v>
      </c>
      <c r="B415" s="193" t="s">
        <v>1229</v>
      </c>
      <c r="C415" s="231" t="s">
        <v>19</v>
      </c>
      <c r="D415" s="194" t="s">
        <v>28</v>
      </c>
      <c r="E415" s="204" t="s">
        <v>87</v>
      </c>
      <c r="F415" s="204" t="s">
        <v>1256</v>
      </c>
      <c r="G415" s="204" t="s">
        <v>914</v>
      </c>
      <c r="H415" s="205"/>
      <c r="I415" s="212"/>
      <c r="J415" s="279" t="s">
        <v>1257</v>
      </c>
      <c r="K415" s="307" t="s">
        <v>1258</v>
      </c>
      <c r="L415" s="66"/>
      <c r="M415" s="66"/>
      <c r="N415" s="66"/>
      <c r="O415" s="66"/>
      <c r="P415" s="66" t="str">
        <f>CONCATENATE('DISPO Att'!D415," ",'DISPO Att'!E415," ",'DISPO Att'!F415)</f>
        <v>Pat LLANEZA MARC</v>
      </c>
      <c r="Q415" s="66" t="str">
        <f>IFERROR(VLOOKUP(P415,[1]Disposition!$AB$9:$AC$495,2,0),"NO RECORD YET")</f>
        <v>NO RECORD YET</v>
      </c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18" customHeight="1">
      <c r="A416" s="188">
        <v>410</v>
      </c>
      <c r="B416" s="193" t="s">
        <v>1229</v>
      </c>
      <c r="C416" s="189" t="s">
        <v>19</v>
      </c>
      <c r="D416" s="194" t="s">
        <v>28</v>
      </c>
      <c r="E416" s="195" t="s">
        <v>1259</v>
      </c>
      <c r="F416" s="195" t="s">
        <v>1260</v>
      </c>
      <c r="G416" s="195" t="s">
        <v>962</v>
      </c>
      <c r="H416" s="194"/>
      <c r="I416" s="212"/>
      <c r="J416" s="281" t="s">
        <v>1261</v>
      </c>
      <c r="K416" s="307" t="s">
        <v>1262</v>
      </c>
      <c r="L416" s="66"/>
      <c r="M416" s="66"/>
      <c r="N416" s="66"/>
      <c r="O416" s="66"/>
      <c r="P416" s="66" t="str">
        <f>CONCATENATE('DISPO Att'!D416," ",'DISPO Att'!E416," ",'DISPO Att'!F416)</f>
        <v>Pat MONTIGO MARKIN</v>
      </c>
      <c r="Q416" s="66" t="str">
        <f>IFERROR(VLOOKUP(P416,[1]Disposition!$AB$9:$AC$495,2,0),"NO RECORD YET")</f>
        <v>NO RECORD YET</v>
      </c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18" customHeight="1">
      <c r="A417" s="188">
        <v>411</v>
      </c>
      <c r="B417" s="193" t="s">
        <v>1229</v>
      </c>
      <c r="C417" s="189" t="s">
        <v>19</v>
      </c>
      <c r="D417" s="194" t="s">
        <v>28</v>
      </c>
      <c r="E417" s="195" t="s">
        <v>423</v>
      </c>
      <c r="F417" s="195" t="s">
        <v>1263</v>
      </c>
      <c r="G417" s="195" t="s">
        <v>1264</v>
      </c>
      <c r="H417" s="194"/>
      <c r="I417" s="212"/>
      <c r="J417" s="281" t="s">
        <v>1265</v>
      </c>
      <c r="K417" s="307" t="s">
        <v>1266</v>
      </c>
      <c r="L417" s="66"/>
      <c r="M417" s="66"/>
      <c r="N417" s="66"/>
      <c r="O417" s="66"/>
      <c r="P417" s="66" t="str">
        <f>CONCATENATE('DISPO Att'!D417," ",'DISPO Att'!E417," ",'DISPO Att'!F417)</f>
        <v>Pat TAMONDONG ALEXIS</v>
      </c>
      <c r="Q417" s="66" t="str">
        <f>IFERROR(VLOOKUP(P417,[1]Disposition!$AB$9:$AC$495,2,0),"NO RECORD YET")</f>
        <v>NO RECORD YET</v>
      </c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18" customHeight="1">
      <c r="A418" s="188">
        <v>412</v>
      </c>
      <c r="B418" s="193" t="s">
        <v>1229</v>
      </c>
      <c r="C418" s="193" t="s">
        <v>39</v>
      </c>
      <c r="D418" s="190" t="s">
        <v>40</v>
      </c>
      <c r="E418" s="191" t="s">
        <v>1267</v>
      </c>
      <c r="F418" s="191" t="s">
        <v>1268</v>
      </c>
      <c r="G418" s="191" t="s">
        <v>155</v>
      </c>
      <c r="H418" s="192"/>
      <c r="I418" s="228"/>
      <c r="J418" s="279" t="s">
        <v>1269</v>
      </c>
      <c r="K418" s="307" t="s">
        <v>1270</v>
      </c>
      <c r="L418" s="66"/>
      <c r="M418" s="66"/>
      <c r="N418" s="66"/>
      <c r="O418" s="66"/>
      <c r="P418" s="66" t="str">
        <f>CONCATENATE(E523," ",F523," ",G523)</f>
        <v>MORALES MARIA MARGARITA ROSARIO GARCIA</v>
      </c>
      <c r="Q418" s="66" t="str">
        <f>IFERROR(VLOOKUP(P418,[1]Disposition!$AB$9:$AC$495,2,0),"NO RECORD YET")</f>
        <v>34 Sto. Rosario St., Republic Avenue, Brgy. Holy Spirit, Quezon City</v>
      </c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18" customHeight="1">
      <c r="A419" s="188">
        <v>413</v>
      </c>
      <c r="B419" s="193" t="s">
        <v>1229</v>
      </c>
      <c r="C419" s="189" t="s">
        <v>19</v>
      </c>
      <c r="D419" s="190" t="s">
        <v>40</v>
      </c>
      <c r="E419" s="191" t="s">
        <v>1271</v>
      </c>
      <c r="F419" s="191" t="s">
        <v>1272</v>
      </c>
      <c r="G419" s="191" t="s">
        <v>1273</v>
      </c>
      <c r="H419" s="192"/>
      <c r="I419" s="223"/>
      <c r="J419" s="279"/>
      <c r="K419" s="282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18" customHeight="1">
      <c r="A420" s="188">
        <v>414</v>
      </c>
      <c r="B420" s="193" t="s">
        <v>1229</v>
      </c>
      <c r="C420" s="193" t="s">
        <v>39</v>
      </c>
      <c r="D420" s="190" t="s">
        <v>40</v>
      </c>
      <c r="E420" s="191" t="s">
        <v>929</v>
      </c>
      <c r="F420" s="191" t="s">
        <v>1274</v>
      </c>
      <c r="G420" s="191" t="s">
        <v>206</v>
      </c>
      <c r="H420" s="192"/>
      <c r="I420" s="223"/>
      <c r="J420" s="279"/>
      <c r="K420" s="282"/>
      <c r="L420" s="66"/>
      <c r="M420" s="66"/>
      <c r="N420" s="66"/>
      <c r="O420" s="66"/>
      <c r="P420" s="66" t="str">
        <f>CONCATENATE('DISPO Att'!D420," ",'DISPO Att'!E420," ",'DISPO Att'!F420)</f>
        <v>NUP PALISOC ALYSSA ALEXANDRIA</v>
      </c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18" customHeight="1">
      <c r="A421" s="188">
        <v>415</v>
      </c>
      <c r="B421" s="193" t="s">
        <v>1229</v>
      </c>
      <c r="C421" s="189" t="s">
        <v>19</v>
      </c>
      <c r="D421" s="190" t="s">
        <v>40</v>
      </c>
      <c r="E421" s="191" t="s">
        <v>1275</v>
      </c>
      <c r="F421" s="191" t="s">
        <v>1276</v>
      </c>
      <c r="G421" s="191" t="s">
        <v>1277</v>
      </c>
      <c r="H421" s="192"/>
      <c r="I421" s="210"/>
      <c r="J421" s="279" t="s">
        <v>1278</v>
      </c>
      <c r="K421" s="308" t="s">
        <v>1279</v>
      </c>
      <c r="L421" s="66"/>
      <c r="M421" s="66"/>
      <c r="N421" s="66"/>
      <c r="O421" s="66"/>
      <c r="P421" s="66" t="str">
        <f>CONCATENATE(E561," ",F561," ",G561)</f>
        <v>PINEDA PRECIOUS PEARL  PACTAO</v>
      </c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18" customHeight="1">
      <c r="A422" s="188">
        <v>416</v>
      </c>
      <c r="B422" s="193" t="s">
        <v>1229</v>
      </c>
      <c r="C422" s="193" t="s">
        <v>39</v>
      </c>
      <c r="D422" s="190" t="s">
        <v>40</v>
      </c>
      <c r="E422" s="191" t="s">
        <v>423</v>
      </c>
      <c r="F422" s="191" t="s">
        <v>1280</v>
      </c>
      <c r="G422" s="191" t="s">
        <v>1281</v>
      </c>
      <c r="H422" s="192"/>
      <c r="I422" s="210"/>
      <c r="J422" s="279" t="s">
        <v>1282</v>
      </c>
      <c r="K422" s="307" t="s">
        <v>1283</v>
      </c>
      <c r="L422" s="66"/>
      <c r="M422" s="66"/>
      <c r="N422" s="66"/>
      <c r="O422" s="66"/>
      <c r="P422" s="66" t="str">
        <f>CONCATENATE('DISPO Att'!D422," ",'DISPO Att'!E422," ",'DISPO Att'!F422)</f>
        <v>NUP TAMONDONG MELANIE JANE</v>
      </c>
      <c r="Q422" s="66" t="str">
        <f>IFERROR(VLOOKUP(P422,[1]Disposition!$AB$9:$AC$495,2,0),"NO RECORD YET")</f>
        <v>NO RECORD YET</v>
      </c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18" customHeight="1">
      <c r="A423" s="188">
        <v>417</v>
      </c>
      <c r="B423" s="189" t="s">
        <v>1284</v>
      </c>
      <c r="C423" s="193" t="s">
        <v>19</v>
      </c>
      <c r="D423" s="194" t="s">
        <v>96</v>
      </c>
      <c r="E423" s="191" t="s">
        <v>1285</v>
      </c>
      <c r="F423" s="191" t="s">
        <v>1286</v>
      </c>
      <c r="G423" s="191" t="s">
        <v>1287</v>
      </c>
      <c r="H423" s="192"/>
      <c r="I423" s="210"/>
      <c r="J423" s="279" t="s">
        <v>1288</v>
      </c>
      <c r="K423" s="307" t="s">
        <v>1289</v>
      </c>
      <c r="L423" s="66"/>
      <c r="M423" s="66"/>
      <c r="N423" s="66"/>
      <c r="O423" s="66"/>
      <c r="P423" s="66" t="str">
        <f t="shared" ref="P423:P436" si="9">CONCATENATE(E423," ",F423," ",G423)</f>
        <v>ANURAN ADRIAN MIRASOL</v>
      </c>
      <c r="Q423" s="66" t="str">
        <f>IFERROR(VLOOKUP(P423,[1]Disposition!$AB$9:$AC$495,2,0),"NO RECORD YET")</f>
        <v>57 A Delas Alas St., Zone 13, Taal, Batangas</v>
      </c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18" customHeight="1">
      <c r="A424" s="188">
        <v>418</v>
      </c>
      <c r="B424" s="189" t="s">
        <v>1290</v>
      </c>
      <c r="C424" s="193" t="s">
        <v>19</v>
      </c>
      <c r="D424" s="190" t="s">
        <v>160</v>
      </c>
      <c r="E424" s="191" t="s">
        <v>1291</v>
      </c>
      <c r="F424" s="191" t="s">
        <v>1292</v>
      </c>
      <c r="G424" s="191" t="s">
        <v>1293</v>
      </c>
      <c r="H424" s="192"/>
      <c r="I424" s="210"/>
      <c r="J424" s="279" t="s">
        <v>1294</v>
      </c>
      <c r="K424" s="307" t="s">
        <v>1295</v>
      </c>
      <c r="L424" s="66"/>
      <c r="M424" s="66"/>
      <c r="N424" s="66"/>
      <c r="O424" s="66"/>
      <c r="P424" s="66" t="str">
        <f t="shared" si="9"/>
        <v>RIMANDO JUVENAL AFOS</v>
      </c>
      <c r="Q424" s="66" t="str">
        <f>IFERROR(VLOOKUP(P424,[1]Disposition!$AB$9:$AC$495,2,0),"NO RECORD YET")</f>
        <v>B12 L5 Phase M, Francisco Homes, SJDM, Bulacan</v>
      </c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18" customHeight="1">
      <c r="A425" s="188">
        <v>419</v>
      </c>
      <c r="B425" s="189" t="s">
        <v>1296</v>
      </c>
      <c r="C425" s="193" t="s">
        <v>19</v>
      </c>
      <c r="D425" s="190" t="s">
        <v>40</v>
      </c>
      <c r="E425" s="191" t="s">
        <v>1297</v>
      </c>
      <c r="F425" s="191" t="s">
        <v>1298</v>
      </c>
      <c r="G425" s="191" t="s">
        <v>1299</v>
      </c>
      <c r="H425" s="192" t="s">
        <v>268</v>
      </c>
      <c r="I425" s="210"/>
      <c r="J425" s="279" t="s">
        <v>1300</v>
      </c>
      <c r="K425" s="307" t="s">
        <v>1301</v>
      </c>
      <c r="L425" s="66"/>
      <c r="M425" s="66"/>
      <c r="N425" s="66"/>
      <c r="O425" s="66"/>
      <c r="P425" s="66" t="str">
        <f t="shared" si="9"/>
        <v>RARO EMILIO GARADO</v>
      </c>
      <c r="Q425" s="66" t="str">
        <f>IFERROR(VLOOKUP(P425,[1]Disposition!$AB$9:$AC$495,2,0),"NO RECORD YET")</f>
        <v>12W RD 8, 1st West, Crame, San Juan City</v>
      </c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18" customHeight="1">
      <c r="A426" s="188">
        <v>420</v>
      </c>
      <c r="B426" s="189" t="s">
        <v>1296</v>
      </c>
      <c r="C426" s="189" t="s">
        <v>19</v>
      </c>
      <c r="D426" s="190" t="s">
        <v>96</v>
      </c>
      <c r="E426" s="204" t="s">
        <v>1302</v>
      </c>
      <c r="F426" s="204" t="s">
        <v>1303</v>
      </c>
      <c r="G426" s="204" t="s">
        <v>1304</v>
      </c>
      <c r="H426" s="205"/>
      <c r="I426" s="210"/>
      <c r="J426" s="279" t="s">
        <v>1305</v>
      </c>
      <c r="K426" s="307" t="s">
        <v>1306</v>
      </c>
      <c r="L426" s="66"/>
      <c r="M426" s="66"/>
      <c r="N426" s="66"/>
      <c r="O426" s="66"/>
      <c r="P426" s="66" t="str">
        <f t="shared" si="9"/>
        <v>ANISCO ARCHIE STO.DOMINGO</v>
      </c>
      <c r="Q426" s="66" t="str">
        <f>IFERROR(VLOOKUP(P426,[1]Disposition!$AB$9:$AC$495,2,0),"NO RECORD YET")</f>
        <v>103 Lacson Street, Tondo, Manila</v>
      </c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spans="1:27" ht="18" customHeight="1">
      <c r="A427" s="188">
        <v>421</v>
      </c>
      <c r="B427" s="189" t="s">
        <v>1296</v>
      </c>
      <c r="C427" s="193" t="s">
        <v>39</v>
      </c>
      <c r="D427" s="190" t="s">
        <v>96</v>
      </c>
      <c r="E427" s="204" t="s">
        <v>1307</v>
      </c>
      <c r="F427" s="204" t="s">
        <v>1308</v>
      </c>
      <c r="G427" s="204" t="s">
        <v>151</v>
      </c>
      <c r="H427" s="205"/>
      <c r="I427" s="210"/>
      <c r="J427" s="279" t="s">
        <v>1309</v>
      </c>
      <c r="K427" s="307" t="s">
        <v>1310</v>
      </c>
      <c r="L427" s="66"/>
      <c r="M427" s="66"/>
      <c r="N427" s="66"/>
      <c r="O427" s="66"/>
      <c r="P427" s="66" t="str">
        <f t="shared" si="9"/>
        <v>CAROLINO JERALYNE RAMOS</v>
      </c>
      <c r="Q427" s="66" t="str">
        <f>IFERROR(VLOOKUP(P427,[1]Disposition!$AB$9:$AC$495,2,0),"NO RECORD YET")</f>
        <v>Block 6 Lot 2, Kingstown 2 Subdivision, Barangay 171, Caloocan City</v>
      </c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spans="1:27" ht="18" customHeight="1">
      <c r="A428" s="188">
        <v>422</v>
      </c>
      <c r="B428" s="189" t="s">
        <v>1296</v>
      </c>
      <c r="C428" s="189" t="s">
        <v>19</v>
      </c>
      <c r="D428" s="190" t="s">
        <v>96</v>
      </c>
      <c r="E428" s="204" t="s">
        <v>1311</v>
      </c>
      <c r="F428" s="204" t="s">
        <v>1312</v>
      </c>
      <c r="G428" s="204" t="s">
        <v>1313</v>
      </c>
      <c r="H428" s="205"/>
      <c r="I428" s="210"/>
      <c r="J428" s="279" t="s">
        <v>1314</v>
      </c>
      <c r="K428" s="307" t="s">
        <v>1315</v>
      </c>
      <c r="L428" s="66"/>
      <c r="M428" s="66"/>
      <c r="N428" s="66"/>
      <c r="O428" s="66"/>
      <c r="P428" s="66" t="str">
        <f t="shared" si="9"/>
        <v>PAPIÑA PATRICK LYNDON PARCAREY</v>
      </c>
      <c r="Q428" s="66" t="str">
        <f>IFERROR(VLOOKUP(P428,[1]Disposition!$AB$9:$AC$495,2,0),"NO RECORD YET")</f>
        <v>E Glinoga, Castillo (Pob.), Pitogo, Quezon</v>
      </c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spans="1:27" ht="18" customHeight="1">
      <c r="A429" s="188">
        <v>423</v>
      </c>
      <c r="B429" s="189" t="s">
        <v>1296</v>
      </c>
      <c r="C429" s="189" t="s">
        <v>19</v>
      </c>
      <c r="D429" s="190" t="s">
        <v>96</v>
      </c>
      <c r="E429" s="204" t="s">
        <v>1316</v>
      </c>
      <c r="F429" s="204" t="s">
        <v>1317</v>
      </c>
      <c r="G429" s="204" t="s">
        <v>1318</v>
      </c>
      <c r="H429" s="205"/>
      <c r="I429" s="210"/>
      <c r="J429" s="279" t="s">
        <v>1319</v>
      </c>
      <c r="K429" s="307" t="s">
        <v>1320</v>
      </c>
      <c r="L429" s="66"/>
      <c r="M429" s="66"/>
      <c r="N429" s="66"/>
      <c r="O429" s="66"/>
      <c r="P429" s="66" t="str">
        <f t="shared" si="9"/>
        <v>ULPINDO KRISANTO TAPIA</v>
      </c>
      <c r="Q429" s="66" t="str">
        <f>IFERROR(VLOOKUP(P429,[1]Disposition!$AB$9:$AC$495,2,0),"NO RECORD YET")</f>
        <v>Block 12 Lot 33 Hamburg St., Mercedes Executive Village, San Andres (Pob.), Cainta, Rizal</v>
      </c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spans="1:27" ht="18" customHeight="1">
      <c r="A430" s="188">
        <v>424</v>
      </c>
      <c r="B430" s="189" t="s">
        <v>1296</v>
      </c>
      <c r="C430" s="189" t="s">
        <v>19</v>
      </c>
      <c r="D430" s="190" t="s">
        <v>246</v>
      </c>
      <c r="E430" s="191" t="s">
        <v>1321</v>
      </c>
      <c r="F430" s="191" t="s">
        <v>1322</v>
      </c>
      <c r="G430" s="191" t="s">
        <v>1323</v>
      </c>
      <c r="H430" s="192"/>
      <c r="I430" s="210"/>
      <c r="J430" s="279" t="s">
        <v>1324</v>
      </c>
      <c r="K430" s="282"/>
      <c r="L430" s="66"/>
      <c r="M430" s="66"/>
      <c r="N430" s="66"/>
      <c r="O430" s="66"/>
      <c r="P430" s="66" t="str">
        <f t="shared" si="9"/>
        <v>PARRE WINSTON SAFLOR</v>
      </c>
      <c r="Q430" s="66" t="str">
        <f>IFERROR(VLOOKUP(P430,[1]Disposition!$AB$9:$AC$495,2,0),"NO RECORD YET")</f>
        <v>NO RECORD YET</v>
      </c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spans="1:27" ht="18" customHeight="1">
      <c r="A431" s="188">
        <v>425</v>
      </c>
      <c r="B431" s="189" t="s">
        <v>1296</v>
      </c>
      <c r="C431" s="193" t="s">
        <v>39</v>
      </c>
      <c r="D431" s="190" t="s">
        <v>40</v>
      </c>
      <c r="E431" s="191" t="s">
        <v>1325</v>
      </c>
      <c r="F431" s="191" t="s">
        <v>1326</v>
      </c>
      <c r="G431" s="191" t="s">
        <v>1327</v>
      </c>
      <c r="H431" s="192"/>
      <c r="I431" s="210"/>
      <c r="J431" s="279" t="s">
        <v>1328</v>
      </c>
      <c r="K431" s="307" t="s">
        <v>1329</v>
      </c>
      <c r="L431" s="66"/>
      <c r="M431" s="66"/>
      <c r="N431" s="66"/>
      <c r="O431" s="66"/>
      <c r="P431" s="66" t="str">
        <f t="shared" si="9"/>
        <v>LUANSING DIANALYN MAGLIPON</v>
      </c>
      <c r="Q431" s="66" t="str">
        <f>IFERROR(VLOOKUP(P431,[1]Disposition!$AB$9:$AC$495,2,0),"NO RECORD YET")</f>
        <v>61 F. Manalo St., Calzada Tipas, Taguig City\</v>
      </c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spans="1:27" ht="18" customHeight="1">
      <c r="A432" s="188">
        <v>426</v>
      </c>
      <c r="B432" s="189" t="s">
        <v>1330</v>
      </c>
      <c r="C432" s="189" t="s">
        <v>19</v>
      </c>
      <c r="D432" s="190" t="s">
        <v>40</v>
      </c>
      <c r="E432" s="191" t="s">
        <v>1331</v>
      </c>
      <c r="F432" s="191" t="s">
        <v>1332</v>
      </c>
      <c r="G432" s="191" t="s">
        <v>1333</v>
      </c>
      <c r="H432" s="192"/>
      <c r="I432" s="210"/>
      <c r="J432" s="279" t="s">
        <v>1334</v>
      </c>
      <c r="K432" s="307" t="s">
        <v>1335</v>
      </c>
      <c r="L432" s="66"/>
      <c r="M432" s="66"/>
      <c r="N432" s="66"/>
      <c r="O432" s="66"/>
      <c r="P432" s="66" t="str">
        <f t="shared" si="9"/>
        <v>LANUZA ARNOLD  ZABATE</v>
      </c>
      <c r="Q432" s="66" t="str">
        <f>IFERROR(VLOOKUP(P432,[1]Disposition!$AB$9:$AC$495,2,0),"NO RECORD YET")</f>
        <v>12 Catleya St., Macaria Village, Binan, Laguna</v>
      </c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spans="1:27" ht="18" customHeight="1">
      <c r="A433" s="188">
        <v>427</v>
      </c>
      <c r="B433" s="189" t="s">
        <v>1330</v>
      </c>
      <c r="C433" s="189" t="s">
        <v>19</v>
      </c>
      <c r="D433" s="190" t="s">
        <v>28</v>
      </c>
      <c r="E433" s="191" t="s">
        <v>1336</v>
      </c>
      <c r="F433" s="191" t="s">
        <v>1337</v>
      </c>
      <c r="G433" s="191" t="s">
        <v>1338</v>
      </c>
      <c r="H433" s="192"/>
      <c r="I433" s="210"/>
      <c r="J433" s="185" t="s">
        <v>1339</v>
      </c>
      <c r="K433" s="307" t="s">
        <v>1340</v>
      </c>
      <c r="L433" s="66"/>
      <c r="M433" s="66"/>
      <c r="N433" s="66"/>
      <c r="O433" s="66"/>
      <c r="P433" s="66" t="str">
        <f t="shared" si="9"/>
        <v>BRONZAL BRUCE KELLY  LOZANO</v>
      </c>
      <c r="Q433" s="66" t="str">
        <f>IFERROR(VLOOKUP(P433,[1]Disposition!$AB$9:$AC$495,2,0),"NO RECORD YET")</f>
        <v>NO RECORD YET</v>
      </c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spans="1:27" ht="18" customHeight="1">
      <c r="A434" s="188">
        <v>428</v>
      </c>
      <c r="B434" s="189" t="s">
        <v>1330</v>
      </c>
      <c r="C434" s="189" t="s">
        <v>19</v>
      </c>
      <c r="D434" s="194" t="s">
        <v>28</v>
      </c>
      <c r="E434" s="204" t="s">
        <v>973</v>
      </c>
      <c r="F434" s="204" t="s">
        <v>1341</v>
      </c>
      <c r="G434" s="204" t="s">
        <v>1342</v>
      </c>
      <c r="H434" s="205"/>
      <c r="I434" s="210"/>
      <c r="J434" s="279"/>
      <c r="K434" s="282"/>
      <c r="L434" s="66"/>
      <c r="M434" s="66"/>
      <c r="N434" s="66"/>
      <c r="O434" s="66"/>
      <c r="P434" s="66" t="str">
        <f t="shared" si="9"/>
        <v>GALVEZ MARK RHOMMEL  MDRIAGA</v>
      </c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spans="1:27" ht="18" customHeight="1">
      <c r="A435" s="188">
        <v>429</v>
      </c>
      <c r="B435" s="189" t="s">
        <v>1330</v>
      </c>
      <c r="C435" s="193" t="s">
        <v>39</v>
      </c>
      <c r="D435" s="190" t="s">
        <v>40</v>
      </c>
      <c r="E435" s="191" t="s">
        <v>1343</v>
      </c>
      <c r="F435" s="191" t="s">
        <v>1344</v>
      </c>
      <c r="G435" s="191" t="s">
        <v>1345</v>
      </c>
      <c r="H435" s="192"/>
      <c r="I435" s="210"/>
      <c r="J435" s="279" t="s">
        <v>1346</v>
      </c>
      <c r="K435" s="307" t="s">
        <v>1347</v>
      </c>
      <c r="L435" s="66"/>
      <c r="M435" s="66"/>
      <c r="N435" s="66"/>
      <c r="O435" s="66"/>
      <c r="P435" s="66" t="str">
        <f t="shared" si="9"/>
        <v>ALMACHAR ARLENE ACIERTO</v>
      </c>
      <c r="Q435" s="66" t="str">
        <f>IFERROR(VLOOKUP(P435,[1]Disposition!$AB$9:$AC$495,2,0),"NO RECORD YET")</f>
        <v>175 Daisy St., Garden Vill., Subd, P:ilong Buhangin, Sta. Maria, Bulacan</v>
      </c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spans="1:27" ht="18" customHeight="1">
      <c r="A436" s="188">
        <v>430</v>
      </c>
      <c r="B436" s="189" t="s">
        <v>1348</v>
      </c>
      <c r="C436" s="193" t="s">
        <v>39</v>
      </c>
      <c r="D436" s="190" t="s">
        <v>40</v>
      </c>
      <c r="E436" s="191" t="s">
        <v>1349</v>
      </c>
      <c r="F436" s="191" t="s">
        <v>1350</v>
      </c>
      <c r="G436" s="191" t="s">
        <v>1351</v>
      </c>
      <c r="H436" s="192"/>
      <c r="I436" s="210"/>
      <c r="J436" s="279" t="s">
        <v>1352</v>
      </c>
      <c r="K436" s="307" t="s">
        <v>1353</v>
      </c>
      <c r="L436" s="66"/>
      <c r="M436" s="66"/>
      <c r="N436" s="66"/>
      <c r="O436" s="66"/>
      <c r="P436" s="66" t="str">
        <f t="shared" si="9"/>
        <v>CABAÑAS MARY JOY DUTERTE</v>
      </c>
      <c r="Q436" s="66" t="str">
        <f>IFERROR(VLOOKUP(P436,[1]Disposition!$AB$9:$AC$495,2,0),"NO RECORD YET")</f>
        <v>13A1 1st Ave., Brgy. Bagong Lipunan ng Crame, Quezon City</v>
      </c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spans="1:27" ht="18" customHeight="1">
      <c r="A437" s="188">
        <v>431</v>
      </c>
      <c r="B437" s="189" t="s">
        <v>1348</v>
      </c>
      <c r="C437" s="193" t="s">
        <v>39</v>
      </c>
      <c r="D437" s="190" t="s">
        <v>40</v>
      </c>
      <c r="E437" s="191" t="s">
        <v>999</v>
      </c>
      <c r="F437" s="191" t="s">
        <v>1354</v>
      </c>
      <c r="G437" s="191" t="s">
        <v>1355</v>
      </c>
      <c r="H437" s="192"/>
      <c r="I437" s="210"/>
      <c r="J437" s="279" t="s">
        <v>1356</v>
      </c>
      <c r="K437" s="307" t="s">
        <v>1357</v>
      </c>
      <c r="L437" s="66"/>
      <c r="M437" s="66"/>
      <c r="N437" s="66"/>
      <c r="O437" s="66"/>
      <c r="P437" s="66" t="str">
        <f>CONCATENATE(E485," ",F485," ",G485)</f>
        <v>ROSETE ROSENA NICOLAS</v>
      </c>
      <c r="Q437" s="66" t="str">
        <f>IFERROR(VLOOKUP(P437,[1]Disposition!$AB$9:$AC$495,2,0),"NO RECORD YET")</f>
        <v>Phase 3 Blk 73 Lot 16, Eastwood Residences, Brgy. San Isidro, Rodriguez, Rizal</v>
      </c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spans="1:27" ht="18" customHeight="1">
      <c r="A438" s="188">
        <v>432</v>
      </c>
      <c r="B438" s="189" t="s">
        <v>1348</v>
      </c>
      <c r="C438" s="193" t="s">
        <v>39</v>
      </c>
      <c r="D438" s="190" t="s">
        <v>40</v>
      </c>
      <c r="E438" s="191" t="s">
        <v>1358</v>
      </c>
      <c r="F438" s="191" t="s">
        <v>1359</v>
      </c>
      <c r="G438" s="191" t="s">
        <v>1360</v>
      </c>
      <c r="H438" s="192"/>
      <c r="I438" s="210"/>
      <c r="J438" s="279" t="s">
        <v>1361</v>
      </c>
      <c r="K438" s="307" t="s">
        <v>1362</v>
      </c>
      <c r="L438" s="66"/>
      <c r="M438" s="66"/>
      <c r="N438" s="66"/>
      <c r="O438" s="66"/>
      <c r="P438" s="66" t="str">
        <f t="shared" ref="P438:P448" si="10">CONCATENATE(E438," ",F438," ",G438)</f>
        <v>SABLAY HAZEL DILLOZA</v>
      </c>
      <c r="Q438" s="66" t="str">
        <f>IFERROR(VLOOKUP(P438,[1]Disposition!$AB$9:$AC$495,2,0),"NO RECORD YET")</f>
        <v>259 IBP Road, Brgy. Commonwealth, Q.C.</v>
      </c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spans="1:27" ht="18" customHeight="1">
      <c r="A439" s="188">
        <v>433</v>
      </c>
      <c r="B439" s="189" t="s">
        <v>1348</v>
      </c>
      <c r="C439" s="193" t="s">
        <v>39</v>
      </c>
      <c r="D439" s="190" t="s">
        <v>40</v>
      </c>
      <c r="E439" s="191" t="s">
        <v>1363</v>
      </c>
      <c r="F439" s="191" t="s">
        <v>1364</v>
      </c>
      <c r="G439" s="191" t="s">
        <v>1365</v>
      </c>
      <c r="H439" s="192"/>
      <c r="I439" s="210"/>
      <c r="J439" s="279" t="s">
        <v>1366</v>
      </c>
      <c r="K439" s="307" t="s">
        <v>1367</v>
      </c>
      <c r="L439" s="66"/>
      <c r="M439" s="66"/>
      <c r="N439" s="66"/>
      <c r="O439" s="66"/>
      <c r="P439" s="66" t="str">
        <f t="shared" si="10"/>
        <v>SOLON RENA ELENA  OCCIANO</v>
      </c>
      <c r="Q439" s="66" t="str">
        <f>IFERROR(VLOOKUP(P439,[1]Disposition!$AB$9:$AC$495,2,0),"NO RECORD YET")</f>
        <v>L4 B7 Executive Homes I, Greenpark Village, Cainta, Rizal</v>
      </c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18" customHeight="1">
      <c r="A440" s="188">
        <v>434</v>
      </c>
      <c r="B440" s="189" t="s">
        <v>1368</v>
      </c>
      <c r="C440" s="193" t="s">
        <v>39</v>
      </c>
      <c r="D440" s="190" t="s">
        <v>40</v>
      </c>
      <c r="E440" s="191" t="s">
        <v>1369</v>
      </c>
      <c r="F440" s="191" t="s">
        <v>1370</v>
      </c>
      <c r="G440" s="191" t="s">
        <v>630</v>
      </c>
      <c r="H440" s="192"/>
      <c r="I440" s="210"/>
      <c r="J440" s="279" t="s">
        <v>1371</v>
      </c>
      <c r="K440" s="307" t="s">
        <v>1372</v>
      </c>
      <c r="L440" s="66"/>
      <c r="M440" s="66"/>
      <c r="N440" s="66"/>
      <c r="O440" s="66"/>
      <c r="P440" s="66" t="str">
        <f t="shared" si="10"/>
        <v>PONCE JASMIN SEBASTIAN</v>
      </c>
      <c r="Q440" s="66" t="str">
        <f>IFERROR(VLOOKUP(P440,[1]Disposition!$AB$9:$AC$495,2,0),"NO RECORD YET")</f>
        <v>40 Bravo St., Zone 5, Central Signal Village, Taguig City</v>
      </c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18" customHeight="1">
      <c r="A441" s="188">
        <v>435</v>
      </c>
      <c r="B441" s="189" t="s">
        <v>1368</v>
      </c>
      <c r="C441" s="189" t="s">
        <v>19</v>
      </c>
      <c r="D441" s="190" t="s">
        <v>24</v>
      </c>
      <c r="E441" s="191" t="s">
        <v>1373</v>
      </c>
      <c r="F441" s="191" t="s">
        <v>1374</v>
      </c>
      <c r="G441" s="191" t="s">
        <v>1375</v>
      </c>
      <c r="H441" s="192"/>
      <c r="I441" s="210"/>
      <c r="J441" s="279" t="s">
        <v>1376</v>
      </c>
      <c r="K441" s="307" t="s">
        <v>1377</v>
      </c>
      <c r="L441" s="66"/>
      <c r="M441" s="66"/>
      <c r="N441" s="66"/>
      <c r="O441" s="66"/>
      <c r="P441" s="66" t="str">
        <f t="shared" si="10"/>
        <v>TOLENTINO NATHANIEL MELEGRITO</v>
      </c>
      <c r="Q441" s="66" t="str">
        <f>IFERROR(VLOOKUP(P441,[1]Disposition!$AB$9:$AC$495,2,0),"NO RECORD YET")</f>
        <v>B4 L1 Escopa IV, Project 4, Quezon City.</v>
      </c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18" customHeight="1">
      <c r="A442" s="188">
        <v>436</v>
      </c>
      <c r="B442" s="189" t="s">
        <v>1368</v>
      </c>
      <c r="C442" s="189" t="s">
        <v>19</v>
      </c>
      <c r="D442" s="190" t="s">
        <v>28</v>
      </c>
      <c r="E442" s="195" t="s">
        <v>1378</v>
      </c>
      <c r="F442" s="195" t="s">
        <v>1379</v>
      </c>
      <c r="G442" s="195" t="s">
        <v>1380</v>
      </c>
      <c r="H442" s="194"/>
      <c r="I442" s="210"/>
      <c r="J442" s="185" t="s">
        <v>1381</v>
      </c>
      <c r="K442" s="307" t="s">
        <v>1382</v>
      </c>
      <c r="L442" s="66"/>
      <c r="M442" s="66"/>
      <c r="N442" s="66"/>
      <c r="O442" s="66"/>
      <c r="P442" s="66" t="str">
        <f t="shared" si="10"/>
        <v>PAQUIZ JOHN ANTHONY BATO</v>
      </c>
      <c r="Q442" s="66" t="str">
        <f>IFERROR(VLOOKUP(P442,[1]Disposition!$AB$9:$AC$495,2,0),"NO RECORD YET")</f>
        <v>NO RECORD YET</v>
      </c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18" customHeight="1">
      <c r="A443" s="188">
        <v>437</v>
      </c>
      <c r="B443" s="189" t="s">
        <v>1368</v>
      </c>
      <c r="C443" s="189" t="s">
        <v>19</v>
      </c>
      <c r="D443" s="190" t="s">
        <v>40</v>
      </c>
      <c r="E443" s="191" t="s">
        <v>1383</v>
      </c>
      <c r="F443" s="191" t="s">
        <v>1384</v>
      </c>
      <c r="G443" s="191" t="s">
        <v>1061</v>
      </c>
      <c r="H443" s="192"/>
      <c r="I443" s="210"/>
      <c r="J443" s="279" t="s">
        <v>1385</v>
      </c>
      <c r="K443" s="307" t="s">
        <v>1386</v>
      </c>
      <c r="L443" s="66"/>
      <c r="M443" s="66"/>
      <c r="N443" s="66"/>
      <c r="O443" s="66"/>
      <c r="P443" s="66" t="str">
        <f t="shared" si="10"/>
        <v>HUERNO JOHN ELMAR ALLAS</v>
      </c>
      <c r="Q443" s="66" t="str">
        <f>IFERROR(VLOOKUP(P443,[1]Disposition!$AB$9:$AC$495,2,0),"NO RECORD YET")</f>
        <v>#23 St. John St., Graceland Subd., Ampid 2, San Mateo, Rizal\</v>
      </c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18" customHeight="1">
      <c r="A444" s="188">
        <v>438</v>
      </c>
      <c r="B444" s="189" t="s">
        <v>1368</v>
      </c>
      <c r="C444" s="189" t="s">
        <v>19</v>
      </c>
      <c r="D444" s="190" t="s">
        <v>40</v>
      </c>
      <c r="E444" s="191" t="s">
        <v>526</v>
      </c>
      <c r="F444" s="191" t="s">
        <v>1387</v>
      </c>
      <c r="G444" s="191" t="s">
        <v>1388</v>
      </c>
      <c r="H444" s="192" t="s">
        <v>268</v>
      </c>
      <c r="I444" s="210"/>
      <c r="J444" s="279" t="s">
        <v>1389</v>
      </c>
      <c r="K444" s="307" t="s">
        <v>1390</v>
      </c>
      <c r="L444" s="66"/>
      <c r="M444" s="66"/>
      <c r="N444" s="66"/>
      <c r="O444" s="66"/>
      <c r="P444" s="66" t="str">
        <f t="shared" si="10"/>
        <v>MENDOZA RONILO BERNARDINO</v>
      </c>
      <c r="Q444" s="66" t="str">
        <f>IFERROR(VLOOKUP(P444,[1]Disposition!$AB$9:$AC$495,2,0),"NO RECORD YET")</f>
        <v>149 V. Lara St., Sumilang, Pasig City</v>
      </c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18" customHeight="1">
      <c r="A445" s="188">
        <v>439</v>
      </c>
      <c r="B445" s="189" t="s">
        <v>1368</v>
      </c>
      <c r="C445" s="193" t="s">
        <v>39</v>
      </c>
      <c r="D445" s="190" t="s">
        <v>40</v>
      </c>
      <c r="E445" s="191" t="s">
        <v>1391</v>
      </c>
      <c r="F445" s="191" t="s">
        <v>1392</v>
      </c>
      <c r="G445" s="191" t="s">
        <v>1393</v>
      </c>
      <c r="H445" s="192"/>
      <c r="I445" s="210"/>
      <c r="J445" s="279" t="s">
        <v>1394</v>
      </c>
      <c r="K445" s="307" t="s">
        <v>1395</v>
      </c>
      <c r="L445" s="66"/>
      <c r="M445" s="66"/>
      <c r="N445" s="66"/>
      <c r="O445" s="66"/>
      <c r="P445" s="66" t="str">
        <f t="shared" si="10"/>
        <v>PARANADA DIANA VALMIDIANO</v>
      </c>
      <c r="Q445" s="66" t="str">
        <f>IFERROR(VLOOKUP(P445,[1]Disposition!$AB$9:$AC$495,2,0),"NO RECORD YET")</f>
        <v>Brgy. Taleb, Bantay, Ilocos Sur/#8 Don Jose St., Brgy. San Roque, Cubao, Quezon City</v>
      </c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18" customHeight="1">
      <c r="A446" s="188">
        <v>440</v>
      </c>
      <c r="B446" s="189" t="s">
        <v>1396</v>
      </c>
      <c r="C446" s="189" t="s">
        <v>19</v>
      </c>
      <c r="D446" s="190" t="s">
        <v>40</v>
      </c>
      <c r="E446" s="191" t="s">
        <v>774</v>
      </c>
      <c r="F446" s="191" t="s">
        <v>1397</v>
      </c>
      <c r="G446" s="191" t="s">
        <v>1398</v>
      </c>
      <c r="H446" s="192"/>
      <c r="I446" s="210"/>
      <c r="J446" s="279" t="s">
        <v>1399</v>
      </c>
      <c r="K446" s="307" t="s">
        <v>1400</v>
      </c>
      <c r="L446" s="66"/>
      <c r="M446" s="66"/>
      <c r="N446" s="66"/>
      <c r="O446" s="66"/>
      <c r="P446" s="66" t="str">
        <f t="shared" si="10"/>
        <v>MALLILLIN MARVIN SALINAS</v>
      </c>
      <c r="Q446" s="66" t="str">
        <f>IFERROR(VLOOKUP(P446,[1]Disposition!$AB$9:$AC$495,2,0),"NO RECORD YET")</f>
        <v>10 Longhorn St., Rancho Estate IV East, Concepcion Dos, Marikina City</v>
      </c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18" customHeight="1">
      <c r="A447" s="188">
        <v>441</v>
      </c>
      <c r="B447" s="189" t="s">
        <v>1396</v>
      </c>
      <c r="C447" s="193" t="s">
        <v>39</v>
      </c>
      <c r="D447" s="190" t="s">
        <v>40</v>
      </c>
      <c r="E447" s="191" t="s">
        <v>1401</v>
      </c>
      <c r="F447" s="191" t="s">
        <v>1402</v>
      </c>
      <c r="G447" s="191" t="s">
        <v>1403</v>
      </c>
      <c r="H447" s="192"/>
      <c r="I447" s="210"/>
      <c r="J447" s="279" t="s">
        <v>1404</v>
      </c>
      <c r="K447" s="307" t="s">
        <v>1405</v>
      </c>
      <c r="L447" s="66"/>
      <c r="M447" s="66"/>
      <c r="N447" s="66"/>
      <c r="O447" s="66"/>
      <c r="P447" s="66" t="str">
        <f t="shared" si="10"/>
        <v>ACUESTA ANA JUNE FORRO</v>
      </c>
      <c r="Q447" s="66" t="str">
        <f>IFERROR(VLOOKUP(P447,[1]Disposition!$AB$9:$AC$495,2,0),"NO RECORD YET")</f>
        <v>Blk 52 Lot 5, Robinson"s Homes East, San Jose, Antipolo City</v>
      </c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18" customHeight="1">
      <c r="A448" s="188">
        <v>442</v>
      </c>
      <c r="B448" s="189" t="s">
        <v>1396</v>
      </c>
      <c r="C448" s="193" t="s">
        <v>39</v>
      </c>
      <c r="D448" s="190" t="s">
        <v>40</v>
      </c>
      <c r="E448" s="191" t="s">
        <v>1406</v>
      </c>
      <c r="F448" s="263" t="s">
        <v>1407</v>
      </c>
      <c r="G448" s="191" t="s">
        <v>1408</v>
      </c>
      <c r="H448" s="192"/>
      <c r="I448" s="210"/>
      <c r="J448" s="279" t="s">
        <v>1409</v>
      </c>
      <c r="K448" s="307" t="s">
        <v>1410</v>
      </c>
      <c r="L448" s="66"/>
      <c r="M448" s="66"/>
      <c r="N448" s="66"/>
      <c r="O448" s="66"/>
      <c r="P448" s="66" t="str">
        <f t="shared" si="10"/>
        <v>ARCE MARIE FRANCISSE THERESE ARMAMENTO</v>
      </c>
      <c r="Q448" s="66" t="str">
        <f>IFERROR(VLOOKUP(P448,[1]Disposition!$AB$9:$AC$495,2,0),"NO RECORD YET")</f>
        <v>Blk 8 Lot 13 Shelterville Subd., Bagumbong, Caloocan City</v>
      </c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18" customHeight="1">
      <c r="A449" s="188">
        <v>443</v>
      </c>
      <c r="B449" s="189" t="s">
        <v>1396</v>
      </c>
      <c r="C449" s="189" t="s">
        <v>19</v>
      </c>
      <c r="D449" s="190" t="s">
        <v>40</v>
      </c>
      <c r="E449" s="191" t="s">
        <v>1411</v>
      </c>
      <c r="F449" s="191" t="s">
        <v>1412</v>
      </c>
      <c r="G449" s="191" t="s">
        <v>1413</v>
      </c>
      <c r="H449" s="192"/>
      <c r="I449" s="210"/>
      <c r="J449" s="279"/>
      <c r="K449" s="280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18" customHeight="1">
      <c r="A450" s="188">
        <v>444</v>
      </c>
      <c r="B450" s="189" t="s">
        <v>1396</v>
      </c>
      <c r="C450" s="193" t="s">
        <v>39</v>
      </c>
      <c r="D450" s="194" t="s">
        <v>40</v>
      </c>
      <c r="E450" s="204" t="s">
        <v>256</v>
      </c>
      <c r="F450" s="204" t="s">
        <v>1414</v>
      </c>
      <c r="G450" s="204" t="s">
        <v>1415</v>
      </c>
      <c r="H450" s="205"/>
      <c r="I450" s="210"/>
      <c r="J450" s="285"/>
      <c r="K450" s="282"/>
      <c r="L450" s="66"/>
      <c r="M450" s="66"/>
      <c r="N450" s="66"/>
      <c r="O450" s="66"/>
      <c r="P450" s="66" t="str">
        <f t="shared" ref="P450:P461" si="11">CONCATENATE(E450," ",F450," ",G450)</f>
        <v>DELA CRUZ ALTHEA CELY PARA</v>
      </c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18" customHeight="1">
      <c r="A451" s="188">
        <v>445</v>
      </c>
      <c r="B451" s="189" t="s">
        <v>1396</v>
      </c>
      <c r="C451" s="189" t="s">
        <v>19</v>
      </c>
      <c r="D451" s="190" t="s">
        <v>40</v>
      </c>
      <c r="E451" s="191" t="s">
        <v>1416</v>
      </c>
      <c r="F451" s="191" t="s">
        <v>1417</v>
      </c>
      <c r="G451" s="191" t="s">
        <v>1418</v>
      </c>
      <c r="H451" s="192"/>
      <c r="I451" s="210"/>
      <c r="J451" s="279" t="s">
        <v>1419</v>
      </c>
      <c r="K451" s="307" t="s">
        <v>1420</v>
      </c>
      <c r="L451" s="66"/>
      <c r="M451" s="66"/>
      <c r="N451" s="66"/>
      <c r="O451" s="66"/>
      <c r="P451" s="66" t="str">
        <f t="shared" si="11"/>
        <v>MONAR CHRISTIAN MEL OLOR</v>
      </c>
      <c r="Q451" s="66" t="str">
        <f>IFERROR(VLOOKUP(P451,[1]Disposition!$AB$9:$AC$495,2,0),"NO RECORD YET")</f>
        <v>Bagong Lipunan Ng Crame, Quezon City</v>
      </c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18" customHeight="1">
      <c r="A452" s="188">
        <v>446</v>
      </c>
      <c r="B452" s="189" t="s">
        <v>1396</v>
      </c>
      <c r="C452" s="189" t="s">
        <v>19</v>
      </c>
      <c r="D452" s="190" t="s">
        <v>40</v>
      </c>
      <c r="E452" s="191" t="s">
        <v>1421</v>
      </c>
      <c r="F452" s="191" t="s">
        <v>1422</v>
      </c>
      <c r="G452" s="191" t="s">
        <v>1423</v>
      </c>
      <c r="H452" s="192"/>
      <c r="I452" s="210"/>
      <c r="J452" s="279" t="s">
        <v>1424</v>
      </c>
      <c r="K452" s="307" t="s">
        <v>1425</v>
      </c>
      <c r="L452" s="66"/>
      <c r="M452" s="66"/>
      <c r="N452" s="66"/>
      <c r="O452" s="66"/>
      <c r="P452" s="66" t="str">
        <f t="shared" si="11"/>
        <v>PACOL JEPHTE TENORIA</v>
      </c>
      <c r="Q452" s="66" t="str">
        <f>IFERROR(VLOOKUP(P452,[1]Disposition!$AB$9:$AC$495,2,0),"NO RECORD YET")</f>
        <v>Blk 3 Lot 10, GML Phase 1, Barcelo St., Lingunan, Valenzuela City</v>
      </c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18" customHeight="1">
      <c r="A453" s="188">
        <v>447</v>
      </c>
      <c r="B453" s="189" t="s">
        <v>1348</v>
      </c>
      <c r="C453" s="193" t="s">
        <v>39</v>
      </c>
      <c r="D453" s="190" t="s">
        <v>40</v>
      </c>
      <c r="E453" s="191" t="s">
        <v>1426</v>
      </c>
      <c r="F453" s="191" t="s">
        <v>1427</v>
      </c>
      <c r="G453" s="191" t="s">
        <v>1428</v>
      </c>
      <c r="H453" s="192"/>
      <c r="I453" s="210"/>
      <c r="J453" s="279" t="s">
        <v>1429</v>
      </c>
      <c r="K453" s="307" t="s">
        <v>1430</v>
      </c>
      <c r="L453" s="66"/>
      <c r="M453" s="66"/>
      <c r="N453" s="66"/>
      <c r="O453" s="66"/>
      <c r="P453" s="66" t="str">
        <f t="shared" si="11"/>
        <v>RIDULME ANNA LEA ARCEO</v>
      </c>
      <c r="Q453" s="66" t="str">
        <f>IFERROR(VLOOKUP(P453,[1]Disposition!$AB$9:$AC$495,2,0),"NO RECORD YET")</f>
        <v>Blk 39 Lot 26 Soldiers Hills, Muntilupa City</v>
      </c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18" customHeight="1">
      <c r="A454" s="188">
        <v>448</v>
      </c>
      <c r="B454" s="189" t="s">
        <v>1348</v>
      </c>
      <c r="C454" s="189" t="s">
        <v>19</v>
      </c>
      <c r="D454" s="190" t="s">
        <v>644</v>
      </c>
      <c r="E454" s="191" t="s">
        <v>1431</v>
      </c>
      <c r="F454" s="191" t="s">
        <v>1432</v>
      </c>
      <c r="G454" s="191" t="s">
        <v>1433</v>
      </c>
      <c r="H454" s="192"/>
      <c r="I454" s="210"/>
      <c r="J454" s="279"/>
      <c r="K454" s="282"/>
      <c r="L454" s="66"/>
      <c r="M454" s="66"/>
      <c r="N454" s="66"/>
      <c r="O454" s="66"/>
      <c r="P454" s="66" t="str">
        <f t="shared" si="11"/>
        <v>CHAN HAROLD JAY  AMAZONA</v>
      </c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18" customHeight="1">
      <c r="A455" s="188">
        <v>449</v>
      </c>
      <c r="B455" s="189" t="s">
        <v>1348</v>
      </c>
      <c r="C455" s="189" t="s">
        <v>19</v>
      </c>
      <c r="D455" s="190" t="s">
        <v>40</v>
      </c>
      <c r="E455" s="191" t="s">
        <v>1434</v>
      </c>
      <c r="F455" s="191" t="s">
        <v>1435</v>
      </c>
      <c r="G455" s="191" t="s">
        <v>1436</v>
      </c>
      <c r="H455" s="192"/>
      <c r="I455" s="210"/>
      <c r="J455" s="279" t="s">
        <v>1437</v>
      </c>
      <c r="K455" s="307" t="s">
        <v>1438</v>
      </c>
      <c r="L455" s="66"/>
      <c r="M455" s="66"/>
      <c r="N455" s="66"/>
      <c r="O455" s="66"/>
      <c r="P455" s="66" t="str">
        <f t="shared" si="11"/>
        <v>ESTIPONA MICHAEL GERARD PEDRO</v>
      </c>
      <c r="Q455" s="66" t="str">
        <f>IFERROR(VLOOKUP(P455,[1]Disposition!$AB$9:$AC$495,2,0),"NO RECORD YET")</f>
        <v>107 Kentwood Heights, 23 Mariposa St., Brgy. Bagong Lipunan ng Crame, Quezon City</v>
      </c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18" customHeight="1">
      <c r="A456" s="188">
        <v>450</v>
      </c>
      <c r="B456" s="189" t="s">
        <v>1348</v>
      </c>
      <c r="C456" s="189" t="s">
        <v>19</v>
      </c>
      <c r="D456" s="190" t="s">
        <v>40</v>
      </c>
      <c r="E456" s="204" t="s">
        <v>1439</v>
      </c>
      <c r="F456" s="204" t="s">
        <v>1440</v>
      </c>
      <c r="G456" s="204" t="s">
        <v>1441</v>
      </c>
      <c r="H456" s="205"/>
      <c r="I456" s="210"/>
      <c r="J456" s="279"/>
      <c r="K456" s="282"/>
      <c r="L456" s="66"/>
      <c r="M456" s="66"/>
      <c r="N456" s="66"/>
      <c r="O456" s="66"/>
      <c r="P456" s="66" t="str">
        <f t="shared" si="11"/>
        <v>FERRER JOSHUA OLGINA</v>
      </c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18" customHeight="1">
      <c r="A457" s="188">
        <v>451</v>
      </c>
      <c r="B457" s="189" t="s">
        <v>1348</v>
      </c>
      <c r="C457" s="193" t="s">
        <v>39</v>
      </c>
      <c r="D457" s="190" t="s">
        <v>40</v>
      </c>
      <c r="E457" s="191" t="s">
        <v>1442</v>
      </c>
      <c r="F457" s="191" t="s">
        <v>1443</v>
      </c>
      <c r="G457" s="191" t="s">
        <v>1439</v>
      </c>
      <c r="H457" s="192"/>
      <c r="I457" s="210"/>
      <c r="J457" s="279" t="s">
        <v>1444</v>
      </c>
      <c r="K457" s="307" t="s">
        <v>1445</v>
      </c>
      <c r="L457" s="66"/>
      <c r="M457" s="66"/>
      <c r="N457" s="66"/>
      <c r="O457" s="66"/>
      <c r="P457" s="66" t="str">
        <f t="shared" si="11"/>
        <v>PANIZA ADELWISA FERRER</v>
      </c>
      <c r="Q457" s="66" t="str">
        <f>IFERROR(VLOOKUP(P457,[1]Disposition!$AB$9:$AC$495,2,0),"NO RECORD YET")</f>
        <v>1772 Miracle St., Graceville Subd., Brgy. Pag-Asa, Binangonan, Rizal</v>
      </c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18" customHeight="1">
      <c r="A458" s="188">
        <v>452</v>
      </c>
      <c r="B458" s="189" t="s">
        <v>1348</v>
      </c>
      <c r="C458" s="189" t="s">
        <v>19</v>
      </c>
      <c r="D458" s="190" t="s">
        <v>40</v>
      </c>
      <c r="E458" s="191" t="s">
        <v>1446</v>
      </c>
      <c r="F458" s="191" t="s">
        <v>1447</v>
      </c>
      <c r="G458" s="191" t="s">
        <v>1448</v>
      </c>
      <c r="H458" s="192"/>
      <c r="I458" s="210"/>
      <c r="J458" s="279" t="s">
        <v>1449</v>
      </c>
      <c r="K458" s="307" t="s">
        <v>1450</v>
      </c>
      <c r="L458" s="66"/>
      <c r="M458" s="66"/>
      <c r="N458" s="66"/>
      <c r="O458" s="66"/>
      <c r="P458" s="66" t="str">
        <f t="shared" si="11"/>
        <v>MASAGANDA AARON  BANAG</v>
      </c>
      <c r="Q458" s="66" t="str">
        <f>IFERROR(VLOOKUP(P458,[1]Disposition!$AB$9:$AC$495,2,0),"NO RECORD YET")</f>
        <v>100 Tanguile St., Marikina Heights, Marikina City</v>
      </c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18" customHeight="1">
      <c r="A459" s="188">
        <v>453</v>
      </c>
      <c r="B459" s="189" t="s">
        <v>1451</v>
      </c>
      <c r="C459" s="189" t="s">
        <v>19</v>
      </c>
      <c r="D459" s="190" t="s">
        <v>40</v>
      </c>
      <c r="E459" s="191" t="s">
        <v>1452</v>
      </c>
      <c r="F459" s="191" t="s">
        <v>770</v>
      </c>
      <c r="G459" s="191" t="s">
        <v>1453</v>
      </c>
      <c r="H459" s="192"/>
      <c r="I459" s="210"/>
      <c r="J459" s="279" t="s">
        <v>1454</v>
      </c>
      <c r="K459" s="307" t="s">
        <v>1455</v>
      </c>
      <c r="L459" s="66"/>
      <c r="M459" s="66"/>
      <c r="N459" s="66"/>
      <c r="O459" s="66"/>
      <c r="P459" s="66" t="str">
        <f t="shared" si="11"/>
        <v>AGUHO MARK ANTHONY CAMBA</v>
      </c>
      <c r="Q459" s="66" t="str">
        <f>IFERROR(VLOOKUP(P459,[1]Disposition!$AB$9:$AC$495,2,0),"NO RECORD YET")</f>
        <v>#15 1ST Avenue, Brgy. Bagong Lipunan ng Crame, Quezon City</v>
      </c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18" customHeight="1">
      <c r="A460" s="188">
        <v>454</v>
      </c>
      <c r="B460" s="189" t="s">
        <v>1451</v>
      </c>
      <c r="C460" s="189" t="s">
        <v>19</v>
      </c>
      <c r="D460" s="190" t="s">
        <v>28</v>
      </c>
      <c r="E460" s="195" t="s">
        <v>1456</v>
      </c>
      <c r="F460" s="195" t="s">
        <v>1457</v>
      </c>
      <c r="G460" s="195" t="s">
        <v>934</v>
      </c>
      <c r="H460" s="194"/>
      <c r="I460" s="210"/>
      <c r="J460" s="185" t="s">
        <v>1458</v>
      </c>
      <c r="K460" s="307" t="s">
        <v>1459</v>
      </c>
      <c r="L460" s="66"/>
      <c r="M460" s="66"/>
      <c r="N460" s="66"/>
      <c r="O460" s="66"/>
      <c r="P460" s="66" t="str">
        <f t="shared" si="11"/>
        <v>MOSLARES CHARLES BRYAN MOLINA</v>
      </c>
      <c r="Q460" s="66" t="str">
        <f>IFERROR(VLOOKUP(P460,[1]Disposition!$AB$9:$AC$495,2,0),"NO RECORD YET")</f>
        <v>NO RECORD YET</v>
      </c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18" customHeight="1">
      <c r="A461" s="188">
        <v>455</v>
      </c>
      <c r="B461" s="189" t="s">
        <v>1451</v>
      </c>
      <c r="C461" s="189" t="s">
        <v>19</v>
      </c>
      <c r="D461" s="190" t="s">
        <v>40</v>
      </c>
      <c r="E461" s="191" t="s">
        <v>1460</v>
      </c>
      <c r="F461" s="191" t="s">
        <v>1461</v>
      </c>
      <c r="G461" s="191" t="s">
        <v>1462</v>
      </c>
      <c r="H461" s="192"/>
      <c r="I461" s="228"/>
      <c r="J461" s="285"/>
      <c r="K461" s="282"/>
      <c r="L461" s="66"/>
      <c r="M461" s="66"/>
      <c r="N461" s="66"/>
      <c r="O461" s="66"/>
      <c r="P461" s="66" t="str">
        <f t="shared" si="11"/>
        <v>BAJAMONDE CHRISTIAN JOHN  PLAZA</v>
      </c>
      <c r="Q461" s="66" t="str">
        <f>IFERROR(VLOOKUP(P461,[1]Disposition!$AB$9:$AC$495,2,0),"NO RECORD YET")</f>
        <v>NO RECORD YET</v>
      </c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18" customHeight="1">
      <c r="A462" s="188">
        <v>456</v>
      </c>
      <c r="B462" s="189" t="s">
        <v>1451</v>
      </c>
      <c r="C462" s="193" t="s">
        <v>39</v>
      </c>
      <c r="D462" s="190" t="s">
        <v>40</v>
      </c>
      <c r="E462" s="191" t="s">
        <v>1463</v>
      </c>
      <c r="F462" s="191" t="s">
        <v>1464</v>
      </c>
      <c r="G462" s="191" t="s">
        <v>1024</v>
      </c>
      <c r="H462" s="192"/>
      <c r="I462" s="210"/>
      <c r="J462" s="279" t="s">
        <v>1465</v>
      </c>
      <c r="K462" s="308" t="s">
        <v>1466</v>
      </c>
      <c r="L462" s="66"/>
      <c r="M462" s="66"/>
      <c r="N462" s="66"/>
      <c r="O462" s="66"/>
      <c r="P462" s="66" t="str">
        <f>CONCATENATE(E174," ",F174," ",G174)</f>
        <v>MALANI JOAN MAT-AN</v>
      </c>
      <c r="Q462" s="66" t="str">
        <f>IFERROR(VLOOKUP(P462,[1]Disposition!$AB$9:$AC$495,2,0),"NO RECORD YET")</f>
        <v>B5L13 Sammar1 Luzon Avenure, Old Balara, Quezon City</v>
      </c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18" customHeight="1">
      <c r="A463" s="188">
        <v>457</v>
      </c>
      <c r="B463" s="189" t="s">
        <v>1451</v>
      </c>
      <c r="C463" s="189" t="s">
        <v>19</v>
      </c>
      <c r="D463" s="190" t="s">
        <v>40</v>
      </c>
      <c r="E463" s="191" t="s">
        <v>1467</v>
      </c>
      <c r="F463" s="191" t="s">
        <v>1468</v>
      </c>
      <c r="G463" s="191" t="s">
        <v>1469</v>
      </c>
      <c r="H463" s="192"/>
      <c r="I463" s="229"/>
      <c r="J463" s="279"/>
      <c r="K463" s="282"/>
      <c r="L463" s="66"/>
      <c r="M463" s="66"/>
      <c r="N463" s="66"/>
      <c r="O463" s="66"/>
      <c r="P463" s="66" t="str">
        <f t="shared" ref="P463:P474" si="12">CONCATENATE(E463," ",F463," ",G463)</f>
        <v>PORNIA CRIASANTO HURBAN</v>
      </c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18" customHeight="1">
      <c r="A464" s="188">
        <v>458</v>
      </c>
      <c r="B464" s="189" t="s">
        <v>1451</v>
      </c>
      <c r="C464" s="193" t="s">
        <v>39</v>
      </c>
      <c r="D464" s="190" t="s">
        <v>40</v>
      </c>
      <c r="E464" s="191" t="s">
        <v>1470</v>
      </c>
      <c r="F464" s="191" t="s">
        <v>1471</v>
      </c>
      <c r="G464" s="191" t="s">
        <v>1472</v>
      </c>
      <c r="H464" s="192"/>
      <c r="I464" s="210"/>
      <c r="J464" s="279" t="s">
        <v>1473</v>
      </c>
      <c r="K464" s="307" t="s">
        <v>1474</v>
      </c>
      <c r="L464" s="66"/>
      <c r="M464" s="66"/>
      <c r="N464" s="66"/>
      <c r="O464" s="66"/>
      <c r="P464" s="66" t="str">
        <f t="shared" si="12"/>
        <v>TABIO HONEY LETH PALOMO</v>
      </c>
      <c r="Q464" s="66" t="str">
        <f>IFERROR(VLOOKUP(P464,[1]Disposition!$AB$9:$AC$495,2,0),"NO RECORD YET")</f>
        <v>179 RLJ Bldg, 9th St., East Grace Park, Caloocan City</v>
      </c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18" customHeight="1">
      <c r="A465" s="188">
        <v>459</v>
      </c>
      <c r="B465" s="189" t="s">
        <v>1451</v>
      </c>
      <c r="C465" s="189" t="s">
        <v>19</v>
      </c>
      <c r="D465" s="190" t="s">
        <v>40</v>
      </c>
      <c r="E465" s="191" t="s">
        <v>1475</v>
      </c>
      <c r="F465" s="191" t="s">
        <v>1476</v>
      </c>
      <c r="G465" s="191" t="s">
        <v>1477</v>
      </c>
      <c r="H465" s="192"/>
      <c r="I465" s="210"/>
      <c r="J465" s="279" t="s">
        <v>1478</v>
      </c>
      <c r="K465" s="307" t="s">
        <v>1479</v>
      </c>
      <c r="L465" s="66"/>
      <c r="M465" s="66"/>
      <c r="N465" s="66"/>
      <c r="O465" s="66"/>
      <c r="P465" s="66" t="str">
        <f t="shared" si="12"/>
        <v>VIGILANCIA SIXTO KATALBAS</v>
      </c>
      <c r="Q465" s="66" t="str">
        <f>IFERROR(VLOOKUP(P465,[1]Disposition!$AB$9:$AC$495,2,0),"NO RECORD YET")</f>
        <v>1 San Venancio St., San Juan, Metro Manila</v>
      </c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18" customHeight="1">
      <c r="A466" s="188">
        <v>460</v>
      </c>
      <c r="B466" s="193" t="s">
        <v>1480</v>
      </c>
      <c r="C466" s="193" t="s">
        <v>19</v>
      </c>
      <c r="D466" s="190" t="s">
        <v>160</v>
      </c>
      <c r="E466" s="191" t="s">
        <v>1481</v>
      </c>
      <c r="F466" s="191" t="s">
        <v>1482</v>
      </c>
      <c r="G466" s="191" t="s">
        <v>1483</v>
      </c>
      <c r="H466" s="192"/>
      <c r="I466" s="210"/>
      <c r="J466" s="279" t="s">
        <v>1484</v>
      </c>
      <c r="K466" s="307" t="s">
        <v>1485</v>
      </c>
      <c r="L466" s="66"/>
      <c r="M466" s="66"/>
      <c r="N466" s="66"/>
      <c r="O466" s="66"/>
      <c r="P466" s="66" t="str">
        <f t="shared" si="12"/>
        <v>CORPUZ ALLAN ROY AGANG</v>
      </c>
      <c r="Q466" s="66" t="str">
        <f>IFERROR(VLOOKUP(P466,[1]Disposition!$AB$9:$AC$495,2,0),"NO RECORD YET")</f>
        <v>194 6th STGHQ Village,  Zone 1, Taguig, Metro Manila</v>
      </c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18" customHeight="1">
      <c r="A467" s="188">
        <v>461</v>
      </c>
      <c r="B467" s="193" t="s">
        <v>1486</v>
      </c>
      <c r="C467" s="193" t="s">
        <v>19</v>
      </c>
      <c r="D467" s="190" t="s">
        <v>40</v>
      </c>
      <c r="E467" s="191" t="s">
        <v>1487</v>
      </c>
      <c r="F467" s="191" t="s">
        <v>553</v>
      </c>
      <c r="G467" s="191" t="s">
        <v>1488</v>
      </c>
      <c r="H467" s="192"/>
      <c r="I467" s="210"/>
      <c r="J467" s="279" t="s">
        <v>1489</v>
      </c>
      <c r="K467" s="307" t="s">
        <v>1490</v>
      </c>
      <c r="L467" s="66"/>
      <c r="M467" s="66"/>
      <c r="N467" s="66"/>
      <c r="O467" s="66"/>
      <c r="P467" s="66" t="str">
        <f t="shared" si="12"/>
        <v>NAVARRO ERIC BARCELONA</v>
      </c>
      <c r="Q467" s="66" t="str">
        <f>IFERROR(VLOOKUP(P467,[1]Disposition!$AB$9:$AC$495,2,0),"NO RECORD YET")</f>
        <v>4H Balaoan St. New Haven Village, Kaligayahan, Quezon City</v>
      </c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18" customHeight="1">
      <c r="A468" s="188">
        <v>462</v>
      </c>
      <c r="B468" s="193" t="s">
        <v>1486</v>
      </c>
      <c r="C468" s="189" t="s">
        <v>19</v>
      </c>
      <c r="D468" s="190" t="s">
        <v>246</v>
      </c>
      <c r="E468" s="191" t="s">
        <v>1491</v>
      </c>
      <c r="F468" s="191" t="s">
        <v>1492</v>
      </c>
      <c r="G468" s="191" t="s">
        <v>1493</v>
      </c>
      <c r="H468" s="192"/>
      <c r="I468" s="210"/>
      <c r="J468" s="279"/>
      <c r="K468" s="282"/>
      <c r="L468" s="66"/>
      <c r="M468" s="66"/>
      <c r="N468" s="66"/>
      <c r="O468" s="66"/>
      <c r="P468" s="66" t="str">
        <f t="shared" si="12"/>
        <v>BANTIYAN JEFTER PAKID</v>
      </c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18" customHeight="1">
      <c r="A469" s="188">
        <v>463</v>
      </c>
      <c r="B469" s="193" t="s">
        <v>1486</v>
      </c>
      <c r="C469" s="189" t="s">
        <v>19</v>
      </c>
      <c r="D469" s="190" t="s">
        <v>246</v>
      </c>
      <c r="E469" s="191" t="s">
        <v>1494</v>
      </c>
      <c r="F469" s="191" t="s">
        <v>690</v>
      </c>
      <c r="G469" s="191" t="s">
        <v>1495</v>
      </c>
      <c r="H469" s="192" t="s">
        <v>268</v>
      </c>
      <c r="I469" s="210"/>
      <c r="J469" s="279"/>
      <c r="K469" s="282"/>
      <c r="L469" s="66"/>
      <c r="M469" s="66"/>
      <c r="N469" s="66"/>
      <c r="O469" s="66"/>
      <c r="P469" s="66" t="str">
        <f t="shared" si="12"/>
        <v>GUIFAYA GILBERT ULIDAN</v>
      </c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18" customHeight="1">
      <c r="A470" s="188">
        <v>464</v>
      </c>
      <c r="B470" s="193" t="s">
        <v>1486</v>
      </c>
      <c r="C470" s="189" t="s">
        <v>19</v>
      </c>
      <c r="D470" s="190" t="s">
        <v>366</v>
      </c>
      <c r="E470" s="191" t="s">
        <v>1462</v>
      </c>
      <c r="F470" s="191" t="s">
        <v>1496</v>
      </c>
      <c r="G470" s="191" t="s">
        <v>1497</v>
      </c>
      <c r="H470" s="192"/>
      <c r="I470" s="212"/>
      <c r="J470" s="279" t="s">
        <v>1498</v>
      </c>
      <c r="K470" s="307" t="s">
        <v>1499</v>
      </c>
      <c r="L470" s="66"/>
      <c r="M470" s="66"/>
      <c r="N470" s="66"/>
      <c r="O470" s="66"/>
      <c r="P470" s="66" t="str">
        <f t="shared" si="12"/>
        <v>PLAZA ERVIN TELAPER</v>
      </c>
      <c r="Q470" s="66" t="str">
        <f>IFERROR(VLOOKUP(P470,[1]Disposition!$AB$9:$AC$495,2,0),"NO RECORD YET")</f>
        <v>Purok 6, Amaga, Barobo, Surigao Del Sur</v>
      </c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18" customHeight="1">
      <c r="A471" s="188">
        <v>465</v>
      </c>
      <c r="B471" s="193" t="s">
        <v>1486</v>
      </c>
      <c r="C471" s="193"/>
      <c r="D471" s="194" t="s">
        <v>1500</v>
      </c>
      <c r="E471" s="204" t="s">
        <v>1501</v>
      </c>
      <c r="F471" s="204" t="s">
        <v>1502</v>
      </c>
      <c r="G471" s="204" t="s">
        <v>1503</v>
      </c>
      <c r="H471" s="205"/>
      <c r="I471" s="210"/>
      <c r="J471" s="285"/>
      <c r="K471" s="282"/>
      <c r="L471" s="66"/>
      <c r="M471" s="66"/>
      <c r="N471" s="66"/>
      <c r="O471" s="66"/>
      <c r="P471" s="66" t="str">
        <f t="shared" si="12"/>
        <v>COPRADA ROMUALDO JULES OSMOND</v>
      </c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18" customHeight="1">
      <c r="A472" s="188">
        <v>466</v>
      </c>
      <c r="B472" s="193" t="s">
        <v>1486</v>
      </c>
      <c r="C472" s="193"/>
      <c r="D472" s="194" t="s">
        <v>1500</v>
      </c>
      <c r="E472" s="204" t="s">
        <v>1504</v>
      </c>
      <c r="F472" s="204" t="s">
        <v>1505</v>
      </c>
      <c r="G472" s="204" t="s">
        <v>1506</v>
      </c>
      <c r="H472" s="205"/>
      <c r="I472" s="210"/>
      <c r="J472" s="279"/>
      <c r="K472" s="282"/>
      <c r="L472" s="66"/>
      <c r="M472" s="66"/>
      <c r="N472" s="66"/>
      <c r="O472" s="66"/>
      <c r="P472" s="66" t="str">
        <f t="shared" si="12"/>
        <v>ESTACIO NEIL BRYAN ALARIN</v>
      </c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18" customHeight="1">
      <c r="A473" s="188">
        <v>467</v>
      </c>
      <c r="B473" s="193" t="s">
        <v>1486</v>
      </c>
      <c r="C473" s="193" t="s">
        <v>19</v>
      </c>
      <c r="D473" s="190" t="s">
        <v>28</v>
      </c>
      <c r="E473" s="195" t="s">
        <v>1507</v>
      </c>
      <c r="F473" s="195" t="s">
        <v>1508</v>
      </c>
      <c r="G473" s="195" t="s">
        <v>1509</v>
      </c>
      <c r="H473" s="194"/>
      <c r="I473" s="212"/>
      <c r="J473" s="279" t="s">
        <v>1510</v>
      </c>
      <c r="K473" s="307" t="s">
        <v>1511</v>
      </c>
      <c r="L473" s="66"/>
      <c r="M473" s="66"/>
      <c r="N473" s="66"/>
      <c r="O473" s="66"/>
      <c r="P473" s="66" t="str">
        <f t="shared" si="12"/>
        <v>PARANE DETANIL COROCOTO</v>
      </c>
      <c r="Q473" s="66" t="str">
        <f>IFERROR(VLOOKUP(P473,[1]Disposition!$AB$9:$AC$495,2,0),"NO RECORD YET")</f>
        <v>NO RECORD YET</v>
      </c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18" customHeight="1">
      <c r="A474" s="188">
        <v>468</v>
      </c>
      <c r="B474" s="193" t="s">
        <v>1486</v>
      </c>
      <c r="C474" s="193" t="s">
        <v>19</v>
      </c>
      <c r="D474" s="190" t="s">
        <v>28</v>
      </c>
      <c r="E474" s="191" t="s">
        <v>1512</v>
      </c>
      <c r="F474" s="191" t="s">
        <v>1513</v>
      </c>
      <c r="G474" s="191" t="s">
        <v>1514</v>
      </c>
      <c r="H474" s="192"/>
      <c r="I474" s="210"/>
      <c r="J474" s="279" t="s">
        <v>1515</v>
      </c>
      <c r="K474" s="307" t="s">
        <v>1516</v>
      </c>
      <c r="L474" s="66"/>
      <c r="M474" s="66"/>
      <c r="N474" s="66"/>
      <c r="O474" s="66"/>
      <c r="P474" s="66" t="str">
        <f t="shared" si="12"/>
        <v>ROVIRA CRISMUNDO PADULLO</v>
      </c>
      <c r="Q474" s="66" t="str">
        <f>IFERROR(VLOOKUP(P474,[1]Disposition!$AB$9:$AC$495,2,0),"NO RECORD YET")</f>
        <v>511 Barcelona St., Binondo, Manila</v>
      </c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18" customHeight="1">
      <c r="A475" s="188">
        <v>469</v>
      </c>
      <c r="B475" s="193" t="s">
        <v>1486</v>
      </c>
      <c r="C475" s="193" t="s">
        <v>39</v>
      </c>
      <c r="D475" s="190" t="s">
        <v>40</v>
      </c>
      <c r="E475" s="191" t="s">
        <v>1517</v>
      </c>
      <c r="F475" s="191" t="s">
        <v>1518</v>
      </c>
      <c r="G475" s="191" t="s">
        <v>1519</v>
      </c>
      <c r="H475" s="192"/>
      <c r="I475" s="228"/>
      <c r="J475" s="279"/>
      <c r="K475" s="282"/>
      <c r="L475" s="66"/>
      <c r="M475" s="66"/>
      <c r="N475" s="66"/>
      <c r="O475" s="66"/>
      <c r="P475" s="66" t="e">
        <f>CONCATENATE(#REF!," ",#REF!," ",#REF!)</f>
        <v>#REF!</v>
      </c>
      <c r="Q475" s="66" t="str">
        <f>IFERROR(VLOOKUP(P475,[1]Disposition!$AB$9:$AC$495,2,0),"NO RECORD YET")</f>
        <v>NO RECORD YET</v>
      </c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18" customHeight="1">
      <c r="A476" s="188">
        <v>470</v>
      </c>
      <c r="B476" s="193" t="s">
        <v>1486</v>
      </c>
      <c r="C476" s="189" t="s">
        <v>19</v>
      </c>
      <c r="D476" s="190" t="s">
        <v>40</v>
      </c>
      <c r="E476" s="191" t="s">
        <v>1520</v>
      </c>
      <c r="F476" s="191" t="s">
        <v>1521</v>
      </c>
      <c r="G476" s="191" t="s">
        <v>1522</v>
      </c>
      <c r="H476" s="192"/>
      <c r="I476" s="210"/>
      <c r="J476" s="279"/>
      <c r="K476" s="280"/>
      <c r="L476" s="66"/>
      <c r="M476" s="66"/>
      <c r="N476" s="66"/>
      <c r="O476" s="66"/>
      <c r="P476" s="66" t="e">
        <f>CONCATENATE(#REF!," ",#REF!," ",#REF!)</f>
        <v>#REF!</v>
      </c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18" customHeight="1">
      <c r="A477" s="188">
        <v>471</v>
      </c>
      <c r="B477" s="193" t="s">
        <v>1486</v>
      </c>
      <c r="C477" s="193" t="s">
        <v>19</v>
      </c>
      <c r="D477" s="190" t="s">
        <v>40</v>
      </c>
      <c r="E477" s="191" t="s">
        <v>1523</v>
      </c>
      <c r="F477" s="191" t="s">
        <v>1524</v>
      </c>
      <c r="G477" s="191" t="s">
        <v>1525</v>
      </c>
      <c r="H477" s="192"/>
      <c r="I477" s="210"/>
      <c r="J477" s="279" t="s">
        <v>1526</v>
      </c>
      <c r="K477" s="307" t="s">
        <v>1527</v>
      </c>
      <c r="L477" s="66"/>
      <c r="M477" s="66"/>
      <c r="N477" s="66"/>
      <c r="O477" s="66"/>
      <c r="P477" s="66" t="str">
        <f>CONCATENATE(E477," ",F477," ",G477)</f>
        <v>DALISAY MARIETTO CASPE</v>
      </c>
      <c r="Q477" s="66" t="str">
        <f>IFERROR(VLOOKUP(P477,[1]Disposition!$AB$9:$AC$495,2,0),"NO RECORD YET")</f>
        <v>Blk 12 Lot 47 Phase 1, Northgate Park Executive Vill, Brgy. Sto Cristo, SJDM, Bulacan</v>
      </c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18" customHeight="1">
      <c r="A478" s="188">
        <v>472</v>
      </c>
      <c r="B478" s="193" t="s">
        <v>1486</v>
      </c>
      <c r="C478" s="193" t="s">
        <v>39</v>
      </c>
      <c r="D478" s="190" t="s">
        <v>40</v>
      </c>
      <c r="E478" s="191" t="s">
        <v>256</v>
      </c>
      <c r="F478" s="191" t="s">
        <v>1528</v>
      </c>
      <c r="G478" s="191" t="s">
        <v>1529</v>
      </c>
      <c r="H478" s="192"/>
      <c r="I478" s="210"/>
      <c r="J478" s="279" t="s">
        <v>1530</v>
      </c>
      <c r="K478" s="307" t="s">
        <v>1531</v>
      </c>
      <c r="L478" s="66"/>
      <c r="M478" s="66"/>
      <c r="N478" s="66"/>
      <c r="O478" s="66"/>
      <c r="P478" s="66" t="str">
        <f>CONCATENATE(E462," ",F462," ",G462)</f>
        <v>NOVIDA MARILOU FERNANDEZ</v>
      </c>
      <c r="Q478" s="66" t="str">
        <f>IFERROR(VLOOKUP(P478,[1]Disposition!$AB$9:$AC$495,2,0),"NO RECORD YET")</f>
        <v>Blk 3 Lot 28 Cedar Residences Phase 1, Carmona Estates, Carmona, Cavite</v>
      </c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18" customHeight="1">
      <c r="A479" s="188">
        <v>473</v>
      </c>
      <c r="B479" s="193" t="s">
        <v>1486</v>
      </c>
      <c r="C479" s="189" t="s">
        <v>19</v>
      </c>
      <c r="D479" s="190" t="s">
        <v>40</v>
      </c>
      <c r="E479" s="191" t="s">
        <v>1532</v>
      </c>
      <c r="F479" s="191" t="s">
        <v>1533</v>
      </c>
      <c r="G479" s="191" t="s">
        <v>1534</v>
      </c>
      <c r="H479" s="192"/>
      <c r="I479" s="228"/>
      <c r="J479" s="285"/>
      <c r="K479" s="282"/>
      <c r="L479" s="66"/>
      <c r="M479" s="66"/>
      <c r="N479" s="66"/>
      <c r="O479" s="66"/>
      <c r="P479" s="66" t="str">
        <f t="shared" ref="P479:P484" si="13">CONCATENATE(E479," ",F479," ",G479)</f>
        <v>DELA PERI CHRISTOPHER  TOGONON</v>
      </c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18" customHeight="1">
      <c r="A480" s="188">
        <v>474</v>
      </c>
      <c r="B480" s="193" t="s">
        <v>1486</v>
      </c>
      <c r="C480" s="189" t="s">
        <v>19</v>
      </c>
      <c r="D480" s="190" t="s">
        <v>40</v>
      </c>
      <c r="E480" s="191" t="s">
        <v>1535</v>
      </c>
      <c r="F480" s="191" t="s">
        <v>1536</v>
      </c>
      <c r="G480" s="191" t="s">
        <v>93</v>
      </c>
      <c r="H480" s="192"/>
      <c r="I480" s="228"/>
      <c r="J480" s="285"/>
      <c r="K480" s="282"/>
      <c r="L480" s="66"/>
      <c r="M480" s="66"/>
      <c r="N480" s="66"/>
      <c r="O480" s="66"/>
      <c r="P480" s="66" t="str">
        <f t="shared" si="13"/>
        <v>HERNANDEZ CYRUS MANZANO</v>
      </c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18" customHeight="1">
      <c r="A481" s="188">
        <v>475</v>
      </c>
      <c r="B481" s="193" t="s">
        <v>1537</v>
      </c>
      <c r="C481" s="193" t="s">
        <v>19</v>
      </c>
      <c r="D481" s="190" t="s">
        <v>644</v>
      </c>
      <c r="E481" s="191" t="s">
        <v>1538</v>
      </c>
      <c r="F481" s="191" t="s">
        <v>646</v>
      </c>
      <c r="G481" s="191" t="s">
        <v>1539</v>
      </c>
      <c r="H481" s="192"/>
      <c r="I481" s="210"/>
      <c r="J481" s="279" t="s">
        <v>1540</v>
      </c>
      <c r="K481" s="282"/>
      <c r="L481" s="66"/>
      <c r="M481" s="66"/>
      <c r="N481" s="66"/>
      <c r="O481" s="66"/>
      <c r="P481" s="66" t="str">
        <f t="shared" si="13"/>
        <v>CALAPANO MELVIN AVILA</v>
      </c>
      <c r="Q481" s="66">
        <f>IFERROR(VLOOKUP(P481,[1]Disposition!$AB$9:$AC$495,2,0),"NO RECORD YET")</f>
        <v>0</v>
      </c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18" customHeight="1">
      <c r="A482" s="188">
        <v>476</v>
      </c>
      <c r="B482" s="193" t="s">
        <v>1537</v>
      </c>
      <c r="C482" s="193" t="s">
        <v>39</v>
      </c>
      <c r="D482" s="190" t="s">
        <v>40</v>
      </c>
      <c r="E482" s="191" t="s">
        <v>294</v>
      </c>
      <c r="F482" s="191" t="s">
        <v>1541</v>
      </c>
      <c r="G482" s="191" t="s">
        <v>1169</v>
      </c>
      <c r="H482" s="192"/>
      <c r="I482" s="210"/>
      <c r="J482" s="279" t="s">
        <v>1542</v>
      </c>
      <c r="K482" s="307" t="s">
        <v>1543</v>
      </c>
      <c r="L482" s="66"/>
      <c r="M482" s="66"/>
      <c r="N482" s="66"/>
      <c r="O482" s="66"/>
      <c r="P482" s="66" t="str">
        <f t="shared" si="13"/>
        <v>BINARAO SUNSHINE GARCIA</v>
      </c>
      <c r="Q482" s="66" t="str">
        <f>IFERROR(VLOOKUP(P482,[1]Disposition!$AB$9:$AC$495,2,0),"NO RECORD YET")</f>
        <v>120 D Julian Felipe St., Sangandaan, Caloocan</v>
      </c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18" customHeight="1">
      <c r="A483" s="188">
        <v>477</v>
      </c>
      <c r="B483" s="193" t="s">
        <v>1537</v>
      </c>
      <c r="C483" s="193" t="s">
        <v>39</v>
      </c>
      <c r="D483" s="190" t="s">
        <v>40</v>
      </c>
      <c r="E483" s="191" t="s">
        <v>1544</v>
      </c>
      <c r="F483" s="191" t="s">
        <v>1545</v>
      </c>
      <c r="G483" s="191" t="s">
        <v>1546</v>
      </c>
      <c r="H483" s="192"/>
      <c r="I483" s="212"/>
      <c r="J483" s="279" t="s">
        <v>1547</v>
      </c>
      <c r="K483" s="307" t="s">
        <v>1548</v>
      </c>
      <c r="L483" s="66"/>
      <c r="M483" s="66"/>
      <c r="N483" s="66"/>
      <c r="O483" s="66"/>
      <c r="P483" s="66" t="str">
        <f t="shared" si="13"/>
        <v>DIMACULANGAN MARLYN LAGULA</v>
      </c>
      <c r="Q483" s="66" t="str">
        <f>IFERROR(VLOOKUP(P483,[1]Disposition!$AB$9:$AC$495,2,0),"NO RECORD YET")</f>
        <v>B49 L15 H. Dela Costa Homes V, Brgy. Burgos, Rodriguez, Rizal</v>
      </c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18" customHeight="1">
      <c r="A484" s="188">
        <v>478</v>
      </c>
      <c r="B484" s="193" t="s">
        <v>1537</v>
      </c>
      <c r="C484" s="193" t="s">
        <v>39</v>
      </c>
      <c r="D484" s="190" t="s">
        <v>40</v>
      </c>
      <c r="E484" s="191" t="s">
        <v>151</v>
      </c>
      <c r="F484" s="191" t="s">
        <v>1549</v>
      </c>
      <c r="G484" s="191" t="s">
        <v>1550</v>
      </c>
      <c r="H484" s="192"/>
      <c r="I484" s="210"/>
      <c r="J484" s="279" t="s">
        <v>1551</v>
      </c>
      <c r="K484" s="307" t="s">
        <v>1552</v>
      </c>
      <c r="L484" s="66"/>
      <c r="M484" s="66"/>
      <c r="N484" s="66"/>
      <c r="O484" s="66"/>
      <c r="P484" s="66" t="str">
        <f t="shared" si="13"/>
        <v>RAMOS PRINCESS SANNY ABLOG</v>
      </c>
      <c r="Q484" s="66" t="str">
        <f>IFERROR(VLOOKUP(P484,[1]Disposition!$AB$9:$AC$495,2,0),"NO RECORD YET")</f>
        <v>3426-A-1C, Lubiran St., Bacood, Sta Mesa, Manila</v>
      </c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18" customHeight="1">
      <c r="A485" s="188">
        <v>479</v>
      </c>
      <c r="B485" s="193" t="s">
        <v>1537</v>
      </c>
      <c r="C485" s="193" t="s">
        <v>39</v>
      </c>
      <c r="D485" s="190" t="s">
        <v>40</v>
      </c>
      <c r="E485" s="191" t="s">
        <v>1553</v>
      </c>
      <c r="F485" s="191" t="s">
        <v>1554</v>
      </c>
      <c r="G485" s="191" t="s">
        <v>393</v>
      </c>
      <c r="H485" s="202"/>
      <c r="I485" s="210"/>
      <c r="J485" s="279" t="s">
        <v>1555</v>
      </c>
      <c r="K485" s="307" t="s">
        <v>1556</v>
      </c>
      <c r="L485" s="66"/>
      <c r="M485" s="66"/>
      <c r="N485" s="66"/>
      <c r="O485" s="66"/>
      <c r="P485" s="66" t="e">
        <f>CONCATENATE(G520," ",F520," ",#REF!)</f>
        <v>#REF!</v>
      </c>
      <c r="Q485" s="66" t="str">
        <f>IFERROR(VLOOKUP(P485,[1]Disposition!$AB$9:$AC$495,2,0),"NO RECORD YET")</f>
        <v>NO RECORD YET</v>
      </c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18" customHeight="1">
      <c r="A486" s="188">
        <v>480</v>
      </c>
      <c r="B486" s="193" t="s">
        <v>1557</v>
      </c>
      <c r="C486" s="193" t="s">
        <v>19</v>
      </c>
      <c r="D486" s="190" t="s">
        <v>24</v>
      </c>
      <c r="E486" s="204" t="s">
        <v>1558</v>
      </c>
      <c r="F486" s="204" t="s">
        <v>1559</v>
      </c>
      <c r="G486" s="204" t="s">
        <v>1560</v>
      </c>
      <c r="H486" s="205"/>
      <c r="I486" s="210"/>
      <c r="J486" s="281" t="s">
        <v>1561</v>
      </c>
      <c r="K486" s="307" t="s">
        <v>1562</v>
      </c>
      <c r="L486" s="66"/>
      <c r="M486" s="66"/>
      <c r="N486" s="66"/>
      <c r="O486" s="66"/>
      <c r="P486" s="66" t="str">
        <f t="shared" ref="P486:P504" si="14">CONCATENATE(E486," ",F486," ",G486)</f>
        <v>CAMFOLI GLENMORE ONNAN</v>
      </c>
      <c r="Q486" s="66" t="str">
        <f>IFERROR(VLOOKUP(P486,[1]Disposition!$AB$9:$AC$495,2,0),"NO RECORD YET")</f>
        <v>B43 L11 Adrian St., Fairmoint Subd., North Fairview, Quezon City</v>
      </c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18" customHeight="1">
      <c r="A487" s="188">
        <v>481</v>
      </c>
      <c r="B487" s="193" t="s">
        <v>1563</v>
      </c>
      <c r="C487" s="193" t="s">
        <v>19</v>
      </c>
      <c r="D487" s="190" t="s">
        <v>28</v>
      </c>
      <c r="E487" s="195" t="s">
        <v>1564</v>
      </c>
      <c r="F487" s="195" t="s">
        <v>1565</v>
      </c>
      <c r="G487" s="195" t="s">
        <v>1566</v>
      </c>
      <c r="H487" s="194"/>
      <c r="I487" s="212"/>
      <c r="J487" s="281" t="s">
        <v>1567</v>
      </c>
      <c r="K487" s="307" t="s">
        <v>1568</v>
      </c>
      <c r="L487" s="66"/>
      <c r="M487" s="66"/>
      <c r="N487" s="66"/>
      <c r="O487" s="66"/>
      <c r="P487" s="66" t="str">
        <f t="shared" si="14"/>
        <v>DIONEDA KARL JOHN QUIRANTE</v>
      </c>
      <c r="Q487" s="66" t="str">
        <f>IFERROR(VLOOKUP(P487,[1]Disposition!$AB$9:$AC$495,2,0),"NO RECORD YET")</f>
        <v>NO RECORD YET</v>
      </c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18" customHeight="1">
      <c r="A488" s="188">
        <v>482</v>
      </c>
      <c r="B488" s="193" t="s">
        <v>1563</v>
      </c>
      <c r="C488" s="193" t="s">
        <v>19</v>
      </c>
      <c r="D488" s="190" t="s">
        <v>28</v>
      </c>
      <c r="E488" s="195" t="s">
        <v>1083</v>
      </c>
      <c r="F488" s="195" t="s">
        <v>1569</v>
      </c>
      <c r="G488" s="195" t="s">
        <v>1570</v>
      </c>
      <c r="H488" s="194"/>
      <c r="I488" s="212"/>
      <c r="J488" s="281" t="s">
        <v>1571</v>
      </c>
      <c r="K488" s="307" t="s">
        <v>1572</v>
      </c>
      <c r="L488" s="66"/>
      <c r="M488" s="66"/>
      <c r="N488" s="66"/>
      <c r="O488" s="66"/>
      <c r="P488" s="66" t="str">
        <f t="shared" si="14"/>
        <v>REYES AVELINO MORO</v>
      </c>
      <c r="Q488" s="66" t="str">
        <f>IFERROR(VLOOKUP(P488,[1]Disposition!$AB$9:$AC$495,2,0),"NO RECORD YET")</f>
        <v>NO RECORD YET</v>
      </c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18" customHeight="1">
      <c r="A489" s="188">
        <v>483</v>
      </c>
      <c r="B489" s="193" t="s">
        <v>1563</v>
      </c>
      <c r="C489" s="193" t="s">
        <v>19</v>
      </c>
      <c r="D489" s="190" t="s">
        <v>40</v>
      </c>
      <c r="E489" s="191" t="s">
        <v>1573</v>
      </c>
      <c r="F489" s="191" t="s">
        <v>1113</v>
      </c>
      <c r="G489" s="191" t="s">
        <v>1574</v>
      </c>
      <c r="H489" s="192"/>
      <c r="I489" s="228"/>
      <c r="J489" s="279" t="s">
        <v>1575</v>
      </c>
      <c r="K489" s="307" t="s">
        <v>1576</v>
      </c>
      <c r="L489" s="66"/>
      <c r="M489" s="66"/>
      <c r="N489" s="66"/>
      <c r="O489" s="66"/>
      <c r="P489" s="66" t="str">
        <f t="shared" si="14"/>
        <v>ESMERO VICENTE NEQUIA</v>
      </c>
      <c r="Q489" s="66" t="str">
        <f>IFERROR(VLOOKUP(P489,[1]Disposition!$AB$9:$AC$495,2,0),"NO RECORD YET")</f>
        <v>Blk 1 Lot 10, Grotto View Homes, BRGY. Graceville, SJDM, BULacan</v>
      </c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18" customHeight="1">
      <c r="A490" s="188">
        <v>484</v>
      </c>
      <c r="B490" s="193" t="s">
        <v>1563</v>
      </c>
      <c r="C490" s="193" t="s">
        <v>19</v>
      </c>
      <c r="D490" s="190" t="s">
        <v>40</v>
      </c>
      <c r="E490" s="191" t="s">
        <v>1577</v>
      </c>
      <c r="F490" s="191" t="s">
        <v>1578</v>
      </c>
      <c r="G490" s="191" t="s">
        <v>1579</v>
      </c>
      <c r="H490" s="192"/>
      <c r="I490" s="210"/>
      <c r="J490" s="279" t="s">
        <v>1580</v>
      </c>
      <c r="K490" s="307" t="s">
        <v>1581</v>
      </c>
      <c r="L490" s="66"/>
      <c r="M490" s="66"/>
      <c r="N490" s="66"/>
      <c r="O490" s="66"/>
      <c r="P490" s="66" t="str">
        <f t="shared" si="14"/>
        <v>FLORO JOVENCIO FARIÑAS</v>
      </c>
      <c r="Q490" s="66" t="str">
        <f>IFERROR(VLOOKUP(P490,[1]Disposition!$AB$9:$AC$495,2,0),"NO RECORD YET")</f>
        <v>49 C 6TH Ave., Murph, Cubao, Quezon City</v>
      </c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18" customHeight="1">
      <c r="A491" s="188">
        <v>485</v>
      </c>
      <c r="B491" s="193" t="s">
        <v>1563</v>
      </c>
      <c r="C491" s="193" t="s">
        <v>39</v>
      </c>
      <c r="D491" s="190" t="s">
        <v>40</v>
      </c>
      <c r="E491" s="191" t="s">
        <v>1456</v>
      </c>
      <c r="F491" s="191" t="s">
        <v>1582</v>
      </c>
      <c r="G491" s="191" t="s">
        <v>1583</v>
      </c>
      <c r="H491" s="192"/>
      <c r="I491" s="212"/>
      <c r="J491" s="279" t="s">
        <v>1584</v>
      </c>
      <c r="K491" s="307" t="s">
        <v>1585</v>
      </c>
      <c r="L491" s="66"/>
      <c r="M491" s="66"/>
      <c r="N491" s="66"/>
      <c r="O491" s="66"/>
      <c r="P491" s="66" t="str">
        <f t="shared" si="14"/>
        <v>MOSLARES ALPHA RIZZA ZARSATA</v>
      </c>
      <c r="Q491" s="66" t="str">
        <f>IFERROR(VLOOKUP(P491,[1]Disposition!$AB$9:$AC$495,2,0),"NO RECORD YET")</f>
        <v>14-F, 13th Avenue, Brgy. Socorro, Quezon City</v>
      </c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18" customHeight="1">
      <c r="A492" s="188">
        <v>486</v>
      </c>
      <c r="B492" s="193" t="s">
        <v>1563</v>
      </c>
      <c r="C492" s="193" t="s">
        <v>19</v>
      </c>
      <c r="D492" s="190" t="s">
        <v>40</v>
      </c>
      <c r="E492" s="191" t="s">
        <v>151</v>
      </c>
      <c r="F492" s="191" t="s">
        <v>1586</v>
      </c>
      <c r="G492" s="191" t="s">
        <v>1587</v>
      </c>
      <c r="H492" s="192"/>
      <c r="I492" s="228"/>
      <c r="J492" s="279"/>
      <c r="K492" s="282"/>
      <c r="L492" s="66"/>
      <c r="M492" s="66"/>
      <c r="N492" s="66"/>
      <c r="O492" s="66"/>
      <c r="P492" s="66" t="str">
        <f t="shared" si="14"/>
        <v>RAMOS ERNESTO POQUIS</v>
      </c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18" customHeight="1">
      <c r="A493" s="188">
        <v>487</v>
      </c>
      <c r="B493" s="193" t="s">
        <v>1588</v>
      </c>
      <c r="C493" s="193" t="s">
        <v>19</v>
      </c>
      <c r="D493" s="190" t="s">
        <v>40</v>
      </c>
      <c r="E493" s="191" t="s">
        <v>1589</v>
      </c>
      <c r="F493" s="191" t="s">
        <v>1590</v>
      </c>
      <c r="G493" s="191" t="s">
        <v>151</v>
      </c>
      <c r="H493" s="192"/>
      <c r="I493" s="212"/>
      <c r="J493" s="279" t="s">
        <v>1591</v>
      </c>
      <c r="K493" s="307" t="s">
        <v>1592</v>
      </c>
      <c r="L493" s="66"/>
      <c r="M493" s="66"/>
      <c r="N493" s="66"/>
      <c r="O493" s="66"/>
      <c r="P493" s="66" t="str">
        <f t="shared" si="14"/>
        <v>ALI HUSSEIN RAMOS</v>
      </c>
      <c r="Q493" s="66" t="str">
        <f>IFERROR(VLOOKUP(P493,[1]Disposition!$AB$9:$AC$495,2,0),"NO RECORD YET")</f>
        <v>1A Mirasol St., San Roque, Cubao, Quezon City</v>
      </c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18" customHeight="1">
      <c r="A494" s="188">
        <v>488</v>
      </c>
      <c r="B494" s="193" t="s">
        <v>1588</v>
      </c>
      <c r="C494" s="193" t="s">
        <v>19</v>
      </c>
      <c r="D494" s="190" t="s">
        <v>40</v>
      </c>
      <c r="E494" s="191" t="s">
        <v>1593</v>
      </c>
      <c r="F494" s="191" t="s">
        <v>1594</v>
      </c>
      <c r="G494" s="191" t="s">
        <v>1595</v>
      </c>
      <c r="H494" s="192"/>
      <c r="I494" s="212"/>
      <c r="J494" s="279" t="s">
        <v>1596</v>
      </c>
      <c r="K494" s="307" t="s">
        <v>1597</v>
      </c>
      <c r="L494" s="66"/>
      <c r="M494" s="66"/>
      <c r="N494" s="66"/>
      <c r="O494" s="66"/>
      <c r="P494" s="66" t="str">
        <f t="shared" si="14"/>
        <v>LAMPA ENGELBERT VALERA</v>
      </c>
      <c r="Q494" s="66" t="str">
        <f>IFERROR(VLOOKUP(P494,[1]Disposition!$AB$9:$AC$495,2,0),"NO RECORD YET")</f>
        <v>12C 8th  Avenue, Brgy. Socorro, Cubao, Quezon City</v>
      </c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18" customHeight="1">
      <c r="A495" s="188">
        <v>489</v>
      </c>
      <c r="B495" s="193" t="s">
        <v>1588</v>
      </c>
      <c r="C495" s="193" t="s">
        <v>19</v>
      </c>
      <c r="D495" s="190" t="s">
        <v>40</v>
      </c>
      <c r="E495" s="191" t="s">
        <v>1598</v>
      </c>
      <c r="F495" s="191" t="s">
        <v>1599</v>
      </c>
      <c r="G495" s="191" t="s">
        <v>1600</v>
      </c>
      <c r="H495" s="192"/>
      <c r="I495" s="212"/>
      <c r="J495" s="279" t="s">
        <v>1601</v>
      </c>
      <c r="K495" s="307" t="s">
        <v>1602</v>
      </c>
      <c r="L495" s="66"/>
      <c r="M495" s="66"/>
      <c r="N495" s="66"/>
      <c r="O495" s="66"/>
      <c r="P495" s="66" t="str">
        <f t="shared" si="14"/>
        <v>ADULTA ARREN LEE CHACON</v>
      </c>
      <c r="Q495" s="66" t="str">
        <f>IFERROR(VLOOKUP(P495,[1]Disposition!$AB$9:$AC$495,2,0),"NO RECORD YET")</f>
        <v>49 Aralar St., Pilapila, Binangonan, Rizal</v>
      </c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18" customHeight="1">
      <c r="A496" s="188">
        <v>490</v>
      </c>
      <c r="B496" s="193" t="s">
        <v>1588</v>
      </c>
      <c r="C496" s="193" t="s">
        <v>19</v>
      </c>
      <c r="D496" s="190" t="s">
        <v>40</v>
      </c>
      <c r="E496" s="191" t="s">
        <v>904</v>
      </c>
      <c r="F496" s="191" t="s">
        <v>684</v>
      </c>
      <c r="G496" s="191" t="s">
        <v>256</v>
      </c>
      <c r="H496" s="192"/>
      <c r="I496" s="210"/>
      <c r="J496" s="279" t="s">
        <v>1603</v>
      </c>
      <c r="K496" s="307" t="s">
        <v>1604</v>
      </c>
      <c r="L496" s="66"/>
      <c r="M496" s="66"/>
      <c r="N496" s="66"/>
      <c r="O496" s="66"/>
      <c r="P496" s="66" t="str">
        <f t="shared" si="14"/>
        <v>BACLIG MICHAEL DELA CRUZ</v>
      </c>
      <c r="Q496" s="66" t="str">
        <f>IFERROR(VLOOKUP(P496,[1]Disposition!$AB$9:$AC$495,2,0),"NO RECORD YET")</f>
        <v>Blk 9 Lot 19 Our Lady of Fathima St., Rosario Complex, Brgy Rosario, San Pedro , Laguna</v>
      </c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18" customHeight="1">
      <c r="A497" s="188">
        <v>491</v>
      </c>
      <c r="B497" s="193" t="s">
        <v>1588</v>
      </c>
      <c r="C497" s="193" t="s">
        <v>19</v>
      </c>
      <c r="D497" s="190" t="s">
        <v>40</v>
      </c>
      <c r="E497" s="191" t="s">
        <v>1605</v>
      </c>
      <c r="F497" s="191" t="s">
        <v>1606</v>
      </c>
      <c r="G497" s="191" t="s">
        <v>1607</v>
      </c>
      <c r="H497" s="192"/>
      <c r="I497" s="210"/>
      <c r="J497" s="279" t="s">
        <v>1608</v>
      </c>
      <c r="K497" s="307" t="s">
        <v>1609</v>
      </c>
      <c r="L497" s="66"/>
      <c r="M497" s="66"/>
      <c r="N497" s="66"/>
      <c r="O497" s="66"/>
      <c r="P497" s="66" t="str">
        <f t="shared" si="14"/>
        <v>GAJO ELMAN ABAJA</v>
      </c>
      <c r="Q497" s="66" t="str">
        <f>IFERROR(VLOOKUP(P497,[1]Disposition!$AB$9:$AC$495,2,0),"NO RECORD YET")</f>
        <v>15 Wild Cat Village, C5 Road, Ususan, Taguing CityY</v>
      </c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18" customHeight="1">
      <c r="A498" s="188">
        <v>492</v>
      </c>
      <c r="B498" s="193" t="s">
        <v>1588</v>
      </c>
      <c r="C498" s="193" t="s">
        <v>19</v>
      </c>
      <c r="D498" s="190" t="s">
        <v>40</v>
      </c>
      <c r="E498" s="191" t="s">
        <v>1610</v>
      </c>
      <c r="F498" s="191" t="s">
        <v>293</v>
      </c>
      <c r="G498" s="191" t="s">
        <v>1611</v>
      </c>
      <c r="H498" s="202"/>
      <c r="I498" s="210"/>
      <c r="J498" s="279" t="s">
        <v>1612</v>
      </c>
      <c r="K498" s="307" t="s">
        <v>1613</v>
      </c>
      <c r="L498" s="66"/>
      <c r="M498" s="66"/>
      <c r="N498" s="66"/>
      <c r="O498" s="66"/>
      <c r="P498" s="66" t="str">
        <f t="shared" si="14"/>
        <v>MARINTES JOEY MANUGUID</v>
      </c>
      <c r="Q498" s="66" t="str">
        <f>IFERROR(VLOOKUP(P498,[1]Disposition!$AB$9:$AC$495,2,0),"NO RECORD YET")</f>
        <v>11 Sta. Isabel St., Sto. Rosario Village, Baritan, Malabon</v>
      </c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18" customHeight="1">
      <c r="A499" s="188">
        <v>493</v>
      </c>
      <c r="B499" s="193" t="s">
        <v>1588</v>
      </c>
      <c r="C499" s="193" t="s">
        <v>39</v>
      </c>
      <c r="D499" s="190" t="s">
        <v>40</v>
      </c>
      <c r="E499" s="191" t="s">
        <v>1614</v>
      </c>
      <c r="F499" s="191" t="s">
        <v>1615</v>
      </c>
      <c r="G499" s="191" t="s">
        <v>365</v>
      </c>
      <c r="H499" s="192"/>
      <c r="I499" s="228"/>
      <c r="J499" s="279" t="s">
        <v>1616</v>
      </c>
      <c r="K499" s="307" t="s">
        <v>1617</v>
      </c>
      <c r="L499" s="66"/>
      <c r="M499" s="66"/>
      <c r="N499" s="66"/>
      <c r="O499" s="66"/>
      <c r="P499" s="66" t="str">
        <f t="shared" si="14"/>
        <v>PIMENTEL MARGIE DIAZ</v>
      </c>
      <c r="Q499" s="66" t="str">
        <f>IFERROR(VLOOKUP(P499,[1]Disposition!$AB$9:$AC$495,2,0),"NO RECORD YET")</f>
        <v>12-C 8th Avenue, Brgy Socorro, Murphy, Cubao, Quezon City</v>
      </c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18" customHeight="1">
      <c r="A500" s="188">
        <v>494</v>
      </c>
      <c r="B500" s="193" t="s">
        <v>1588</v>
      </c>
      <c r="C500" s="193" t="s">
        <v>19</v>
      </c>
      <c r="D500" s="190" t="s">
        <v>40</v>
      </c>
      <c r="E500" s="191" t="s">
        <v>151</v>
      </c>
      <c r="F500" s="191" t="s">
        <v>1618</v>
      </c>
      <c r="G500" s="191" t="s">
        <v>1619</v>
      </c>
      <c r="H500" s="192"/>
      <c r="I500" s="228"/>
      <c r="J500" s="279" t="s">
        <v>1620</v>
      </c>
      <c r="K500" s="307" t="s">
        <v>1621</v>
      </c>
      <c r="L500" s="66"/>
      <c r="M500" s="66"/>
      <c r="N500" s="66"/>
      <c r="O500" s="66"/>
      <c r="P500" s="66" t="str">
        <f t="shared" si="14"/>
        <v>RAMOS JOHN ERIK MAYORGA</v>
      </c>
      <c r="Q500" s="66" t="str">
        <f>IFERROR(VLOOKUP(P500,[1]Disposition!$AB$9:$AC$495,2,0),"NO RECORD YET")</f>
        <v>Inicbulan, Bauan, Batangas</v>
      </c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18" customHeight="1">
      <c r="A501" s="188">
        <v>495</v>
      </c>
      <c r="B501" s="193" t="s">
        <v>1588</v>
      </c>
      <c r="C501" s="193" t="s">
        <v>19</v>
      </c>
      <c r="D501" s="190" t="s">
        <v>40</v>
      </c>
      <c r="E501" s="191" t="s">
        <v>1622</v>
      </c>
      <c r="F501" s="191" t="s">
        <v>1623</v>
      </c>
      <c r="G501" s="191" t="s">
        <v>1624</v>
      </c>
      <c r="H501" s="192"/>
      <c r="I501" s="228"/>
      <c r="J501" s="279" t="s">
        <v>1625</v>
      </c>
      <c r="K501" s="307" t="s">
        <v>1626</v>
      </c>
      <c r="L501" s="66"/>
      <c r="M501" s="66"/>
      <c r="N501" s="66"/>
      <c r="O501" s="66"/>
      <c r="P501" s="66" t="str">
        <f t="shared" si="14"/>
        <v>RIVERA EDMUND MALBARTINO</v>
      </c>
      <c r="Q501" s="66" t="str">
        <f>IFERROR(VLOOKUP(P501,[1]Disposition!$AB$9:$AC$495,2,0),"NO RECORD YET")</f>
        <v>Blk 9 Lot 9, Victory Ville 2, Llano, Caloocan City</v>
      </c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18" customHeight="1">
      <c r="A502" s="188">
        <v>496</v>
      </c>
      <c r="B502" s="193" t="s">
        <v>1588</v>
      </c>
      <c r="C502" s="193" t="s">
        <v>39</v>
      </c>
      <c r="D502" s="190" t="s">
        <v>40</v>
      </c>
      <c r="E502" s="191" t="s">
        <v>1627</v>
      </c>
      <c r="F502" s="191" t="s">
        <v>1628</v>
      </c>
      <c r="G502" s="191" t="s">
        <v>1629</v>
      </c>
      <c r="H502" s="192"/>
      <c r="I502" s="212"/>
      <c r="J502" s="279" t="s">
        <v>1630</v>
      </c>
      <c r="K502" s="307" t="s">
        <v>1631</v>
      </c>
      <c r="L502" s="66"/>
      <c r="M502" s="66"/>
      <c r="N502" s="66"/>
      <c r="O502" s="66"/>
      <c r="P502" s="66" t="str">
        <f t="shared" si="14"/>
        <v>RUARO ANN MARGARETH PERGIS</v>
      </c>
      <c r="Q502" s="66" t="str">
        <f>IFERROR(VLOOKUP(P502,[1]Disposition!$AB$9:$AC$495,2,0),"NO RECORD YET")</f>
        <v>Blk 4 ot Lot 13 Phase B, Francisco Homes, Brgy., Mulawin, SJDM, BULACAN</v>
      </c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18" customHeight="1">
      <c r="A503" s="188">
        <v>497</v>
      </c>
      <c r="B503" s="193" t="s">
        <v>1632</v>
      </c>
      <c r="C503" s="189" t="s">
        <v>19</v>
      </c>
      <c r="D503" s="190" t="s">
        <v>96</v>
      </c>
      <c r="E503" s="191" t="s">
        <v>1633</v>
      </c>
      <c r="F503" s="191" t="s">
        <v>1634</v>
      </c>
      <c r="G503" s="191" t="s">
        <v>1635</v>
      </c>
      <c r="H503" s="192"/>
      <c r="I503" s="210"/>
      <c r="J503" s="279" t="s">
        <v>1636</v>
      </c>
      <c r="K503" s="307" t="s">
        <v>1637</v>
      </c>
      <c r="L503" s="66"/>
      <c r="M503" s="66"/>
      <c r="N503" s="66"/>
      <c r="O503" s="66"/>
      <c r="P503" s="66" t="str">
        <f t="shared" si="14"/>
        <v>CABILES FIDEL VALEROS</v>
      </c>
      <c r="Q503" s="66" t="str">
        <f>IFERROR(VLOOKUP(P503,[1]Disposition!$AB$9:$AC$495,2,0),"NO RECORD YET")</f>
        <v>918 T2 Grace Residences, Taguig City</v>
      </c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18" customHeight="1">
      <c r="A504" s="188">
        <v>498</v>
      </c>
      <c r="B504" s="189" t="s">
        <v>1638</v>
      </c>
      <c r="C504" s="193" t="s">
        <v>19</v>
      </c>
      <c r="D504" s="190" t="s">
        <v>28</v>
      </c>
      <c r="E504" s="195" t="s">
        <v>1024</v>
      </c>
      <c r="F504" s="195" t="s">
        <v>553</v>
      </c>
      <c r="G504" s="195" t="s">
        <v>934</v>
      </c>
      <c r="H504" s="194"/>
      <c r="I504" s="212"/>
      <c r="J504" s="185" t="s">
        <v>1639</v>
      </c>
      <c r="K504" s="307" t="s">
        <v>1640</v>
      </c>
      <c r="L504" s="66"/>
      <c r="M504" s="66"/>
      <c r="N504" s="66"/>
      <c r="O504" s="66"/>
      <c r="P504" s="66" t="str">
        <f t="shared" si="14"/>
        <v>FERNANDEZ ERIC MOLINA</v>
      </c>
      <c r="Q504" s="66" t="str">
        <f>IFERROR(VLOOKUP(P504,[1]Disposition!$AB$9:$AC$495,2,0),"NO RECORD YET")</f>
        <v>NO RECORD YET</v>
      </c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18" customHeight="1">
      <c r="A505" s="188">
        <v>499</v>
      </c>
      <c r="B505" s="189" t="s">
        <v>1638</v>
      </c>
      <c r="C505" s="193" t="s">
        <v>39</v>
      </c>
      <c r="D505" s="190" t="s">
        <v>40</v>
      </c>
      <c r="E505" s="191" t="s">
        <v>1641</v>
      </c>
      <c r="F505" s="191" t="s">
        <v>1642</v>
      </c>
      <c r="G505" s="191" t="s">
        <v>1197</v>
      </c>
      <c r="H505" s="192"/>
      <c r="I505" s="210"/>
      <c r="J505" s="279" t="s">
        <v>1643</v>
      </c>
      <c r="K505" s="307" t="s">
        <v>1644</v>
      </c>
      <c r="L505" s="66"/>
      <c r="M505" s="66"/>
      <c r="N505" s="66"/>
      <c r="O505" s="66"/>
      <c r="P505" s="66" t="e">
        <f>CONCATENATE(#REF!," ",#REF!," ",#REF!)</f>
        <v>#REF!</v>
      </c>
      <c r="Q505" s="66" t="str">
        <f>IFERROR(VLOOKUP(P505,[1]Disposition!$AB$9:$AC$495,2,0),"NO RECORD YET")</f>
        <v>NO RECORD YET</v>
      </c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18" customHeight="1">
      <c r="A506" s="188">
        <v>500</v>
      </c>
      <c r="B506" s="189" t="s">
        <v>1638</v>
      </c>
      <c r="C506" s="189" t="s">
        <v>19</v>
      </c>
      <c r="D506" s="190" t="s">
        <v>40</v>
      </c>
      <c r="E506" s="191" t="s">
        <v>1645</v>
      </c>
      <c r="F506" s="191" t="s">
        <v>1646</v>
      </c>
      <c r="G506" s="191" t="s">
        <v>347</v>
      </c>
      <c r="H506" s="192"/>
      <c r="I506" s="210"/>
      <c r="J506" s="279" t="s">
        <v>1647</v>
      </c>
      <c r="K506" s="307" t="s">
        <v>1648</v>
      </c>
      <c r="L506" s="66"/>
      <c r="M506" s="66"/>
      <c r="N506" s="66"/>
      <c r="O506" s="66"/>
      <c r="P506" s="66" t="str">
        <f>CONCATENATE(E505," ",F505," ",G505)</f>
        <v>GABRIEL ROSALYN ALFONSO</v>
      </c>
      <c r="Q506" s="66" t="str">
        <f>IFERROR(VLOOKUP(P506,[1]Disposition!$AB$9:$AC$495,2,0),"NO RECORD YET")</f>
        <v>#09 Pulong Buli, Sto. Domingo, Nueva Ecija</v>
      </c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18" customHeight="1">
      <c r="A507" s="188">
        <v>501</v>
      </c>
      <c r="B507" s="189" t="s">
        <v>1638</v>
      </c>
      <c r="C507" s="193" t="s">
        <v>39</v>
      </c>
      <c r="D507" s="190" t="s">
        <v>40</v>
      </c>
      <c r="E507" s="191" t="s">
        <v>1649</v>
      </c>
      <c r="F507" s="191" t="s">
        <v>1650</v>
      </c>
      <c r="G507" s="191" t="s">
        <v>1651</v>
      </c>
      <c r="H507" s="192"/>
      <c r="I507" s="210"/>
      <c r="J507" s="279" t="s">
        <v>1652</v>
      </c>
      <c r="K507" s="307" t="s">
        <v>1031</v>
      </c>
      <c r="L507" s="66"/>
      <c r="M507" s="66"/>
      <c r="N507" s="66"/>
      <c r="O507" s="66"/>
      <c r="P507" s="66" t="str">
        <f t="shared" ref="P507:P519" si="15">CONCATENATE(E507," ",F507," ",G507)</f>
        <v>SECULLES LILIBETH VERANO</v>
      </c>
      <c r="Q507" s="66" t="str">
        <f>IFERROR(VLOOKUP(P507,[1]Disposition!$AB$9:$AC$495,2,0),"NO RECORD YET")</f>
        <v>Lot 230 East Bank Road, Soldiers Village, Sta. Lucia, Pasig City</v>
      </c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18" customHeight="1">
      <c r="A508" s="188">
        <v>502</v>
      </c>
      <c r="B508" s="193" t="s">
        <v>1653</v>
      </c>
      <c r="C508" s="193" t="s">
        <v>39</v>
      </c>
      <c r="D508" s="190" t="s">
        <v>160</v>
      </c>
      <c r="E508" s="191" t="s">
        <v>1654</v>
      </c>
      <c r="F508" s="191" t="s">
        <v>1655</v>
      </c>
      <c r="G508" s="191" t="s">
        <v>1205</v>
      </c>
      <c r="H508" s="192"/>
      <c r="I508" s="210"/>
      <c r="J508" s="279"/>
      <c r="K508" s="282"/>
      <c r="L508" s="66"/>
      <c r="M508" s="66"/>
      <c r="N508" s="66"/>
      <c r="O508" s="66"/>
      <c r="P508" s="66" t="str">
        <f t="shared" si="15"/>
        <v>SALAYA MA ANGELA MIRABEL</v>
      </c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18" customHeight="1">
      <c r="A509" s="188">
        <v>503</v>
      </c>
      <c r="B509" s="189" t="s">
        <v>1656</v>
      </c>
      <c r="C509" s="193" t="s">
        <v>19</v>
      </c>
      <c r="D509" s="190" t="s">
        <v>160</v>
      </c>
      <c r="E509" s="191" t="s">
        <v>636</v>
      </c>
      <c r="F509" s="191" t="s">
        <v>1657</v>
      </c>
      <c r="G509" s="191" t="s">
        <v>1658</v>
      </c>
      <c r="H509" s="192"/>
      <c r="I509" s="210"/>
      <c r="J509" s="279" t="s">
        <v>1659</v>
      </c>
      <c r="K509" s="302"/>
      <c r="L509" s="66"/>
      <c r="M509" s="66"/>
      <c r="N509" s="66"/>
      <c r="O509" s="66"/>
      <c r="P509" s="66" t="str">
        <f t="shared" si="15"/>
        <v>SANTOS NHARCISO JHOEL SULIT</v>
      </c>
      <c r="Q509" s="66">
        <f>IFERROR(VLOOKUP(P509,[1]Disposition!$AB$9:$AC$495,2,0),"NO RECORD YET")</f>
        <v>0</v>
      </c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18" customHeight="1">
      <c r="A510" s="188">
        <v>504</v>
      </c>
      <c r="B510" s="189" t="s">
        <v>1656</v>
      </c>
      <c r="C510" s="189" t="s">
        <v>19</v>
      </c>
      <c r="D510" s="190" t="s">
        <v>96</v>
      </c>
      <c r="E510" s="204" t="s">
        <v>1660</v>
      </c>
      <c r="F510" s="204" t="s">
        <v>1661</v>
      </c>
      <c r="G510" s="204" t="s">
        <v>1662</v>
      </c>
      <c r="H510" s="205"/>
      <c r="I510" s="210"/>
      <c r="J510" s="279" t="s">
        <v>1663</v>
      </c>
      <c r="K510" s="307" t="s">
        <v>1664</v>
      </c>
      <c r="L510" s="66"/>
      <c r="M510" s="66"/>
      <c r="N510" s="66"/>
      <c r="O510" s="66"/>
      <c r="P510" s="66" t="str">
        <f t="shared" si="15"/>
        <v>ONIL RELLON SUAYAN</v>
      </c>
      <c r="Q510" s="66" t="str">
        <f>IFERROR(VLOOKUP(P510,[1]Disposition!$AB$9:$AC$495,2,0),"NO RECORD YET")</f>
        <v>774 Oroqueta St., Dagupan Weste, City of Tabuk (Capital), Kalinga</v>
      </c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18" customHeight="1">
      <c r="A511" s="188">
        <v>505</v>
      </c>
      <c r="B511" s="189" t="s">
        <v>1656</v>
      </c>
      <c r="C511" s="189" t="s">
        <v>19</v>
      </c>
      <c r="D511" s="190" t="s">
        <v>246</v>
      </c>
      <c r="E511" s="191" t="s">
        <v>1481</v>
      </c>
      <c r="F511" s="191" t="s">
        <v>1665</v>
      </c>
      <c r="G511" s="191" t="s">
        <v>1666</v>
      </c>
      <c r="H511" s="192"/>
      <c r="I511" s="210"/>
      <c r="J511" s="279"/>
      <c r="K511" s="282"/>
      <c r="L511" s="66"/>
      <c r="M511" s="66"/>
      <c r="N511" s="66"/>
      <c r="O511" s="66"/>
      <c r="P511" s="66" t="str">
        <f t="shared" si="15"/>
        <v>CORPUZ ALEX ACE CABAUATAN</v>
      </c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18" customHeight="1">
      <c r="A512" s="188">
        <v>506</v>
      </c>
      <c r="B512" s="189" t="s">
        <v>1656</v>
      </c>
      <c r="C512" s="193" t="s">
        <v>19</v>
      </c>
      <c r="D512" s="194" t="s">
        <v>28</v>
      </c>
      <c r="E512" s="195" t="s">
        <v>1667</v>
      </c>
      <c r="F512" s="195" t="s">
        <v>1668</v>
      </c>
      <c r="G512" s="195" t="s">
        <v>1669</v>
      </c>
      <c r="H512" s="194"/>
      <c r="I512" s="210"/>
      <c r="J512" s="279" t="s">
        <v>1561</v>
      </c>
      <c r="K512" s="307" t="s">
        <v>1670</v>
      </c>
      <c r="L512" s="66"/>
      <c r="M512" s="66"/>
      <c r="N512" s="66"/>
      <c r="O512" s="66"/>
      <c r="P512" s="66" t="str">
        <f t="shared" si="15"/>
        <v>BILLOSO AL ANTHONY CONSOLACION</v>
      </c>
      <c r="Q512" s="66" t="str">
        <f>IFERROR(VLOOKUP(P512,[1]Disposition!$AB$9:$AC$495,2,0),"NO RECORD YET")</f>
        <v>NO RECORD YET</v>
      </c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18" customHeight="1">
      <c r="A513" s="188">
        <v>507</v>
      </c>
      <c r="B513" s="189" t="s">
        <v>1656</v>
      </c>
      <c r="C513" s="193"/>
      <c r="D513" s="194" t="s">
        <v>28</v>
      </c>
      <c r="E513" s="204" t="s">
        <v>1671</v>
      </c>
      <c r="F513" s="204" t="s">
        <v>1672</v>
      </c>
      <c r="G513" s="204" t="s">
        <v>1673</v>
      </c>
      <c r="H513" s="205"/>
      <c r="I513" s="210"/>
      <c r="J513" s="279"/>
      <c r="K513" s="282"/>
      <c r="L513" s="66"/>
      <c r="M513" s="66"/>
      <c r="N513" s="66"/>
      <c r="O513" s="66"/>
      <c r="P513" s="66" t="str">
        <f t="shared" si="15"/>
        <v>JUANATA MICAELA SIAO</v>
      </c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18" customHeight="1">
      <c r="A514" s="188">
        <v>508</v>
      </c>
      <c r="B514" s="189" t="s">
        <v>1656</v>
      </c>
      <c r="C514" s="193" t="s">
        <v>19</v>
      </c>
      <c r="D514" s="190" t="s">
        <v>28</v>
      </c>
      <c r="E514" s="195" t="s">
        <v>1674</v>
      </c>
      <c r="F514" s="195" t="s">
        <v>1675</v>
      </c>
      <c r="G514" s="195" t="s">
        <v>1676</v>
      </c>
      <c r="H514" s="194"/>
      <c r="I514" s="210"/>
      <c r="J514" s="185" t="s">
        <v>1677</v>
      </c>
      <c r="K514" s="307" t="s">
        <v>1678</v>
      </c>
      <c r="L514" s="66"/>
      <c r="M514" s="66"/>
      <c r="N514" s="66"/>
      <c r="O514" s="66"/>
      <c r="P514" s="66" t="str">
        <f t="shared" si="15"/>
        <v>PANSOY LEX LEVIN JUEGOS</v>
      </c>
      <c r="Q514" s="66" t="str">
        <f>IFERROR(VLOOKUP(P514,[1]Disposition!$AB$9:$AC$495,2,0),"NO RECORD YET")</f>
        <v>NO RECORD YET</v>
      </c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18" customHeight="1">
      <c r="A515" s="188">
        <v>509</v>
      </c>
      <c r="B515" s="189" t="s">
        <v>1656</v>
      </c>
      <c r="C515" s="193" t="s">
        <v>39</v>
      </c>
      <c r="D515" s="190" t="s">
        <v>40</v>
      </c>
      <c r="E515" s="191" t="s">
        <v>1679</v>
      </c>
      <c r="F515" s="191" t="s">
        <v>1680</v>
      </c>
      <c r="G515" s="191" t="s">
        <v>1681</v>
      </c>
      <c r="H515" s="192"/>
      <c r="I515" s="210"/>
      <c r="J515" s="279" t="s">
        <v>1682</v>
      </c>
      <c r="K515" s="307" t="s">
        <v>1683</v>
      </c>
      <c r="L515" s="66"/>
      <c r="M515" s="66"/>
      <c r="N515" s="66"/>
      <c r="O515" s="66"/>
      <c r="P515" s="66" t="str">
        <f t="shared" si="15"/>
        <v>CUETO NOEME MAMON</v>
      </c>
      <c r="Q515" s="66" t="str">
        <f>IFERROR(VLOOKUP(P515,[1]Disposition!$AB$9:$AC$495,2,0),"NO RECORD YET")</f>
        <v>B8 L6 Phase 5, Sta Barbara Villas I, Brgy. Silangan, San Mateo, Rizal</v>
      </c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18" customHeight="1">
      <c r="A516" s="188">
        <v>510</v>
      </c>
      <c r="B516" s="189" t="s">
        <v>1656</v>
      </c>
      <c r="C516" s="193" t="s">
        <v>39</v>
      </c>
      <c r="D516" s="190" t="s">
        <v>40</v>
      </c>
      <c r="E516" s="191" t="s">
        <v>1684</v>
      </c>
      <c r="F516" s="191" t="s">
        <v>1685</v>
      </c>
      <c r="G516" s="191" t="s">
        <v>1686</v>
      </c>
      <c r="H516" s="192"/>
      <c r="I516" s="228"/>
      <c r="J516" s="285"/>
      <c r="K516" s="282"/>
      <c r="L516" s="66"/>
      <c r="M516" s="66"/>
      <c r="N516" s="66"/>
      <c r="O516" s="66"/>
      <c r="P516" s="66" t="str">
        <f t="shared" si="15"/>
        <v>DACIR DANIELLE ZCHEA GACUTE</v>
      </c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18" customHeight="1">
      <c r="A517" s="188">
        <v>511</v>
      </c>
      <c r="B517" s="189" t="s">
        <v>1656</v>
      </c>
      <c r="C517" s="193" t="s">
        <v>39</v>
      </c>
      <c r="D517" s="190" t="s">
        <v>40</v>
      </c>
      <c r="E517" s="191" t="s">
        <v>1687</v>
      </c>
      <c r="F517" s="191" t="s">
        <v>1688</v>
      </c>
      <c r="G517" s="191" t="s">
        <v>1689</v>
      </c>
      <c r="H517" s="192"/>
      <c r="I517" s="228"/>
      <c r="J517" s="285"/>
      <c r="K517" s="282"/>
      <c r="L517" s="66"/>
      <c r="M517" s="66"/>
      <c r="N517" s="66"/>
      <c r="O517" s="66"/>
      <c r="P517" s="66" t="str">
        <f t="shared" si="15"/>
        <v>NABONG WENDA GREEN LINDON TOMAS</v>
      </c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18" customHeight="1">
      <c r="A518" s="188">
        <v>512</v>
      </c>
      <c r="B518" s="189" t="s">
        <v>1656</v>
      </c>
      <c r="C518" s="193" t="s">
        <v>19</v>
      </c>
      <c r="D518" s="190" t="s">
        <v>40</v>
      </c>
      <c r="E518" s="191" t="s">
        <v>1690</v>
      </c>
      <c r="F518" s="191" t="s">
        <v>1691</v>
      </c>
      <c r="G518" s="191" t="s">
        <v>1692</v>
      </c>
      <c r="H518" s="192"/>
      <c r="I518" s="210"/>
      <c r="J518" s="279" t="s">
        <v>1693</v>
      </c>
      <c r="K518" s="307" t="s">
        <v>1694</v>
      </c>
      <c r="L518" s="66"/>
      <c r="M518" s="66"/>
      <c r="N518" s="66"/>
      <c r="O518" s="66"/>
      <c r="P518" s="66" t="str">
        <f t="shared" si="15"/>
        <v>OÑA ERNANI WILSON</v>
      </c>
      <c r="Q518" s="66" t="str">
        <f>IFERROR(VLOOKUP(P518,[1]Disposition!$AB$9:$AC$495,2,0),"NO RECORD YET")</f>
        <v>57 Ramon Jabson St., Brgy. Bambang, Pasig Ciity</v>
      </c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18" customHeight="1">
      <c r="A519" s="188">
        <v>513</v>
      </c>
      <c r="B519" s="189" t="s">
        <v>1656</v>
      </c>
      <c r="C519" s="193" t="s">
        <v>19</v>
      </c>
      <c r="D519" s="190" t="s">
        <v>40</v>
      </c>
      <c r="E519" s="191" t="s">
        <v>1695</v>
      </c>
      <c r="F519" s="191" t="s">
        <v>1696</v>
      </c>
      <c r="G519" s="191" t="s">
        <v>1697</v>
      </c>
      <c r="H519" s="192"/>
      <c r="I519" s="210"/>
      <c r="J519" s="279"/>
      <c r="K519" s="282"/>
      <c r="L519" s="66"/>
      <c r="M519" s="66"/>
      <c r="N519" s="66"/>
      <c r="O519" s="66"/>
      <c r="P519" s="66" t="str">
        <f t="shared" si="15"/>
        <v>SOCORRO GIBSON TOBIAS</v>
      </c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18" customHeight="1">
      <c r="A520" s="188">
        <v>514</v>
      </c>
      <c r="B520" s="189" t="s">
        <v>1698</v>
      </c>
      <c r="C520" s="193" t="s">
        <v>39</v>
      </c>
      <c r="D520" s="190" t="s">
        <v>40</v>
      </c>
      <c r="E520" s="242" t="s">
        <v>1239</v>
      </c>
      <c r="F520" s="191" t="s">
        <v>145</v>
      </c>
      <c r="G520" s="191" t="s">
        <v>720</v>
      </c>
      <c r="H520" s="192"/>
      <c r="I520" s="210"/>
      <c r="J520" s="279" t="s">
        <v>1699</v>
      </c>
      <c r="K520" s="307" t="s">
        <v>1700</v>
      </c>
      <c r="L520" s="66"/>
      <c r="M520" s="66"/>
      <c r="N520" s="66"/>
      <c r="O520" s="66"/>
      <c r="P520" s="66" t="str">
        <f>CONCATENATE(E475," ",F475," ",G475)</f>
        <v>ALDE MILA BERNADAS</v>
      </c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18" customHeight="1">
      <c r="A521" s="188">
        <v>515</v>
      </c>
      <c r="B521" s="189" t="s">
        <v>1698</v>
      </c>
      <c r="C521" s="189" t="s">
        <v>19</v>
      </c>
      <c r="D521" s="190" t="s">
        <v>40</v>
      </c>
      <c r="E521" s="191" t="s">
        <v>1701</v>
      </c>
      <c r="F521" s="191" t="s">
        <v>1702</v>
      </c>
      <c r="G521" s="191" t="s">
        <v>1703</v>
      </c>
      <c r="H521" s="192"/>
      <c r="I521" s="267"/>
      <c r="J521" s="279"/>
      <c r="K521" s="282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18" customHeight="1">
      <c r="A522" s="188">
        <v>516</v>
      </c>
      <c r="B522" s="189" t="s">
        <v>1704</v>
      </c>
      <c r="C522" s="193" t="s">
        <v>39</v>
      </c>
      <c r="D522" s="190" t="s">
        <v>40</v>
      </c>
      <c r="E522" s="191" t="s">
        <v>1705</v>
      </c>
      <c r="F522" s="191" t="s">
        <v>1706</v>
      </c>
      <c r="G522" s="191" t="s">
        <v>1224</v>
      </c>
      <c r="H522" s="192"/>
      <c r="I522" s="210"/>
      <c r="J522" s="279" t="s">
        <v>1707</v>
      </c>
      <c r="K522" s="307" t="s">
        <v>1708</v>
      </c>
      <c r="L522" s="66"/>
      <c r="M522" s="66"/>
      <c r="N522" s="66"/>
      <c r="O522" s="66"/>
      <c r="P522" s="66" t="str">
        <f>CONCATENATE(E117," ",F117," ",G117)</f>
        <v>FRIAS KIM ANTHONY NICOLAS</v>
      </c>
      <c r="Q522" s="66" t="str">
        <f>IFERROR(VLOOKUP(P522,[1]Disposition!$AB$9:$AC$495,2,0),"NO RECORD YET")</f>
        <v>1234 Katipunan St., Calumpang, Binangonan, Rizal</v>
      </c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18" customHeight="1">
      <c r="A523" s="188">
        <v>517</v>
      </c>
      <c r="B523" s="189" t="s">
        <v>1709</v>
      </c>
      <c r="C523" s="193" t="s">
        <v>39</v>
      </c>
      <c r="D523" s="190" t="s">
        <v>40</v>
      </c>
      <c r="E523" s="191" t="s">
        <v>1710</v>
      </c>
      <c r="F523" s="266" t="s">
        <v>1711</v>
      </c>
      <c r="G523" s="191" t="s">
        <v>1169</v>
      </c>
      <c r="H523" s="192"/>
      <c r="I523" s="228"/>
      <c r="J523" s="279" t="s">
        <v>1712</v>
      </c>
      <c r="K523" s="307" t="s">
        <v>1713</v>
      </c>
      <c r="L523" s="66"/>
      <c r="M523" s="66"/>
      <c r="N523" s="66"/>
      <c r="O523" s="66"/>
      <c r="P523" s="66" t="str">
        <f>CONCATENATE(E574," ",F574," ",G574)</f>
        <v>MADAYAG ROY IBARRA</v>
      </c>
      <c r="Q523" s="66" t="str">
        <f>IFERROR(VLOOKUP(P523,[1]Disposition!$AB$9:$AC$495,2,0),"NO RECORD YET")</f>
        <v>Blk 28 Lot , 29 Sunflower St., Liora Homes Subd., PASCAM 2, General Trias, Cavite</v>
      </c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18" customHeight="1">
      <c r="A524" s="188">
        <v>518</v>
      </c>
      <c r="B524" s="189" t="s">
        <v>1714</v>
      </c>
      <c r="C524" s="193" t="s">
        <v>39</v>
      </c>
      <c r="D524" s="190" t="s">
        <v>40</v>
      </c>
      <c r="E524" s="191" t="s">
        <v>563</v>
      </c>
      <c r="F524" s="191" t="s">
        <v>1715</v>
      </c>
      <c r="G524" s="191" t="s">
        <v>1716</v>
      </c>
      <c r="H524" s="192"/>
      <c r="I524" s="212"/>
      <c r="J524" s="279" t="s">
        <v>1717</v>
      </c>
      <c r="K524" s="307" t="s">
        <v>1718</v>
      </c>
      <c r="L524" s="66"/>
      <c r="M524" s="66"/>
      <c r="N524" s="66"/>
      <c r="O524" s="66"/>
      <c r="P524" s="66" t="str">
        <f>CONCATENATE(E524," ",F524," ",G524)</f>
        <v>INCISO MAY ANN CABARDO</v>
      </c>
      <c r="Q524" s="66" t="str">
        <f>IFERROR(VLOOKUP(P524,[1]Disposition!$AB$9:$AC$495,2,0),"NO RECORD YET")</f>
        <v>41 Xavierville Ave., Loyola Heights, Quezon City</v>
      </c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18" customHeight="1">
      <c r="A525" s="188">
        <v>519</v>
      </c>
      <c r="B525" s="189" t="s">
        <v>1714</v>
      </c>
      <c r="C525" s="189" t="s">
        <v>19</v>
      </c>
      <c r="D525" s="190" t="s">
        <v>40</v>
      </c>
      <c r="E525" s="191" t="s">
        <v>1719</v>
      </c>
      <c r="F525" s="191" t="s">
        <v>1720</v>
      </c>
      <c r="G525" s="191" t="s">
        <v>1721</v>
      </c>
      <c r="H525" s="192"/>
      <c r="I525" s="262"/>
      <c r="J525" s="279" t="s">
        <v>1722</v>
      </c>
      <c r="K525" s="307" t="s">
        <v>50</v>
      </c>
      <c r="L525" s="66"/>
      <c r="M525" s="66"/>
      <c r="N525" s="66"/>
      <c r="O525" s="66"/>
      <c r="P525" s="66" t="str">
        <f>CONCATENATE('DISPO Att'!D418," ",'DISPO Att'!E418," ",'DISPO Att'!F418)</f>
        <v>NUP LACHICA LOLITA</v>
      </c>
      <c r="Q525" s="66" t="str">
        <f>IFERROR(VLOOKUP(P525,[1]Disposition!$AB$9:$AC$495,2,0),"NO RECORD YET")</f>
        <v>NO RECORD YET</v>
      </c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18" customHeight="1">
      <c r="A526" s="188">
        <v>520</v>
      </c>
      <c r="B526" s="189" t="s">
        <v>1723</v>
      </c>
      <c r="C526" s="193" t="s">
        <v>39</v>
      </c>
      <c r="D526" s="190" t="s">
        <v>20</v>
      </c>
      <c r="E526" s="191" t="s">
        <v>1589</v>
      </c>
      <c r="F526" s="191" t="s">
        <v>1724</v>
      </c>
      <c r="G526" s="191" t="s">
        <v>242</v>
      </c>
      <c r="H526" s="192"/>
      <c r="I526" s="210"/>
      <c r="J526" s="279" t="s">
        <v>1725</v>
      </c>
      <c r="K526" s="307" t="s">
        <v>1726</v>
      </c>
      <c r="L526" s="66"/>
      <c r="M526" s="66"/>
      <c r="N526" s="66"/>
      <c r="O526" s="66"/>
      <c r="P526" s="66" t="str">
        <f>CONCATENATE(E526," ",F526," ",G526)</f>
        <v>ALI SHIRLEY MAE SALVADOR</v>
      </c>
      <c r="Q526" s="66" t="str">
        <f>IFERROR(VLOOKUP(P526,[1]Disposition!$AB$9:$AC$495,2,0),"NO RECORD YET")</f>
        <v>2384 STVE St., Brgy. Commonwealth, Quezon City</v>
      </c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18" customHeight="1">
      <c r="A527" s="188">
        <v>521</v>
      </c>
      <c r="B527" s="189" t="s">
        <v>1723</v>
      </c>
      <c r="C527" s="193" t="s">
        <v>39</v>
      </c>
      <c r="D527" s="190" t="s">
        <v>40</v>
      </c>
      <c r="E527" s="191" t="s">
        <v>1727</v>
      </c>
      <c r="F527" s="191" t="s">
        <v>1728</v>
      </c>
      <c r="G527" s="191" t="s">
        <v>1729</v>
      </c>
      <c r="H527" s="192"/>
      <c r="I527" s="210"/>
      <c r="J527" s="279" t="s">
        <v>1730</v>
      </c>
      <c r="K527" s="307" t="s">
        <v>1731</v>
      </c>
      <c r="L527" s="66"/>
      <c r="M527" s="66"/>
      <c r="N527" s="66"/>
      <c r="O527" s="66"/>
      <c r="P527" s="66" t="str">
        <f>CONCATENATE(E313," ",F313," ",G313)</f>
        <v>DELA PEÑA VICTORIO MENDIOLA</v>
      </c>
      <c r="Q527" s="66" t="str">
        <f>IFERROR(VLOOKUP(P527,[1]Disposition!$AB$9:$AC$495,2,0),"NO RECORD YET")</f>
        <v>Blk 1 Lot 41, Green Leaf Classic I , SJDM, Bulacan</v>
      </c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18" customHeight="1">
      <c r="A528" s="188">
        <v>522</v>
      </c>
      <c r="B528" s="189" t="s">
        <v>1723</v>
      </c>
      <c r="C528" s="189" t="s">
        <v>19</v>
      </c>
      <c r="D528" s="190" t="s">
        <v>366</v>
      </c>
      <c r="E528" s="191" t="s">
        <v>1732</v>
      </c>
      <c r="F528" s="191" t="s">
        <v>1733</v>
      </c>
      <c r="G528" s="191" t="s">
        <v>1734</v>
      </c>
      <c r="H528" s="192"/>
      <c r="I528" s="212"/>
      <c r="J528" s="279" t="s">
        <v>1735</v>
      </c>
      <c r="K528" s="308" t="s">
        <v>1736</v>
      </c>
      <c r="L528" s="66"/>
      <c r="M528" s="66"/>
      <c r="N528" s="66"/>
      <c r="O528" s="66"/>
      <c r="P528" s="66" t="str">
        <f>CONCATENATE(E527," ",F527," ",G527)</f>
        <v>BALONGOY RONALYN SOLDEVILLA</v>
      </c>
      <c r="Q528" s="66" t="str">
        <f>IFERROR(VLOOKUP(P528,[1]Disposition!$AB$9:$AC$495,2,0),"NO RECORD YET")</f>
        <v>Lot 4 Blk 15, Gumamela St., New Lower Bicutan, Taguig City</v>
      </c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18" customHeight="1">
      <c r="A529" s="188">
        <v>523</v>
      </c>
      <c r="B529" s="189" t="s">
        <v>1723</v>
      </c>
      <c r="C529" s="193" t="s">
        <v>39</v>
      </c>
      <c r="D529" s="190" t="s">
        <v>40</v>
      </c>
      <c r="E529" s="191" t="s">
        <v>1187</v>
      </c>
      <c r="F529" s="191" t="s">
        <v>1737</v>
      </c>
      <c r="G529" s="191" t="s">
        <v>1589</v>
      </c>
      <c r="H529" s="192"/>
      <c r="I529" s="210"/>
      <c r="J529" s="279" t="s">
        <v>1738</v>
      </c>
      <c r="K529" s="308" t="s">
        <v>1739</v>
      </c>
      <c r="L529" s="66"/>
      <c r="M529" s="66"/>
      <c r="N529" s="66"/>
      <c r="O529" s="66"/>
      <c r="P529" s="66" t="str">
        <f>CONCATENATE(E534," ",F534," ",G534)</f>
        <v>ARGETE GRACIANO ROSILLO</v>
      </c>
      <c r="Q529" s="66" t="str">
        <f>IFERROR(VLOOKUP(P529,[1]Disposition!$AB$9:$AC$495,2,0),"NO RECORD YET")</f>
        <v>6 Angel Townhomes, Ramos St. extension, Brgy. Tandang Sora, Quezon City</v>
      </c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18" customHeight="1">
      <c r="A530" s="188">
        <v>524</v>
      </c>
      <c r="B530" s="189" t="s">
        <v>1740</v>
      </c>
      <c r="C530" s="193" t="s">
        <v>19</v>
      </c>
      <c r="D530" s="190" t="s">
        <v>246</v>
      </c>
      <c r="E530" s="191" t="s">
        <v>1741</v>
      </c>
      <c r="F530" s="191" t="s">
        <v>1742</v>
      </c>
      <c r="G530" s="191" t="s">
        <v>1743</v>
      </c>
      <c r="H530" s="192"/>
      <c r="I530" s="210"/>
      <c r="J530" s="65"/>
      <c r="K530" s="290" t="s">
        <v>1744</v>
      </c>
      <c r="L530" s="66"/>
      <c r="M530" s="66"/>
      <c r="N530" s="66"/>
      <c r="O530" s="66"/>
      <c r="P530" s="66" t="str">
        <f t="shared" ref="P530:P532" si="16">CONCATENATE(E530," ",F530," ",G530)</f>
        <v>VALLE MARK LAWRENCE ABENOJAR</v>
      </c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18" customHeight="1">
      <c r="A531" s="188">
        <v>525</v>
      </c>
      <c r="B531" s="189" t="s">
        <v>1740</v>
      </c>
      <c r="C531" s="189" t="s">
        <v>19</v>
      </c>
      <c r="D531" s="190" t="s">
        <v>57</v>
      </c>
      <c r="E531" s="191" t="s">
        <v>1745</v>
      </c>
      <c r="F531" s="191" t="s">
        <v>1746</v>
      </c>
      <c r="G531" s="191" t="s">
        <v>1747</v>
      </c>
      <c r="H531" s="192"/>
      <c r="I531" s="210"/>
      <c r="J531" s="279"/>
      <c r="K531" s="282"/>
      <c r="L531" s="66"/>
      <c r="M531" s="66"/>
      <c r="N531" s="66"/>
      <c r="O531" s="66"/>
      <c r="P531" s="66" t="str">
        <f t="shared" si="16"/>
        <v>OLOJAN CHRISTOPHER BRIAN ASTUDILLO</v>
      </c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18" customHeight="1">
      <c r="A532" s="188">
        <v>526</v>
      </c>
      <c r="B532" s="189" t="s">
        <v>1740</v>
      </c>
      <c r="C532" s="193" t="s">
        <v>39</v>
      </c>
      <c r="D532" s="190" t="s">
        <v>28</v>
      </c>
      <c r="E532" s="191" t="s">
        <v>1748</v>
      </c>
      <c r="F532" s="191" t="s">
        <v>1749</v>
      </c>
      <c r="G532" s="191" t="s">
        <v>1750</v>
      </c>
      <c r="H532" s="192"/>
      <c r="I532" s="210"/>
      <c r="J532" s="185" t="s">
        <v>1751</v>
      </c>
      <c r="K532" s="307" t="s">
        <v>1752</v>
      </c>
      <c r="L532" s="66"/>
      <c r="M532" s="66"/>
      <c r="N532" s="66"/>
      <c r="O532" s="66"/>
      <c r="P532" s="66" t="str">
        <f t="shared" si="16"/>
        <v>GUNNACAO LOVELYN KATE LEGMAN</v>
      </c>
      <c r="Q532" s="66" t="str">
        <f>IFERROR(VLOOKUP(P532,[1]Disposition!$AB$9:$AC$495,2,0),"NO RECORD YET")</f>
        <v>NO RECORD YET</v>
      </c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18" customHeight="1">
      <c r="A533" s="188">
        <v>527</v>
      </c>
      <c r="B533" s="189" t="s">
        <v>1740</v>
      </c>
      <c r="C533" s="189" t="s">
        <v>19</v>
      </c>
      <c r="D533" s="190" t="s">
        <v>40</v>
      </c>
      <c r="E533" s="191" t="s">
        <v>1753</v>
      </c>
      <c r="F533" s="191" t="s">
        <v>1754</v>
      </c>
      <c r="G533" s="191" t="s">
        <v>759</v>
      </c>
      <c r="H533" s="192"/>
      <c r="I533" s="210"/>
      <c r="J533" s="279" t="s">
        <v>1755</v>
      </c>
      <c r="K533" s="310" t="s">
        <v>1756</v>
      </c>
      <c r="L533" s="66"/>
      <c r="M533" s="66"/>
      <c r="N533" s="66"/>
      <c r="O533" s="66"/>
      <c r="P533" s="66" t="str">
        <f>CONCATENATE(E536," ",F536," ",G536)</f>
        <v>AGUSTIN RIZELLE INALDO</v>
      </c>
      <c r="Q533" s="66" t="str">
        <f>IFERROR(VLOOKUP(P533,[1]Disposition!$AB$9:$AC$495,2,0),"NO RECORD YET")</f>
        <v>78 Zorra Street, Brgy Paltok, Quezon City</v>
      </c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18" customHeight="1">
      <c r="A534" s="188">
        <v>528</v>
      </c>
      <c r="B534" s="189" t="s">
        <v>1740</v>
      </c>
      <c r="C534" s="189" t="s">
        <v>19</v>
      </c>
      <c r="D534" s="190" t="s">
        <v>40</v>
      </c>
      <c r="E534" s="191" t="s">
        <v>1757</v>
      </c>
      <c r="F534" s="191" t="s">
        <v>1758</v>
      </c>
      <c r="G534" s="191" t="s">
        <v>1759</v>
      </c>
      <c r="H534" s="192"/>
      <c r="I534" s="223"/>
      <c r="J534" s="279" t="s">
        <v>1760</v>
      </c>
      <c r="K534" s="307" t="s">
        <v>1761</v>
      </c>
      <c r="L534" s="66"/>
      <c r="M534" s="66"/>
      <c r="N534" s="66"/>
      <c r="O534" s="66"/>
      <c r="P534" s="66" t="str">
        <f>CONCATENATE(E533," ",F533," ",G533)</f>
        <v>OREVILLO CARLO JOHN GUEVARRA</v>
      </c>
      <c r="Q534" s="66" t="str">
        <f>IFERROR(VLOOKUP(P534,[1]Disposition!$AB$9:$AC$495,2,0),"NO RECORD YET")</f>
        <v>35 Gualdalupe St., Morning Breeze Subd., Caloocan City</v>
      </c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18" customHeight="1">
      <c r="A535" s="188">
        <v>529</v>
      </c>
      <c r="B535" s="189" t="s">
        <v>1740</v>
      </c>
      <c r="C535" s="193" t="s">
        <v>39</v>
      </c>
      <c r="D535" s="190" t="s">
        <v>40</v>
      </c>
      <c r="E535" s="191" t="s">
        <v>1762</v>
      </c>
      <c r="F535" s="191" t="s">
        <v>1763</v>
      </c>
      <c r="G535" s="191" t="s">
        <v>1764</v>
      </c>
      <c r="H535" s="192"/>
      <c r="I535" s="210"/>
      <c r="J535" s="279"/>
      <c r="K535" s="280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18" customHeight="1">
      <c r="A536" s="188">
        <v>530</v>
      </c>
      <c r="B536" s="189" t="s">
        <v>1765</v>
      </c>
      <c r="C536" s="193" t="s">
        <v>39</v>
      </c>
      <c r="D536" s="190" t="s">
        <v>96</v>
      </c>
      <c r="E536" s="204" t="s">
        <v>1766</v>
      </c>
      <c r="F536" s="204" t="s">
        <v>1767</v>
      </c>
      <c r="G536" s="204" t="s">
        <v>1768</v>
      </c>
      <c r="H536" s="205"/>
      <c r="I536" s="210"/>
      <c r="J536" s="279" t="s">
        <v>1769</v>
      </c>
      <c r="K536" s="307" t="s">
        <v>1770</v>
      </c>
      <c r="L536" s="66"/>
      <c r="M536" s="66"/>
      <c r="N536" s="66"/>
      <c r="O536" s="66"/>
      <c r="P536" s="66" t="e">
        <f>CONCATENATE(#REF!," ",#REF!," ",#REF!)</f>
        <v>#REF!</v>
      </c>
      <c r="Q536" s="66" t="str">
        <f>IFERROR(VLOOKUP(P536,[1]Disposition!$AB$9:$AC$495,2,0),"NO RECORD YET")</f>
        <v>NO RECORD YET</v>
      </c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18" customHeight="1">
      <c r="A537" s="188">
        <v>531</v>
      </c>
      <c r="B537" s="189" t="s">
        <v>1765</v>
      </c>
      <c r="C537" s="193" t="s">
        <v>39</v>
      </c>
      <c r="D537" s="190" t="s">
        <v>28</v>
      </c>
      <c r="E537" s="191" t="s">
        <v>1771</v>
      </c>
      <c r="F537" s="191" t="s">
        <v>1772</v>
      </c>
      <c r="G537" s="191" t="s">
        <v>1773</v>
      </c>
      <c r="H537" s="192"/>
      <c r="I537" s="210"/>
      <c r="J537" s="185" t="s">
        <v>1774</v>
      </c>
      <c r="K537" s="307" t="s">
        <v>1775</v>
      </c>
      <c r="L537" s="66"/>
      <c r="M537" s="66"/>
      <c r="N537" s="66"/>
      <c r="O537" s="66"/>
      <c r="P537" s="66" t="str">
        <f>CONCATENATE(E537," ",F537," ",G537)</f>
        <v>YAGO SHARMEN BALLEBAR</v>
      </c>
      <c r="Q537" s="66" t="str">
        <f>IFERROR(VLOOKUP(P537,[1]Disposition!$AB$9:$AC$495,2,0),"NO RECORD YET")</f>
        <v>NO RECORD YET</v>
      </c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18" customHeight="1">
      <c r="A538" s="188">
        <v>532</v>
      </c>
      <c r="B538" s="189" t="s">
        <v>1765</v>
      </c>
      <c r="C538" s="189" t="s">
        <v>19</v>
      </c>
      <c r="D538" s="190" t="s">
        <v>40</v>
      </c>
      <c r="E538" s="191" t="s">
        <v>1776</v>
      </c>
      <c r="F538" s="191" t="s">
        <v>1777</v>
      </c>
      <c r="G538" s="191" t="s">
        <v>1778</v>
      </c>
      <c r="H538" s="192"/>
      <c r="I538" s="210"/>
      <c r="J538" s="279" t="s">
        <v>1779</v>
      </c>
      <c r="K538" s="308" t="s">
        <v>1780</v>
      </c>
      <c r="L538" s="66"/>
      <c r="M538" s="66"/>
      <c r="N538" s="66"/>
      <c r="O538" s="66"/>
      <c r="P538" s="66" t="str">
        <f>CONCATENATE(E543," ",F543," ",G543)</f>
        <v>JORDA ROUMELLIA ROBLES</v>
      </c>
      <c r="Q538" s="66" t="str">
        <f>IFERROR(VLOOKUP(P538,[1]Disposition!$AB$9:$AC$495,2,0),"NO RECORD YET")</f>
        <v>Blk 10 Lot 27 Bonifacio St., Phase 3, Soldiers Hill 4, Molino 6, Bacoor, Cavite</v>
      </c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18" customHeight="1">
      <c r="A539" s="188">
        <v>533</v>
      </c>
      <c r="B539" s="189" t="s">
        <v>1765</v>
      </c>
      <c r="C539" s="193" t="s">
        <v>39</v>
      </c>
      <c r="D539" s="190" t="s">
        <v>40</v>
      </c>
      <c r="E539" s="191" t="s">
        <v>1781</v>
      </c>
      <c r="F539" s="191" t="s">
        <v>1782</v>
      </c>
      <c r="G539" s="191" t="s">
        <v>1783</v>
      </c>
      <c r="H539" s="192"/>
      <c r="I539" s="210"/>
      <c r="J539" s="279"/>
      <c r="K539" s="280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18" customHeight="1">
      <c r="A540" s="188">
        <v>534</v>
      </c>
      <c r="B540" s="189" t="s">
        <v>1765</v>
      </c>
      <c r="C540" s="193" t="s">
        <v>39</v>
      </c>
      <c r="D540" s="190" t="s">
        <v>40</v>
      </c>
      <c r="E540" s="191" t="s">
        <v>1784</v>
      </c>
      <c r="F540" s="191" t="s">
        <v>1785</v>
      </c>
      <c r="G540" s="191" t="s">
        <v>311</v>
      </c>
      <c r="H540" s="192"/>
      <c r="I540" s="210"/>
      <c r="J540" s="279" t="s">
        <v>1786</v>
      </c>
      <c r="K540" s="307" t="s">
        <v>1787</v>
      </c>
      <c r="L540" s="66"/>
      <c r="M540" s="66"/>
      <c r="N540" s="66"/>
      <c r="O540" s="66"/>
      <c r="P540" s="66" t="str">
        <f t="shared" ref="P540:P541" si="17">CONCATENATE(E540," ",F540," ",G540)</f>
        <v>MAGBANUA RACHELLE CASTRO</v>
      </c>
      <c r="Q540" s="66" t="str">
        <f>IFERROR(VLOOKUP(P540,[1]Disposition!$AB$9:$AC$495,2,0),"NO RECORD YET")</f>
        <v>5-P Road 7, First West Crame, San Juan City</v>
      </c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18" customHeight="1">
      <c r="A541" s="188">
        <v>535</v>
      </c>
      <c r="B541" s="193" t="s">
        <v>1788</v>
      </c>
      <c r="C541" s="189" t="s">
        <v>19</v>
      </c>
      <c r="D541" s="190" t="s">
        <v>246</v>
      </c>
      <c r="E541" s="191" t="s">
        <v>1789</v>
      </c>
      <c r="F541" s="191" t="s">
        <v>1790</v>
      </c>
      <c r="G541" s="191" t="s">
        <v>1791</v>
      </c>
      <c r="H541" s="192"/>
      <c r="I541" s="210"/>
      <c r="J541" s="279"/>
      <c r="K541" s="282"/>
      <c r="L541" s="66"/>
      <c r="M541" s="66"/>
      <c r="N541" s="66"/>
      <c r="O541" s="66"/>
      <c r="P541" s="66" t="str">
        <f t="shared" si="17"/>
        <v>ARIAS AUDEN  GOZUM</v>
      </c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18" customHeight="1">
      <c r="A542" s="188">
        <v>536</v>
      </c>
      <c r="B542" s="193" t="s">
        <v>1788</v>
      </c>
      <c r="C542" s="193" t="s">
        <v>19</v>
      </c>
      <c r="D542" s="190" t="s">
        <v>40</v>
      </c>
      <c r="E542" s="191" t="s">
        <v>1792</v>
      </c>
      <c r="F542" s="191" t="s">
        <v>400</v>
      </c>
      <c r="G542" s="191" t="s">
        <v>1793</v>
      </c>
      <c r="H542" s="192"/>
      <c r="I542" s="212"/>
      <c r="J542" s="279"/>
      <c r="K542" s="280"/>
      <c r="L542" s="66"/>
      <c r="M542" s="66"/>
      <c r="N542" s="66"/>
      <c r="O542" s="66"/>
      <c r="P542" s="66" t="e">
        <f>CONCATENATE(#REF!," ",#REF!," ",#REF!)</f>
        <v>#REF!</v>
      </c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18" customHeight="1">
      <c r="A543" s="188">
        <v>537</v>
      </c>
      <c r="B543" s="193" t="s">
        <v>1788</v>
      </c>
      <c r="C543" s="193" t="s">
        <v>39</v>
      </c>
      <c r="D543" s="190" t="s">
        <v>40</v>
      </c>
      <c r="E543" s="191" t="s">
        <v>1794</v>
      </c>
      <c r="F543" s="191" t="s">
        <v>1795</v>
      </c>
      <c r="G543" s="191" t="s">
        <v>1796</v>
      </c>
      <c r="H543" s="192"/>
      <c r="I543" s="210"/>
      <c r="J543" s="279" t="s">
        <v>1797</v>
      </c>
      <c r="K543" s="308" t="s">
        <v>1798</v>
      </c>
      <c r="L543" s="66"/>
      <c r="M543" s="66"/>
      <c r="N543" s="66"/>
      <c r="O543" s="66"/>
      <c r="P543" s="66" t="str">
        <f>CONCATENATE(E478," ",F478," ",G478)</f>
        <v>DELA CRUZ MARIA CRISTINA DOMONDON</v>
      </c>
      <c r="Q543" s="66" t="str">
        <f>IFERROR(VLOOKUP(P543,[1]Disposition!$AB$9:$AC$495,2,0),"NO RECORD YET")</f>
        <v>4 R Road  8,  1st West, Crame, San Juan City</v>
      </c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18" customHeight="1">
      <c r="A544" s="188">
        <v>538</v>
      </c>
      <c r="B544" s="193" t="s">
        <v>1788</v>
      </c>
      <c r="C544" s="193" t="s">
        <v>39</v>
      </c>
      <c r="D544" s="190" t="s">
        <v>40</v>
      </c>
      <c r="E544" s="191" t="s">
        <v>191</v>
      </c>
      <c r="F544" s="191" t="s">
        <v>1799</v>
      </c>
      <c r="G544" s="191" t="s">
        <v>146</v>
      </c>
      <c r="H544" s="192"/>
      <c r="I544" s="210"/>
      <c r="J544" s="279" t="s">
        <v>1800</v>
      </c>
      <c r="K544" s="307" t="s">
        <v>194</v>
      </c>
      <c r="L544" s="66"/>
      <c r="M544" s="66"/>
      <c r="N544" s="66"/>
      <c r="O544" s="66"/>
      <c r="P544" s="66" t="str">
        <f>CONCATENATE(E538," ",F538," ",G538)</f>
        <v>DOMINGO KARL LOUIE CARDENAS</v>
      </c>
      <c r="Q544" s="66" t="str">
        <f>IFERROR(VLOOKUP(P544,[1]Disposition!$AB$9:$AC$495,2,0),"NO RECORD YET")</f>
        <v>Vivaldi Residences, 628 EDSA cor. Auora Blvd., Cubao, Quezon City</v>
      </c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18" customHeight="1">
      <c r="A545" s="188">
        <v>539</v>
      </c>
      <c r="B545" s="193" t="s">
        <v>1788</v>
      </c>
      <c r="C545" s="189" t="s">
        <v>19</v>
      </c>
      <c r="D545" s="190" t="s">
        <v>40</v>
      </c>
      <c r="E545" s="191" t="s">
        <v>1801</v>
      </c>
      <c r="F545" s="191" t="s">
        <v>1802</v>
      </c>
      <c r="G545" s="191" t="s">
        <v>1803</v>
      </c>
      <c r="H545" s="192"/>
      <c r="I545" s="210"/>
      <c r="J545" s="279"/>
      <c r="K545" s="282"/>
      <c r="L545" s="66"/>
      <c r="M545" s="66"/>
      <c r="N545" s="66"/>
      <c r="O545" s="66"/>
      <c r="P545" s="66" t="str">
        <f>CONCATENATE(E543," ",F543," ",G543)</f>
        <v>JORDA ROUMELLIA ROBLES</v>
      </c>
      <c r="Q545" s="66" t="str">
        <f>IFERROR(VLOOKUP(P545,[1]Disposition!$AB$9:$AC$495,2,0),"NO RECORD YET")</f>
        <v>Blk 10 Lot 27 Bonifacio St., Phase 3, Soldiers Hill 4, Molino 6, Bacoor, Cavite</v>
      </c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18" customHeight="1">
      <c r="A546" s="188">
        <v>540</v>
      </c>
      <c r="B546" s="189" t="s">
        <v>1804</v>
      </c>
      <c r="C546" s="193" t="s">
        <v>19</v>
      </c>
      <c r="D546" s="190" t="s">
        <v>20</v>
      </c>
      <c r="E546" s="191" t="s">
        <v>1805</v>
      </c>
      <c r="F546" s="191" t="s">
        <v>1806</v>
      </c>
      <c r="G546" s="191" t="s">
        <v>1807</v>
      </c>
      <c r="H546" s="192"/>
      <c r="I546" s="210"/>
      <c r="J546" s="279" t="s">
        <v>1808</v>
      </c>
      <c r="K546" s="307" t="s">
        <v>1809</v>
      </c>
      <c r="L546" s="66"/>
      <c r="M546" s="66"/>
      <c r="N546" s="66"/>
      <c r="O546" s="66"/>
      <c r="P546" s="66" t="str">
        <f>CONCATENATE(E371," ",F371," ",G371)</f>
        <v>DAMASO MARIBEL MONES</v>
      </c>
      <c r="Q546" s="66" t="str">
        <f>IFERROR(VLOOKUP(P546,[1]Disposition!$AB$9:$AC$495,2,0),"NO RECORD YET")</f>
        <v>58 B, 8TH Ave., Brgy.SOcorro, Cubao, Quezon City</v>
      </c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18" customHeight="1">
      <c r="A547" s="188">
        <v>541</v>
      </c>
      <c r="B547" s="199" t="s">
        <v>1810</v>
      </c>
      <c r="C547" s="199" t="s">
        <v>19</v>
      </c>
      <c r="D547" s="200" t="s">
        <v>160</v>
      </c>
      <c r="E547" s="201" t="s">
        <v>1811</v>
      </c>
      <c r="F547" s="201" t="s">
        <v>400</v>
      </c>
      <c r="G547" s="201" t="s">
        <v>1812</v>
      </c>
      <c r="H547" s="202"/>
      <c r="I547" s="228"/>
      <c r="J547" s="288" t="s">
        <v>1813</v>
      </c>
      <c r="K547" s="307" t="s">
        <v>1814</v>
      </c>
      <c r="L547" s="256"/>
      <c r="M547" s="256"/>
      <c r="N547" s="256"/>
      <c r="O547" s="256"/>
      <c r="P547" s="256" t="str">
        <f t="shared" ref="P547:P549" si="18">CONCATENATE(E547," ",F547," ",G547)</f>
        <v>TARUN CHRISTIAN BELTRAN</v>
      </c>
      <c r="Q547" s="256" t="str">
        <f>IFERROR(VLOOKUP(P547,[1]Disposition!$AB$9:$AC$495,2,0),"NO RECORD YET")</f>
        <v>110B. Harrison Street, Vermont Park, Mayamot, Antipolo City, Rizal</v>
      </c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</row>
    <row r="548" spans="1:27" ht="18" customHeight="1">
      <c r="A548" s="188">
        <v>542</v>
      </c>
      <c r="B548" s="189" t="s">
        <v>1804</v>
      </c>
      <c r="C548" s="193" t="s">
        <v>19</v>
      </c>
      <c r="D548" s="190" t="s">
        <v>28</v>
      </c>
      <c r="E548" s="195" t="s">
        <v>1815</v>
      </c>
      <c r="F548" s="195" t="s">
        <v>1816</v>
      </c>
      <c r="G548" s="195" t="s">
        <v>1817</v>
      </c>
      <c r="H548" s="194"/>
      <c r="I548" s="210"/>
      <c r="J548" s="185" t="s">
        <v>1818</v>
      </c>
      <c r="K548" s="307" t="s">
        <v>1819</v>
      </c>
      <c r="L548" s="66"/>
      <c r="M548" s="66"/>
      <c r="N548" s="66"/>
      <c r="O548" s="66"/>
      <c r="P548" s="66" t="str">
        <f t="shared" si="18"/>
        <v>AYUPAN LAURENCE NOBLEZA</v>
      </c>
      <c r="Q548" s="66" t="str">
        <f>IFERROR(VLOOKUP(P548,[1]Disposition!$AB$9:$AC$495,2,0),"NO RECORD YET")</f>
        <v>NO RECORD YET</v>
      </c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18" customHeight="1">
      <c r="A549" s="188">
        <v>543</v>
      </c>
      <c r="B549" s="189" t="s">
        <v>1804</v>
      </c>
      <c r="C549" s="189" t="s">
        <v>19</v>
      </c>
      <c r="D549" s="190" t="s">
        <v>40</v>
      </c>
      <c r="E549" s="191" t="s">
        <v>971</v>
      </c>
      <c r="F549" s="191" t="s">
        <v>1388</v>
      </c>
      <c r="G549" s="191" t="s">
        <v>636</v>
      </c>
      <c r="H549" s="192"/>
      <c r="I549" s="223"/>
      <c r="J549" s="279" t="s">
        <v>1820</v>
      </c>
      <c r="K549" s="307" t="s">
        <v>1821</v>
      </c>
      <c r="L549" s="66"/>
      <c r="M549" s="66"/>
      <c r="N549" s="66"/>
      <c r="O549" s="66"/>
      <c r="P549" s="66" t="str">
        <f t="shared" si="18"/>
        <v>AGUILAR BERNARDINO SANTOS</v>
      </c>
      <c r="Q549" s="66" t="str">
        <f>IFERROR(VLOOKUP(P549,[1]Disposition!$AB$9:$AC$495,2,0),"NO RECORD YET")</f>
        <v>194 Capt. I. Abella St., Poblacion 4-C, Imus City, Cavite</v>
      </c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18" customHeight="1">
      <c r="A550" s="188">
        <v>544</v>
      </c>
      <c r="B550" s="189" t="s">
        <v>1804</v>
      </c>
      <c r="C550" s="193"/>
      <c r="D550" s="190" t="s">
        <v>40</v>
      </c>
      <c r="E550" s="195" t="s">
        <v>1822</v>
      </c>
      <c r="F550" s="195" t="s">
        <v>1823</v>
      </c>
      <c r="G550" s="195" t="s">
        <v>1824</v>
      </c>
      <c r="H550" s="194"/>
      <c r="I550" s="228"/>
      <c r="J550" s="185"/>
      <c r="K550" s="282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18" customHeight="1">
      <c r="A551" s="188">
        <v>545</v>
      </c>
      <c r="B551" s="189" t="s">
        <v>1804</v>
      </c>
      <c r="C551" s="193" t="s">
        <v>39</v>
      </c>
      <c r="D551" s="190" t="s">
        <v>40</v>
      </c>
      <c r="E551" s="191" t="s">
        <v>256</v>
      </c>
      <c r="F551" s="191" t="s">
        <v>1825</v>
      </c>
      <c r="G551" s="191" t="s">
        <v>410</v>
      </c>
      <c r="H551" s="192"/>
      <c r="I551" s="228"/>
      <c r="J551" s="285"/>
      <c r="K551" s="282"/>
      <c r="L551" s="66"/>
      <c r="M551" s="66"/>
      <c r="N551" s="66"/>
      <c r="O551" s="66"/>
      <c r="P551" s="66" t="str">
        <f t="shared" ref="P551:P554" si="19">CONCATENATE(E551," ",F551," ",G551)</f>
        <v>DELA CRUZ JESSICA BAUTISTA</v>
      </c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18" customHeight="1">
      <c r="A552" s="188">
        <v>546</v>
      </c>
      <c r="B552" s="189" t="s">
        <v>1804</v>
      </c>
      <c r="C552" s="189" t="s">
        <v>19</v>
      </c>
      <c r="D552" s="190" t="s">
        <v>40</v>
      </c>
      <c r="E552" s="191" t="s">
        <v>1826</v>
      </c>
      <c r="F552" s="191" t="s">
        <v>1827</v>
      </c>
      <c r="G552" s="191" t="s">
        <v>1828</v>
      </c>
      <c r="H552" s="192"/>
      <c r="I552" s="228"/>
      <c r="J552" s="285"/>
      <c r="K552" s="282"/>
      <c r="L552" s="66"/>
      <c r="M552" s="66"/>
      <c r="N552" s="66"/>
      <c r="O552" s="66"/>
      <c r="P552" s="66" t="str">
        <f t="shared" si="19"/>
        <v>MESA JOHN RICK ELUMBA</v>
      </c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18" customHeight="1">
      <c r="A553" s="188">
        <v>547</v>
      </c>
      <c r="B553" s="189" t="s">
        <v>1804</v>
      </c>
      <c r="C553" s="193" t="s">
        <v>39</v>
      </c>
      <c r="D553" s="190" t="s">
        <v>40</v>
      </c>
      <c r="E553" s="191" t="s">
        <v>1829</v>
      </c>
      <c r="F553" s="191" t="s">
        <v>1830</v>
      </c>
      <c r="G553" s="191" t="s">
        <v>1831</v>
      </c>
      <c r="H553" s="192"/>
      <c r="I553" s="228"/>
      <c r="J553" s="285"/>
      <c r="K553" s="282"/>
      <c r="L553" s="66"/>
      <c r="M553" s="66"/>
      <c r="N553" s="66"/>
      <c r="O553" s="66"/>
      <c r="P553" s="66" t="str">
        <f t="shared" si="19"/>
        <v>MULANO MARY MICHELLE FULGENCIO</v>
      </c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18" customHeight="1">
      <c r="A554" s="188">
        <v>548</v>
      </c>
      <c r="B554" s="189" t="s">
        <v>1804</v>
      </c>
      <c r="C554" s="193" t="s">
        <v>39</v>
      </c>
      <c r="D554" s="190" t="s">
        <v>40</v>
      </c>
      <c r="E554" s="191" t="s">
        <v>1832</v>
      </c>
      <c r="F554" s="191" t="s">
        <v>1833</v>
      </c>
      <c r="G554" s="191" t="s">
        <v>1834</v>
      </c>
      <c r="H554" s="192"/>
      <c r="I554" s="228"/>
      <c r="J554" s="285"/>
      <c r="K554" s="282"/>
      <c r="L554" s="66"/>
      <c r="M554" s="66"/>
      <c r="N554" s="66"/>
      <c r="O554" s="66"/>
      <c r="P554" s="66" t="str">
        <f t="shared" si="19"/>
        <v>OLIVAR CHARLENE LAURESTA</v>
      </c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18" customHeight="1">
      <c r="A555" s="188">
        <v>549</v>
      </c>
      <c r="B555" s="189" t="s">
        <v>1804</v>
      </c>
      <c r="C555" s="189" t="s">
        <v>19</v>
      </c>
      <c r="D555" s="190" t="s">
        <v>40</v>
      </c>
      <c r="E555" s="191" t="s">
        <v>1835</v>
      </c>
      <c r="F555" s="191" t="s">
        <v>1836</v>
      </c>
      <c r="G555" s="191" t="s">
        <v>1837</v>
      </c>
      <c r="H555" s="202"/>
      <c r="I555" s="228"/>
      <c r="J555" s="279" t="s">
        <v>1838</v>
      </c>
      <c r="K555" s="307" t="s">
        <v>1839</v>
      </c>
      <c r="L555" s="66"/>
      <c r="M555" s="66"/>
      <c r="N555" s="66"/>
      <c r="O555" s="66"/>
      <c r="P555" s="66" t="str">
        <f>CONCATENATE('DISPO Att'!D555," ",'DISPO Att'!E555," ",'DISPO Att'!F555)</f>
        <v>NUP RAYMUNDO DANIEL JOSHUA</v>
      </c>
      <c r="Q555" s="66" t="str">
        <f>IFERROR(VLOOKUP(P555,[1]Disposition!$AB$9:$AC$495,2,0),"NO RECORD YET")</f>
        <v>NO RECORD YET</v>
      </c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18" customHeight="1">
      <c r="A556" s="188">
        <v>550</v>
      </c>
      <c r="B556" s="189" t="s">
        <v>1804</v>
      </c>
      <c r="C556" s="189" t="s">
        <v>19</v>
      </c>
      <c r="D556" s="190" t="s">
        <v>40</v>
      </c>
      <c r="E556" s="191" t="s">
        <v>1002</v>
      </c>
      <c r="F556" s="191" t="s">
        <v>1840</v>
      </c>
      <c r="G556" s="191" t="s">
        <v>1841</v>
      </c>
      <c r="H556" s="192"/>
      <c r="I556" s="228"/>
      <c r="J556" s="285"/>
      <c r="K556" s="282"/>
      <c r="L556" s="66"/>
      <c r="M556" s="66"/>
      <c r="N556" s="66"/>
      <c r="O556" s="66"/>
      <c r="P556" s="66" t="str">
        <f t="shared" ref="P556:P557" si="20">CONCATENATE(E556," ",F556," ",G556)</f>
        <v>VILLANUEVA MARCELINO VIERNES</v>
      </c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18" customHeight="1">
      <c r="A557" s="188">
        <v>551</v>
      </c>
      <c r="B557" s="189" t="s">
        <v>1804</v>
      </c>
      <c r="C557" s="189" t="s">
        <v>19</v>
      </c>
      <c r="D557" s="190" t="s">
        <v>40</v>
      </c>
      <c r="E557" s="191" t="s">
        <v>1842</v>
      </c>
      <c r="F557" s="191" t="s">
        <v>1843</v>
      </c>
      <c r="G557" s="191" t="s">
        <v>920</v>
      </c>
      <c r="H557" s="192"/>
      <c r="I557" s="228"/>
      <c r="J557" s="285"/>
      <c r="K557" s="282"/>
      <c r="L557" s="66"/>
      <c r="M557" s="66"/>
      <c r="N557" s="66"/>
      <c r="O557" s="66"/>
      <c r="P557" s="66" t="str">
        <f t="shared" si="20"/>
        <v>VILLAS JOHN MICHAEL BALMACEDA</v>
      </c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18" customHeight="1">
      <c r="A558" s="188">
        <v>552</v>
      </c>
      <c r="B558" s="231" t="s">
        <v>1844</v>
      </c>
      <c r="C558" s="193" t="s">
        <v>39</v>
      </c>
      <c r="D558" s="190" t="s">
        <v>40</v>
      </c>
      <c r="E558" s="191" t="s">
        <v>543</v>
      </c>
      <c r="F558" s="191" t="s">
        <v>1845</v>
      </c>
      <c r="G558" s="191" t="s">
        <v>1846</v>
      </c>
      <c r="H558" s="192"/>
      <c r="I558" s="210"/>
      <c r="J558" s="279"/>
      <c r="K558" s="282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18" customHeight="1">
      <c r="A559" s="188">
        <v>553</v>
      </c>
      <c r="B559" s="231" t="s">
        <v>1844</v>
      </c>
      <c r="C559" s="193" t="s">
        <v>39</v>
      </c>
      <c r="D559" s="194" t="s">
        <v>40</v>
      </c>
      <c r="E559" s="195" t="s">
        <v>1776</v>
      </c>
      <c r="F559" s="195" t="s">
        <v>1847</v>
      </c>
      <c r="G559" s="195" t="s">
        <v>1848</v>
      </c>
      <c r="H559" s="192"/>
      <c r="I559" s="223"/>
      <c r="J559" s="303" t="s">
        <v>1849</v>
      </c>
      <c r="K559" s="307" t="s">
        <v>1850</v>
      </c>
      <c r="L559" s="292"/>
      <c r="M559" s="292"/>
      <c r="N559" s="292"/>
      <c r="O559" s="292"/>
      <c r="P559" s="292" t="str">
        <f>CONCATENATE(E559," ",F559," ",G559)</f>
        <v>DOMINGO MISCHELL ALOR</v>
      </c>
      <c r="Q559" s="292" t="str">
        <f>IFERROR(VLOOKUP(P559,[1]Disposition!$AB$9:$AC$495,2,0),"NO RECORD YET")</f>
        <v>Blk 2 Lot 6, Urban Bliss, Barangka, Marikina City</v>
      </c>
      <c r="R559" s="292"/>
      <c r="S559" s="292"/>
      <c r="T559" s="292"/>
      <c r="U559" s="292"/>
      <c r="V559" s="292"/>
      <c r="W559" s="292"/>
      <c r="X559" s="292"/>
      <c r="Y559" s="292"/>
      <c r="Z559" s="292"/>
      <c r="AA559" s="292"/>
    </row>
    <row r="560" spans="1:27" ht="18" customHeight="1">
      <c r="A560" s="188">
        <v>554</v>
      </c>
      <c r="B560" s="189" t="s">
        <v>1844</v>
      </c>
      <c r="C560" s="193" t="s">
        <v>39</v>
      </c>
      <c r="D560" s="190" t="s">
        <v>40</v>
      </c>
      <c r="E560" s="191" t="s">
        <v>1383</v>
      </c>
      <c r="F560" s="191" t="s">
        <v>1851</v>
      </c>
      <c r="G560" s="191" t="s">
        <v>1852</v>
      </c>
      <c r="H560" s="192"/>
      <c r="I560" s="210"/>
      <c r="J560" s="279" t="s">
        <v>1853</v>
      </c>
      <c r="K560" s="308" t="s">
        <v>1854</v>
      </c>
      <c r="L560" s="66"/>
      <c r="M560" s="66"/>
      <c r="N560" s="66"/>
      <c r="O560" s="66"/>
      <c r="P560" s="66" t="str">
        <f>CONCATENATE(E476," ",F476," ",G476)</f>
        <v>ALEGRE JAYBEE BALASE</v>
      </c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18" customHeight="1">
      <c r="A561" s="188">
        <v>555</v>
      </c>
      <c r="B561" s="189" t="s">
        <v>1844</v>
      </c>
      <c r="C561" s="193" t="s">
        <v>39</v>
      </c>
      <c r="D561" s="190" t="s">
        <v>40</v>
      </c>
      <c r="E561" s="191" t="s">
        <v>1855</v>
      </c>
      <c r="F561" s="191" t="s">
        <v>1856</v>
      </c>
      <c r="G561" s="191" t="s">
        <v>1857</v>
      </c>
      <c r="H561" s="192"/>
      <c r="I561" s="210"/>
      <c r="J561" s="279"/>
      <c r="K561" s="280"/>
      <c r="L561" s="66"/>
      <c r="M561" s="66"/>
      <c r="N561" s="66"/>
      <c r="O561" s="66"/>
      <c r="P561" s="66" t="str">
        <f>CONCATENATE(E560," ",F560," ",G560)</f>
        <v>HUERNO CLARISS ANN VALLESFINO</v>
      </c>
      <c r="Q561" s="66" t="str">
        <f>IFERROR(VLOOKUP(P561,[1]Disposition!$AB$9:$AC$495,2,0),"NO RECORD YET")</f>
        <v>NO RECORD YET</v>
      </c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18" customHeight="1">
      <c r="A562" s="188">
        <v>556</v>
      </c>
      <c r="B562" s="189" t="s">
        <v>1858</v>
      </c>
      <c r="C562" s="193" t="s">
        <v>39</v>
      </c>
      <c r="D562" s="190" t="s">
        <v>40</v>
      </c>
      <c r="E562" s="191" t="s">
        <v>604</v>
      </c>
      <c r="F562" s="191" t="s">
        <v>1859</v>
      </c>
      <c r="G562" s="191" t="s">
        <v>916</v>
      </c>
      <c r="H562" s="192"/>
      <c r="I562" s="210"/>
      <c r="J562" s="279" t="s">
        <v>1860</v>
      </c>
      <c r="K562" s="308" t="s">
        <v>1861</v>
      </c>
      <c r="L562" s="66"/>
      <c r="M562" s="66"/>
      <c r="N562" s="66"/>
      <c r="O562" s="66"/>
      <c r="P562" s="66" t="str">
        <f>CONCATENATE(E421," ",F421," ",G421)</f>
        <v>ROQUE ARISTOTLE GARSIN</v>
      </c>
      <c r="Q562" s="66" t="str">
        <f>IFERROR(VLOOKUP(P562,[1]Disposition!$AB$9:$AC$495,2,0),"NO RECORD YET")</f>
        <v>65 Pall Mall St., East Fairview, Quezon City</v>
      </c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18" customHeight="1">
      <c r="A563" s="188">
        <v>557</v>
      </c>
      <c r="B563" s="189" t="s">
        <v>1858</v>
      </c>
      <c r="C563" s="189" t="s">
        <v>19</v>
      </c>
      <c r="D563" s="190" t="s">
        <v>40</v>
      </c>
      <c r="E563" s="191" t="s">
        <v>1862</v>
      </c>
      <c r="F563" s="191" t="s">
        <v>690</v>
      </c>
      <c r="G563" s="191" t="s">
        <v>1863</v>
      </c>
      <c r="H563" s="192"/>
      <c r="I563" s="212"/>
      <c r="J563" s="279" t="s">
        <v>1864</v>
      </c>
      <c r="K563" s="308" t="s">
        <v>1865</v>
      </c>
      <c r="L563" s="66"/>
      <c r="M563" s="66"/>
      <c r="N563" s="66"/>
      <c r="O563" s="66"/>
      <c r="P563" s="66" t="str">
        <f>CONCATENATE(E37," ",F37," ",G37)</f>
        <v>GONZALES NECILDA JAVINIAR</v>
      </c>
      <c r="Q563" s="66" t="str">
        <f>IFERROR(VLOOKUP(P563,[1]Disposition!$AB$9:$AC$495,2,0),"NO RECORD YET")</f>
        <v>641 Blk 22 Kabisig Floodway, San Andres, Cainta, Rizal</v>
      </c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18" customHeight="1">
      <c r="A564" s="188">
        <v>558</v>
      </c>
      <c r="B564" s="189" t="s">
        <v>1858</v>
      </c>
      <c r="C564" s="193" t="s">
        <v>39</v>
      </c>
      <c r="D564" s="190" t="s">
        <v>40</v>
      </c>
      <c r="E564" s="191" t="s">
        <v>256</v>
      </c>
      <c r="F564" s="191" t="s">
        <v>1866</v>
      </c>
      <c r="G564" s="191" t="s">
        <v>1867</v>
      </c>
      <c r="H564" s="192"/>
      <c r="I564" s="212"/>
      <c r="J564" s="279" t="s">
        <v>1868</v>
      </c>
      <c r="K564" s="307" t="s">
        <v>1869</v>
      </c>
      <c r="L564" s="66"/>
      <c r="M564" s="66"/>
      <c r="N564" s="66"/>
      <c r="O564" s="66"/>
      <c r="P564" s="66" t="str">
        <f>CONCATENATE(E564," ",F564," ",G564)</f>
        <v>DELA CRUZ ROSELYN CARTAGENA</v>
      </c>
      <c r="Q564" s="66" t="str">
        <f>IFERROR(VLOOKUP(P564,[1]Disposition!$AB$9:$AC$495,2,0),"NO RECORD YET")</f>
        <v>16-B Buenmar St., Santolan, Pasig City</v>
      </c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18" customHeight="1">
      <c r="A565" s="188">
        <v>559</v>
      </c>
      <c r="B565" s="189" t="s">
        <v>1858</v>
      </c>
      <c r="C565" s="193" t="s">
        <v>19</v>
      </c>
      <c r="D565" s="190" t="s">
        <v>40</v>
      </c>
      <c r="E565" s="191" t="s">
        <v>1544</v>
      </c>
      <c r="F565" s="191" t="s">
        <v>1870</v>
      </c>
      <c r="G565" s="191" t="s">
        <v>618</v>
      </c>
      <c r="H565" s="192"/>
      <c r="I565" s="210"/>
      <c r="J565" s="279"/>
      <c r="K565" s="280"/>
      <c r="L565" s="66"/>
      <c r="M565" s="66"/>
      <c r="N565" s="66"/>
      <c r="O565" s="66"/>
      <c r="P565" s="66" t="str">
        <f>CONCATENATE(E572," ",F572," ",G572)</f>
        <v>BALUCANAG GRACE EBARSABAL</v>
      </c>
      <c r="Q565" s="66" t="str">
        <f>IFERROR(VLOOKUP(P565,[1]Disposition!$AB$9:$AC$495,2,0),"NO RECORD YET")</f>
        <v>2333 Mangga Extn., Velasco Ave., Napico, Manggahan, Pasig</v>
      </c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18" customHeight="1">
      <c r="A566" s="188">
        <v>560</v>
      </c>
      <c r="B566" s="189" t="s">
        <v>1858</v>
      </c>
      <c r="C566" s="193" t="s">
        <v>39</v>
      </c>
      <c r="D566" s="190" t="s">
        <v>40</v>
      </c>
      <c r="E566" s="191" t="s">
        <v>997</v>
      </c>
      <c r="F566" s="191" t="s">
        <v>1871</v>
      </c>
      <c r="G566" s="191" t="s">
        <v>1872</v>
      </c>
      <c r="H566" s="192"/>
      <c r="I566" s="212"/>
      <c r="J566" s="279" t="s">
        <v>1873</v>
      </c>
      <c r="K566" s="307" t="s">
        <v>1874</v>
      </c>
      <c r="L566" s="66"/>
      <c r="M566" s="66"/>
      <c r="N566" s="66"/>
      <c r="O566" s="66"/>
      <c r="P566" s="66" t="str">
        <f>CONCATENATE(E566," ",F566," ",G566)</f>
        <v>ENRIQUEZ MA VICTORIA  DONES</v>
      </c>
      <c r="Q566" s="66" t="str">
        <f>IFERROR(VLOOKUP(P566,[1]Disposition!$AB$9:$AC$495,2,0),"NO RECORD YET")</f>
        <v>001 Estanislao St., Brgy. Ibayo, Tipas, Taguig City</v>
      </c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18" customHeight="1">
      <c r="A567" s="188">
        <v>561</v>
      </c>
      <c r="B567" s="189" t="s">
        <v>1858</v>
      </c>
      <c r="C567" s="193" t="s">
        <v>39</v>
      </c>
      <c r="D567" s="190" t="s">
        <v>40</v>
      </c>
      <c r="E567" s="191" t="s">
        <v>1875</v>
      </c>
      <c r="F567" s="191" t="s">
        <v>1876</v>
      </c>
      <c r="G567" s="191" t="s">
        <v>1877</v>
      </c>
      <c r="H567" s="192"/>
      <c r="I567" s="210"/>
      <c r="J567" s="279"/>
      <c r="K567" s="280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18" customHeight="1">
      <c r="A568" s="188">
        <v>562</v>
      </c>
      <c r="B568" s="189" t="s">
        <v>1858</v>
      </c>
      <c r="C568" s="189" t="s">
        <v>19</v>
      </c>
      <c r="D568" s="190" t="s">
        <v>40</v>
      </c>
      <c r="E568" s="191" t="s">
        <v>151</v>
      </c>
      <c r="F568" s="191" t="s">
        <v>1878</v>
      </c>
      <c r="G568" s="191" t="s">
        <v>971</v>
      </c>
      <c r="H568" s="192"/>
      <c r="I568" s="210"/>
      <c r="J568" s="279" t="s">
        <v>1879</v>
      </c>
      <c r="K568" s="308" t="s">
        <v>1880</v>
      </c>
      <c r="L568" s="66"/>
      <c r="M568" s="66"/>
      <c r="N568" s="66"/>
      <c r="O568" s="66"/>
      <c r="P568" s="66" t="str">
        <f>CONCATENATE(E562," ",F562," ",G562)</f>
        <v>PAZ VIRGINIA SUERO</v>
      </c>
      <c r="Q568" s="66" t="str">
        <f>IFERROR(VLOOKUP(P568,[1]Disposition!$AB$9:$AC$495,2,0),"NO RECORD YET")</f>
        <v>3B 2nd Camarilla St., Murphy, Quezon City</v>
      </c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18" customHeight="1">
      <c r="A569" s="188">
        <v>563</v>
      </c>
      <c r="B569" s="189" t="s">
        <v>1858</v>
      </c>
      <c r="C569" s="193" t="s">
        <v>39</v>
      </c>
      <c r="D569" s="190" t="s">
        <v>40</v>
      </c>
      <c r="E569" s="191" t="s">
        <v>1881</v>
      </c>
      <c r="F569" s="191" t="s">
        <v>1882</v>
      </c>
      <c r="G569" s="191" t="s">
        <v>1883</v>
      </c>
      <c r="H569" s="192"/>
      <c r="I569" s="210"/>
      <c r="J569" s="279" t="s">
        <v>1884</v>
      </c>
      <c r="K569" s="308" t="s">
        <v>1885</v>
      </c>
      <c r="L569" s="66"/>
      <c r="M569" s="66"/>
      <c r="N569" s="66"/>
      <c r="O569" s="66"/>
      <c r="P569" s="66" t="str">
        <f>CONCATENATE(E44," ",F44," ",G44)</f>
        <v>BERENGUEL LUCHIE RELOYA</v>
      </c>
      <c r="Q569" s="66" t="str">
        <f>IFERROR(VLOOKUP(P569,[1]Disposition!$AB$9:$AC$495,2,0),"NO RECORD YET")</f>
        <v>#2 Alley 15,  P. Rosales St., Sta. Ana Kaliwa, Pateros</v>
      </c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18" customHeight="1">
      <c r="A570" s="188">
        <v>564</v>
      </c>
      <c r="B570" s="189" t="s">
        <v>1858</v>
      </c>
      <c r="C570" s="193" t="s">
        <v>39</v>
      </c>
      <c r="D570" s="190" t="s">
        <v>40</v>
      </c>
      <c r="E570" s="191" t="s">
        <v>1886</v>
      </c>
      <c r="F570" s="191" t="s">
        <v>1887</v>
      </c>
      <c r="G570" s="191" t="s">
        <v>1689</v>
      </c>
      <c r="H570" s="192"/>
      <c r="I570" s="210"/>
      <c r="J570" s="279" t="s">
        <v>1888</v>
      </c>
      <c r="K570" s="311" t="s">
        <v>1889</v>
      </c>
      <c r="L570" s="66"/>
      <c r="M570" s="66"/>
      <c r="N570" s="66"/>
      <c r="O570" s="66"/>
      <c r="P570" s="66" t="str">
        <f>CONCATENATE(E569," ",F569," ",G569)</f>
        <v>RECUENCO GEMMA CLEOFE</v>
      </c>
      <c r="Q570" s="66" t="str">
        <f>IFERROR(VLOOKUP(P570,[1]Disposition!$AB$9:$AC$495,2,0),"NO RECORD YET")</f>
        <v>Blk13 Lot 38 Phase 1, Norhtgate Exec., Brgy. Sto. Cristo, SJDM, Bulacan</v>
      </c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18" customHeight="1">
      <c r="A571" s="188">
        <v>565</v>
      </c>
      <c r="B571" s="193" t="s">
        <v>1890</v>
      </c>
      <c r="C571" s="189" t="s">
        <v>19</v>
      </c>
      <c r="D571" s="190" t="s">
        <v>246</v>
      </c>
      <c r="E571" s="191" t="s">
        <v>1891</v>
      </c>
      <c r="F571" s="191" t="s">
        <v>1892</v>
      </c>
      <c r="G571" s="191" t="s">
        <v>1893</v>
      </c>
      <c r="H571" s="192" t="s">
        <v>268</v>
      </c>
      <c r="I571" s="210"/>
      <c r="J571" s="279"/>
      <c r="K571" s="282"/>
      <c r="L571" s="66"/>
      <c r="M571" s="66"/>
      <c r="N571" s="66"/>
      <c r="O571" s="66"/>
      <c r="P571" s="66" t="str">
        <f>CONCATENATE(E571," ",F571," ",G571)</f>
        <v>DAVID EDUARDO  BALATIAN</v>
      </c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18" customHeight="1">
      <c r="A572" s="188">
        <v>566</v>
      </c>
      <c r="B572" s="193" t="s">
        <v>1890</v>
      </c>
      <c r="C572" s="193" t="s">
        <v>39</v>
      </c>
      <c r="D572" s="190" t="s">
        <v>40</v>
      </c>
      <c r="E572" s="191" t="s">
        <v>1894</v>
      </c>
      <c r="F572" s="191" t="s">
        <v>1895</v>
      </c>
      <c r="G572" s="191" t="s">
        <v>1896</v>
      </c>
      <c r="H572" s="192"/>
      <c r="I572" s="210"/>
      <c r="J572" s="279" t="s">
        <v>1897</v>
      </c>
      <c r="K572" s="308" t="s">
        <v>1898</v>
      </c>
      <c r="L572" s="66"/>
      <c r="M572" s="66"/>
      <c r="N572" s="66"/>
      <c r="O572" s="66"/>
      <c r="P572" s="66" t="str">
        <f>CONCATENATE(E563," ",F563," ",G563)</f>
        <v>ALMADEN GILBERT CABACANG</v>
      </c>
      <c r="Q572" s="66" t="str">
        <f>IFERROR(VLOOKUP(P572,[1]Disposition!$AB$9:$AC$495,2,0),"NO RECORD YET")</f>
        <v>B3 L5 Dama De Noche St. Salinas 2, Camella Homes,  Bacoor, Cavite</v>
      </c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18" customHeight="1">
      <c r="A573" s="188">
        <v>567</v>
      </c>
      <c r="B573" s="193" t="s">
        <v>1890</v>
      </c>
      <c r="C573" s="189" t="s">
        <v>19</v>
      </c>
      <c r="D573" s="190" t="s">
        <v>40</v>
      </c>
      <c r="E573" s="191" t="s">
        <v>1899</v>
      </c>
      <c r="F573" s="191" t="s">
        <v>1900</v>
      </c>
      <c r="G573" s="191" t="s">
        <v>1901</v>
      </c>
      <c r="H573" s="192"/>
      <c r="I573" s="228"/>
      <c r="J573" s="285"/>
      <c r="K573" s="282"/>
      <c r="L573" s="66"/>
      <c r="M573" s="66"/>
      <c r="N573" s="66"/>
      <c r="O573" s="66"/>
      <c r="P573" s="66" t="str">
        <f>CONCATENATE(E573," ",F573," ",G573)</f>
        <v>ONGKINGCO RAMIL MADRID</v>
      </c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18" customHeight="1">
      <c r="A574" s="188">
        <v>568</v>
      </c>
      <c r="B574" s="193" t="s">
        <v>1890</v>
      </c>
      <c r="C574" s="189" t="s">
        <v>19</v>
      </c>
      <c r="D574" s="190" t="s">
        <v>40</v>
      </c>
      <c r="E574" s="191" t="s">
        <v>1902</v>
      </c>
      <c r="F574" s="191" t="s">
        <v>354</v>
      </c>
      <c r="G574" s="191" t="s">
        <v>1903</v>
      </c>
      <c r="H574" s="202"/>
      <c r="I574" s="210"/>
      <c r="J574" s="279" t="s">
        <v>1904</v>
      </c>
      <c r="K574" s="307" t="s">
        <v>1905</v>
      </c>
      <c r="L574" s="66"/>
      <c r="M574" s="66"/>
      <c r="N574" s="66"/>
      <c r="O574" s="66"/>
      <c r="P574" s="66" t="e">
        <f>CONCATENATE(#REF!," ",#REF!," ",#REF!)</f>
        <v>#REF!</v>
      </c>
      <c r="Q574" s="66" t="str">
        <f>IFERROR(VLOOKUP(P574,[1]Disposition!$AB$9:$AC$495,2,0),"NO RECORD YET")</f>
        <v>NO RECORD YET</v>
      </c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18" customHeight="1">
      <c r="A575" s="188">
        <v>569</v>
      </c>
      <c r="B575" s="193" t="s">
        <v>1890</v>
      </c>
      <c r="C575" s="193" t="s">
        <v>19</v>
      </c>
      <c r="D575" s="190" t="s">
        <v>40</v>
      </c>
      <c r="E575" s="191" t="s">
        <v>1187</v>
      </c>
      <c r="F575" s="191" t="s">
        <v>646</v>
      </c>
      <c r="G575" s="191" t="s">
        <v>1906</v>
      </c>
      <c r="H575" s="192"/>
      <c r="I575" s="210"/>
      <c r="J575" s="279"/>
      <c r="K575" s="282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9" customHeight="1">
      <c r="A576" s="3"/>
      <c r="B576" s="268"/>
      <c r="C576" s="268"/>
      <c r="D576" s="3"/>
      <c r="E576" s="185"/>
      <c r="F576" s="4"/>
      <c r="G576" s="4"/>
      <c r="H576" s="3"/>
      <c r="I576" s="271"/>
      <c r="J576" s="66"/>
      <c r="K576" s="248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13.5" customHeight="1">
      <c r="A577" s="272" t="s">
        <v>1907</v>
      </c>
      <c r="B577" s="268"/>
      <c r="C577" s="268"/>
      <c r="D577" s="3"/>
      <c r="E577" s="66"/>
      <c r="F577" s="185"/>
      <c r="G577" s="185"/>
      <c r="H577" s="3"/>
      <c r="I577" s="271"/>
      <c r="J577" s="271"/>
      <c r="K577" s="248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42" customHeight="1">
      <c r="A578" s="377" t="s">
        <v>9</v>
      </c>
      <c r="B578" s="371"/>
      <c r="C578" s="273"/>
      <c r="D578" s="44" t="s">
        <v>1908</v>
      </c>
      <c r="E578" s="44" t="s">
        <v>2666</v>
      </c>
      <c r="F578" s="206" t="s">
        <v>2667</v>
      </c>
      <c r="G578" s="378" t="s">
        <v>1911</v>
      </c>
      <c r="H578" s="371"/>
      <c r="I578" s="187" t="s">
        <v>1912</v>
      </c>
      <c r="J578" s="304"/>
      <c r="K578" s="248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13.5" customHeight="1">
      <c r="A579" s="373" t="s">
        <v>1913</v>
      </c>
      <c r="B579" s="371"/>
      <c r="C579" s="274"/>
      <c r="D579" s="31">
        <v>35</v>
      </c>
      <c r="E579" s="275">
        <v>145</v>
      </c>
      <c r="F579" s="275">
        <v>1</v>
      </c>
      <c r="G579" s="374">
        <v>1</v>
      </c>
      <c r="H579" s="371"/>
      <c r="I579" s="276">
        <f t="shared" ref="I579:I581" si="21">SUM(D579:H579)</f>
        <v>182</v>
      </c>
      <c r="J579" s="295"/>
      <c r="K579" s="248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13.5" customHeight="1">
      <c r="A580" s="373" t="s">
        <v>1914</v>
      </c>
      <c r="B580" s="371"/>
      <c r="C580" s="274"/>
      <c r="D580" s="31">
        <v>55</v>
      </c>
      <c r="E580" s="275">
        <v>149</v>
      </c>
      <c r="F580" s="275">
        <v>0</v>
      </c>
      <c r="G580" s="374">
        <v>4</v>
      </c>
      <c r="H580" s="371"/>
      <c r="I580" s="276">
        <f t="shared" si="21"/>
        <v>208</v>
      </c>
      <c r="J580" s="295"/>
      <c r="K580" s="248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 spans="1:27" ht="13.5" customHeight="1">
      <c r="A581" s="373" t="s">
        <v>1915</v>
      </c>
      <c r="B581" s="371"/>
      <c r="C581" s="274"/>
      <c r="D581" s="31">
        <v>150</v>
      </c>
      <c r="E581" s="275">
        <v>27</v>
      </c>
      <c r="F581" s="275">
        <v>2</v>
      </c>
      <c r="G581" s="374">
        <v>0</v>
      </c>
      <c r="H581" s="371"/>
      <c r="I581" s="276">
        <f t="shared" si="21"/>
        <v>179</v>
      </c>
      <c r="J581" s="295"/>
      <c r="K581" s="248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 spans="1:27" ht="13.5" customHeight="1">
      <c r="A582" s="373" t="s">
        <v>1916</v>
      </c>
      <c r="B582" s="371"/>
      <c r="C582" s="274"/>
      <c r="D582" s="31">
        <f t="shared" ref="D582:G582" si="22">SUM(D579:D581)</f>
        <v>240</v>
      </c>
      <c r="E582" s="31">
        <f t="shared" si="22"/>
        <v>321</v>
      </c>
      <c r="F582" s="31">
        <f t="shared" si="22"/>
        <v>3</v>
      </c>
      <c r="G582" s="373">
        <f t="shared" si="22"/>
        <v>5</v>
      </c>
      <c r="H582" s="371"/>
      <c r="I582" s="31">
        <f>SUM(I579:I581)</f>
        <v>569</v>
      </c>
      <c r="J582" s="295"/>
      <c r="K582" s="248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 spans="1:27" ht="23.25" customHeight="1">
      <c r="A583" s="53"/>
      <c r="B583" s="53"/>
      <c r="C583" s="53"/>
      <c r="D583" s="54"/>
      <c r="E583" s="66"/>
      <c r="F583" s="54"/>
      <c r="G583" s="54"/>
      <c r="H583" s="54"/>
      <c r="I583" s="54"/>
      <c r="J583" s="54"/>
      <c r="K583" s="248"/>
      <c r="L583" s="166"/>
      <c r="M583" s="296"/>
      <c r="N583" s="29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 spans="1:27" ht="13.5" customHeight="1">
      <c r="A584" s="185"/>
      <c r="B584" s="65" t="s">
        <v>1917</v>
      </c>
      <c r="C584" s="65"/>
      <c r="D584" s="65"/>
      <c r="E584" s="164" t="s">
        <v>1918</v>
      </c>
      <c r="F584" s="164"/>
      <c r="G584" s="164"/>
      <c r="H584" s="164" t="s">
        <v>1919</v>
      </c>
      <c r="I584" s="166"/>
      <c r="J584" s="66"/>
      <c r="K584" s="248"/>
      <c r="L584" s="166"/>
      <c r="M584" s="296"/>
      <c r="N584" s="296"/>
      <c r="O584" s="365"/>
      <c r="P584" s="363"/>
      <c r="Q584" s="366"/>
      <c r="R584" s="366"/>
      <c r="S584" s="364"/>
      <c r="T584" s="364"/>
      <c r="U584" s="364"/>
      <c r="V584" s="364"/>
      <c r="W584" s="367"/>
      <c r="X584" s="363"/>
      <c r="Y584" s="364"/>
      <c r="Z584" s="363"/>
      <c r="AA584" s="363"/>
    </row>
    <row r="585" spans="1:27" ht="13.5" customHeight="1">
      <c r="A585" s="185"/>
      <c r="B585" s="65"/>
      <c r="C585" s="65"/>
      <c r="D585" s="65"/>
      <c r="E585" s="66"/>
      <c r="F585" s="66"/>
      <c r="G585" s="66"/>
      <c r="H585" s="66"/>
      <c r="I585" s="166"/>
      <c r="J585" s="66"/>
      <c r="K585" s="248"/>
      <c r="L585" s="166"/>
      <c r="M585" s="166"/>
      <c r="N585" s="166"/>
      <c r="O585" s="364"/>
      <c r="P585" s="364"/>
      <c r="Q585" s="364"/>
      <c r="R585" s="277"/>
      <c r="S585" s="277"/>
      <c r="T585" s="277"/>
      <c r="U585" s="366"/>
      <c r="V585" s="364"/>
      <c r="W585" s="364"/>
      <c r="X585" s="364"/>
      <c r="Y585" s="364"/>
      <c r="Z585" s="364"/>
      <c r="AA585" s="364"/>
    </row>
    <row r="586" spans="1:27" ht="13.5" customHeight="1">
      <c r="A586" s="185"/>
      <c r="B586" s="65"/>
      <c r="C586" s="65"/>
      <c r="D586" s="65"/>
      <c r="E586" s="66"/>
      <c r="F586" s="66"/>
      <c r="G586" s="66"/>
      <c r="H586" s="66"/>
      <c r="I586" s="166"/>
      <c r="J586" s="66"/>
      <c r="K586" s="248"/>
      <c r="L586" s="166"/>
      <c r="M586" s="166"/>
      <c r="N586" s="166"/>
      <c r="O586" s="34"/>
      <c r="P586" s="34"/>
      <c r="Q586" s="36"/>
      <c r="R586" s="36"/>
      <c r="S586" s="36"/>
      <c r="T586" s="36"/>
      <c r="U586" s="368"/>
      <c r="V586" s="364"/>
      <c r="W586" s="278"/>
      <c r="X586" s="369"/>
      <c r="Y586" s="364"/>
      <c r="Z586" s="62"/>
      <c r="AA586" s="62"/>
    </row>
    <row r="587" spans="1:27" ht="12" customHeight="1">
      <c r="A587" s="185"/>
      <c r="B587" s="39" t="s">
        <v>1920</v>
      </c>
      <c r="C587" s="67"/>
      <c r="D587" s="65"/>
      <c r="E587" s="167" t="s">
        <v>1921</v>
      </c>
      <c r="F587" s="167"/>
      <c r="G587" s="167"/>
      <c r="H587" s="167" t="s">
        <v>1922</v>
      </c>
      <c r="I587" s="166"/>
      <c r="J587" s="66"/>
      <c r="K587" s="248"/>
      <c r="L587" s="166"/>
      <c r="M587" s="166"/>
      <c r="N587" s="166"/>
      <c r="O587" s="34"/>
      <c r="P587" s="34"/>
      <c r="Q587" s="36"/>
      <c r="R587" s="36"/>
      <c r="S587" s="36"/>
      <c r="T587" s="36"/>
      <c r="U587" s="368"/>
      <c r="V587" s="364"/>
      <c r="W587" s="278"/>
      <c r="X587" s="369"/>
      <c r="Y587" s="364"/>
      <c r="Z587" s="62"/>
      <c r="AA587" s="62"/>
    </row>
    <row r="588" spans="1:27" ht="12" customHeight="1">
      <c r="A588" s="185"/>
      <c r="B588" s="72" t="s">
        <v>1923</v>
      </c>
      <c r="C588" s="72"/>
      <c r="D588" s="168"/>
      <c r="E588" s="168" t="s">
        <v>1924</v>
      </c>
      <c r="F588" s="168"/>
      <c r="G588" s="168"/>
      <c r="H588" s="168" t="s">
        <v>1925</v>
      </c>
      <c r="I588" s="166"/>
      <c r="J588" s="66"/>
      <c r="K588" s="248"/>
      <c r="L588" s="166"/>
      <c r="M588" s="166"/>
      <c r="N588" s="166"/>
      <c r="O588" s="34"/>
      <c r="P588" s="34"/>
      <c r="Q588" s="36"/>
      <c r="R588" s="36"/>
      <c r="S588" s="36"/>
      <c r="T588" s="36"/>
      <c r="U588" s="368"/>
      <c r="V588" s="364"/>
      <c r="W588" s="278"/>
      <c r="X588" s="369"/>
      <c r="Y588" s="364"/>
      <c r="Z588" s="62"/>
      <c r="AA588" s="62"/>
    </row>
    <row r="589" spans="1:27" ht="12" customHeight="1">
      <c r="A589" s="185"/>
      <c r="B589" s="72" t="s">
        <v>1926</v>
      </c>
      <c r="C589" s="72"/>
      <c r="D589" s="168"/>
      <c r="E589" s="168" t="s">
        <v>1927</v>
      </c>
      <c r="F589" s="168"/>
      <c r="G589" s="168"/>
      <c r="H589" s="168" t="s">
        <v>1928</v>
      </c>
      <c r="I589" s="166"/>
      <c r="J589" s="66">
        <f>SUM(J581:J588)</f>
        <v>0</v>
      </c>
      <c r="K589" s="248"/>
      <c r="L589" s="166"/>
      <c r="M589" s="166"/>
      <c r="N589" s="166"/>
      <c r="O589" s="34"/>
      <c r="P589" s="34"/>
      <c r="Q589" s="36"/>
      <c r="R589" s="36"/>
      <c r="S589" s="36"/>
      <c r="T589" s="36"/>
      <c r="U589" s="368"/>
      <c r="V589" s="364"/>
      <c r="W589" s="278"/>
      <c r="X589" s="369"/>
      <c r="Y589" s="364"/>
      <c r="Z589" s="34"/>
      <c r="AA589" s="62"/>
    </row>
    <row r="590" spans="1:27" ht="13.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248"/>
      <c r="L590" s="66"/>
      <c r="M590" s="66"/>
      <c r="N590" s="66"/>
      <c r="O590" s="34"/>
      <c r="P590" s="40"/>
      <c r="Q590" s="41"/>
      <c r="R590" s="41"/>
      <c r="S590" s="36"/>
      <c r="T590" s="41"/>
      <c r="U590" s="41"/>
      <c r="V590" s="41"/>
      <c r="W590" s="41"/>
      <c r="X590" s="41"/>
      <c r="Y590" s="40"/>
      <c r="Z590" s="40"/>
      <c r="AA590" s="40"/>
    </row>
    <row r="591" spans="1:27" ht="13.5" customHeight="1">
      <c r="A591" s="66"/>
      <c r="B591" s="66"/>
      <c r="C591" s="66"/>
      <c r="D591" s="66"/>
      <c r="E591" s="69"/>
      <c r="F591" s="66"/>
      <c r="G591" s="66"/>
      <c r="H591" s="66"/>
      <c r="I591" s="66"/>
      <c r="J591" s="66"/>
      <c r="K591" s="248"/>
      <c r="L591" s="66"/>
      <c r="M591" s="66"/>
      <c r="N591" s="66"/>
      <c r="O591" s="53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spans="1:27" ht="13.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248"/>
      <c r="L592" s="66"/>
      <c r="M592" s="66"/>
      <c r="N592" s="66"/>
      <c r="O592" s="42"/>
      <c r="P592" s="43"/>
      <c r="Q592" s="43" t="s">
        <v>1929</v>
      </c>
      <c r="R592" s="370" t="s">
        <v>1930</v>
      </c>
      <c r="S592" s="371"/>
      <c r="T592" s="206" t="s">
        <v>1931</v>
      </c>
      <c r="U592" s="370" t="s">
        <v>1932</v>
      </c>
      <c r="V592" s="372"/>
      <c r="W592" s="372"/>
      <c r="X592" s="372"/>
      <c r="Y592" s="371"/>
      <c r="Z592" s="206" t="s">
        <v>1933</v>
      </c>
      <c r="AA592" s="206" t="s">
        <v>1934</v>
      </c>
    </row>
    <row r="593" spans="1:27" ht="13.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248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13.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248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13.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248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13.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248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13.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248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13.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248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13.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248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13.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248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13.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248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13.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248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13.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248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13.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248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13.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248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13.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248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13.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248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13.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248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13.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248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13.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248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13.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248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13.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248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13.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248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13.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248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13.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248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13.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248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13.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248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13.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248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13.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248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13.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248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13.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248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13.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248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13.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248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13.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248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13.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248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13.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248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13.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248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13.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248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13.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248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13.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248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13.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248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13.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248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13.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248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13.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248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13.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248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13.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248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13.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248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13.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248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13.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248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13.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248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13.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248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13.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248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13.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248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13.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248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13.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248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13.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248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13.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248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13.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248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13.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248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13.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248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13.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248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13.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248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13.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248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13.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248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13.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248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13.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248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13.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248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13.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248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13.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248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13.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248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13.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248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13.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248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13.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248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13.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248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13.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248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13.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248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13.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248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13.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248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13.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248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13.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248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13.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248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13.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248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13.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248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13.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248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13.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248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13.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248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13.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248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13.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248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13.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248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13.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248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13.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248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13.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248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13.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248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13.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248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13.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248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13.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248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13.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248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13.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248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13.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248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13.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248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13.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248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13.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248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13.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248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13.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248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13.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248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13.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248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13.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248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13.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248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13.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248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13.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248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13.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248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13.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248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13.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248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13.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248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13.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248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13.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248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13.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248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13.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248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13.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248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13.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248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13.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248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13.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248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13.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248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13.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248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13.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248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13.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248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13.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248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13.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248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13.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248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13.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248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13.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248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13.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248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13.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248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13.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248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13.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248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13.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248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13.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248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13.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248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13.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248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13.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248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13.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248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13.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248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13.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248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13.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248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13.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248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13.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248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13.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248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13.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248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13.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248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13.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248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13.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248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13.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248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13.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248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13.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248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13.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248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13.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248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13.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248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13.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248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13.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248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13.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248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13.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248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13.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248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13.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248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13.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248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13.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248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13.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248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13.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248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13.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248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13.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248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13.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248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13.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248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13.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248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13.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248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13.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248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13.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248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13.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248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13.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248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13.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248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13.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248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13.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248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13.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248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13.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248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13.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248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13.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248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13.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248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13.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248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13.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248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13.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248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13.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248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13.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248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13.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248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13.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248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13.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248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13.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248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13.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248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13.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248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13.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248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13.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248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13.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248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13.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248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13.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248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13.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248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13.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248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13.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248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13.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248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13.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248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13.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248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13.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248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13.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248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13.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248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13.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248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13.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248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13.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248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13.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248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13.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248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13.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248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13.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248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13.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248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13.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248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13.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248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13.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248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13.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248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13.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248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13.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248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13.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248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13.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248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13.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248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13.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248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13.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248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13.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248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13.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248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13.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248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13.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248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13.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248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13.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248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13.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248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13.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248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13.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248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13.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248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13.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248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13.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248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13.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248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13.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248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13.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248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13.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248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13.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248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13.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248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13.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248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13.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248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13.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248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13.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248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13.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248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13.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248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13.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248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13.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248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13.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248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13.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248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13.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248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13.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248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13.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248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13.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248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13.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248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13.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248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13.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248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13.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248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13.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248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13.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248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13.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248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13.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248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13.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248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13.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248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13.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248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13.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248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13.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248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13.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248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13.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248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13.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248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13.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248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13.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248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13.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248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13.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248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13.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248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13.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248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13.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248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13.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248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13.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248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13.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248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13.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248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13.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248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13.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248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13.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248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13.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248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13.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248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13.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248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13.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248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13.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248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13.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248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13.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248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13.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248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13.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248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13.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248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13.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248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13.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248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 spans="1:27" ht="13.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248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 spans="1:27" ht="13.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248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 spans="1:27" ht="13.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248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 spans="1:27" ht="13.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248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 spans="1:27" ht="13.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248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 spans="1:27" ht="13.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248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 spans="1:27" ht="13.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248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 spans="1:27" ht="13.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248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 spans="1:27" ht="13.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248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 spans="1:27" ht="13.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248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 spans="1:27" ht="13.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248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 spans="1:27" ht="13.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248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 spans="1:27" ht="13.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248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 spans="1:27" ht="13.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248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 spans="1:27" ht="13.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248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 spans="1:27" ht="13.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248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 spans="1:27" ht="13.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248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 spans="1:27" ht="13.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248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 spans="1:27" ht="13.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248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 spans="1:27" ht="13.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248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 spans="1:27" ht="13.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248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 spans="1:27" ht="13.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248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 spans="1:27" ht="13.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248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 spans="1:27" ht="13.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248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 spans="1:27" ht="13.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248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 spans="1:27" ht="13.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248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 spans="1:27" ht="13.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248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 spans="1:27" ht="13.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248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 spans="1:27" ht="13.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248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 spans="1:27" ht="13.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248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 spans="1:27" ht="13.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248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 spans="1:27" ht="13.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248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 spans="1:27" ht="13.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248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 spans="1:27" ht="13.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248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 spans="1:27" ht="13.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248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 spans="1:27" ht="13.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248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 spans="1:27" ht="13.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248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 spans="1:27" ht="13.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248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 spans="1:27" ht="13.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248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 spans="1:27" ht="13.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248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 spans="1:27" ht="13.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248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 spans="1:27" ht="13.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248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 spans="1:27" ht="13.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248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 spans="1:27" ht="13.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248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 spans="1:27" ht="13.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248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 spans="1:27" ht="13.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248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 spans="1:27" ht="13.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248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 spans="1:27" ht="13.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248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 spans="1:27" ht="13.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248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 spans="1:27" ht="13.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248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 spans="1:27" ht="13.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248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 spans="1:27" ht="13.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248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 spans="1:27" ht="13.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248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 spans="1:27" ht="13.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248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 spans="1:27" ht="13.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248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 spans="1:27" ht="13.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248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 spans="1:27" ht="13.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248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 spans="1:27" ht="13.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248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 spans="1:27" ht="13.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248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 spans="1:27" ht="13.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248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 spans="1:27" ht="13.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248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 spans="1:27" ht="13.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248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 spans="1:27" ht="13.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248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 spans="1:27" ht="13.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248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 spans="1:27" ht="13.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248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 spans="1:27" ht="13.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248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 spans="1:27" ht="13.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248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 spans="1:27" ht="13.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248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 spans="1:27" ht="13.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248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 spans="1:27" ht="13.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248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 spans="1:27" ht="13.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248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 spans="1:27" ht="13.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248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 spans="1:27" ht="13.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248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 spans="1:27" ht="13.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248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 spans="1:27" ht="13.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248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 spans="1:27" ht="13.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248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 spans="1:27" ht="13.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248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 spans="1:27" ht="13.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248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 spans="1:27" ht="13.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248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 spans="1:27" ht="13.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248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 spans="1:27" ht="13.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248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 spans="1:27" ht="13.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248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 spans="1:27" ht="13.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248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 spans="1:27" ht="13.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248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 spans="1:27" ht="13.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248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 spans="1:27" ht="13.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248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 spans="1:27" ht="13.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248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 spans="1:27" ht="13.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248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 spans="1:27" ht="13.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248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 spans="1:27" ht="13.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248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 spans="1:27" ht="13.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248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 spans="1:27" ht="13.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248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 spans="1:27" ht="13.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248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 spans="1:27" ht="13.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248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  <row r="988" spans="1:27" ht="13.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248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</row>
    <row r="989" spans="1:27" ht="13.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248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</row>
    <row r="990" spans="1:27" ht="13.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248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</row>
    <row r="991" spans="1:27" ht="13.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248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</row>
    <row r="992" spans="1:27" ht="13.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248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</row>
    <row r="993" spans="1:27" ht="13.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248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</row>
    <row r="994" spans="1:27" ht="13.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248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</row>
    <row r="995" spans="1:27" ht="13.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248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</row>
    <row r="996" spans="1:27" ht="13.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248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</row>
    <row r="997" spans="1:27" ht="13.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248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</row>
    <row r="998" spans="1:27" ht="13.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248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</row>
    <row r="999" spans="1:27" ht="13.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248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</row>
    <row r="1000" spans="1:27" ht="13.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248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</row>
  </sheetData>
  <mergeCells count="36">
    <mergeCell ref="A1:I1"/>
    <mergeCell ref="A2:I2"/>
    <mergeCell ref="A3:I3"/>
    <mergeCell ref="A4:I4"/>
    <mergeCell ref="A5:I5"/>
    <mergeCell ref="A6:I6"/>
    <mergeCell ref="A7:I7"/>
    <mergeCell ref="A578:B578"/>
    <mergeCell ref="G578:H578"/>
    <mergeCell ref="A579:B579"/>
    <mergeCell ref="G579:H579"/>
    <mergeCell ref="U586:V586"/>
    <mergeCell ref="X586:Y586"/>
    <mergeCell ref="U587:V587"/>
    <mergeCell ref="X587:Y587"/>
    <mergeCell ref="A580:B580"/>
    <mergeCell ref="G580:H580"/>
    <mergeCell ref="A581:B581"/>
    <mergeCell ref="G581:H581"/>
    <mergeCell ref="A582:B582"/>
    <mergeCell ref="G582:H582"/>
    <mergeCell ref="U588:V588"/>
    <mergeCell ref="X588:Y588"/>
    <mergeCell ref="U589:V589"/>
    <mergeCell ref="X589:Y589"/>
    <mergeCell ref="R592:S592"/>
    <mergeCell ref="U592:Y592"/>
    <mergeCell ref="AA584:AA585"/>
    <mergeCell ref="X584:Y585"/>
    <mergeCell ref="O584:O585"/>
    <mergeCell ref="P584:P585"/>
    <mergeCell ref="Q584:Q585"/>
    <mergeCell ref="W584:W585"/>
    <mergeCell ref="Z584:Z585"/>
    <mergeCell ref="R584:V584"/>
    <mergeCell ref="U585:V585"/>
  </mergeCells>
  <pageMargins left="0.118110236220472" right="0.118110236220472" top="0.55118110236220497" bottom="0.35433070866141703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0"/>
  <sheetViews>
    <sheetView workbookViewId="0">
      <selection sqref="A1:I1"/>
    </sheetView>
  </sheetViews>
  <sheetFormatPr defaultColWidth="12.5703125" defaultRowHeight="15" customHeight="1"/>
  <cols>
    <col min="1" max="1" width="5" customWidth="1"/>
    <col min="2" max="2" width="25.85546875" customWidth="1"/>
    <col min="3" max="3" width="12.5703125" hidden="1"/>
    <col min="4" max="4" width="9.42578125" customWidth="1"/>
    <col min="5" max="5" width="17" customWidth="1"/>
    <col min="6" max="6" width="19.140625" customWidth="1"/>
    <col min="7" max="7" width="16.5703125" customWidth="1"/>
    <col min="8" max="8" width="5.7109375" customWidth="1"/>
    <col min="9" max="9" width="23.85546875" customWidth="1"/>
    <col min="10" max="10" width="77.85546875" customWidth="1"/>
    <col min="11" max="11" width="14" customWidth="1"/>
    <col min="12" max="15" width="9.140625" customWidth="1"/>
    <col min="16" max="16" width="47.28515625" customWidth="1"/>
    <col min="17" max="27" width="9.140625" customWidth="1"/>
  </cols>
  <sheetData>
    <row r="1" spans="1:27" ht="11.25" customHeight="1">
      <c r="A1" s="375" t="s">
        <v>0</v>
      </c>
      <c r="B1" s="376"/>
      <c r="C1" s="376"/>
      <c r="D1" s="376"/>
      <c r="E1" s="376"/>
      <c r="F1" s="376"/>
      <c r="G1" s="376"/>
      <c r="H1" s="376"/>
      <c r="I1" s="376"/>
      <c r="J1" s="28"/>
      <c r="K1" s="24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1.25" customHeight="1">
      <c r="A2" s="375" t="s">
        <v>1</v>
      </c>
      <c r="B2" s="376"/>
      <c r="C2" s="376"/>
      <c r="D2" s="376"/>
      <c r="E2" s="376"/>
      <c r="F2" s="376"/>
      <c r="G2" s="376"/>
      <c r="H2" s="376"/>
      <c r="I2" s="376"/>
      <c r="J2" s="28">
        <f>259-240</f>
        <v>19</v>
      </c>
      <c r="K2" s="248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1.25" customHeight="1">
      <c r="A3" s="375" t="s">
        <v>2</v>
      </c>
      <c r="B3" s="376"/>
      <c r="C3" s="376"/>
      <c r="D3" s="376"/>
      <c r="E3" s="376"/>
      <c r="F3" s="376"/>
      <c r="G3" s="376"/>
      <c r="H3" s="376"/>
      <c r="I3" s="376"/>
      <c r="J3" s="28">
        <f>134-63</f>
        <v>71</v>
      </c>
      <c r="K3" s="248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5" customHeight="1">
      <c r="A4" s="375" t="s">
        <v>3</v>
      </c>
      <c r="B4" s="376"/>
      <c r="C4" s="376"/>
      <c r="D4" s="376"/>
      <c r="E4" s="376"/>
      <c r="F4" s="376"/>
      <c r="G4" s="376"/>
      <c r="H4" s="376"/>
      <c r="I4" s="376"/>
      <c r="J4" s="28"/>
      <c r="K4" s="248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3.5" customHeight="1">
      <c r="A5" s="375"/>
      <c r="B5" s="376"/>
      <c r="C5" s="376"/>
      <c r="D5" s="376"/>
      <c r="E5" s="376"/>
      <c r="F5" s="376"/>
      <c r="G5" s="376"/>
      <c r="H5" s="376"/>
      <c r="I5" s="376"/>
      <c r="J5" s="66"/>
      <c r="K5" s="248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3.5" customHeight="1">
      <c r="A6" s="375" t="s">
        <v>2668</v>
      </c>
      <c r="B6" s="376"/>
      <c r="C6" s="376"/>
      <c r="D6" s="376"/>
      <c r="E6" s="376"/>
      <c r="F6" s="376"/>
      <c r="G6" s="376"/>
      <c r="H6" s="376"/>
      <c r="I6" s="376"/>
      <c r="J6" s="28"/>
      <c r="K6" s="248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5" customHeight="1">
      <c r="A7" s="375" t="s">
        <v>5</v>
      </c>
      <c r="B7" s="376"/>
      <c r="C7" s="376"/>
      <c r="D7" s="376"/>
      <c r="E7" s="376"/>
      <c r="F7" s="376"/>
      <c r="G7" s="376"/>
      <c r="H7" s="376"/>
      <c r="I7" s="376"/>
      <c r="J7" s="28"/>
      <c r="K7" s="248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1.25" customHeight="1">
      <c r="A8" s="28"/>
      <c r="B8" s="185"/>
      <c r="C8" s="185"/>
      <c r="D8" s="185"/>
      <c r="E8" s="185"/>
      <c r="F8" s="185"/>
      <c r="G8" s="185"/>
      <c r="H8" s="3"/>
      <c r="I8" s="28"/>
      <c r="J8" s="28"/>
      <c r="K8" s="248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8.75" customHeight="1">
      <c r="A9" s="186" t="s">
        <v>6</v>
      </c>
      <c r="B9" s="186" t="s">
        <v>7</v>
      </c>
      <c r="C9" s="206" t="s">
        <v>8</v>
      </c>
      <c r="D9" s="186" t="s">
        <v>9</v>
      </c>
      <c r="E9" s="186" t="s">
        <v>10</v>
      </c>
      <c r="F9" s="186" t="s">
        <v>11</v>
      </c>
      <c r="G9" s="186" t="s">
        <v>12</v>
      </c>
      <c r="H9" s="187" t="s">
        <v>13</v>
      </c>
      <c r="I9" s="187" t="s">
        <v>14</v>
      </c>
      <c r="J9" s="249" t="s">
        <v>15</v>
      </c>
      <c r="K9" s="250" t="s">
        <v>16</v>
      </c>
      <c r="L9" s="66"/>
      <c r="M9" s="66"/>
      <c r="N9" s="66"/>
      <c r="O9" s="66"/>
      <c r="P9" s="59" t="s">
        <v>17</v>
      </c>
      <c r="Q9" s="59" t="s">
        <v>15</v>
      </c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8.75" customHeight="1">
      <c r="A10" s="379" t="s">
        <v>2669</v>
      </c>
      <c r="B10" s="372"/>
      <c r="C10" s="372"/>
      <c r="D10" s="372"/>
      <c r="E10" s="372"/>
      <c r="F10" s="372"/>
      <c r="G10" s="372"/>
      <c r="H10" s="372"/>
      <c r="I10" s="371"/>
      <c r="J10" s="251"/>
      <c r="K10" s="250"/>
      <c r="L10" s="66"/>
      <c r="M10" s="66"/>
      <c r="N10" s="66"/>
      <c r="O10" s="66"/>
      <c r="P10" s="59"/>
      <c r="Q10" s="59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8" customHeight="1">
      <c r="A11" s="188">
        <v>1</v>
      </c>
      <c r="B11" s="193" t="s">
        <v>1065</v>
      </c>
      <c r="C11" s="193" t="s">
        <v>39</v>
      </c>
      <c r="D11" s="190" t="s">
        <v>20</v>
      </c>
      <c r="E11" s="191" t="s">
        <v>1066</v>
      </c>
      <c r="F11" s="191" t="s">
        <v>1067</v>
      </c>
      <c r="G11" s="191" t="s">
        <v>1068</v>
      </c>
      <c r="H11" s="192"/>
      <c r="I11" s="210"/>
      <c r="J11" s="279" t="s">
        <v>1069</v>
      </c>
      <c r="K11" s="308" t="s">
        <v>1070</v>
      </c>
      <c r="L11" s="66"/>
      <c r="M11" s="66"/>
      <c r="N11" s="66"/>
      <c r="O11" s="66"/>
      <c r="P11" s="66" t="str">
        <f t="shared" ref="P11:P15" si="0">CONCATENATE(E11," ",F11," ",G11)</f>
        <v>DAMASO MARIBEL MONES</v>
      </c>
      <c r="Q11" s="66" t="str">
        <f>IFERROR(VLOOKUP(P11,[1]Disposition!$AB$9:$AC$495,2,0),"NO RECORD YET")</f>
        <v>58 B, 8TH Ave., Brgy.SOcorro, Cubao, Quezon City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8" customHeight="1">
      <c r="A12" s="188">
        <v>2</v>
      </c>
      <c r="B12" s="193" t="s">
        <v>1065</v>
      </c>
      <c r="C12" s="193" t="s">
        <v>19</v>
      </c>
      <c r="D12" s="194" t="s">
        <v>20</v>
      </c>
      <c r="E12" s="195" t="s">
        <v>1071</v>
      </c>
      <c r="F12" s="195" t="s">
        <v>1072</v>
      </c>
      <c r="G12" s="195" t="s">
        <v>1073</v>
      </c>
      <c r="H12" s="194"/>
      <c r="I12" s="212"/>
      <c r="J12" s="281"/>
      <c r="K12" s="282"/>
      <c r="L12" s="66"/>
      <c r="M12" s="66"/>
      <c r="N12" s="66"/>
      <c r="O12" s="66"/>
      <c r="P12" s="66" t="str">
        <f t="shared" si="0"/>
        <v>ESCOBAL CARLO JOSEPH TORRES</v>
      </c>
      <c r="Q12" s="66" t="str">
        <f>IFERROR(VLOOKUP(P12,[1]Disposition!$AB$9:$AC$495,2,0),"NO RECORD YET")</f>
        <v>NO RECORD YET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8" customHeight="1">
      <c r="A13" s="188">
        <v>3</v>
      </c>
      <c r="B13" s="193" t="s">
        <v>1065</v>
      </c>
      <c r="C13" s="193" t="s">
        <v>19</v>
      </c>
      <c r="D13" s="194" t="s">
        <v>20</v>
      </c>
      <c r="E13" s="191" t="s">
        <v>936</v>
      </c>
      <c r="F13" s="191" t="s">
        <v>1074</v>
      </c>
      <c r="G13" s="191" t="s">
        <v>1075</v>
      </c>
      <c r="H13" s="192" t="s">
        <v>268</v>
      </c>
      <c r="I13" s="210"/>
      <c r="J13" s="279"/>
      <c r="K13" s="282"/>
      <c r="L13" s="66"/>
      <c r="M13" s="66"/>
      <c r="N13" s="66"/>
      <c r="O13" s="66"/>
      <c r="P13" s="66" t="str">
        <f t="shared" si="0"/>
        <v>GACES JUANITO BALLUG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8" customHeight="1">
      <c r="A14" s="188">
        <v>4</v>
      </c>
      <c r="B14" s="193" t="s">
        <v>1065</v>
      </c>
      <c r="C14" s="189" t="s">
        <v>19</v>
      </c>
      <c r="D14" s="190" t="s">
        <v>160</v>
      </c>
      <c r="E14" s="191" t="s">
        <v>1076</v>
      </c>
      <c r="F14" s="191" t="s">
        <v>1077</v>
      </c>
      <c r="G14" s="191" t="s">
        <v>647</v>
      </c>
      <c r="H14" s="192"/>
      <c r="I14" s="210"/>
      <c r="J14" s="279" t="s">
        <v>1078</v>
      </c>
      <c r="K14" s="307" t="s">
        <v>1079</v>
      </c>
      <c r="L14" s="66"/>
      <c r="M14" s="66"/>
      <c r="N14" s="66"/>
      <c r="O14" s="66"/>
      <c r="P14" s="66" t="str">
        <f t="shared" si="0"/>
        <v>BORJA BRIAN THEO PANGANIBAN</v>
      </c>
      <c r="Q14" s="66" t="str">
        <f>IFERROR(VLOOKUP(P14,[1]Disposition!$AB$9:$AC$495,2,0),"NO RECORD YET")</f>
        <v>6 Ignacio Diaz St., Brgy. Kaunlaran, Cubao, Quezon City</v>
      </c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8" customHeight="1">
      <c r="A15" s="188">
        <v>5</v>
      </c>
      <c r="B15" s="193" t="s">
        <v>601</v>
      </c>
      <c r="C15" s="193" t="s">
        <v>19</v>
      </c>
      <c r="D15" s="190" t="s">
        <v>160</v>
      </c>
      <c r="E15" s="191" t="s">
        <v>602</v>
      </c>
      <c r="F15" s="191" t="s">
        <v>603</v>
      </c>
      <c r="G15" s="191" t="s">
        <v>604</v>
      </c>
      <c r="H15" s="192"/>
      <c r="I15" s="210"/>
      <c r="J15" s="279" t="s">
        <v>605</v>
      </c>
      <c r="K15" s="307" t="s">
        <v>606</v>
      </c>
      <c r="L15" s="66"/>
      <c r="M15" s="66"/>
      <c r="N15" s="66"/>
      <c r="O15" s="66"/>
      <c r="P15" s="66" t="str">
        <f t="shared" si="0"/>
        <v>FERRANCULLO JOHN PAUL PAZ</v>
      </c>
      <c r="Q15" s="66" t="str">
        <f>IFERROR(VLOOKUP(P15,[1]Disposition!$AB$9:$AC$495,2,0),"NO RECORD YET")</f>
        <v>103 Hernandez St., Old Zaniga, Mandaluyong CityN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8" customHeight="1">
      <c r="A16" s="188">
        <v>6</v>
      </c>
      <c r="B16" s="43" t="s">
        <v>1080</v>
      </c>
      <c r="C16" s="254" t="s">
        <v>19</v>
      </c>
      <c r="D16" s="194" t="s">
        <v>160</v>
      </c>
      <c r="E16" s="195" t="s">
        <v>1081</v>
      </c>
      <c r="F16" s="195" t="s">
        <v>1082</v>
      </c>
      <c r="G16" s="195" t="s">
        <v>1083</v>
      </c>
      <c r="H16" s="192"/>
      <c r="I16" s="229"/>
      <c r="J16" s="283"/>
      <c r="K16" s="282"/>
      <c r="L16" s="66"/>
      <c r="M16" s="66"/>
      <c r="N16" s="66"/>
      <c r="O16" s="66"/>
      <c r="P16" s="66" t="e">
        <f>CONCATENATE(G31," ",F31," ",#REF!)</f>
        <v>#REF!</v>
      </c>
      <c r="Q16" s="66" t="str">
        <f>IFERROR(VLOOKUP(P16,[1]Disposition!$AB$9:$AC$495,2,0),"NO RECORD YET")</f>
        <v>NO RECORD YET</v>
      </c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" customHeight="1">
      <c r="A17" s="188">
        <v>7</v>
      </c>
      <c r="B17" s="193" t="s">
        <v>682</v>
      </c>
      <c r="C17" s="193" t="s">
        <v>19</v>
      </c>
      <c r="D17" s="190" t="s">
        <v>160</v>
      </c>
      <c r="E17" s="191" t="s">
        <v>683</v>
      </c>
      <c r="F17" s="191" t="s">
        <v>684</v>
      </c>
      <c r="G17" s="191" t="s">
        <v>685</v>
      </c>
      <c r="H17" s="192"/>
      <c r="I17" s="210"/>
      <c r="J17" s="279" t="s">
        <v>686</v>
      </c>
      <c r="K17" s="307" t="s">
        <v>687</v>
      </c>
      <c r="L17" s="66"/>
      <c r="M17" s="66"/>
      <c r="N17" s="66"/>
      <c r="O17" s="66"/>
      <c r="P17" s="66" t="str">
        <f t="shared" ref="P17:P21" si="1">CONCATENATE(E17," ",F17," ",G17)</f>
        <v>IGNACIO MICHAEL TINTE</v>
      </c>
      <c r="Q17" s="66" t="str">
        <f>IFERROR(VLOOKUP(P17,[1]Disposition!$AB$9:$AC$495,2,0),"NO RECORD YET")</f>
        <v>38 Aganan St., Zone 6, NIA Village, Quezon City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8" customHeight="1">
      <c r="A18" s="188">
        <v>8</v>
      </c>
      <c r="B18" s="193" t="s">
        <v>1065</v>
      </c>
      <c r="C18" s="193" t="s">
        <v>39</v>
      </c>
      <c r="D18" s="190" t="s">
        <v>160</v>
      </c>
      <c r="E18" s="191" t="s">
        <v>1084</v>
      </c>
      <c r="F18" s="191" t="s">
        <v>1085</v>
      </c>
      <c r="G18" s="191" t="s">
        <v>256</v>
      </c>
      <c r="H18" s="192"/>
      <c r="I18" s="210"/>
      <c r="J18" s="279"/>
      <c r="K18" s="282"/>
      <c r="L18" s="66"/>
      <c r="M18" s="66"/>
      <c r="N18" s="66"/>
      <c r="O18" s="66"/>
      <c r="P18" s="66" t="str">
        <f t="shared" si="1"/>
        <v>MARAMAG MARCIANA DELA CRUZ</v>
      </c>
      <c r="Q18" s="66" t="str">
        <f>IFERROR(VLOOKUP(P18,[1]Disposition!$AB$9:$AC$495,2,0),"NO RECORD YET")</f>
        <v>NO RECORD YET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8" customHeight="1">
      <c r="A19" s="188">
        <v>9</v>
      </c>
      <c r="B19" s="193" t="s">
        <v>1065</v>
      </c>
      <c r="C19" s="189" t="s">
        <v>19</v>
      </c>
      <c r="D19" s="190" t="s">
        <v>160</v>
      </c>
      <c r="E19" s="191" t="s">
        <v>1083</v>
      </c>
      <c r="F19" s="191" t="s">
        <v>1086</v>
      </c>
      <c r="G19" s="191" t="s">
        <v>1087</v>
      </c>
      <c r="H19" s="192"/>
      <c r="I19" s="210"/>
      <c r="J19" s="279" t="s">
        <v>1088</v>
      </c>
      <c r="K19" s="307" t="s">
        <v>1089</v>
      </c>
      <c r="L19" s="66"/>
      <c r="M19" s="66"/>
      <c r="N19" s="66"/>
      <c r="O19" s="66"/>
      <c r="P19" s="66" t="str">
        <f t="shared" si="1"/>
        <v>REYES ROBERT ANDAL</v>
      </c>
      <c r="Q19" s="66" t="str">
        <f>IFERROR(VLOOKUP(P19,[1]Disposition!$AB$9:$AC$495,2,0),"NO RECORD YET")</f>
        <v>7 Antipoli Ext., Krus na Ligas, Quezon City</v>
      </c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8" customHeight="1">
      <c r="A20" s="188">
        <v>10</v>
      </c>
      <c r="B20" s="193" t="s">
        <v>2609</v>
      </c>
      <c r="C20" s="193" t="s">
        <v>19</v>
      </c>
      <c r="D20" s="190" t="s">
        <v>160</v>
      </c>
      <c r="E20" s="191" t="s">
        <v>636</v>
      </c>
      <c r="F20" s="191" t="s">
        <v>2610</v>
      </c>
      <c r="G20" s="191" t="s">
        <v>2611</v>
      </c>
      <c r="H20" s="192"/>
      <c r="I20" s="210"/>
      <c r="J20" s="279" t="s">
        <v>2612</v>
      </c>
      <c r="K20" s="307" t="s">
        <v>2613</v>
      </c>
      <c r="L20" s="66"/>
      <c r="M20" s="66"/>
      <c r="N20" s="66"/>
      <c r="O20" s="66"/>
      <c r="P20" s="66" t="str">
        <f t="shared" si="1"/>
        <v>SANTOS JAY WALTER SANTIAGO</v>
      </c>
      <c r="Q20" s="66" t="str">
        <f>IFERROR(VLOOKUP(P20,[1]Disposition!$AB$9:$AC$495,2,0),"NO RECORD YET")</f>
        <v>#109-B Herbosa St., Tondo, Manila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8" customHeight="1">
      <c r="A21" s="188">
        <v>11</v>
      </c>
      <c r="B21" s="189" t="s">
        <v>467</v>
      </c>
      <c r="C21" s="189" t="s">
        <v>19</v>
      </c>
      <c r="D21" s="190" t="s">
        <v>160</v>
      </c>
      <c r="E21" s="191" t="s">
        <v>468</v>
      </c>
      <c r="F21" s="191" t="s">
        <v>469</v>
      </c>
      <c r="G21" s="191" t="s">
        <v>470</v>
      </c>
      <c r="H21" s="192"/>
      <c r="I21" s="210"/>
      <c r="J21" s="279" t="s">
        <v>471</v>
      </c>
      <c r="K21" s="307" t="s">
        <v>472</v>
      </c>
      <c r="L21" s="66"/>
      <c r="M21" s="66"/>
      <c r="N21" s="66"/>
      <c r="O21" s="66"/>
      <c r="P21" s="66" t="str">
        <f t="shared" si="1"/>
        <v>SEVILLA JERALD MANUZON</v>
      </c>
      <c r="Q21" s="66" t="str">
        <f>IFERROR(VLOOKUP(P21,[1]Disposition!$AB$9:$AC$495,2,0),"NO RECORD YET")</f>
        <v>B-38 L-20 Violeta St., Pembo, Makati City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8" customHeight="1">
      <c r="A22" s="188">
        <v>12</v>
      </c>
      <c r="B22" s="193" t="s">
        <v>283</v>
      </c>
      <c r="C22" s="193" t="s">
        <v>19</v>
      </c>
      <c r="D22" s="194" t="s">
        <v>253</v>
      </c>
      <c r="E22" s="191" t="s">
        <v>284</v>
      </c>
      <c r="F22" s="191" t="s">
        <v>285</v>
      </c>
      <c r="G22" s="191" t="s">
        <v>286</v>
      </c>
      <c r="H22" s="192"/>
      <c r="I22" s="210"/>
      <c r="J22" s="279" t="s">
        <v>287</v>
      </c>
      <c r="K22" s="307" t="s">
        <v>288</v>
      </c>
      <c r="L22" s="66"/>
      <c r="M22" s="66"/>
      <c r="N22" s="66"/>
      <c r="O22" s="66"/>
      <c r="P22" s="66" t="e">
        <f>CONCATENATE(#REF!," ",#REF!," ",#REF!)</f>
        <v>#REF!</v>
      </c>
      <c r="Q22" s="66" t="str">
        <f>IFERROR(VLOOKUP(P22,[1]Disposition!$AB$9:$AC$495,2,0),"NO RECORD YET")</f>
        <v>NO RECORD YET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8" customHeight="1">
      <c r="A23" s="188">
        <v>13</v>
      </c>
      <c r="B23" s="193" t="s">
        <v>779</v>
      </c>
      <c r="C23" s="193" t="s">
        <v>19</v>
      </c>
      <c r="D23" s="194" t="s">
        <v>253</v>
      </c>
      <c r="E23" s="191" t="s">
        <v>780</v>
      </c>
      <c r="F23" s="191" t="s">
        <v>781</v>
      </c>
      <c r="G23" s="191" t="s">
        <v>782</v>
      </c>
      <c r="H23" s="192"/>
      <c r="I23" s="210"/>
      <c r="J23" s="279" t="s">
        <v>783</v>
      </c>
      <c r="K23" s="307" t="s">
        <v>784</v>
      </c>
      <c r="L23" s="66"/>
      <c r="M23" s="66"/>
      <c r="N23" s="66"/>
      <c r="O23" s="66"/>
      <c r="P23" s="66" t="str">
        <f t="shared" ref="P23:P30" si="2">CONCATENATE(E23," ",F23," ",G23)</f>
        <v>ANDANAR JON JASON GORGOLON</v>
      </c>
      <c r="Q23" s="66" t="str">
        <f>IFERROR(VLOOKUP(P23,[1]Disposition!$AB$9:$AC$495,2,0),"NO RECORD YET")</f>
        <v>B6, L2, Kingstown Subd., Brgy. 171, Caloocan City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8" customHeight="1">
      <c r="A24" s="188">
        <v>14</v>
      </c>
      <c r="B24" s="193" t="s">
        <v>1065</v>
      </c>
      <c r="C24" s="193" t="s">
        <v>39</v>
      </c>
      <c r="D24" s="190" t="s">
        <v>253</v>
      </c>
      <c r="E24" s="191" t="s">
        <v>1090</v>
      </c>
      <c r="F24" s="191" t="s">
        <v>1091</v>
      </c>
      <c r="G24" s="191" t="s">
        <v>1092</v>
      </c>
      <c r="H24" s="192"/>
      <c r="I24" s="210"/>
      <c r="J24" s="279" t="s">
        <v>1093</v>
      </c>
      <c r="K24" s="307" t="s">
        <v>1094</v>
      </c>
      <c r="L24" s="66"/>
      <c r="M24" s="66"/>
      <c r="N24" s="66"/>
      <c r="O24" s="66"/>
      <c r="P24" s="66" t="str">
        <f t="shared" si="2"/>
        <v>BELLY JOCELYN  DEL BARRIO</v>
      </c>
      <c r="Q24" s="66" t="str">
        <f>IFERROR(VLOOKUP(P24,[1]Disposition!$AB$9:$AC$495,2,0),"NO RECORD YET")</f>
        <v>B6 L2, Hilltop, Abatex, San Jose, Rodriguez, Rizal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8" customHeight="1">
      <c r="A25" s="188">
        <v>15</v>
      </c>
      <c r="B25" s="193" t="s">
        <v>1065</v>
      </c>
      <c r="C25" s="193" t="s">
        <v>39</v>
      </c>
      <c r="D25" s="190" t="s">
        <v>253</v>
      </c>
      <c r="E25" s="191" t="s">
        <v>836</v>
      </c>
      <c r="F25" s="191" t="s">
        <v>1095</v>
      </c>
      <c r="G25" s="191" t="s">
        <v>1096</v>
      </c>
      <c r="H25" s="192"/>
      <c r="I25" s="210"/>
      <c r="J25" s="279" t="s">
        <v>1097</v>
      </c>
      <c r="K25" s="307" t="s">
        <v>1098</v>
      </c>
      <c r="L25" s="66"/>
      <c r="M25" s="66"/>
      <c r="N25" s="66"/>
      <c r="O25" s="66"/>
      <c r="P25" s="66" t="str">
        <f t="shared" si="2"/>
        <v>CRUZ MARICON TAYAMEN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8" customHeight="1">
      <c r="A26" s="188">
        <v>16</v>
      </c>
      <c r="B26" s="193" t="s">
        <v>301</v>
      </c>
      <c r="C26" s="193" t="s">
        <v>19</v>
      </c>
      <c r="D26" s="194" t="s">
        <v>253</v>
      </c>
      <c r="E26" s="191" t="s">
        <v>256</v>
      </c>
      <c r="F26" s="191" t="s">
        <v>302</v>
      </c>
      <c r="G26" s="191" t="s">
        <v>303</v>
      </c>
      <c r="H26" s="192"/>
      <c r="I26" s="210"/>
      <c r="J26" s="284" t="s">
        <v>304</v>
      </c>
      <c r="K26" s="307" t="s">
        <v>305</v>
      </c>
      <c r="L26" s="66"/>
      <c r="M26" s="66"/>
      <c r="N26" s="66"/>
      <c r="O26" s="66"/>
      <c r="P26" s="66" t="str">
        <f t="shared" si="2"/>
        <v>DELA CRUZ ALVIN ORUA</v>
      </c>
      <c r="Q26" s="66" t="str">
        <f>IFERROR(VLOOKUP(P26,[1]Disposition!$AB$9:$AC$495,2,0),"NO RECORD YET")</f>
        <v>#6087 Sto. Rosario St., Mapulang Lupa, Valenzuela City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8" customHeight="1">
      <c r="A27" s="188">
        <v>17</v>
      </c>
      <c r="B27" s="193" t="s">
        <v>301</v>
      </c>
      <c r="C27" s="193" t="s">
        <v>19</v>
      </c>
      <c r="D27" s="194" t="s">
        <v>253</v>
      </c>
      <c r="E27" s="191" t="s">
        <v>306</v>
      </c>
      <c r="F27" s="191" t="s">
        <v>307</v>
      </c>
      <c r="G27" s="191" t="s">
        <v>308</v>
      </c>
      <c r="H27" s="192"/>
      <c r="I27" s="210"/>
      <c r="J27" s="279" t="s">
        <v>309</v>
      </c>
      <c r="K27" s="307" t="s">
        <v>310</v>
      </c>
      <c r="L27" s="66"/>
      <c r="M27" s="66"/>
      <c r="N27" s="66"/>
      <c r="O27" s="66"/>
      <c r="P27" s="66" t="str">
        <f t="shared" si="2"/>
        <v>DESEO REYNANTE NUYDA</v>
      </c>
      <c r="Q27" s="66" t="str">
        <f>IFERROR(VLOOKUP(P27,[1]Disposition!$AB$9:$AC$495,2,0),"NO RECORD YET")</f>
        <v>Blk 4  L17 Arty in Subdivision, Karuhatan, Valenzueal City</v>
      </c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8" customHeight="1">
      <c r="A28" s="188">
        <v>18</v>
      </c>
      <c r="B28" s="193" t="s">
        <v>411</v>
      </c>
      <c r="C28" s="189" t="s">
        <v>19</v>
      </c>
      <c r="D28" s="194" t="s">
        <v>253</v>
      </c>
      <c r="E28" s="191" t="s">
        <v>412</v>
      </c>
      <c r="F28" s="191" t="s">
        <v>413</v>
      </c>
      <c r="G28" s="191" t="s">
        <v>414</v>
      </c>
      <c r="H28" s="192"/>
      <c r="I28" s="210"/>
      <c r="J28" s="285" t="s">
        <v>415</v>
      </c>
      <c r="K28" s="307" t="s">
        <v>416</v>
      </c>
      <c r="L28" s="66"/>
      <c r="M28" s="66"/>
      <c r="N28" s="66"/>
      <c r="O28" s="66"/>
      <c r="P28" s="66" t="str">
        <f t="shared" si="2"/>
        <v>DULA JOEL MANALANSAN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8" customHeight="1">
      <c r="A29" s="188">
        <v>19</v>
      </c>
      <c r="B29" s="193" t="s">
        <v>729</v>
      </c>
      <c r="C29" s="193" t="s">
        <v>19</v>
      </c>
      <c r="D29" s="194" t="s">
        <v>253</v>
      </c>
      <c r="E29" s="191" t="s">
        <v>730</v>
      </c>
      <c r="F29" s="191" t="s">
        <v>731</v>
      </c>
      <c r="G29" s="191" t="s">
        <v>732</v>
      </c>
      <c r="H29" s="192"/>
      <c r="I29" s="210"/>
      <c r="J29" s="285" t="s">
        <v>733</v>
      </c>
      <c r="K29" s="307" t="s">
        <v>734</v>
      </c>
      <c r="L29" s="66"/>
      <c r="M29" s="66"/>
      <c r="N29" s="66"/>
      <c r="O29" s="66"/>
      <c r="P29" s="66" t="str">
        <f t="shared" si="2"/>
        <v>ESCABOSA GEROGIL SALAZAR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18" customHeight="1">
      <c r="A30" s="188">
        <v>20</v>
      </c>
      <c r="B30" s="193" t="s">
        <v>252</v>
      </c>
      <c r="C30" s="193" t="s">
        <v>19</v>
      </c>
      <c r="D30" s="194" t="s">
        <v>253</v>
      </c>
      <c r="E30" s="191" t="s">
        <v>254</v>
      </c>
      <c r="F30" s="191" t="s">
        <v>255</v>
      </c>
      <c r="G30" s="191" t="s">
        <v>256</v>
      </c>
      <c r="H30" s="192" t="s">
        <v>55</v>
      </c>
      <c r="I30" s="210"/>
      <c r="J30" s="279" t="s">
        <v>257</v>
      </c>
      <c r="K30" s="307" t="s">
        <v>258</v>
      </c>
      <c r="L30" s="66"/>
      <c r="M30" s="66"/>
      <c r="N30" s="66"/>
      <c r="O30" s="66"/>
      <c r="P30" s="66" t="str">
        <f t="shared" si="2"/>
        <v>LAXAMANA JOSE DELA CRUZ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8" customHeight="1">
      <c r="A31" s="188">
        <v>21</v>
      </c>
      <c r="B31" s="193" t="s">
        <v>392</v>
      </c>
      <c r="C31" s="193" t="s">
        <v>19</v>
      </c>
      <c r="D31" s="194" t="s">
        <v>253</v>
      </c>
      <c r="E31" s="191" t="s">
        <v>393</v>
      </c>
      <c r="F31" s="191" t="s">
        <v>394</v>
      </c>
      <c r="G31" s="191" t="s">
        <v>395</v>
      </c>
      <c r="H31" s="192"/>
      <c r="I31" s="210"/>
      <c r="J31" s="279" t="s">
        <v>396</v>
      </c>
      <c r="K31" s="307" t="s">
        <v>397</v>
      </c>
      <c r="L31" s="66"/>
      <c r="M31" s="66"/>
      <c r="N31" s="66"/>
      <c r="O31" s="66"/>
      <c r="P31" s="66" t="e">
        <f>CONCATENATE(#REF!," ",#REF!," ",#REF!)</f>
        <v>#REF!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8" customHeight="1">
      <c r="A32" s="188">
        <v>22</v>
      </c>
      <c r="B32" s="193" t="s">
        <v>352</v>
      </c>
      <c r="C32" s="193" t="s">
        <v>19</v>
      </c>
      <c r="D32" s="194" t="s">
        <v>253</v>
      </c>
      <c r="E32" s="191" t="s">
        <v>353</v>
      </c>
      <c r="F32" s="191" t="s">
        <v>354</v>
      </c>
      <c r="G32" s="191" t="s">
        <v>355</v>
      </c>
      <c r="H32" s="192"/>
      <c r="I32" s="210"/>
      <c r="J32" s="279" t="s">
        <v>356</v>
      </c>
      <c r="K32" s="307" t="s">
        <v>357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8" customHeight="1">
      <c r="A33" s="188">
        <v>23</v>
      </c>
      <c r="B33" s="193" t="s">
        <v>650</v>
      </c>
      <c r="C33" s="193" t="s">
        <v>19</v>
      </c>
      <c r="D33" s="194" t="s">
        <v>253</v>
      </c>
      <c r="E33" s="191" t="s">
        <v>651</v>
      </c>
      <c r="F33" s="191" t="s">
        <v>652</v>
      </c>
      <c r="G33" s="203" t="s">
        <v>653</v>
      </c>
      <c r="H33" s="192" t="s">
        <v>268</v>
      </c>
      <c r="I33" s="210"/>
      <c r="J33" s="279" t="s">
        <v>654</v>
      </c>
      <c r="K33" s="307" t="s">
        <v>655</v>
      </c>
      <c r="L33" s="66"/>
      <c r="M33" s="66"/>
      <c r="N33" s="66"/>
      <c r="O33" s="66"/>
      <c r="P33" s="66" t="e">
        <f>CONCATENATE(#REF!," ",#REF!," ",#REF!)</f>
        <v>#REF!</v>
      </c>
      <c r="Q33" s="66" t="str">
        <f>IFERROR(VLOOKUP(P33,[1]Disposition!$AB$9:$AC$495,2,0),"NO RECORD YET")</f>
        <v>NO RECORD YET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8" customHeight="1">
      <c r="A34" s="188">
        <v>24</v>
      </c>
      <c r="B34" s="193" t="s">
        <v>398</v>
      </c>
      <c r="C34" s="193" t="s">
        <v>19</v>
      </c>
      <c r="D34" s="194" t="s">
        <v>253</v>
      </c>
      <c r="E34" s="191" t="s">
        <v>399</v>
      </c>
      <c r="F34" s="191" t="s">
        <v>400</v>
      </c>
      <c r="G34" s="191" t="s">
        <v>401</v>
      </c>
      <c r="H34" s="192"/>
      <c r="I34" s="210"/>
      <c r="J34" s="279">
        <v>4</v>
      </c>
      <c r="K34" s="307" t="s">
        <v>402</v>
      </c>
      <c r="L34" s="66"/>
      <c r="M34" s="66"/>
      <c r="N34" s="66"/>
      <c r="O34" s="66"/>
      <c r="P34" s="66" t="e">
        <f>CONCATENATE('detail Crame based'!#REF!," ",'detail Crame based'!#REF!," ",'detail Crame based'!#REF!)</f>
        <v>#REF!</v>
      </c>
      <c r="Q34" s="66" t="str">
        <f>IFERROR(VLOOKUP(P34,[1]Disposition!$AB$9:$AC$495,2,0),"NO RECORD YET")</f>
        <v>NO RECORD YET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18" customHeight="1">
      <c r="A35" s="188">
        <v>25</v>
      </c>
      <c r="B35" s="193" t="s">
        <v>1065</v>
      </c>
      <c r="C35" s="231" t="s">
        <v>19</v>
      </c>
      <c r="D35" s="190" t="s">
        <v>253</v>
      </c>
      <c r="E35" s="191" t="s">
        <v>211</v>
      </c>
      <c r="F35" s="191" t="s">
        <v>1086</v>
      </c>
      <c r="G35" s="191" t="s">
        <v>1099</v>
      </c>
      <c r="H35" s="192"/>
      <c r="I35" s="210"/>
      <c r="J35" s="279" t="s">
        <v>1100</v>
      </c>
      <c r="K35" s="307" t="s">
        <v>1101</v>
      </c>
      <c r="L35" s="66"/>
      <c r="M35" s="66"/>
      <c r="N35" s="66"/>
      <c r="O35" s="66"/>
      <c r="P35" s="66" t="str">
        <f t="shared" ref="P35:P40" si="3">CONCATENATE(E35," ",F35," ",G35)</f>
        <v>TAN ROBERT BACALTOS</v>
      </c>
      <c r="Q35" s="66" t="str">
        <f>IFERROR(VLOOKUP(P35,[1]Disposition!$AB$9:$AC$495,2,0),"NO RECORD YET")</f>
        <v>847 Tahimik St., Delpan, Tondo, Manila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18" customHeight="1">
      <c r="A36" s="188">
        <v>26</v>
      </c>
      <c r="B36" s="193" t="s">
        <v>676</v>
      </c>
      <c r="C36" s="189" t="s">
        <v>19</v>
      </c>
      <c r="D36" s="190" t="s">
        <v>96</v>
      </c>
      <c r="E36" s="204" t="s">
        <v>677</v>
      </c>
      <c r="F36" s="204" t="s">
        <v>678</v>
      </c>
      <c r="G36" s="204" t="s">
        <v>679</v>
      </c>
      <c r="H36" s="205"/>
      <c r="I36" s="210"/>
      <c r="J36" s="279" t="s">
        <v>680</v>
      </c>
      <c r="K36" s="307" t="s">
        <v>681</v>
      </c>
      <c r="L36" s="66"/>
      <c r="M36" s="66"/>
      <c r="N36" s="66"/>
      <c r="O36" s="66"/>
      <c r="P36" s="66" t="str">
        <f t="shared" si="3"/>
        <v>ABUAN DICKSON CLEMENTE</v>
      </c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18" customHeight="1">
      <c r="A37" s="188">
        <v>27</v>
      </c>
      <c r="B37" s="193" t="s">
        <v>221</v>
      </c>
      <c r="C37" s="193" t="s">
        <v>19</v>
      </c>
      <c r="D37" s="190" t="s">
        <v>96</v>
      </c>
      <c r="E37" s="204" t="s">
        <v>222</v>
      </c>
      <c r="F37" s="204" t="s">
        <v>223</v>
      </c>
      <c r="G37" s="204" t="s">
        <v>224</v>
      </c>
      <c r="H37" s="205"/>
      <c r="I37" s="210"/>
      <c r="J37" s="279" t="s">
        <v>225</v>
      </c>
      <c r="K37" s="307" t="s">
        <v>226</v>
      </c>
      <c r="L37" s="66"/>
      <c r="M37" s="66"/>
      <c r="N37" s="66"/>
      <c r="O37" s="66"/>
      <c r="P37" s="66" t="str">
        <f t="shared" si="3"/>
        <v>ALIMAMBO JICK BONUAN</v>
      </c>
      <c r="Q37" s="66" t="str">
        <f>IFERROR(VLOOKUP(P37,[1]Disposition!$AB$9:$AC$495,2,0),"NO RECORD YET")</f>
        <v>72  Pucay Village, Purok I, Bakakeng Norte, Baguio City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18" customHeight="1">
      <c r="A38" s="188">
        <v>28</v>
      </c>
      <c r="B38" s="189" t="s">
        <v>1284</v>
      </c>
      <c r="C38" s="193" t="s">
        <v>19</v>
      </c>
      <c r="D38" s="194" t="s">
        <v>96</v>
      </c>
      <c r="E38" s="191" t="s">
        <v>1285</v>
      </c>
      <c r="F38" s="191" t="s">
        <v>1286</v>
      </c>
      <c r="G38" s="191" t="s">
        <v>1287</v>
      </c>
      <c r="H38" s="192"/>
      <c r="I38" s="210"/>
      <c r="J38" s="279" t="s">
        <v>1288</v>
      </c>
      <c r="K38" s="307" t="s">
        <v>1289</v>
      </c>
      <c r="L38" s="66"/>
      <c r="M38" s="66"/>
      <c r="N38" s="66"/>
      <c r="O38" s="66"/>
      <c r="P38" s="66" t="str">
        <f t="shared" si="3"/>
        <v>ANURAN ADRIAN MIRASOL</v>
      </c>
      <c r="Q38" s="66" t="str">
        <f>IFERROR(VLOOKUP(P38,[1]Disposition!$AB$9:$AC$495,2,0),"NO RECORD YET")</f>
        <v>57 A Delas Alas St., Zone 13, Taal, Batangas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18" customHeight="1">
      <c r="A39" s="188">
        <v>29</v>
      </c>
      <c r="B39" s="193" t="s">
        <v>623</v>
      </c>
      <c r="C39" s="193" t="s">
        <v>19</v>
      </c>
      <c r="D39" s="190" t="s">
        <v>96</v>
      </c>
      <c r="E39" s="204" t="s">
        <v>624</v>
      </c>
      <c r="F39" s="204" t="s">
        <v>255</v>
      </c>
      <c r="G39" s="204" t="s">
        <v>625</v>
      </c>
      <c r="H39" s="205" t="s">
        <v>268</v>
      </c>
      <c r="I39" s="210"/>
      <c r="J39" s="279" t="s">
        <v>626</v>
      </c>
      <c r="K39" s="307" t="s">
        <v>627</v>
      </c>
      <c r="L39" s="66"/>
      <c r="M39" s="66"/>
      <c r="N39" s="66"/>
      <c r="O39" s="66"/>
      <c r="P39" s="66" t="str">
        <f t="shared" si="3"/>
        <v>BALICAG JOSE DAKETAN</v>
      </c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18" customHeight="1">
      <c r="A40" s="188">
        <v>30</v>
      </c>
      <c r="B40" s="193" t="s">
        <v>430</v>
      </c>
      <c r="C40" s="193" t="s">
        <v>19</v>
      </c>
      <c r="D40" s="190" t="s">
        <v>96</v>
      </c>
      <c r="E40" s="204" t="s">
        <v>431</v>
      </c>
      <c r="F40" s="204" t="s">
        <v>432</v>
      </c>
      <c r="G40" s="204" t="s">
        <v>433</v>
      </c>
      <c r="H40" s="205" t="s">
        <v>268</v>
      </c>
      <c r="I40" s="210"/>
      <c r="J40" s="279" t="s">
        <v>434</v>
      </c>
      <c r="K40" s="307" t="s">
        <v>435</v>
      </c>
      <c r="L40" s="66"/>
      <c r="M40" s="66"/>
      <c r="N40" s="66"/>
      <c r="O40" s="66"/>
      <c r="P40" s="66" t="str">
        <f t="shared" si="3"/>
        <v>BALLENAS ROBERTO ALPAS</v>
      </c>
      <c r="Q40" s="66" t="str">
        <f>IFERROR(VLOOKUP(P40,[1]Disposition!$AB$9:$AC$495,2,0),"NO RECORD YET")</f>
        <v>Purok Masipag, Buayan, M'lang, Cotabato, North Cotabato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18" customHeight="1">
      <c r="A41" s="188">
        <v>31</v>
      </c>
      <c r="B41" s="193" t="s">
        <v>1065</v>
      </c>
      <c r="C41" s="231" t="s">
        <v>19</v>
      </c>
      <c r="D41" s="190" t="s">
        <v>96</v>
      </c>
      <c r="E41" s="191" t="s">
        <v>1102</v>
      </c>
      <c r="F41" s="191" t="s">
        <v>1103</v>
      </c>
      <c r="G41" s="191" t="s">
        <v>1104</v>
      </c>
      <c r="H41" s="192" t="s">
        <v>1105</v>
      </c>
      <c r="I41" s="210"/>
      <c r="J41" s="279" t="s">
        <v>1106</v>
      </c>
      <c r="K41" s="307" t="s">
        <v>1107</v>
      </c>
      <c r="L41" s="66"/>
      <c r="M41" s="66"/>
      <c r="N41" s="66"/>
      <c r="O41" s="66"/>
      <c r="P41" s="66" t="e">
        <f>CONCATENATE(#REF!," ",#REF!," ",#REF!)</f>
        <v>#REF!</v>
      </c>
      <c r="Q41" s="66" t="str">
        <f>IFERROR(VLOOKUP(P41,[1]Disposition!$AB$9:$AC$495,2,0),"NO RECORD YET")</f>
        <v>NO RECORD YET</v>
      </c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18" customHeight="1">
      <c r="A42" s="188">
        <v>32</v>
      </c>
      <c r="B42" s="193" t="s">
        <v>740</v>
      </c>
      <c r="C42" s="189" t="s">
        <v>19</v>
      </c>
      <c r="D42" s="194" t="s">
        <v>96</v>
      </c>
      <c r="E42" s="191" t="s">
        <v>741</v>
      </c>
      <c r="F42" s="191" t="s">
        <v>742</v>
      </c>
      <c r="G42" s="191" t="s">
        <v>743</v>
      </c>
      <c r="H42" s="192"/>
      <c r="I42" s="210"/>
      <c r="J42" s="279" t="s">
        <v>744</v>
      </c>
      <c r="K42" s="307" t="s">
        <v>745</v>
      </c>
      <c r="L42" s="66"/>
      <c r="M42" s="66"/>
      <c r="N42" s="66"/>
      <c r="O42" s="66"/>
      <c r="P42" s="66" t="str">
        <f>CONCATENATE(E42," ",F42," ",G42)</f>
        <v>BAYAUA ANGELO ZALUN</v>
      </c>
      <c r="Q42" s="66" t="str">
        <f>IFERROR(VLOOKUP(P42,[1]Disposition!$AB$9:$AC$495,2,0),"NO RECORD YET")</f>
        <v>B10 L23 P-H Guijo, Francisco Homes , SJDM, Bulacan</v>
      </c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18" customHeight="1">
      <c r="A43" s="188">
        <v>33</v>
      </c>
      <c r="B43" s="193" t="s">
        <v>446</v>
      </c>
      <c r="C43" s="193" t="s">
        <v>39</v>
      </c>
      <c r="D43" s="190" t="s">
        <v>96</v>
      </c>
      <c r="E43" s="191" t="s">
        <v>447</v>
      </c>
      <c r="F43" s="191" t="s">
        <v>448</v>
      </c>
      <c r="G43" s="191" t="s">
        <v>449</v>
      </c>
      <c r="H43" s="192"/>
      <c r="I43" s="210"/>
      <c r="J43" s="279" t="s">
        <v>450</v>
      </c>
      <c r="K43" s="307" t="s">
        <v>451</v>
      </c>
      <c r="L43" s="66"/>
      <c r="M43" s="66"/>
      <c r="N43" s="66"/>
      <c r="O43" s="66"/>
      <c r="P43" s="66" t="str">
        <f>CONCATENATE(E90," ",F90," ",G90)</f>
        <v>ECHEGOYEN RYAN MOJICA</v>
      </c>
      <c r="Q43" s="66" t="str">
        <f>IFERROR(VLOOKUP(P43,[1]Disposition!$AB$9:$AC$495,2,0),"NO RECORD YET")</f>
        <v>1061-A Molina Ext. San Antonio, Cavite City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18" customHeight="1">
      <c r="A44" s="188">
        <v>34</v>
      </c>
      <c r="B44" s="193" t="s">
        <v>1065</v>
      </c>
      <c r="C44" s="189" t="s">
        <v>19</v>
      </c>
      <c r="D44" s="190" t="s">
        <v>96</v>
      </c>
      <c r="E44" s="204" t="s">
        <v>1108</v>
      </c>
      <c r="F44" s="204" t="s">
        <v>1109</v>
      </c>
      <c r="G44" s="204" t="s">
        <v>759</v>
      </c>
      <c r="H44" s="205" t="s">
        <v>268</v>
      </c>
      <c r="I44" s="210"/>
      <c r="J44" s="279" t="s">
        <v>1110</v>
      </c>
      <c r="K44" s="307" t="s">
        <v>1111</v>
      </c>
      <c r="L44" s="66"/>
      <c r="M44" s="66"/>
      <c r="N44" s="66"/>
      <c r="O44" s="66"/>
      <c r="P44" s="66" t="str">
        <f>CONCATENATE('detail Crame based'!D44," ",'detail Crame based'!E44," ",'detail Crame based'!F44)</f>
        <v>PCPT CABATIN ROGEL VERGEL</v>
      </c>
      <c r="Q44" s="66" t="str">
        <f>IFERROR(VLOOKUP(P44,[1]Disposition!$AB$9:$AC$495,2,0),"NO RECORD YET")</f>
        <v>NO RECORD YET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18" customHeight="1">
      <c r="A45" s="188">
        <v>35</v>
      </c>
      <c r="B45" s="193" t="s">
        <v>1065</v>
      </c>
      <c r="C45" s="193" t="s">
        <v>39</v>
      </c>
      <c r="D45" s="190" t="s">
        <v>96</v>
      </c>
      <c r="E45" s="204" t="s">
        <v>836</v>
      </c>
      <c r="F45" s="204" t="s">
        <v>1112</v>
      </c>
      <c r="G45" s="204" t="s">
        <v>1113</v>
      </c>
      <c r="H45" s="205"/>
      <c r="I45" s="210"/>
      <c r="J45" s="279" t="s">
        <v>1114</v>
      </c>
      <c r="K45" s="307" t="s">
        <v>1115</v>
      </c>
      <c r="L45" s="66"/>
      <c r="M45" s="66"/>
      <c r="N45" s="66"/>
      <c r="O45" s="66"/>
      <c r="P45" s="66" t="str">
        <f>CONCATENATE('detail Crame based'!D45," ",'detail Crame based'!E45," ",'detail Crame based'!F45)</f>
        <v>PCPT CRUZ CRISTINA JOY</v>
      </c>
      <c r="Q45" s="66" t="str">
        <f>IFERROR(VLOOKUP(P45,[1]Disposition!$AB$9:$AC$495,2,0),"NO RECORD YET")</f>
        <v>NO RECORD YET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18" customHeight="1">
      <c r="A46" s="188">
        <v>36</v>
      </c>
      <c r="B46" s="193" t="s">
        <v>411</v>
      </c>
      <c r="C46" s="193" t="s">
        <v>39</v>
      </c>
      <c r="D46" s="190" t="s">
        <v>96</v>
      </c>
      <c r="E46" s="204" t="s">
        <v>417</v>
      </c>
      <c r="F46" s="204" t="s">
        <v>418</v>
      </c>
      <c r="G46" s="204" t="s">
        <v>419</v>
      </c>
      <c r="H46" s="205"/>
      <c r="I46" s="210"/>
      <c r="J46" s="279" t="s">
        <v>420</v>
      </c>
      <c r="K46" s="286"/>
      <c r="L46" s="66"/>
      <c r="M46" s="66"/>
      <c r="N46" s="66"/>
      <c r="O46" s="66"/>
      <c r="P46" s="66" t="str">
        <f>CONCATENATE('detail Crame based'!D46," ",'detail Crame based'!E46," ",'detail Crame based'!F46)</f>
        <v>PCPT DIMASANGKAY SORAIYA</v>
      </c>
      <c r="Q46" s="66" t="str">
        <f>IFERROR(VLOOKUP(P46,[1]Disposition!$AB$9:$AC$495,2,0),"NO RECORD YET")</f>
        <v>NO RECORD YET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18" customHeight="1">
      <c r="A47" s="188">
        <v>37</v>
      </c>
      <c r="B47" s="193" t="s">
        <v>479</v>
      </c>
      <c r="C47" s="193" t="s">
        <v>39</v>
      </c>
      <c r="D47" s="190" t="s">
        <v>96</v>
      </c>
      <c r="E47" s="204" t="s">
        <v>490</v>
      </c>
      <c r="F47" s="204" t="s">
        <v>491</v>
      </c>
      <c r="G47" s="204" t="s">
        <v>492</v>
      </c>
      <c r="H47" s="194"/>
      <c r="I47" s="210"/>
      <c r="J47" s="279" t="s">
        <v>493</v>
      </c>
      <c r="K47" s="307" t="s">
        <v>494</v>
      </c>
      <c r="L47" s="66"/>
      <c r="M47" s="66"/>
      <c r="N47" s="66"/>
      <c r="O47" s="66"/>
      <c r="P47" s="66" t="str">
        <f>CONCATENATE('detail Crame based'!D47," ",'detail Crame based'!E47," ",'detail Crame based'!F47)</f>
        <v>PCPT ESTRADA MICAELLA ALLYSSA</v>
      </c>
      <c r="Q47" s="66" t="str">
        <f>IFERROR(VLOOKUP(P47,[1]Disposition!$AB$9:$AC$495,2,0),"NO RECORD YET")</f>
        <v>NO RECORD YET</v>
      </c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18" customHeight="1">
      <c r="A48" s="188">
        <v>38</v>
      </c>
      <c r="B48" s="189" t="s">
        <v>703</v>
      </c>
      <c r="C48" s="193" t="s">
        <v>39</v>
      </c>
      <c r="D48" s="190" t="s">
        <v>96</v>
      </c>
      <c r="E48" s="204" t="s">
        <v>704</v>
      </c>
      <c r="F48" s="204" t="s">
        <v>705</v>
      </c>
      <c r="G48" s="204" t="s">
        <v>706</v>
      </c>
      <c r="H48" s="205"/>
      <c r="I48" s="210"/>
      <c r="J48" s="279" t="s">
        <v>707</v>
      </c>
      <c r="K48" s="307" t="s">
        <v>708</v>
      </c>
      <c r="L48" s="66"/>
      <c r="M48" s="66"/>
      <c r="N48" s="66"/>
      <c r="O48" s="66"/>
      <c r="P48" s="66" t="str">
        <f>CONCATENATE('detail Crame based'!D48," ",'detail Crame based'!E48," ",'detail Crame based'!F48)</f>
        <v>PCPT EVANGELISTA RHEA</v>
      </c>
      <c r="Q48" s="66" t="str">
        <f>IFERROR(VLOOKUP(P48,[1]Disposition!$AB$9:$AC$495,2,0),"NO RECORD YET")</f>
        <v>NO RECORD YET</v>
      </c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8" customHeight="1">
      <c r="A49" s="188">
        <v>39</v>
      </c>
      <c r="B49" s="193" t="s">
        <v>1065</v>
      </c>
      <c r="C49" s="193" t="s">
        <v>39</v>
      </c>
      <c r="D49" s="190" t="s">
        <v>96</v>
      </c>
      <c r="E49" s="204" t="s">
        <v>1116</v>
      </c>
      <c r="F49" s="204" t="s">
        <v>1117</v>
      </c>
      <c r="G49" s="204" t="s">
        <v>1118</v>
      </c>
      <c r="H49" s="194"/>
      <c r="I49" s="210"/>
      <c r="J49" s="279" t="s">
        <v>1119</v>
      </c>
      <c r="K49" s="307" t="s">
        <v>1120</v>
      </c>
      <c r="L49" s="66"/>
      <c r="M49" s="66"/>
      <c r="N49" s="66"/>
      <c r="O49" s="66"/>
      <c r="P49" s="66" t="str">
        <f>CONCATENATE('detail Crame based'!D49," ",'detail Crame based'!E49," ",'detail Crame based'!F49)</f>
        <v>PCPT FERMANTEZ DINA</v>
      </c>
      <c r="Q49" s="66" t="str">
        <f>IFERROR(VLOOKUP(P49,[1]Disposition!$AB$9:$AC$495,2,0),"NO RECORD YET")</f>
        <v>NO RECORD YET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18" customHeight="1">
      <c r="A50" s="188">
        <v>40</v>
      </c>
      <c r="B50" s="193" t="s">
        <v>531</v>
      </c>
      <c r="C50" s="193" t="s">
        <v>19</v>
      </c>
      <c r="D50" s="190" t="s">
        <v>96</v>
      </c>
      <c r="E50" s="204" t="s">
        <v>532</v>
      </c>
      <c r="F50" s="204" t="s">
        <v>533</v>
      </c>
      <c r="G50" s="204" t="s">
        <v>534</v>
      </c>
      <c r="H50" s="194"/>
      <c r="I50" s="210"/>
      <c r="J50" s="279" t="s">
        <v>535</v>
      </c>
      <c r="K50" s="307" t="s">
        <v>536</v>
      </c>
      <c r="L50" s="66"/>
      <c r="M50" s="66"/>
      <c r="N50" s="66"/>
      <c r="O50" s="66"/>
      <c r="P50" s="66" t="str">
        <f>CONCATENATE('detail Crame based'!D50," ",'detail Crame based'!E50," ",'detail Crame based'!F50)</f>
        <v>PCPT GOZE JONATHAN</v>
      </c>
      <c r="Q50" s="66" t="str">
        <f>IFERROR(VLOOKUP(P50,[1]Disposition!$AB$9:$AC$495,2,0),"NO RECORD YET")</f>
        <v>NO RECORD YET</v>
      </c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8" customHeight="1">
      <c r="A51" s="188">
        <v>41</v>
      </c>
      <c r="B51" s="193" t="s">
        <v>758</v>
      </c>
      <c r="C51" s="193" t="s">
        <v>19</v>
      </c>
      <c r="D51" s="190" t="s">
        <v>96</v>
      </c>
      <c r="E51" s="204" t="s">
        <v>759</v>
      </c>
      <c r="F51" s="204" t="s">
        <v>124</v>
      </c>
      <c r="G51" s="204" t="s">
        <v>760</v>
      </c>
      <c r="H51" s="205"/>
      <c r="I51" s="210"/>
      <c r="J51" s="279" t="s">
        <v>761</v>
      </c>
      <c r="K51" s="307" t="s">
        <v>762</v>
      </c>
      <c r="L51" s="66"/>
      <c r="M51" s="66"/>
      <c r="N51" s="66"/>
      <c r="O51" s="66"/>
      <c r="P51" s="66" t="str">
        <f>CONCATENATE('detail Crame based'!D51," ",'detail Crame based'!E51," ",'detail Crame based'!F51)</f>
        <v>PCPT GUEVARRA JAYSON</v>
      </c>
      <c r="Q51" s="66" t="str">
        <f>IFERROR(VLOOKUP(P51,[1]Disposition!$AB$9:$AC$495,2,0),"NO RECORD YET")</f>
        <v>NO RECORD YET</v>
      </c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18" customHeight="1">
      <c r="A52" s="188">
        <v>42</v>
      </c>
      <c r="B52" s="193" t="s">
        <v>1065</v>
      </c>
      <c r="C52" s="193" t="s">
        <v>39</v>
      </c>
      <c r="D52" s="190" t="s">
        <v>96</v>
      </c>
      <c r="E52" s="191" t="s">
        <v>1121</v>
      </c>
      <c r="F52" s="191" t="s">
        <v>1122</v>
      </c>
      <c r="G52" s="191" t="s">
        <v>1123</v>
      </c>
      <c r="H52" s="192"/>
      <c r="I52" s="210"/>
      <c r="J52" s="279" t="s">
        <v>1124</v>
      </c>
      <c r="K52" s="307" t="s">
        <v>1125</v>
      </c>
      <c r="L52" s="66"/>
      <c r="M52" s="66"/>
      <c r="N52" s="66"/>
      <c r="O52" s="66"/>
      <c r="P52" s="66" t="str">
        <f>CONCATENATE('detail Crame based'!D52," ",'detail Crame based'!E52," ",'detail Crame based'!F52)</f>
        <v>PCPT JAVIER ROGINA</v>
      </c>
      <c r="Q52" s="66" t="str">
        <f>IFERROR(VLOOKUP(P52,[1]Disposition!$AB$9:$AC$495,2,0),"NO RECORD YET")</f>
        <v>NO RECORD YET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18" customHeight="1">
      <c r="A53" s="188">
        <v>43</v>
      </c>
      <c r="B53" s="193" t="s">
        <v>795</v>
      </c>
      <c r="C53" s="193" t="s">
        <v>39</v>
      </c>
      <c r="D53" s="190" t="s">
        <v>96</v>
      </c>
      <c r="E53" s="191" t="s">
        <v>796</v>
      </c>
      <c r="F53" s="191" t="s">
        <v>797</v>
      </c>
      <c r="G53" s="191" t="s">
        <v>798</v>
      </c>
      <c r="H53" s="192"/>
      <c r="I53" s="210"/>
      <c r="J53" s="279" t="s">
        <v>799</v>
      </c>
      <c r="K53" s="307" t="s">
        <v>800</v>
      </c>
      <c r="L53" s="66"/>
      <c r="M53" s="66"/>
      <c r="N53" s="66"/>
      <c r="O53" s="66"/>
      <c r="P53" s="66" t="str">
        <f>CONCATENATE('detail Crame based'!D53," ",'detail Crame based'!E53," ",'detail Crame based'!F53)</f>
        <v>PCPT LACSON VINEAH</v>
      </c>
      <c r="Q53" s="66" t="str">
        <f>IFERROR(VLOOKUP(P53,[1]Disposition!$AB$9:$AC$495,2,0),"NO RECORD YET")</f>
        <v>NO RECORD YET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8" customHeight="1">
      <c r="A54" s="188">
        <v>44</v>
      </c>
      <c r="B54" s="193" t="s">
        <v>665</v>
      </c>
      <c r="C54" s="193" t="s">
        <v>19</v>
      </c>
      <c r="D54" s="190" t="s">
        <v>96</v>
      </c>
      <c r="E54" s="204" t="s">
        <v>666</v>
      </c>
      <c r="F54" s="204" t="s">
        <v>667</v>
      </c>
      <c r="G54" s="204" t="s">
        <v>668</v>
      </c>
      <c r="H54" s="194"/>
      <c r="I54" s="210"/>
      <c r="J54" s="279" t="s">
        <v>669</v>
      </c>
      <c r="K54" s="307" t="s">
        <v>670</v>
      </c>
      <c r="L54" s="66"/>
      <c r="M54" s="66"/>
      <c r="N54" s="66"/>
      <c r="O54" s="66"/>
      <c r="P54" s="66" t="str">
        <f>CONCATENATE('detail Crame based'!D54," ",'detail Crame based'!E54," ",'detail Crame based'!F54)</f>
        <v>PCPT MAGALONG DAREN</v>
      </c>
      <c r="Q54" s="66" t="str">
        <f>IFERROR(VLOOKUP(P54,[1]Disposition!$AB$9:$AC$495,2,0),"NO RECORD YET")</f>
        <v>NO RECORD YET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8" customHeight="1">
      <c r="A55" s="188">
        <v>45</v>
      </c>
      <c r="B55" s="199" t="s">
        <v>537</v>
      </c>
      <c r="C55" s="199" t="s">
        <v>19</v>
      </c>
      <c r="D55" s="287" t="s">
        <v>96</v>
      </c>
      <c r="E55" s="201" t="s">
        <v>538</v>
      </c>
      <c r="F55" s="201" t="s">
        <v>539</v>
      </c>
      <c r="G55" s="201" t="s">
        <v>540</v>
      </c>
      <c r="H55" s="202"/>
      <c r="I55" s="228"/>
      <c r="J55" s="288" t="s">
        <v>541</v>
      </c>
      <c r="K55" s="309" t="s">
        <v>542</v>
      </c>
      <c r="L55" s="66"/>
      <c r="M55" s="66"/>
      <c r="N55" s="66"/>
      <c r="O55" s="66"/>
      <c r="P55" s="66" t="str">
        <f>CONCATENATE('detail Crame based'!D55," ",'detail Crame based'!E55," ",'detail Crame based'!F55)</f>
        <v>PCPT MALAKI ROFEL GEN</v>
      </c>
      <c r="Q55" s="66" t="str">
        <f>IFERROR(VLOOKUP(P55,[1]Disposition!$AB$9:$AC$495,2,0),"NO RECORD YET")</f>
        <v>NO RECORD YET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18" customHeight="1">
      <c r="A56" s="188">
        <v>46</v>
      </c>
      <c r="B56" s="193" t="s">
        <v>1229</v>
      </c>
      <c r="C56" s="193" t="s">
        <v>39</v>
      </c>
      <c r="D56" s="205" t="s">
        <v>96</v>
      </c>
      <c r="E56" s="204" t="s">
        <v>1230</v>
      </c>
      <c r="F56" s="204" t="s">
        <v>171</v>
      </c>
      <c r="G56" s="204" t="s">
        <v>1231</v>
      </c>
      <c r="H56" s="205"/>
      <c r="I56" s="210"/>
      <c r="J56" s="279" t="s">
        <v>1232</v>
      </c>
      <c r="K56" s="307" t="s">
        <v>1233</v>
      </c>
      <c r="L56" s="66"/>
      <c r="M56" s="66"/>
      <c r="N56" s="66"/>
      <c r="O56" s="66"/>
      <c r="P56" s="66" t="str">
        <f>CONCATENATE('detail Crame based'!D56," ",'detail Crame based'!E56," ",'detail Crame based'!F56)</f>
        <v>PCPT MARTINEZ ANGELICA</v>
      </c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18" customHeight="1">
      <c r="A57" s="188">
        <v>47</v>
      </c>
      <c r="B57" s="193" t="s">
        <v>271</v>
      </c>
      <c r="C57" s="189" t="s">
        <v>19</v>
      </c>
      <c r="D57" s="190" t="s">
        <v>96</v>
      </c>
      <c r="E57" s="204" t="s">
        <v>272</v>
      </c>
      <c r="F57" s="204" t="s">
        <v>273</v>
      </c>
      <c r="G57" s="204" t="s">
        <v>274</v>
      </c>
      <c r="H57" s="205"/>
      <c r="I57" s="210"/>
      <c r="J57" s="279" t="s">
        <v>275</v>
      </c>
      <c r="K57" s="307" t="s">
        <v>276</v>
      </c>
      <c r="L57" s="66"/>
      <c r="M57" s="66"/>
      <c r="N57" s="66"/>
      <c r="O57" s="66"/>
      <c r="P57" s="66" t="str">
        <f>CONCATENATE('detail Crame based'!D57," ",'detail Crame based'!E57," ",'detail Crame based'!F57)</f>
        <v>PCPT MUÑOZ RANZ NIKKO</v>
      </c>
      <c r="Q57" s="66" t="str">
        <f>IFERROR(VLOOKUP(P57,[1]Disposition!$AB$9:$AC$495,2,0),"NO RECORD YET")</f>
        <v>NO RECORD YET</v>
      </c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18" customHeight="1">
      <c r="A58" s="188">
        <v>48</v>
      </c>
      <c r="B58" s="189" t="s">
        <v>688</v>
      </c>
      <c r="C58" s="189" t="s">
        <v>19</v>
      </c>
      <c r="D58" s="190" t="s">
        <v>96</v>
      </c>
      <c r="E58" s="204" t="s">
        <v>689</v>
      </c>
      <c r="F58" s="204" t="s">
        <v>690</v>
      </c>
      <c r="G58" s="204" t="s">
        <v>691</v>
      </c>
      <c r="H58" s="205"/>
      <c r="I58" s="210"/>
      <c r="J58" s="279" t="s">
        <v>692</v>
      </c>
      <c r="K58" s="307" t="s">
        <v>693</v>
      </c>
      <c r="L58" s="66"/>
      <c r="M58" s="66"/>
      <c r="N58" s="66"/>
      <c r="O58" s="66"/>
      <c r="P58" s="66" t="str">
        <f>CONCATENATE('detail Crame based'!D58," ",'detail Crame based'!E58," ",'detail Crame based'!F58)</f>
        <v>PCPT NAPOD GILBERT</v>
      </c>
      <c r="Q58" s="66" t="str">
        <f>IFERROR(VLOOKUP(P58,[1]Disposition!$AB$9:$AC$495,2,0),"NO RECORD YET")</f>
        <v>NO RECORD YET</v>
      </c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18" customHeight="1">
      <c r="A59" s="188">
        <v>49</v>
      </c>
      <c r="B59" s="189" t="s">
        <v>746</v>
      </c>
      <c r="C59" s="189" t="s">
        <v>19</v>
      </c>
      <c r="D59" s="190" t="s">
        <v>96</v>
      </c>
      <c r="E59" s="204" t="s">
        <v>747</v>
      </c>
      <c r="F59" s="204" t="s">
        <v>748</v>
      </c>
      <c r="G59" s="204" t="s">
        <v>749</v>
      </c>
      <c r="H59" s="205"/>
      <c r="I59" s="210"/>
      <c r="J59" s="279" t="s">
        <v>750</v>
      </c>
      <c r="K59" s="307" t="s">
        <v>751</v>
      </c>
      <c r="L59" s="66"/>
      <c r="M59" s="66"/>
      <c r="N59" s="66"/>
      <c r="O59" s="66"/>
      <c r="P59" s="66" t="str">
        <f>CONCATENATE('detail Crame based'!D59," ",'detail Crame based'!E59," ",'detail Crame based'!F59)</f>
        <v>PCPT OBORDO JOEDHEL LLOYD</v>
      </c>
      <c r="Q59" s="66" t="str">
        <f>IFERROR(VLOOKUP(P59,[1]Disposition!$AB$9:$AC$495,2,0),"NO RECORD YET")</f>
        <v>NO RECORD YET</v>
      </c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18" customHeight="1">
      <c r="A60" s="188">
        <v>50</v>
      </c>
      <c r="B60" s="193" t="s">
        <v>1229</v>
      </c>
      <c r="C60" s="189" t="s">
        <v>19</v>
      </c>
      <c r="D60" s="205" t="s">
        <v>96</v>
      </c>
      <c r="E60" s="204" t="s">
        <v>1234</v>
      </c>
      <c r="F60" s="204" t="s">
        <v>1235</v>
      </c>
      <c r="G60" s="204" t="s">
        <v>1236</v>
      </c>
      <c r="H60" s="194"/>
      <c r="I60" s="210"/>
      <c r="J60" s="279" t="s">
        <v>1237</v>
      </c>
      <c r="K60" s="307" t="s">
        <v>1238</v>
      </c>
      <c r="L60" s="66"/>
      <c r="M60" s="66"/>
      <c r="N60" s="66"/>
      <c r="O60" s="66"/>
      <c r="P60" s="66" t="str">
        <f>CONCATENATE('detail Crame based'!D60," ",'detail Crame based'!E60," ",'detail Crame based'!F60)</f>
        <v>PCPT PILASPILAS MARK JAYSON</v>
      </c>
      <c r="Q60" s="66" t="str">
        <f>IFERROR(VLOOKUP(P60,[1]Disposition!$AB$9:$AC$495,2,0),"NO RECORD YET")</f>
        <v>NO RECORD YET</v>
      </c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18" customHeight="1">
      <c r="A61" s="188">
        <v>51</v>
      </c>
      <c r="B61" s="193" t="s">
        <v>1065</v>
      </c>
      <c r="C61" s="189" t="s">
        <v>19</v>
      </c>
      <c r="D61" s="190" t="s">
        <v>96</v>
      </c>
      <c r="E61" s="204" t="s">
        <v>1126</v>
      </c>
      <c r="F61" s="204" t="s">
        <v>1127</v>
      </c>
      <c r="G61" s="204" t="s">
        <v>1128</v>
      </c>
      <c r="H61" s="205"/>
      <c r="I61" s="210"/>
      <c r="J61" s="279" t="s">
        <v>1129</v>
      </c>
      <c r="K61" s="307" t="s">
        <v>1130</v>
      </c>
      <c r="L61" s="66"/>
      <c r="M61" s="66"/>
      <c r="N61" s="66"/>
      <c r="O61" s="66"/>
      <c r="P61" s="66" t="str">
        <f>CONCATENATE('detail Crame based'!D61," ",'detail Crame based'!E61," ",'detail Crame based'!F61)</f>
        <v>PCPT QUIDEZ BRYAN MARK</v>
      </c>
      <c r="Q61" s="66" t="str">
        <f>IFERROR(VLOOKUP(P61,[1]Disposition!$AB$9:$AC$495,2,0),"NO RECORD YET")</f>
        <v>NO RECORD YET</v>
      </c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18" customHeight="1">
      <c r="A62" s="188">
        <v>52</v>
      </c>
      <c r="B62" s="193" t="s">
        <v>479</v>
      </c>
      <c r="C62" s="193" t="s">
        <v>39</v>
      </c>
      <c r="D62" s="194" t="s">
        <v>96</v>
      </c>
      <c r="E62" s="191" t="s">
        <v>480</v>
      </c>
      <c r="F62" s="191" t="s">
        <v>481</v>
      </c>
      <c r="G62" s="191" t="s">
        <v>482</v>
      </c>
      <c r="H62" s="192"/>
      <c r="I62" s="210"/>
      <c r="J62" s="279" t="s">
        <v>483</v>
      </c>
      <c r="K62" s="307" t="s">
        <v>484</v>
      </c>
      <c r="L62" s="66"/>
      <c r="M62" s="66"/>
      <c r="N62" s="66"/>
      <c r="O62" s="66"/>
      <c r="P62" s="66" t="str">
        <f>CONCATENATE('detail Crame based'!D62," ",'detail Crame based'!E62," ",'detail Crame based'!F62)</f>
        <v>PCPT REVALE EDELLENE</v>
      </c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18" customHeight="1">
      <c r="A63" s="188">
        <v>53</v>
      </c>
      <c r="B63" s="193" t="s">
        <v>239</v>
      </c>
      <c r="C63" s="193" t="s">
        <v>39</v>
      </c>
      <c r="D63" s="194" t="s">
        <v>96</v>
      </c>
      <c r="E63" s="191" t="s">
        <v>240</v>
      </c>
      <c r="F63" s="191" t="s">
        <v>241</v>
      </c>
      <c r="G63" s="191" t="s">
        <v>242</v>
      </c>
      <c r="H63" s="192"/>
      <c r="I63" s="210"/>
      <c r="J63" s="279" t="s">
        <v>243</v>
      </c>
      <c r="K63" s="307" t="s">
        <v>244</v>
      </c>
      <c r="L63" s="66"/>
      <c r="M63" s="66"/>
      <c r="N63" s="66"/>
      <c r="O63" s="66"/>
      <c r="P63" s="66" t="e">
        <f>CONCATENATE(#REF!," ",#REF!," ",#REF!)</f>
        <v>#REF!</v>
      </c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spans="1:27" ht="18" customHeight="1">
      <c r="A64" s="188">
        <v>54</v>
      </c>
      <c r="B64" s="193" t="s">
        <v>479</v>
      </c>
      <c r="C64" s="193" t="s">
        <v>19</v>
      </c>
      <c r="D64" s="194" t="s">
        <v>96</v>
      </c>
      <c r="E64" s="191" t="s">
        <v>485</v>
      </c>
      <c r="F64" s="191" t="s">
        <v>486</v>
      </c>
      <c r="G64" s="191" t="s">
        <v>487</v>
      </c>
      <c r="H64" s="192"/>
      <c r="I64" s="210"/>
      <c r="J64" s="279" t="s">
        <v>488</v>
      </c>
      <c r="K64" s="307" t="s">
        <v>489</v>
      </c>
      <c r="L64" s="66"/>
      <c r="M64" s="66"/>
      <c r="N64" s="66"/>
      <c r="O64" s="66"/>
      <c r="P64" s="66" t="str">
        <f>CONCATENATE('detail Crame based'!D64," ",'detail Crame based'!E64," ",'detail Crame based'!F64)</f>
        <v>PCPT SOBREVILLA RAYMUND CHRISTOPHER</v>
      </c>
      <c r="Q64" s="66" t="str">
        <f>IFERROR(VLOOKUP(P64,[1]Disposition!$AB$9:$AC$495,2,0),"NO RECORD YET")</f>
        <v>NO RECORD YET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18" customHeight="1">
      <c r="A65" s="188">
        <v>55</v>
      </c>
      <c r="B65" s="193" t="s">
        <v>205</v>
      </c>
      <c r="C65" s="193" t="s">
        <v>19</v>
      </c>
      <c r="D65" s="194" t="s">
        <v>96</v>
      </c>
      <c r="E65" s="191" t="s">
        <v>206</v>
      </c>
      <c r="F65" s="191" t="s">
        <v>207</v>
      </c>
      <c r="G65" s="191" t="s">
        <v>208</v>
      </c>
      <c r="H65" s="192"/>
      <c r="I65" s="210"/>
      <c r="J65" s="279" t="s">
        <v>209</v>
      </c>
      <c r="K65" s="307" t="s">
        <v>210</v>
      </c>
      <c r="L65" s="66"/>
      <c r="M65" s="66"/>
      <c r="N65" s="66"/>
      <c r="O65" s="66"/>
      <c r="P65" s="66" t="str">
        <f t="shared" ref="P65:P76" si="4">CONCATENATE(E65," ",F65," ",G65)</f>
        <v>SOSA GIBSON JOHN ARAOS</v>
      </c>
      <c r="Q65" s="66" t="str">
        <f>IFERROR(VLOOKUP(P65,[1]Disposition!$AB$9:$AC$495,2,0),"NO RECORD YET")</f>
        <v>#10 Singapore, Bastulde, Fil-Inves, Cainta, Rizal</v>
      </c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18" customHeight="1">
      <c r="A66" s="188">
        <v>56</v>
      </c>
      <c r="B66" s="193" t="s">
        <v>473</v>
      </c>
      <c r="C66" s="193" t="s">
        <v>39</v>
      </c>
      <c r="D66" s="190" t="s">
        <v>96</v>
      </c>
      <c r="E66" s="204" t="s">
        <v>474</v>
      </c>
      <c r="F66" s="204" t="s">
        <v>475</v>
      </c>
      <c r="G66" s="204" t="s">
        <v>476</v>
      </c>
      <c r="H66" s="205"/>
      <c r="I66" s="210"/>
      <c r="J66" s="279" t="s">
        <v>477</v>
      </c>
      <c r="K66" s="307" t="s">
        <v>478</v>
      </c>
      <c r="L66" s="66"/>
      <c r="M66" s="66"/>
      <c r="N66" s="66"/>
      <c r="O66" s="66"/>
      <c r="P66" s="66" t="str">
        <f t="shared" si="4"/>
        <v>SUAYA RAFFY JANE ALIDAO</v>
      </c>
      <c r="Q66" s="66" t="str">
        <f>IFERROR(VLOOKUP(P66,[1]Disposition!$AB$9:$AC$495,2,0),"NO RECORD YET")</f>
        <v>#25 C Purok 1, Lower Liwanag, Liwanag-Loakan, Baguio City, Benguet</v>
      </c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18" customHeight="1">
      <c r="A67" s="188">
        <v>57</v>
      </c>
      <c r="B67" s="193" t="s">
        <v>719</v>
      </c>
      <c r="C67" s="189" t="s">
        <v>19</v>
      </c>
      <c r="D67" s="194" t="s">
        <v>96</v>
      </c>
      <c r="E67" s="191" t="s">
        <v>720</v>
      </c>
      <c r="F67" s="191" t="s">
        <v>721</v>
      </c>
      <c r="G67" s="191" t="s">
        <v>722</v>
      </c>
      <c r="H67" s="192"/>
      <c r="I67" s="210"/>
      <c r="J67" s="279" t="s">
        <v>723</v>
      </c>
      <c r="K67" s="307" t="s">
        <v>724</v>
      </c>
      <c r="L67" s="66"/>
      <c r="M67" s="66"/>
      <c r="N67" s="66"/>
      <c r="O67" s="66"/>
      <c r="P67" s="66" t="str">
        <f t="shared" si="4"/>
        <v>TAEZA ERIKSON TE</v>
      </c>
      <c r="Q67" s="66" t="str">
        <f>IFERROR(VLOOKUP(P67,[1]Disposition!$AB$9:$AC$495,2,0),"NO RECORD YET")</f>
        <v>20 Alley 1,  Project 6, Quezon City</v>
      </c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18" customHeight="1">
      <c r="A68" s="188">
        <v>58</v>
      </c>
      <c r="B68" s="193" t="s">
        <v>1131</v>
      </c>
      <c r="C68" s="193" t="s">
        <v>39</v>
      </c>
      <c r="D68" s="190" t="s">
        <v>96</v>
      </c>
      <c r="E68" s="191" t="s">
        <v>1132</v>
      </c>
      <c r="F68" s="191" t="s">
        <v>1133</v>
      </c>
      <c r="G68" s="191" t="s">
        <v>1134</v>
      </c>
      <c r="H68" s="192"/>
      <c r="I68" s="210"/>
      <c r="J68" s="279" t="s">
        <v>1135</v>
      </c>
      <c r="K68" s="307" t="s">
        <v>1136</v>
      </c>
      <c r="L68" s="66"/>
      <c r="M68" s="66"/>
      <c r="N68" s="66"/>
      <c r="O68" s="66"/>
      <c r="P68" s="66" t="str">
        <f t="shared" si="4"/>
        <v>TAJON VERONICA QUILIZA</v>
      </c>
      <c r="Q68" s="66" t="str">
        <f>IFERROR(VLOOKUP(P68,[1]Disposition!$AB$9:$AC$495,2,0),"NO RECORD YET")</f>
        <v>MB 23 Unit 308 BCDA, Taguig City</v>
      </c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18" customHeight="1">
      <c r="A69" s="188">
        <v>59</v>
      </c>
      <c r="B69" s="193" t="s">
        <v>205</v>
      </c>
      <c r="C69" s="189" t="s">
        <v>19</v>
      </c>
      <c r="D69" s="194" t="s">
        <v>96</v>
      </c>
      <c r="E69" s="191" t="s">
        <v>211</v>
      </c>
      <c r="F69" s="191" t="s">
        <v>212</v>
      </c>
      <c r="G69" s="191" t="s">
        <v>213</v>
      </c>
      <c r="H69" s="192"/>
      <c r="I69" s="210"/>
      <c r="J69" s="279" t="s">
        <v>214</v>
      </c>
      <c r="K69" s="307" t="s">
        <v>215</v>
      </c>
      <c r="L69" s="66"/>
      <c r="M69" s="66"/>
      <c r="N69" s="66"/>
      <c r="O69" s="66"/>
      <c r="P69" s="66" t="str">
        <f t="shared" si="4"/>
        <v>TAN ACHILES YABUT</v>
      </c>
      <c r="Q69" s="66" t="str">
        <f>IFERROR(VLOOKUP(P69,[1]Disposition!$AB$9:$AC$495,2,0),"NO RECORD YET")</f>
        <v>Blk 1 Lot 33, Maunlad Homes Subd., Caingin, Malolos, Bulacan</v>
      </c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18" customHeight="1">
      <c r="A70" s="188">
        <v>60</v>
      </c>
      <c r="B70" s="193" t="s">
        <v>617</v>
      </c>
      <c r="C70" s="193" t="s">
        <v>19</v>
      </c>
      <c r="D70" s="190" t="s">
        <v>96</v>
      </c>
      <c r="E70" s="204" t="s">
        <v>618</v>
      </c>
      <c r="F70" s="204" t="s">
        <v>619</v>
      </c>
      <c r="G70" s="204" t="s">
        <v>620</v>
      </c>
      <c r="H70" s="205"/>
      <c r="I70" s="210"/>
      <c r="J70" s="279" t="s">
        <v>621</v>
      </c>
      <c r="K70" s="307" t="s">
        <v>622</v>
      </c>
      <c r="L70" s="66"/>
      <c r="M70" s="66"/>
      <c r="N70" s="66"/>
      <c r="O70" s="66"/>
      <c r="P70" s="66" t="str">
        <f t="shared" si="4"/>
        <v>VENTURA JOSEPH SAMONTE</v>
      </c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18" customHeight="1">
      <c r="A71" s="188">
        <v>61</v>
      </c>
      <c r="B71" s="193" t="s">
        <v>752</v>
      </c>
      <c r="C71" s="193" t="s">
        <v>19</v>
      </c>
      <c r="D71" s="190" t="s">
        <v>96</v>
      </c>
      <c r="E71" s="191" t="s">
        <v>753</v>
      </c>
      <c r="F71" s="191" t="s">
        <v>754</v>
      </c>
      <c r="G71" s="191" t="s">
        <v>755</v>
      </c>
      <c r="H71" s="192"/>
      <c r="I71" s="210"/>
      <c r="J71" s="279" t="s">
        <v>756</v>
      </c>
      <c r="K71" s="307" t="s">
        <v>757</v>
      </c>
      <c r="L71" s="66"/>
      <c r="M71" s="66"/>
      <c r="N71" s="66"/>
      <c r="O71" s="66"/>
      <c r="P71" s="66" t="str">
        <f t="shared" si="4"/>
        <v>VILLAGONZALO RYAN VILLARIN</v>
      </c>
      <c r="Q71" s="66" t="str">
        <f>IFERROR(VLOOKUP(P71,[1]Disposition!$AB$9:$AC$495,2,0),"NO RECORD YET")</f>
        <v>NO RECORD YET</v>
      </c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18" customHeight="1">
      <c r="A72" s="188">
        <v>62</v>
      </c>
      <c r="B72" s="193" t="s">
        <v>352</v>
      </c>
      <c r="C72" s="193" t="s">
        <v>19</v>
      </c>
      <c r="D72" s="190" t="s">
        <v>246</v>
      </c>
      <c r="E72" s="204" t="s">
        <v>358</v>
      </c>
      <c r="F72" s="204" t="s">
        <v>359</v>
      </c>
      <c r="G72" s="204" t="s">
        <v>360</v>
      </c>
      <c r="H72" s="194"/>
      <c r="I72" s="210"/>
      <c r="J72" s="279" t="s">
        <v>361</v>
      </c>
      <c r="K72" s="307" t="s">
        <v>362</v>
      </c>
      <c r="L72" s="66"/>
      <c r="M72" s="66"/>
      <c r="N72" s="66"/>
      <c r="O72" s="66"/>
      <c r="P72" s="66" t="str">
        <f t="shared" si="4"/>
        <v>ABO MARK JESSIE MELITANTE</v>
      </c>
      <c r="Q72" s="66" t="str">
        <f>IFERROR(VLOOKUP(P72,[1]Disposition!$AB$9:$AC$495,2,0),"NO RECORD YET")</f>
        <v>Unit 909, Amaia Skies Cuibao, P. Tuazon Ave., Socorro, Quezon City</v>
      </c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18" customHeight="1">
      <c r="A73" s="188">
        <v>63</v>
      </c>
      <c r="B73" s="193" t="s">
        <v>714</v>
      </c>
      <c r="C73" s="193" t="s">
        <v>19</v>
      </c>
      <c r="D73" s="190" t="s">
        <v>246</v>
      </c>
      <c r="E73" s="191" t="s">
        <v>715</v>
      </c>
      <c r="F73" s="191" t="s">
        <v>716</v>
      </c>
      <c r="G73" s="191" t="s">
        <v>717</v>
      </c>
      <c r="H73" s="192"/>
      <c r="I73" s="210"/>
      <c r="J73" s="279" t="s">
        <v>718</v>
      </c>
      <c r="K73" s="282"/>
      <c r="L73" s="66"/>
      <c r="M73" s="66"/>
      <c r="N73" s="66"/>
      <c r="O73" s="66"/>
      <c r="P73" s="66" t="str">
        <f t="shared" si="4"/>
        <v>AREVALO RALPH LYNDON RESUELLO</v>
      </c>
      <c r="Q73" s="66" t="str">
        <f>IFERROR(VLOOKUP(P73,[1]Disposition!$AB$9:$AC$495,2,0),"NO RECORD YET")</f>
        <v>NO RECORD YET</v>
      </c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18" customHeight="1">
      <c r="A74" s="188">
        <v>64</v>
      </c>
      <c r="B74" s="193" t="s">
        <v>1229</v>
      </c>
      <c r="C74" s="189" t="s">
        <v>19</v>
      </c>
      <c r="D74" s="205" t="s">
        <v>246</v>
      </c>
      <c r="E74" s="204" t="s">
        <v>1239</v>
      </c>
      <c r="F74" s="204" t="s">
        <v>1240</v>
      </c>
      <c r="G74" s="204" t="s">
        <v>1128</v>
      </c>
      <c r="H74" s="205"/>
      <c r="I74" s="210"/>
      <c r="J74" s="284" t="s">
        <v>1241</v>
      </c>
      <c r="K74" s="307" t="s">
        <v>1242</v>
      </c>
      <c r="L74" s="66"/>
      <c r="M74" s="66"/>
      <c r="N74" s="66"/>
      <c r="O74" s="66"/>
      <c r="P74" s="66" t="str">
        <f t="shared" si="4"/>
        <v>BILLOTE KYLE BENEDICT SORIANO</v>
      </c>
      <c r="Q74" s="66" t="str">
        <f>IFERROR(VLOOKUP(P74,[1]Disposition!$AB$9:$AC$495,2,0),"NO RECORD YET")</f>
        <v>Blk 25 Lot 31 Villa Palao, Banlic, Calamba City, Laguna</v>
      </c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18" customHeight="1">
      <c r="A75" s="188">
        <v>65</v>
      </c>
      <c r="B75" s="193" t="s">
        <v>785</v>
      </c>
      <c r="C75" s="193" t="s">
        <v>19</v>
      </c>
      <c r="D75" s="190" t="s">
        <v>246</v>
      </c>
      <c r="E75" s="191" t="s">
        <v>256</v>
      </c>
      <c r="F75" s="191" t="s">
        <v>786</v>
      </c>
      <c r="G75" s="191" t="s">
        <v>787</v>
      </c>
      <c r="H75" s="192"/>
      <c r="I75" s="210"/>
      <c r="J75" s="279" t="s">
        <v>788</v>
      </c>
      <c r="K75" s="307" t="s">
        <v>789</v>
      </c>
      <c r="L75" s="66"/>
      <c r="M75" s="66"/>
      <c r="N75" s="66"/>
      <c r="O75" s="66"/>
      <c r="P75" s="66" t="str">
        <f t="shared" si="4"/>
        <v>DELA CRUZ ASHTER TIBURCIO</v>
      </c>
      <c r="Q75" s="66" t="str">
        <f>IFERROR(VLOOKUP(P75,[1]Disposition!$AB$9:$AC$495,2,0),"NO RECORD YET")</f>
        <v>227 Sta, Cruz, Zaragisa, Nueva Ecija</v>
      </c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18" customHeight="1">
      <c r="A76" s="188">
        <v>66</v>
      </c>
      <c r="B76" s="193" t="s">
        <v>694</v>
      </c>
      <c r="C76" s="193" t="s">
        <v>19</v>
      </c>
      <c r="D76" s="190" t="s">
        <v>246</v>
      </c>
      <c r="E76" s="191" t="s">
        <v>695</v>
      </c>
      <c r="F76" s="191" t="s">
        <v>364</v>
      </c>
      <c r="G76" s="191" t="s">
        <v>696</v>
      </c>
      <c r="H76" s="192" t="s">
        <v>268</v>
      </c>
      <c r="I76" s="210"/>
      <c r="J76" s="279" t="s">
        <v>697</v>
      </c>
      <c r="K76" s="282"/>
      <c r="L76" s="66"/>
      <c r="M76" s="66"/>
      <c r="N76" s="66"/>
      <c r="O76" s="66"/>
      <c r="P76" s="66" t="str">
        <f t="shared" si="4"/>
        <v>DULNUAN RAMON CUYANGCO</v>
      </c>
      <c r="Q76" s="66" t="str">
        <f>IFERROR(VLOOKUP(P76,[1]Disposition!$AB$9:$AC$495,2,0),"NO RECORD YET")</f>
        <v>NO RECORD YET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18" customHeight="1">
      <c r="A77" s="188">
        <v>67</v>
      </c>
      <c r="B77" s="193" t="s">
        <v>245</v>
      </c>
      <c r="C77" s="193" t="s">
        <v>19</v>
      </c>
      <c r="D77" s="190" t="s">
        <v>246</v>
      </c>
      <c r="E77" s="191" t="s">
        <v>247</v>
      </c>
      <c r="F77" s="191" t="s">
        <v>248</v>
      </c>
      <c r="G77" s="191" t="s">
        <v>249</v>
      </c>
      <c r="H77" s="192"/>
      <c r="I77" s="210"/>
      <c r="J77" s="279" t="s">
        <v>250</v>
      </c>
      <c r="K77" s="307" t="s">
        <v>251</v>
      </c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18" customHeight="1">
      <c r="A78" s="188">
        <v>68</v>
      </c>
      <c r="B78" s="193" t="s">
        <v>660</v>
      </c>
      <c r="C78" s="193" t="s">
        <v>39</v>
      </c>
      <c r="D78" s="190" t="s">
        <v>246</v>
      </c>
      <c r="E78" s="191" t="s">
        <v>661</v>
      </c>
      <c r="F78" s="191" t="s">
        <v>662</v>
      </c>
      <c r="G78" s="191" t="s">
        <v>663</v>
      </c>
      <c r="H78" s="192"/>
      <c r="I78" s="210"/>
      <c r="J78" s="285" t="s">
        <v>664</v>
      </c>
      <c r="K78" s="282"/>
      <c r="L78" s="66"/>
      <c r="M78" s="66"/>
      <c r="N78" s="66"/>
      <c r="O78" s="66"/>
      <c r="P78" s="66" t="str">
        <f t="shared" ref="P78:P85" si="5">CONCATENATE(E78," ",F78," ",G78)</f>
        <v>ESPEDIDO IBON GAY DACUMOS</v>
      </c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18" customHeight="1">
      <c r="A79" s="188">
        <v>69</v>
      </c>
      <c r="B79" s="193" t="s">
        <v>352</v>
      </c>
      <c r="C79" s="193" t="s">
        <v>19</v>
      </c>
      <c r="D79" s="190" t="s">
        <v>246</v>
      </c>
      <c r="E79" s="204" t="s">
        <v>363</v>
      </c>
      <c r="F79" s="204" t="s">
        <v>364</v>
      </c>
      <c r="G79" s="204" t="s">
        <v>365</v>
      </c>
      <c r="H79" s="194" t="s">
        <v>268</v>
      </c>
      <c r="I79" s="210"/>
      <c r="J79" s="279"/>
      <c r="K79" s="282"/>
      <c r="L79" s="66"/>
      <c r="M79" s="66"/>
      <c r="N79" s="66"/>
      <c r="O79" s="66"/>
      <c r="P79" s="66" t="str">
        <f t="shared" si="5"/>
        <v>GALAMGAM RAMON DIAZ</v>
      </c>
      <c r="Q79" s="66" t="str">
        <f>IFERROR(VLOOKUP(P79,[1]Disposition!$AB$9:$AC$495,2,0),"NO RECORD YET")</f>
        <v>38 Agno, Tayug, Pangasinan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18" customHeight="1">
      <c r="A80" s="188">
        <v>70</v>
      </c>
      <c r="B80" s="193" t="s">
        <v>633</v>
      </c>
      <c r="C80" s="193" t="s">
        <v>39</v>
      </c>
      <c r="D80" s="190" t="s">
        <v>246</v>
      </c>
      <c r="E80" s="204" t="s">
        <v>634</v>
      </c>
      <c r="F80" s="204" t="s">
        <v>635</v>
      </c>
      <c r="G80" s="204" t="s">
        <v>636</v>
      </c>
      <c r="H80" s="205"/>
      <c r="I80" s="210"/>
      <c r="J80" s="279" t="s">
        <v>637</v>
      </c>
      <c r="K80" s="307" t="s">
        <v>638</v>
      </c>
      <c r="L80" s="66"/>
      <c r="M80" s="66"/>
      <c r="N80" s="66"/>
      <c r="O80" s="66"/>
      <c r="P80" s="66" t="str">
        <f t="shared" si="5"/>
        <v>GUSTILO THOBORNE THER SANTOS</v>
      </c>
      <c r="Q80" s="66" t="str">
        <f>IFERROR(VLOOKUP(P80,[1]Disposition!$AB$9:$AC$495,2,0),"NO RECORD YET")</f>
        <v>Blk 5 Lot 4 Phase-M, Francisco Homes- Guijo, SJDM, Bulacan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18" customHeight="1">
      <c r="A81" s="188">
        <v>71</v>
      </c>
      <c r="B81" s="193" t="s">
        <v>283</v>
      </c>
      <c r="C81" s="189" t="s">
        <v>19</v>
      </c>
      <c r="D81" s="190" t="s">
        <v>246</v>
      </c>
      <c r="E81" s="191" t="s">
        <v>289</v>
      </c>
      <c r="F81" s="191" t="s">
        <v>290</v>
      </c>
      <c r="G81" s="191" t="s">
        <v>291</v>
      </c>
      <c r="H81" s="192"/>
      <c r="I81" s="210"/>
      <c r="J81" s="279"/>
      <c r="K81" s="282"/>
      <c r="L81" s="66"/>
      <c r="M81" s="66"/>
      <c r="N81" s="66"/>
      <c r="O81" s="66"/>
      <c r="P81" s="66" t="str">
        <f t="shared" si="5"/>
        <v>ILACAD DIONELL TUGADE</v>
      </c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18" customHeight="1">
      <c r="A82" s="188">
        <v>72</v>
      </c>
      <c r="B82" s="193" t="s">
        <v>790</v>
      </c>
      <c r="C82" s="193" t="s">
        <v>19</v>
      </c>
      <c r="D82" s="190" t="s">
        <v>246</v>
      </c>
      <c r="E82" s="191" t="s">
        <v>791</v>
      </c>
      <c r="F82" s="191" t="s">
        <v>792</v>
      </c>
      <c r="G82" s="191" t="s">
        <v>793</v>
      </c>
      <c r="H82" s="192"/>
      <c r="I82" s="210"/>
      <c r="J82" s="284" t="s">
        <v>794</v>
      </c>
      <c r="K82" s="282"/>
      <c r="L82" s="66"/>
      <c r="M82" s="66"/>
      <c r="N82" s="66"/>
      <c r="O82" s="66"/>
      <c r="P82" s="66" t="str">
        <f t="shared" si="5"/>
        <v>ORTIZ JULIUS SEMITARA</v>
      </c>
      <c r="Q82" s="66" t="str">
        <f>IFERROR(VLOOKUP(P82,[1]Disposition!$AB$9:$AC$495,2,0),"NO RECORD YET")</f>
        <v>NO RECORD YET</v>
      </c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18" customHeight="1">
      <c r="A83" s="188">
        <v>73</v>
      </c>
      <c r="B83" s="189" t="s">
        <v>576</v>
      </c>
      <c r="C83" s="189" t="s">
        <v>19</v>
      </c>
      <c r="D83" s="190" t="s">
        <v>246</v>
      </c>
      <c r="E83" s="204" t="s">
        <v>577</v>
      </c>
      <c r="F83" s="204" t="s">
        <v>578</v>
      </c>
      <c r="G83" s="204" t="s">
        <v>579</v>
      </c>
      <c r="H83" s="205"/>
      <c r="I83" s="210"/>
      <c r="J83" s="279"/>
      <c r="K83" s="282"/>
      <c r="L83" s="66"/>
      <c r="M83" s="66"/>
      <c r="N83" s="66"/>
      <c r="O83" s="66"/>
      <c r="P83" s="66" t="str">
        <f t="shared" si="5"/>
        <v>RETAZO RIZALDY ISIDORO</v>
      </c>
      <c r="Q83" s="66" t="str">
        <f>IFERROR(VLOOKUP(P83,[1]Disposition!$AB$9:$AC$495,2,0),"NO RECORD YET")</f>
        <v>Calamagui 2nd, Ilagan, Isabela</v>
      </c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18" customHeight="1">
      <c r="A84" s="188">
        <v>74</v>
      </c>
      <c r="B84" s="193" t="s">
        <v>1065</v>
      </c>
      <c r="C84" s="189" t="s">
        <v>19</v>
      </c>
      <c r="D84" s="205" t="s">
        <v>246</v>
      </c>
      <c r="E84" s="204" t="s">
        <v>1137</v>
      </c>
      <c r="F84" s="204" t="s">
        <v>1138</v>
      </c>
      <c r="G84" s="204" t="s">
        <v>1139</v>
      </c>
      <c r="H84" s="194"/>
      <c r="I84" s="210"/>
      <c r="J84" s="279" t="s">
        <v>1140</v>
      </c>
      <c r="K84" s="307" t="s">
        <v>1141</v>
      </c>
      <c r="L84" s="66"/>
      <c r="M84" s="66"/>
      <c r="N84" s="66"/>
      <c r="O84" s="66"/>
      <c r="P84" s="66" t="str">
        <f t="shared" si="5"/>
        <v>SIA ENARD ANDAYA</v>
      </c>
      <c r="Q84" s="66" t="str">
        <f>IFERROR(VLOOKUP(P84,[1]Disposition!$AB$9:$AC$495,2,0),"NO RECORD YET")</f>
        <v>10-A Governor Pascual Avenue, Potrero, Malabon City</v>
      </c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18" customHeight="1">
      <c r="A85" s="188">
        <v>75</v>
      </c>
      <c r="B85" s="189" t="s">
        <v>1740</v>
      </c>
      <c r="C85" s="193" t="s">
        <v>19</v>
      </c>
      <c r="D85" s="190" t="s">
        <v>246</v>
      </c>
      <c r="E85" s="191" t="s">
        <v>1741</v>
      </c>
      <c r="F85" s="191" t="s">
        <v>1742</v>
      </c>
      <c r="G85" s="191" t="s">
        <v>1743</v>
      </c>
      <c r="H85" s="192"/>
      <c r="I85" s="210"/>
      <c r="J85" s="289"/>
      <c r="K85" s="290" t="s">
        <v>1744</v>
      </c>
      <c r="L85" s="66"/>
      <c r="M85" s="66"/>
      <c r="N85" s="66"/>
      <c r="O85" s="66"/>
      <c r="P85" s="66" t="str">
        <f t="shared" si="5"/>
        <v>VALLE MARK LAWRENCE ABENOJAR</v>
      </c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21.75" customHeight="1">
      <c r="A86" s="379" t="s">
        <v>2670</v>
      </c>
      <c r="B86" s="372"/>
      <c r="C86" s="372"/>
      <c r="D86" s="372"/>
      <c r="E86" s="372"/>
      <c r="F86" s="372"/>
      <c r="G86" s="372"/>
      <c r="H86" s="372"/>
      <c r="I86" s="371"/>
      <c r="J86" s="289"/>
      <c r="K86" s="291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18" customHeight="1">
      <c r="A87" s="188">
        <v>1</v>
      </c>
      <c r="B87" s="193" t="s">
        <v>271</v>
      </c>
      <c r="C87" s="193" t="s">
        <v>19</v>
      </c>
      <c r="D87" s="190" t="s">
        <v>277</v>
      </c>
      <c r="E87" s="191" t="s">
        <v>278</v>
      </c>
      <c r="F87" s="191" t="s">
        <v>279</v>
      </c>
      <c r="G87" s="191" t="s">
        <v>280</v>
      </c>
      <c r="H87" s="192"/>
      <c r="I87" s="212"/>
      <c r="J87" s="279" t="s">
        <v>281</v>
      </c>
      <c r="K87" s="307" t="s">
        <v>282</v>
      </c>
      <c r="L87" s="66"/>
      <c r="M87" s="66"/>
      <c r="N87" s="66"/>
      <c r="O87" s="66"/>
      <c r="P87" s="66" t="str">
        <f t="shared" ref="P87:P88" si="6">CONCATENATE(E87," ",F87," ",G87)</f>
        <v>MARAÑON CHRIS JOHN CATALOGO</v>
      </c>
      <c r="Q87" s="66" t="str">
        <f>IFERROR(VLOOKUP(P87,[1]Disposition!$AB$9:$AC$495,2,0),"NO RECORD YET")</f>
        <v>B18 L1 P-J Francisco Homes, SJDM, Bulacan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18" customHeight="1">
      <c r="A88" s="188">
        <v>2</v>
      </c>
      <c r="B88" s="193" t="s">
        <v>1065</v>
      </c>
      <c r="C88" s="189" t="s">
        <v>19</v>
      </c>
      <c r="D88" s="190" t="s">
        <v>277</v>
      </c>
      <c r="E88" s="191" t="s">
        <v>1142</v>
      </c>
      <c r="F88" s="191" t="s">
        <v>1143</v>
      </c>
      <c r="G88" s="191" t="s">
        <v>1144</v>
      </c>
      <c r="H88" s="192"/>
      <c r="I88" s="212"/>
      <c r="J88" s="279" t="s">
        <v>1145</v>
      </c>
      <c r="K88" s="307" t="s">
        <v>1146</v>
      </c>
      <c r="L88" s="66"/>
      <c r="M88" s="66"/>
      <c r="N88" s="66"/>
      <c r="O88" s="66"/>
      <c r="P88" s="66" t="str">
        <f t="shared" si="6"/>
        <v>SABIO SHERWIN INTONG</v>
      </c>
      <c r="Q88" s="66" t="str">
        <f>IFERROR(VLOOKUP(P88,[1]Disposition!$AB$9:$AC$495,2,0),"NO RECORD YET")</f>
        <v>173-P 22nd Avenue , East Rembo, Makati City</v>
      </c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18" customHeight="1">
      <c r="A89" s="188">
        <v>3</v>
      </c>
      <c r="B89" s="193" t="s">
        <v>1065</v>
      </c>
      <c r="C89" s="189" t="s">
        <v>19</v>
      </c>
      <c r="D89" s="190" t="s">
        <v>366</v>
      </c>
      <c r="E89" s="191" t="s">
        <v>1147</v>
      </c>
      <c r="F89" s="191" t="s">
        <v>322</v>
      </c>
      <c r="G89" s="191" t="s">
        <v>1148</v>
      </c>
      <c r="H89" s="192"/>
      <c r="I89" s="212"/>
      <c r="J89" s="279" t="s">
        <v>1149</v>
      </c>
      <c r="K89" s="307" t="s">
        <v>1150</v>
      </c>
      <c r="L89" s="66"/>
      <c r="M89" s="66"/>
      <c r="N89" s="66"/>
      <c r="O89" s="66"/>
      <c r="P89" s="66" t="e">
        <f>CONCATENATE(#REF!," ",#REF!," ",#REF!)</f>
        <v>#REF!</v>
      </c>
      <c r="Q89" s="66" t="str">
        <f>IFERROR(VLOOKUP(P89,[1]Disposition!$AB$9:$AC$495,2,0),"NO RECORD YET")</f>
        <v>NO RECORD YET</v>
      </c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18" customHeight="1">
      <c r="A90" s="188">
        <v>4</v>
      </c>
      <c r="B90" s="193" t="s">
        <v>1065</v>
      </c>
      <c r="C90" s="189" t="s">
        <v>19</v>
      </c>
      <c r="D90" s="190" t="s">
        <v>366</v>
      </c>
      <c r="E90" s="191" t="s">
        <v>1159</v>
      </c>
      <c r="F90" s="191" t="s">
        <v>754</v>
      </c>
      <c r="G90" s="191" t="s">
        <v>1160</v>
      </c>
      <c r="H90" s="192"/>
      <c r="I90" s="212"/>
      <c r="J90" s="279" t="s">
        <v>1161</v>
      </c>
      <c r="K90" s="307" t="s">
        <v>1162</v>
      </c>
      <c r="L90" s="66"/>
      <c r="M90" s="66"/>
      <c r="N90" s="66"/>
      <c r="O90" s="66"/>
      <c r="P90" s="66" t="e">
        <f>CONCATENATE(#REF!," ",#REF!," ",#REF!)</f>
        <v>#REF!</v>
      </c>
      <c r="Q90" s="66" t="str">
        <f>IFERROR(VLOOKUP(P90,[1]Disposition!$AB$9:$AC$495,2,0),"NO RECORD YET")</f>
        <v>NO RECORD YET</v>
      </c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18" customHeight="1">
      <c r="A91" s="188">
        <v>5</v>
      </c>
      <c r="B91" s="193" t="s">
        <v>580</v>
      </c>
      <c r="C91" s="189" t="s">
        <v>19</v>
      </c>
      <c r="D91" s="190" t="s">
        <v>366</v>
      </c>
      <c r="E91" s="191" t="s">
        <v>581</v>
      </c>
      <c r="F91" s="191" t="s">
        <v>582</v>
      </c>
      <c r="G91" s="191" t="s">
        <v>393</v>
      </c>
      <c r="H91" s="192"/>
      <c r="I91" s="212"/>
      <c r="J91" s="279" t="s">
        <v>583</v>
      </c>
      <c r="K91" s="307" t="s">
        <v>584</v>
      </c>
      <c r="L91" s="66"/>
      <c r="M91" s="66"/>
      <c r="N91" s="66"/>
      <c r="O91" s="66"/>
      <c r="P91" s="66" t="str">
        <f>CONCATENATE(E43," ",F43," ",G43)</f>
        <v>BUHAIN DOROTHY VILLALOBOS</v>
      </c>
      <c r="Q91" s="66" t="str">
        <f>IFERROR(VLOOKUP(P91,[1]Disposition!$AB$9:$AC$495,2,0),"NO RECORD YET")</f>
        <v>301 Masagana Subd., Gumamela St., San Francisco, Bulacan</v>
      </c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18" customHeight="1">
      <c r="A92" s="188">
        <v>6</v>
      </c>
      <c r="B92" s="193" t="s">
        <v>446</v>
      </c>
      <c r="C92" s="193" t="s">
        <v>19</v>
      </c>
      <c r="D92" s="190" t="s">
        <v>366</v>
      </c>
      <c r="E92" s="191" t="s">
        <v>452</v>
      </c>
      <c r="F92" s="191" t="s">
        <v>453</v>
      </c>
      <c r="G92" s="191" t="s">
        <v>454</v>
      </c>
      <c r="H92" s="192"/>
      <c r="I92" s="210"/>
      <c r="J92" s="285" t="s">
        <v>455</v>
      </c>
      <c r="K92" s="307" t="s">
        <v>456</v>
      </c>
      <c r="L92" s="66"/>
      <c r="M92" s="66"/>
      <c r="N92" s="66"/>
      <c r="O92" s="66"/>
      <c r="P92" s="66" t="str">
        <f t="shared" ref="P92:P93" si="7">CONCATENATE(E92," ",F92," ",G92)</f>
        <v>SIBAYAN REYGIE PIAGAN</v>
      </c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 spans="1:27" ht="18" customHeight="1">
      <c r="A93" s="188">
        <v>7</v>
      </c>
      <c r="B93" s="193" t="s">
        <v>1065</v>
      </c>
      <c r="C93" s="189" t="s">
        <v>19</v>
      </c>
      <c r="D93" s="190" t="s">
        <v>366</v>
      </c>
      <c r="E93" s="191" t="s">
        <v>1151</v>
      </c>
      <c r="F93" s="191" t="s">
        <v>1152</v>
      </c>
      <c r="G93" s="191" t="s">
        <v>1153</v>
      </c>
      <c r="H93" s="192"/>
      <c r="I93" s="212"/>
      <c r="J93" s="279" t="s">
        <v>1154</v>
      </c>
      <c r="K93" s="307" t="s">
        <v>1155</v>
      </c>
      <c r="L93" s="292"/>
      <c r="M93" s="292"/>
      <c r="N93" s="292"/>
      <c r="O93" s="292"/>
      <c r="P93" s="292" t="str">
        <f t="shared" si="7"/>
        <v>SIGGAYO WILLARD MALABAD</v>
      </c>
      <c r="Q93" s="292" t="str">
        <f>IFERROR(VLOOKUP(P93,[1]Disposition!$AB$9:$AC$495,2,0),"NO RECORD YET")</f>
        <v>11 Road 2 Sitio Kumunoy, Bagong Silangan, Quezon City</v>
      </c>
      <c r="R93" s="292"/>
      <c r="S93" s="292"/>
      <c r="T93" s="292"/>
      <c r="U93" s="292"/>
      <c r="V93" s="292"/>
      <c r="W93" s="292"/>
      <c r="X93" s="292"/>
      <c r="Y93" s="292"/>
      <c r="Z93" s="292"/>
      <c r="AA93" s="292"/>
    </row>
    <row r="94" spans="1:27" ht="18" customHeight="1">
      <c r="A94" s="188">
        <v>8</v>
      </c>
      <c r="B94" s="193" t="s">
        <v>1065</v>
      </c>
      <c r="C94" s="193" t="s">
        <v>39</v>
      </c>
      <c r="D94" s="190" t="s">
        <v>366</v>
      </c>
      <c r="E94" s="191" t="s">
        <v>1128</v>
      </c>
      <c r="F94" s="191" t="s">
        <v>1156</v>
      </c>
      <c r="G94" s="191" t="s">
        <v>906</v>
      </c>
      <c r="H94" s="192"/>
      <c r="I94" s="212"/>
      <c r="J94" s="279" t="s">
        <v>1157</v>
      </c>
      <c r="K94" s="307" t="s">
        <v>1158</v>
      </c>
      <c r="L94" s="66"/>
      <c r="M94" s="66"/>
      <c r="N94" s="66"/>
      <c r="O94" s="66"/>
      <c r="P94" s="66" t="e">
        <f>CONCATENATE(#REF!," ",#REF!," ",#REF!)</f>
        <v>#REF!</v>
      </c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18" customHeight="1">
      <c r="A95" s="188">
        <v>9</v>
      </c>
      <c r="B95" s="193" t="s">
        <v>352</v>
      </c>
      <c r="C95" s="193" t="s">
        <v>19</v>
      </c>
      <c r="D95" s="190" t="s">
        <v>366</v>
      </c>
      <c r="E95" s="191" t="s">
        <v>367</v>
      </c>
      <c r="F95" s="191" t="s">
        <v>368</v>
      </c>
      <c r="G95" s="191" t="s">
        <v>369</v>
      </c>
      <c r="H95" s="192"/>
      <c r="I95" s="212"/>
      <c r="J95" s="279" t="s">
        <v>370</v>
      </c>
      <c r="K95" s="307" t="s">
        <v>371</v>
      </c>
      <c r="L95" s="66"/>
      <c r="M95" s="66"/>
      <c r="N95" s="66"/>
      <c r="O95" s="66"/>
      <c r="P95" s="66" t="e">
        <f>CONCATENATE(#REF!," ",#REF!," ",#REF!)</f>
        <v>#REF!</v>
      </c>
      <c r="Q95" s="66" t="str">
        <f>IFERROR(VLOOKUP(P95,[1]Disposition!$AB$9:$AC$495,2,0),"NO RECORD YET")</f>
        <v>NO RECORD YET</v>
      </c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18" customHeight="1">
      <c r="A96" s="188">
        <v>10</v>
      </c>
      <c r="B96" s="193" t="s">
        <v>763</v>
      </c>
      <c r="C96" s="193" t="s">
        <v>19</v>
      </c>
      <c r="D96" s="190" t="s">
        <v>57</v>
      </c>
      <c r="E96" s="191" t="s">
        <v>764</v>
      </c>
      <c r="F96" s="191" t="s">
        <v>765</v>
      </c>
      <c r="G96" s="191" t="s">
        <v>766</v>
      </c>
      <c r="H96" s="192" t="s">
        <v>55</v>
      </c>
      <c r="I96" s="212"/>
      <c r="J96" s="279" t="s">
        <v>767</v>
      </c>
      <c r="K96" s="307" t="s">
        <v>768</v>
      </c>
      <c r="L96" s="66"/>
      <c r="M96" s="66"/>
      <c r="N96" s="66"/>
      <c r="O96" s="66"/>
      <c r="P96" s="66" t="e">
        <f>CONCATENATE(#REF!," ",#REF!," ",#REF!)</f>
        <v>#REF!</v>
      </c>
      <c r="Q96" s="66" t="str">
        <f>IFERROR(VLOOKUP(P96,[1]Disposition!$AB$9:$AC$495,2,0),"NO RECORD YET")</f>
        <v>NO RECORD YET</v>
      </c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18" customHeight="1">
      <c r="A97" s="188">
        <v>11</v>
      </c>
      <c r="B97" s="193" t="s">
        <v>283</v>
      </c>
      <c r="C97" s="193" t="s">
        <v>19</v>
      </c>
      <c r="D97" s="190" t="s">
        <v>57</v>
      </c>
      <c r="E97" s="191" t="s">
        <v>292</v>
      </c>
      <c r="F97" s="191" t="s">
        <v>293</v>
      </c>
      <c r="G97" s="191" t="s">
        <v>294</v>
      </c>
      <c r="H97" s="192"/>
      <c r="I97" s="212"/>
      <c r="J97" s="279" t="s">
        <v>295</v>
      </c>
      <c r="K97" s="307" t="s">
        <v>296</v>
      </c>
      <c r="L97" s="66"/>
      <c r="M97" s="66"/>
      <c r="N97" s="66"/>
      <c r="O97" s="66"/>
      <c r="P97" s="66" t="str">
        <f t="shared" ref="P97:P98" si="8">CONCATENATE(E97," ",F97," ",G97)</f>
        <v>DULIN JOEY BINARAO</v>
      </c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18" customHeight="1">
      <c r="A98" s="188">
        <v>12</v>
      </c>
      <c r="B98" s="193" t="s">
        <v>531</v>
      </c>
      <c r="C98" s="193" t="s">
        <v>39</v>
      </c>
      <c r="D98" s="190" t="s">
        <v>57</v>
      </c>
      <c r="E98" s="191" t="s">
        <v>543</v>
      </c>
      <c r="F98" s="191" t="s">
        <v>544</v>
      </c>
      <c r="G98" s="191" t="s">
        <v>545</v>
      </c>
      <c r="H98" s="192"/>
      <c r="I98" s="212"/>
      <c r="J98" s="284" t="s">
        <v>546</v>
      </c>
      <c r="K98" s="307" t="s">
        <v>547</v>
      </c>
      <c r="L98" s="66"/>
      <c r="M98" s="66"/>
      <c r="N98" s="66"/>
      <c r="O98" s="66"/>
      <c r="P98" s="66" t="str">
        <f t="shared" si="8"/>
        <v>INFANTE BEVERLY PASAMBA</v>
      </c>
      <c r="Q98" s="66" t="str">
        <f>IFERROR(VLOOKUP(P98,[1]Disposition!$AB$9:$AC$495,2,0),"NO RECORD YET")</f>
        <v>333 Verdar St., Sampaloc, Manila</v>
      </c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18" customHeight="1">
      <c r="A99" s="188">
        <v>13</v>
      </c>
      <c r="B99" s="193" t="s">
        <v>1065</v>
      </c>
      <c r="C99" s="189" t="s">
        <v>19</v>
      </c>
      <c r="D99" s="190" t="s">
        <v>644</v>
      </c>
      <c r="E99" s="191" t="s">
        <v>1163</v>
      </c>
      <c r="F99" s="191" t="s">
        <v>690</v>
      </c>
      <c r="G99" s="191" t="s">
        <v>1164</v>
      </c>
      <c r="H99" s="192"/>
      <c r="I99" s="212"/>
      <c r="J99" s="279" t="s">
        <v>1165</v>
      </c>
      <c r="K99" s="307" t="s">
        <v>1166</v>
      </c>
      <c r="L99" s="66"/>
      <c r="M99" s="66"/>
      <c r="N99" s="66"/>
      <c r="O99" s="66"/>
      <c r="P99" s="66" t="e">
        <f>CONCATENATE(#REF!," ",#REF!," ",#REF!)</f>
        <v>#REF!</v>
      </c>
      <c r="Q99" s="66" t="str">
        <f>IFERROR(VLOOKUP(P99,[1]Disposition!$AB$9:$AC$495,2,0),"NO RECORD YET")</f>
        <v>NO RECORD YET</v>
      </c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18" customHeight="1">
      <c r="A100" s="188">
        <v>14</v>
      </c>
      <c r="B100" s="193" t="s">
        <v>643</v>
      </c>
      <c r="C100" s="193" t="s">
        <v>19</v>
      </c>
      <c r="D100" s="190" t="s">
        <v>644</v>
      </c>
      <c r="E100" s="191" t="s">
        <v>645</v>
      </c>
      <c r="F100" s="191" t="s">
        <v>646</v>
      </c>
      <c r="G100" s="191" t="s">
        <v>647</v>
      </c>
      <c r="H100" s="192"/>
      <c r="I100" s="212"/>
      <c r="J100" s="279" t="s">
        <v>648</v>
      </c>
      <c r="K100" s="307" t="s">
        <v>649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18" customHeight="1">
      <c r="A101" s="188">
        <v>15</v>
      </c>
      <c r="B101" s="193" t="s">
        <v>1065</v>
      </c>
      <c r="C101" s="189" t="s">
        <v>19</v>
      </c>
      <c r="D101" s="190" t="s">
        <v>24</v>
      </c>
      <c r="E101" s="191" t="s">
        <v>1167</v>
      </c>
      <c r="F101" s="191" t="s">
        <v>1168</v>
      </c>
      <c r="G101" s="191" t="s">
        <v>1169</v>
      </c>
      <c r="H101" s="192"/>
      <c r="I101" s="210"/>
      <c r="J101" s="284" t="s">
        <v>1170</v>
      </c>
      <c r="K101" s="307" t="s">
        <v>1171</v>
      </c>
      <c r="L101" s="66"/>
      <c r="M101" s="66"/>
      <c r="N101" s="66"/>
      <c r="O101" s="66"/>
      <c r="P101" s="66" t="str">
        <f t="shared" ref="P101:P155" si="9">CONCATENATE(E101," ",F101," ",G101)</f>
        <v>ARCANGEL OLIVER GARCIA</v>
      </c>
      <c r="Q101" s="66" t="str">
        <f>IFERROR(VLOOKUP(P101,[1]Disposition!$AB$9:$AC$495,2,0),"NO RECORD YET")</f>
        <v>#8 Binalatongan, San Juan, San Carlos City, Pangasinan</v>
      </c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18" customHeight="1">
      <c r="A102" s="188">
        <v>16</v>
      </c>
      <c r="B102" s="193" t="s">
        <v>650</v>
      </c>
      <c r="C102" s="193" t="s">
        <v>19</v>
      </c>
      <c r="D102" s="194" t="s">
        <v>24</v>
      </c>
      <c r="E102" s="204" t="s">
        <v>656</v>
      </c>
      <c r="F102" s="204" t="s">
        <v>657</v>
      </c>
      <c r="G102" s="204" t="s">
        <v>658</v>
      </c>
      <c r="H102" s="205"/>
      <c r="I102" s="212"/>
      <c r="J102" s="279" t="s">
        <v>659</v>
      </c>
      <c r="K102" s="282"/>
      <c r="L102" s="66"/>
      <c r="M102" s="66"/>
      <c r="N102" s="66"/>
      <c r="O102" s="66"/>
      <c r="P102" s="66" t="str">
        <f t="shared" si="9"/>
        <v>BUENO CHIER BRYAN MARCOS</v>
      </c>
      <c r="Q102" s="66">
        <f>IFERROR(VLOOKUP(P102,[1]Disposition!$AB$9:$AC$495,2,0),"NO RECORD YET")</f>
        <v>0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18" customHeight="1">
      <c r="A103" s="188">
        <v>17</v>
      </c>
      <c r="B103" s="193" t="s">
        <v>301</v>
      </c>
      <c r="C103" s="193" t="s">
        <v>39</v>
      </c>
      <c r="D103" s="194" t="s">
        <v>24</v>
      </c>
      <c r="E103" s="204" t="s">
        <v>311</v>
      </c>
      <c r="F103" s="204" t="s">
        <v>312</v>
      </c>
      <c r="G103" s="204" t="s">
        <v>313</v>
      </c>
      <c r="H103" s="194"/>
      <c r="I103" s="212"/>
      <c r="J103" s="279" t="s">
        <v>314</v>
      </c>
      <c r="K103" s="307" t="s">
        <v>315</v>
      </c>
      <c r="L103" s="66"/>
      <c r="M103" s="66"/>
      <c r="N103" s="66"/>
      <c r="O103" s="66"/>
      <c r="P103" s="66" t="str">
        <f t="shared" si="9"/>
        <v>CASTRO MARYJANE DIZON</v>
      </c>
      <c r="Q103" s="66" t="str">
        <f>IFERROR(VLOOKUP(P103,[1]Disposition!$AB$9:$AC$495,2,0),"NO RECORD YET")</f>
        <v>Phase 1, Purok 5, Taugtog, Botolan, Zambales</v>
      </c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18" customHeight="1">
      <c r="A104" s="188">
        <v>18</v>
      </c>
      <c r="B104" s="193" t="s">
        <v>205</v>
      </c>
      <c r="C104" s="193" t="s">
        <v>39</v>
      </c>
      <c r="D104" s="194" t="s">
        <v>24</v>
      </c>
      <c r="E104" s="204" t="s">
        <v>216</v>
      </c>
      <c r="F104" s="204" t="s">
        <v>217</v>
      </c>
      <c r="G104" s="204" t="s">
        <v>218</v>
      </c>
      <c r="H104" s="205"/>
      <c r="I104" s="212"/>
      <c r="J104" s="279" t="s">
        <v>219</v>
      </c>
      <c r="K104" s="307" t="s">
        <v>220</v>
      </c>
      <c r="L104" s="66"/>
      <c r="M104" s="66"/>
      <c r="N104" s="66"/>
      <c r="O104" s="66"/>
      <c r="P104" s="66" t="str">
        <f t="shared" si="9"/>
        <v>CLAOR MICHELLE DUGAM</v>
      </c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18" customHeight="1">
      <c r="A105" s="188">
        <v>19</v>
      </c>
      <c r="B105" s="193" t="s">
        <v>531</v>
      </c>
      <c r="C105" s="193" t="s">
        <v>19</v>
      </c>
      <c r="D105" s="194" t="s">
        <v>24</v>
      </c>
      <c r="E105" s="204" t="s">
        <v>365</v>
      </c>
      <c r="F105" s="204" t="s">
        <v>548</v>
      </c>
      <c r="G105" s="204" t="s">
        <v>549</v>
      </c>
      <c r="H105" s="205"/>
      <c r="I105" s="212"/>
      <c r="J105" s="279" t="s">
        <v>550</v>
      </c>
      <c r="K105" s="307" t="s">
        <v>551</v>
      </c>
      <c r="L105" s="66"/>
      <c r="M105" s="66"/>
      <c r="N105" s="66"/>
      <c r="O105" s="66"/>
      <c r="P105" s="66" t="str">
        <f t="shared" si="9"/>
        <v>DIAZ STEPHEN PAUL BAUZON</v>
      </c>
      <c r="Q105" s="66" t="str">
        <f>IFERROR(VLOOKUP(P105,[1]Disposition!$AB$9:$AC$495,2,0),"NO RECORD YET")</f>
        <v>Conrazon, Bansud, Oriental Mindoro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18" customHeight="1">
      <c r="A106" s="188">
        <v>20</v>
      </c>
      <c r="B106" s="193" t="s">
        <v>283</v>
      </c>
      <c r="C106" s="193" t="s">
        <v>19</v>
      </c>
      <c r="D106" s="190" t="s">
        <v>24</v>
      </c>
      <c r="E106" s="191" t="s">
        <v>297</v>
      </c>
      <c r="F106" s="191" t="s">
        <v>298</v>
      </c>
      <c r="G106" s="191" t="s">
        <v>286</v>
      </c>
      <c r="H106" s="192"/>
      <c r="I106" s="212"/>
      <c r="J106" s="279" t="s">
        <v>299</v>
      </c>
      <c r="K106" s="307" t="s">
        <v>300</v>
      </c>
      <c r="L106" s="66"/>
      <c r="M106" s="66"/>
      <c r="N106" s="66"/>
      <c r="O106" s="66"/>
      <c r="P106" s="66" t="str">
        <f t="shared" si="9"/>
        <v>DOCTOLERO JOHN NICK DE GUZMAN</v>
      </c>
      <c r="Q106" s="66" t="str">
        <f>IFERROR(VLOOKUP(P106,[1]Disposition!$AB$9:$AC$495,2,0),"NO RECORD YET")</f>
        <v>B25 L5 PH. J, Brgy. Guijo, Francisco Homes, SJDM, Bulacan</v>
      </c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18" customHeight="1">
      <c r="A107" s="188">
        <v>21</v>
      </c>
      <c r="B107" s="193" t="s">
        <v>1065</v>
      </c>
      <c r="C107" s="193" t="s">
        <v>19</v>
      </c>
      <c r="D107" s="190" t="s">
        <v>24</v>
      </c>
      <c r="E107" s="191" t="s">
        <v>1172</v>
      </c>
      <c r="F107" s="191" t="s">
        <v>1173</v>
      </c>
      <c r="G107" s="191" t="s">
        <v>1174</v>
      </c>
      <c r="H107" s="192"/>
      <c r="I107" s="212"/>
      <c r="J107" s="279" t="s">
        <v>1175</v>
      </c>
      <c r="K107" s="307" t="s">
        <v>1176</v>
      </c>
      <c r="L107" s="66"/>
      <c r="M107" s="66"/>
      <c r="N107" s="66"/>
      <c r="O107" s="66"/>
      <c r="P107" s="66" t="str">
        <f t="shared" si="9"/>
        <v>GOMEZ RICH MICHAEL LIBU</v>
      </c>
      <c r="Q107" s="66" t="str">
        <f>IFERROR(VLOOKUP(P107,[1]Disposition!$AB$9:$AC$495,2,0),"NO RECORD YET")</f>
        <v>482 Mali St., Cutcut, Angeles City, Pampanga</v>
      </c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18" customHeight="1">
      <c r="A108" s="188">
        <v>22</v>
      </c>
      <c r="B108" s="193" t="s">
        <v>233</v>
      </c>
      <c r="C108" s="193" t="s">
        <v>19</v>
      </c>
      <c r="D108" s="194" t="s">
        <v>24</v>
      </c>
      <c r="E108" s="204" t="s">
        <v>234</v>
      </c>
      <c r="F108" s="204" t="s">
        <v>235</v>
      </c>
      <c r="G108" s="204" t="s">
        <v>236</v>
      </c>
      <c r="H108" s="205"/>
      <c r="I108" s="212"/>
      <c r="J108" s="279" t="s">
        <v>237</v>
      </c>
      <c r="K108" s="307" t="s">
        <v>238</v>
      </c>
      <c r="L108" s="66"/>
      <c r="M108" s="66"/>
      <c r="N108" s="66"/>
      <c r="O108" s="66"/>
      <c r="P108" s="66" t="str">
        <f t="shared" si="9"/>
        <v>LUALHATI PAULO ANDREW PUNZALAN</v>
      </c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 spans="1:27" ht="18" customHeight="1">
      <c r="A109" s="188">
        <v>23</v>
      </c>
      <c r="B109" s="193" t="s">
        <v>531</v>
      </c>
      <c r="C109" s="193" t="s">
        <v>19</v>
      </c>
      <c r="D109" s="194" t="s">
        <v>24</v>
      </c>
      <c r="E109" s="204" t="s">
        <v>552</v>
      </c>
      <c r="F109" s="204" t="s">
        <v>553</v>
      </c>
      <c r="G109" s="204" t="s">
        <v>554</v>
      </c>
      <c r="H109" s="205"/>
      <c r="I109" s="212"/>
      <c r="J109" s="279" t="s">
        <v>555</v>
      </c>
      <c r="K109" s="307" t="s">
        <v>556</v>
      </c>
      <c r="L109" s="66"/>
      <c r="M109" s="66"/>
      <c r="N109" s="66"/>
      <c r="O109" s="66"/>
      <c r="P109" s="66" t="str">
        <f t="shared" si="9"/>
        <v>SARMIENTO ERIC BUDY</v>
      </c>
      <c r="Q109" s="66" t="str">
        <f>IFERROR(VLOOKUP(P109,[1]Disposition!$AB$9:$AC$495,2,0),"NO RECORD YET")</f>
        <v>067, Constantino (Pob), Virac, Catanduanes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18" customHeight="1">
      <c r="A110" s="188">
        <v>24</v>
      </c>
      <c r="B110" s="193" t="s">
        <v>352</v>
      </c>
      <c r="C110" s="193" t="s">
        <v>39</v>
      </c>
      <c r="D110" s="190" t="s">
        <v>28</v>
      </c>
      <c r="E110" s="191" t="s">
        <v>372</v>
      </c>
      <c r="F110" s="191" t="s">
        <v>373</v>
      </c>
      <c r="G110" s="191" t="s">
        <v>374</v>
      </c>
      <c r="H110" s="192"/>
      <c r="I110" s="212"/>
      <c r="J110" s="281" t="s">
        <v>375</v>
      </c>
      <c r="K110" s="307" t="s">
        <v>376</v>
      </c>
      <c r="L110" s="66"/>
      <c r="M110" s="66"/>
      <c r="N110" s="66"/>
      <c r="O110" s="66"/>
      <c r="P110" s="66" t="str">
        <f t="shared" si="9"/>
        <v>ABRIAM ANNETH VALERIE MALNAT</v>
      </c>
      <c r="Q110" s="66" t="str">
        <f>IFERROR(VLOOKUP(P110,[1]Disposition!$AB$9:$AC$495,2,0),"NO RECORD YET")</f>
        <v>NO RECORD YET</v>
      </c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8" customHeight="1">
      <c r="A111" s="188">
        <v>25</v>
      </c>
      <c r="B111" s="193" t="s">
        <v>580</v>
      </c>
      <c r="C111" s="189" t="s">
        <v>19</v>
      </c>
      <c r="D111" s="194" t="s">
        <v>28</v>
      </c>
      <c r="E111" s="204" t="s">
        <v>585</v>
      </c>
      <c r="F111" s="204" t="s">
        <v>586</v>
      </c>
      <c r="G111" s="204" t="s">
        <v>587</v>
      </c>
      <c r="H111" s="205" t="s">
        <v>268</v>
      </c>
      <c r="I111" s="210"/>
      <c r="J111" s="279"/>
      <c r="K111" s="282"/>
      <c r="L111" s="66"/>
      <c r="M111" s="66"/>
      <c r="N111" s="66"/>
      <c r="O111" s="66"/>
      <c r="P111" s="66" t="str">
        <f t="shared" si="9"/>
        <v>AGOS CELSO TAPONG</v>
      </c>
      <c r="Q111" s="66" t="str">
        <f>IFERROR(VLOOKUP(P111,[1]Disposition!$AB$9:$AC$495,2,0),"NO RECORD YET")</f>
        <v>NO RECORD YET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18" customHeight="1">
      <c r="A112" s="188">
        <v>26</v>
      </c>
      <c r="B112" s="193" t="s">
        <v>252</v>
      </c>
      <c r="C112" s="193" t="s">
        <v>19</v>
      </c>
      <c r="D112" s="190" t="s">
        <v>28</v>
      </c>
      <c r="E112" s="195" t="s">
        <v>259</v>
      </c>
      <c r="F112" s="195" t="s">
        <v>260</v>
      </c>
      <c r="G112" s="195" t="s">
        <v>261</v>
      </c>
      <c r="H112" s="194"/>
      <c r="I112" s="212"/>
      <c r="J112" s="281" t="s">
        <v>262</v>
      </c>
      <c r="K112" s="307" t="s">
        <v>263</v>
      </c>
      <c r="L112" s="66"/>
      <c r="M112" s="66"/>
      <c r="N112" s="66"/>
      <c r="O112" s="66"/>
      <c r="P112" s="66" t="str">
        <f t="shared" si="9"/>
        <v>AGUILANDO ADAMSON BANDONG</v>
      </c>
      <c r="Q112" s="66" t="str">
        <f>IFERROR(VLOOKUP(P112,[1]Disposition!$AB$9:$AC$495,2,0),"NO RECORD YET")</f>
        <v>NO RECORD YET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18" customHeight="1">
      <c r="A113" s="188">
        <v>27</v>
      </c>
      <c r="B113" s="193" t="s">
        <v>729</v>
      </c>
      <c r="C113" s="193" t="s">
        <v>19</v>
      </c>
      <c r="D113" s="190" t="s">
        <v>28</v>
      </c>
      <c r="E113" s="195" t="s">
        <v>735</v>
      </c>
      <c r="F113" s="195" t="s">
        <v>736</v>
      </c>
      <c r="G113" s="195" t="s">
        <v>737</v>
      </c>
      <c r="H113" s="194"/>
      <c r="I113" s="212"/>
      <c r="J113" s="281" t="s">
        <v>738</v>
      </c>
      <c r="K113" s="307" t="s">
        <v>739</v>
      </c>
      <c r="L113" s="66"/>
      <c r="M113" s="66"/>
      <c r="N113" s="66"/>
      <c r="O113" s="66"/>
      <c r="P113" s="66" t="str">
        <f t="shared" si="9"/>
        <v>ANABON LEVI ABAGGUE</v>
      </c>
      <c r="Q113" s="66" t="str">
        <f>IFERROR(VLOOKUP(P113,[1]Disposition!$AB$9:$AC$495,2,0),"NO RECORD YET")</f>
        <v>NO RECORD YET</v>
      </c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18" customHeight="1">
      <c r="A114" s="188">
        <v>28</v>
      </c>
      <c r="B114" s="193" t="s">
        <v>531</v>
      </c>
      <c r="C114" s="193" t="s">
        <v>19</v>
      </c>
      <c r="D114" s="190" t="s">
        <v>28</v>
      </c>
      <c r="E114" s="195" t="s">
        <v>557</v>
      </c>
      <c r="F114" s="195" t="s">
        <v>558</v>
      </c>
      <c r="G114" s="195" t="s">
        <v>559</v>
      </c>
      <c r="H114" s="194"/>
      <c r="I114" s="212"/>
      <c r="J114" s="281" t="s">
        <v>560</v>
      </c>
      <c r="K114" s="307" t="s">
        <v>561</v>
      </c>
      <c r="L114" s="66"/>
      <c r="M114" s="66"/>
      <c r="N114" s="66"/>
      <c r="O114" s="66"/>
      <c r="P114" s="66" t="str">
        <f t="shared" si="9"/>
        <v>ARGAWANON JUNREY BOOC</v>
      </c>
      <c r="Q114" s="66" t="str">
        <f>IFERROR(VLOOKUP(P114,[1]Disposition!$AB$9:$AC$495,2,0),"NO RECORD YET")</f>
        <v>NO RECORD YET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18" customHeight="1">
      <c r="A115" s="188">
        <v>29</v>
      </c>
      <c r="B115" s="193" t="s">
        <v>264</v>
      </c>
      <c r="C115" s="193" t="s">
        <v>19</v>
      </c>
      <c r="D115" s="190" t="s">
        <v>28</v>
      </c>
      <c r="E115" s="195" t="s">
        <v>265</v>
      </c>
      <c r="F115" s="195" t="s">
        <v>266</v>
      </c>
      <c r="G115" s="195" t="s">
        <v>267</v>
      </c>
      <c r="H115" s="194" t="s">
        <v>268</v>
      </c>
      <c r="I115" s="212"/>
      <c r="J115" s="281" t="s">
        <v>269</v>
      </c>
      <c r="K115" s="307" t="s">
        <v>270</v>
      </c>
      <c r="L115" s="66"/>
      <c r="M115" s="66"/>
      <c r="N115" s="66"/>
      <c r="O115" s="66"/>
      <c r="P115" s="66" t="str">
        <f t="shared" si="9"/>
        <v>BACATAN FERDINAND JALOVA</v>
      </c>
      <c r="Q115" s="66" t="str">
        <f>IFERROR(VLOOKUP(P115,[1]Disposition!$AB$9:$AC$495,2,0),"NO RECORD YET")</f>
        <v>NO RECORD YET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18" customHeight="1">
      <c r="A116" s="188">
        <v>30</v>
      </c>
      <c r="B116" s="193" t="s">
        <v>763</v>
      </c>
      <c r="C116" s="193" t="s">
        <v>19</v>
      </c>
      <c r="D116" s="190" t="s">
        <v>28</v>
      </c>
      <c r="E116" s="195" t="s">
        <v>769</v>
      </c>
      <c r="F116" s="195" t="s">
        <v>770</v>
      </c>
      <c r="G116" s="195" t="s">
        <v>771</v>
      </c>
      <c r="H116" s="194"/>
      <c r="I116" s="212"/>
      <c r="J116" s="281" t="s">
        <v>772</v>
      </c>
      <c r="K116" s="307" t="s">
        <v>773</v>
      </c>
      <c r="L116" s="66"/>
      <c r="M116" s="66"/>
      <c r="N116" s="66"/>
      <c r="O116" s="66"/>
      <c r="P116" s="66" t="str">
        <f t="shared" si="9"/>
        <v>BALDOS MARK ANTHONY BUNGAG</v>
      </c>
      <c r="Q116" s="66" t="str">
        <f>IFERROR(VLOOKUP(P116,[1]Disposition!$AB$9:$AC$495,2,0),"NO RECORD YET")</f>
        <v>NO RECORD YET</v>
      </c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18" customHeight="1">
      <c r="A117" s="188">
        <v>31</v>
      </c>
      <c r="B117" s="189" t="s">
        <v>703</v>
      </c>
      <c r="C117" s="193" t="s">
        <v>19</v>
      </c>
      <c r="D117" s="190" t="s">
        <v>28</v>
      </c>
      <c r="E117" s="195" t="s">
        <v>709</v>
      </c>
      <c r="F117" s="195" t="s">
        <v>710</v>
      </c>
      <c r="G117" s="195" t="s">
        <v>711</v>
      </c>
      <c r="H117" s="194"/>
      <c r="I117" s="212"/>
      <c r="J117" s="281" t="s">
        <v>712</v>
      </c>
      <c r="K117" s="307" t="s">
        <v>713</v>
      </c>
      <c r="L117" s="66"/>
      <c r="M117" s="66"/>
      <c r="N117" s="66"/>
      <c r="O117" s="66"/>
      <c r="P117" s="66" t="str">
        <f t="shared" si="9"/>
        <v>BERMUDEZ PAUL ARNIE VIC DINEROS</v>
      </c>
      <c r="Q117" s="66" t="str">
        <f>IFERROR(VLOOKUP(P117,[1]Disposition!$AB$9:$AC$495,2,0),"NO RECORD YET")</f>
        <v>NO RECORD YET</v>
      </c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18" customHeight="1">
      <c r="A118" s="188">
        <v>32</v>
      </c>
      <c r="B118" s="193" t="s">
        <v>665</v>
      </c>
      <c r="C118" s="193" t="s">
        <v>19</v>
      </c>
      <c r="D118" s="190" t="s">
        <v>28</v>
      </c>
      <c r="E118" s="195" t="s">
        <v>671</v>
      </c>
      <c r="F118" s="195" t="s">
        <v>672</v>
      </c>
      <c r="G118" s="195" t="s">
        <v>673</v>
      </c>
      <c r="H118" s="194" t="s">
        <v>268</v>
      </c>
      <c r="I118" s="210"/>
      <c r="J118" s="281" t="s">
        <v>674</v>
      </c>
      <c r="K118" s="307" t="s">
        <v>675</v>
      </c>
      <c r="L118" s="293"/>
      <c r="M118" s="293"/>
      <c r="N118" s="293"/>
      <c r="O118" s="293"/>
      <c r="P118" s="293" t="str">
        <f t="shared" si="9"/>
        <v>BOLISLIS JIMMY BANG-AS</v>
      </c>
      <c r="Q118" s="293" t="str">
        <f>IFERROR(VLOOKUP(P118,[1]Disposition!$AB$9:$AC$495,2,0),"NO RECORD YET")</f>
        <v>NO RECORD YET</v>
      </c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</row>
    <row r="119" spans="1:27" ht="18" customHeight="1">
      <c r="A119" s="188">
        <v>33</v>
      </c>
      <c r="B119" s="193" t="s">
        <v>1229</v>
      </c>
      <c r="C119" s="189" t="s">
        <v>19</v>
      </c>
      <c r="D119" s="194" t="s">
        <v>28</v>
      </c>
      <c r="E119" s="195" t="s">
        <v>1243</v>
      </c>
      <c r="F119" s="195" t="s">
        <v>1244</v>
      </c>
      <c r="G119" s="195" t="s">
        <v>1245</v>
      </c>
      <c r="H119" s="194"/>
      <c r="I119" s="210"/>
      <c r="J119" s="281" t="s">
        <v>1246</v>
      </c>
      <c r="K119" s="307" t="s">
        <v>1247</v>
      </c>
      <c r="L119" s="66"/>
      <c r="M119" s="66"/>
      <c r="N119" s="66"/>
      <c r="O119" s="66"/>
      <c r="P119" s="66" t="str">
        <f t="shared" si="9"/>
        <v>BURIGSAY MARC IVOR JAN SABAYLE</v>
      </c>
      <c r="Q119" s="66" t="str">
        <f>IFERROR(VLOOKUP(P119,[1]Disposition!$AB$9:$AC$495,2,0),"NO RECORD YET")</f>
        <v>NO RECORD YET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18" customHeight="1">
      <c r="A120" s="188">
        <v>34</v>
      </c>
      <c r="B120" s="193" t="s">
        <v>580</v>
      </c>
      <c r="C120" s="294" t="s">
        <v>19</v>
      </c>
      <c r="D120" s="190" t="s">
        <v>28</v>
      </c>
      <c r="E120" s="195" t="s">
        <v>588</v>
      </c>
      <c r="F120" s="195" t="s">
        <v>589</v>
      </c>
      <c r="G120" s="195" t="s">
        <v>590</v>
      </c>
      <c r="H120" s="194"/>
      <c r="I120" s="212"/>
      <c r="J120" s="281" t="s">
        <v>591</v>
      </c>
      <c r="K120" s="307" t="s">
        <v>592</v>
      </c>
      <c r="L120" s="66"/>
      <c r="M120" s="66"/>
      <c r="N120" s="66"/>
      <c r="O120" s="66"/>
      <c r="P120" s="66" t="str">
        <f t="shared" si="9"/>
        <v>CABADING ELIJAH VINCENT SERANDON</v>
      </c>
      <c r="Q120" s="66" t="str">
        <f>IFERROR(VLOOKUP(P120,[1]Disposition!$AB$9:$AC$495,2,0),"NO RECORD YET")</f>
        <v>NO RECORD YET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18" customHeight="1">
      <c r="A121" s="188">
        <v>35</v>
      </c>
      <c r="B121" s="193" t="s">
        <v>335</v>
      </c>
      <c r="C121" s="193" t="s">
        <v>19</v>
      </c>
      <c r="D121" s="190" t="s">
        <v>28</v>
      </c>
      <c r="E121" s="195" t="s">
        <v>336</v>
      </c>
      <c r="F121" s="195" t="s">
        <v>337</v>
      </c>
      <c r="G121" s="195" t="s">
        <v>338</v>
      </c>
      <c r="H121" s="194"/>
      <c r="I121" s="212"/>
      <c r="J121" s="281" t="s">
        <v>339</v>
      </c>
      <c r="K121" s="307" t="s">
        <v>340</v>
      </c>
      <c r="L121" s="66"/>
      <c r="M121" s="66"/>
      <c r="N121" s="66"/>
      <c r="O121" s="66"/>
      <c r="P121" s="66" t="str">
        <f t="shared" si="9"/>
        <v>CAGUITE JOHN REX ALIDO</v>
      </c>
      <c r="Q121" s="66" t="str">
        <f>IFERROR(VLOOKUP(P121,[1]Disposition!$AB$9:$AC$495,2,0),"NO RECORD YET")</f>
        <v>NO RECORD YET</v>
      </c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18" customHeight="1">
      <c r="A122" s="188">
        <v>36</v>
      </c>
      <c r="B122" s="193" t="s">
        <v>1065</v>
      </c>
      <c r="C122" s="189" t="s">
        <v>19</v>
      </c>
      <c r="D122" s="194" t="s">
        <v>28</v>
      </c>
      <c r="E122" s="195" t="s">
        <v>1177</v>
      </c>
      <c r="F122" s="195" t="s">
        <v>432</v>
      </c>
      <c r="G122" s="195" t="s">
        <v>1178</v>
      </c>
      <c r="H122" s="194" t="s">
        <v>268</v>
      </c>
      <c r="I122" s="210"/>
      <c r="J122" s="281" t="s">
        <v>1179</v>
      </c>
      <c r="K122" s="307" t="s">
        <v>1180</v>
      </c>
      <c r="L122" s="66"/>
      <c r="M122" s="66"/>
      <c r="N122" s="66"/>
      <c r="O122" s="66"/>
      <c r="P122" s="66" t="str">
        <f t="shared" si="9"/>
        <v>CARIAGA ROBERTO GERMONO</v>
      </c>
      <c r="Q122" s="66" t="str">
        <f>IFERROR(VLOOKUP(P122,[1]Disposition!$AB$9:$AC$495,2,0),"NO RECORD YET")</f>
        <v>NO RECORD YET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18" customHeight="1">
      <c r="A123" s="188">
        <v>37</v>
      </c>
      <c r="B123" s="193" t="s">
        <v>1229</v>
      </c>
      <c r="C123" s="189" t="s">
        <v>19</v>
      </c>
      <c r="D123" s="194" t="s">
        <v>28</v>
      </c>
      <c r="E123" s="195" t="s">
        <v>311</v>
      </c>
      <c r="F123" s="195" t="s">
        <v>1248</v>
      </c>
      <c r="G123" s="195" t="s">
        <v>1249</v>
      </c>
      <c r="H123" s="194"/>
      <c r="I123" s="210"/>
      <c r="J123" s="281" t="s">
        <v>1250</v>
      </c>
      <c r="K123" s="307" t="s">
        <v>1251</v>
      </c>
      <c r="L123" s="66"/>
      <c r="M123" s="66"/>
      <c r="N123" s="66"/>
      <c r="O123" s="66"/>
      <c r="P123" s="66" t="str">
        <f t="shared" si="9"/>
        <v>CASTRO VOLTAIRE LACAYAN</v>
      </c>
      <c r="Q123" s="66" t="str">
        <f>IFERROR(VLOOKUP(P123,[1]Disposition!$AB$9:$AC$495,2,0),"NO RECORD YET")</f>
        <v>NO RECORD YET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18" customHeight="1">
      <c r="A124" s="188">
        <v>38</v>
      </c>
      <c r="B124" s="193" t="s">
        <v>479</v>
      </c>
      <c r="C124" s="193" t="s">
        <v>19</v>
      </c>
      <c r="D124" s="190" t="s">
        <v>28</v>
      </c>
      <c r="E124" s="195" t="s">
        <v>495</v>
      </c>
      <c r="F124" s="195" t="s">
        <v>496</v>
      </c>
      <c r="G124" s="195" t="s">
        <v>497</v>
      </c>
      <c r="H124" s="194"/>
      <c r="I124" s="212"/>
      <c r="J124" s="185" t="s">
        <v>498</v>
      </c>
      <c r="K124" s="307" t="s">
        <v>499</v>
      </c>
      <c r="L124" s="66"/>
      <c r="M124" s="66"/>
      <c r="N124" s="66"/>
      <c r="O124" s="66"/>
      <c r="P124" s="66" t="str">
        <f t="shared" si="9"/>
        <v>CODIMO SOLOMON MADLAENG</v>
      </c>
      <c r="Q124" s="66" t="str">
        <f>IFERROR(VLOOKUP(P124,[1]Disposition!$AB$9:$AC$495,2,0),"NO RECORD YET")</f>
        <v>NO RECORD YET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18" customHeight="1">
      <c r="A125" s="188">
        <v>39</v>
      </c>
      <c r="B125" s="193" t="s">
        <v>446</v>
      </c>
      <c r="C125" s="193" t="s">
        <v>19</v>
      </c>
      <c r="D125" s="190" t="s">
        <v>28</v>
      </c>
      <c r="E125" s="195" t="s">
        <v>457</v>
      </c>
      <c r="F125" s="195" t="s">
        <v>458</v>
      </c>
      <c r="G125" s="195" t="s">
        <v>459</v>
      </c>
      <c r="H125" s="194"/>
      <c r="I125" s="212"/>
      <c r="J125" s="281" t="s">
        <v>460</v>
      </c>
      <c r="K125" s="307" t="s">
        <v>461</v>
      </c>
      <c r="L125" s="66"/>
      <c r="M125" s="66"/>
      <c r="N125" s="66"/>
      <c r="O125" s="66"/>
      <c r="P125" s="66" t="str">
        <f t="shared" si="9"/>
        <v>CORDERO EARLBON JIMENEZ</v>
      </c>
      <c r="Q125" s="66" t="str">
        <f>IFERROR(VLOOKUP(P125,[1]Disposition!$AB$9:$AC$495,2,0),"NO RECORD YET")</f>
        <v>NO RECORD YET</v>
      </c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18" customHeight="1">
      <c r="A126" s="188">
        <v>40</v>
      </c>
      <c r="B126" s="193" t="s">
        <v>301</v>
      </c>
      <c r="C126" s="193" t="s">
        <v>19</v>
      </c>
      <c r="D126" s="190" t="s">
        <v>28</v>
      </c>
      <c r="E126" s="195" t="s">
        <v>316</v>
      </c>
      <c r="F126" s="195" t="s">
        <v>317</v>
      </c>
      <c r="G126" s="195" t="s">
        <v>318</v>
      </c>
      <c r="H126" s="194"/>
      <c r="I126" s="212"/>
      <c r="J126" s="281" t="s">
        <v>319</v>
      </c>
      <c r="K126" s="307" t="s">
        <v>320</v>
      </c>
      <c r="L126" s="66"/>
      <c r="M126" s="66"/>
      <c r="N126" s="66"/>
      <c r="O126" s="66"/>
      <c r="P126" s="66" t="str">
        <f t="shared" si="9"/>
        <v>CORTEZ JERWIN AQUINO</v>
      </c>
      <c r="Q126" s="66" t="str">
        <f>IFERROR(VLOOKUP(P126,[1]Disposition!$AB$9:$AC$495,2,0),"NO RECORD YET")</f>
        <v>NO RECORD YET</v>
      </c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18" customHeight="1">
      <c r="A127" s="188">
        <v>41</v>
      </c>
      <c r="B127" s="193" t="s">
        <v>1065</v>
      </c>
      <c r="C127" s="189" t="s">
        <v>19</v>
      </c>
      <c r="D127" s="194" t="s">
        <v>28</v>
      </c>
      <c r="E127" s="195" t="s">
        <v>1181</v>
      </c>
      <c r="F127" s="195" t="s">
        <v>1182</v>
      </c>
      <c r="G127" s="195" t="s">
        <v>1183</v>
      </c>
      <c r="H127" s="194"/>
      <c r="I127" s="212"/>
      <c r="J127" s="281" t="s">
        <v>1184</v>
      </c>
      <c r="K127" s="307" t="s">
        <v>1185</v>
      </c>
      <c r="L127" s="66"/>
      <c r="M127" s="66"/>
      <c r="N127" s="66"/>
      <c r="O127" s="66"/>
      <c r="P127" s="66" t="str">
        <f t="shared" si="9"/>
        <v>COSISI FREDERICK BAON</v>
      </c>
      <c r="Q127" s="66" t="str">
        <f>IFERROR(VLOOKUP(P127,[1]Disposition!$AB$9:$AC$495,2,0),"NO RECORD YET")</f>
        <v>NO RECORD YET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18" customHeight="1">
      <c r="A128" s="188">
        <v>42</v>
      </c>
      <c r="B128" s="193" t="s">
        <v>1065</v>
      </c>
      <c r="C128" s="189" t="s">
        <v>19</v>
      </c>
      <c r="D128" s="194" t="s">
        <v>28</v>
      </c>
      <c r="E128" s="195" t="s">
        <v>999</v>
      </c>
      <c r="F128" s="195" t="s">
        <v>1186</v>
      </c>
      <c r="G128" s="195" t="s">
        <v>1187</v>
      </c>
      <c r="H128" s="194"/>
      <c r="I128" s="212"/>
      <c r="J128" s="281" t="s">
        <v>1188</v>
      </c>
      <c r="K128" s="307" t="s">
        <v>1189</v>
      </c>
      <c r="L128" s="66"/>
      <c r="M128" s="66"/>
      <c r="N128" s="66"/>
      <c r="O128" s="66"/>
      <c r="P128" s="66" t="str">
        <f t="shared" si="9"/>
        <v>DE LEON CHRISTOPHER PEREZ</v>
      </c>
      <c r="Q128" s="66" t="str">
        <f>IFERROR(VLOOKUP(P128,[1]Disposition!$AB$9:$AC$495,2,0),"NO RECORD YET")</f>
        <v>NO RECORD YET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18" customHeight="1">
      <c r="A129" s="188">
        <v>43</v>
      </c>
      <c r="B129" s="193" t="s">
        <v>1065</v>
      </c>
      <c r="C129" s="189" t="s">
        <v>19</v>
      </c>
      <c r="D129" s="194" t="s">
        <v>28</v>
      </c>
      <c r="E129" s="195" t="s">
        <v>135</v>
      </c>
      <c r="F129" s="195" t="s">
        <v>1190</v>
      </c>
      <c r="G129" s="195" t="s">
        <v>1191</v>
      </c>
      <c r="H129" s="194"/>
      <c r="I129" s="212"/>
      <c r="J129" s="281" t="s">
        <v>1192</v>
      </c>
      <c r="K129" s="307" t="s">
        <v>1193</v>
      </c>
      <c r="L129" s="66"/>
      <c r="M129" s="66"/>
      <c r="N129" s="66"/>
      <c r="O129" s="66"/>
      <c r="P129" s="66" t="str">
        <f t="shared" si="9"/>
        <v>DEL ROSARIO BRIGGS TABORA</v>
      </c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18" customHeight="1">
      <c r="A130" s="188">
        <v>44</v>
      </c>
      <c r="B130" s="193" t="s">
        <v>633</v>
      </c>
      <c r="C130" s="193" t="s">
        <v>19</v>
      </c>
      <c r="D130" s="190" t="s">
        <v>28</v>
      </c>
      <c r="E130" s="195" t="s">
        <v>639</v>
      </c>
      <c r="F130" s="195" t="s">
        <v>640</v>
      </c>
      <c r="G130" s="195" t="s">
        <v>256</v>
      </c>
      <c r="H130" s="194"/>
      <c r="I130" s="212"/>
      <c r="J130" s="281" t="s">
        <v>641</v>
      </c>
      <c r="K130" s="307" t="s">
        <v>642</v>
      </c>
      <c r="L130" s="66"/>
      <c r="M130" s="66"/>
      <c r="N130" s="66"/>
      <c r="O130" s="66"/>
      <c r="P130" s="66" t="str">
        <f t="shared" si="9"/>
        <v>FONTANILLA JASON PATRICK DELA CRUZ</v>
      </c>
      <c r="Q130" s="66" t="str">
        <f>IFERROR(VLOOKUP(P130,[1]Disposition!$AB$9:$AC$495,2,0),"NO RECORD YET")</f>
        <v>NO RECORD YET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18" customHeight="1">
      <c r="A131" s="188">
        <v>45</v>
      </c>
      <c r="B131" s="193" t="s">
        <v>694</v>
      </c>
      <c r="C131" s="193" t="s">
        <v>19</v>
      </c>
      <c r="D131" s="190" t="s">
        <v>28</v>
      </c>
      <c r="E131" s="195" t="s">
        <v>698</v>
      </c>
      <c r="F131" s="195" t="s">
        <v>699</v>
      </c>
      <c r="G131" s="195" t="s">
        <v>700</v>
      </c>
      <c r="H131" s="194"/>
      <c r="I131" s="212"/>
      <c r="J131" s="281" t="s">
        <v>701</v>
      </c>
      <c r="K131" s="307" t="s">
        <v>702</v>
      </c>
      <c r="L131" s="66"/>
      <c r="M131" s="66"/>
      <c r="N131" s="66"/>
      <c r="O131" s="66"/>
      <c r="P131" s="66" t="str">
        <f t="shared" si="9"/>
        <v>GALLARDE SUNNY BOY GALUYO</v>
      </c>
      <c r="Q131" s="66" t="str">
        <f>IFERROR(VLOOKUP(P131,[1]Disposition!$AB$9:$AC$495,2,0),"NO RECORD YET")</f>
        <v>NO RECORD YET</v>
      </c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18" customHeight="1">
      <c r="A132" s="188">
        <v>46</v>
      </c>
      <c r="B132" s="193" t="s">
        <v>607</v>
      </c>
      <c r="C132" s="193" t="s">
        <v>19</v>
      </c>
      <c r="D132" s="194" t="s">
        <v>28</v>
      </c>
      <c r="E132" s="204" t="s">
        <v>608</v>
      </c>
      <c r="F132" s="204" t="s">
        <v>609</v>
      </c>
      <c r="G132" s="204" t="s">
        <v>610</v>
      </c>
      <c r="H132" s="194" t="s">
        <v>268</v>
      </c>
      <c r="I132" s="210"/>
      <c r="J132" s="279" t="s">
        <v>611</v>
      </c>
      <c r="K132" s="307" t="s">
        <v>612</v>
      </c>
      <c r="L132" s="66"/>
      <c r="M132" s="66"/>
      <c r="N132" s="66"/>
      <c r="O132" s="66"/>
      <c r="P132" s="66" t="str">
        <f t="shared" si="9"/>
        <v>GILL AJIT MENOR</v>
      </c>
      <c r="Q132" s="66" t="str">
        <f>IFERROR(VLOOKUP(P132,[1]Disposition!$AB$9:$AC$495,2,0),"NO RECORD YET")</f>
        <v>Phase 1 Blk 12 Lot 14 LOT 7, San Isidro, Rodriguez, Rizal</v>
      </c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18" customHeight="1">
      <c r="A133" s="188">
        <v>47</v>
      </c>
      <c r="B133" s="193" t="s">
        <v>430</v>
      </c>
      <c r="C133" s="193" t="s">
        <v>39</v>
      </c>
      <c r="D133" s="194" t="s">
        <v>28</v>
      </c>
      <c r="E133" s="204" t="s">
        <v>436</v>
      </c>
      <c r="F133" s="204" t="s">
        <v>437</v>
      </c>
      <c r="G133" s="204" t="s">
        <v>438</v>
      </c>
      <c r="H133" s="205"/>
      <c r="I133" s="212"/>
      <c r="J133" s="279" t="s">
        <v>439</v>
      </c>
      <c r="K133" s="307" t="s">
        <v>440</v>
      </c>
      <c r="L133" s="66"/>
      <c r="M133" s="66"/>
      <c r="N133" s="66"/>
      <c r="O133" s="66"/>
      <c r="P133" s="66" t="str">
        <f t="shared" si="9"/>
        <v>GUAVINO CHE-YENNE LAZARITO</v>
      </c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18" customHeight="1">
      <c r="A134" s="188">
        <v>48</v>
      </c>
      <c r="B134" s="193" t="s">
        <v>1229</v>
      </c>
      <c r="C134" s="189" t="s">
        <v>19</v>
      </c>
      <c r="D134" s="194" t="s">
        <v>28</v>
      </c>
      <c r="E134" s="195" t="s">
        <v>1252</v>
      </c>
      <c r="F134" s="195" t="s">
        <v>1253</v>
      </c>
      <c r="G134" s="195" t="s">
        <v>311</v>
      </c>
      <c r="H134" s="194" t="s">
        <v>268</v>
      </c>
      <c r="I134" s="212"/>
      <c r="J134" s="281" t="s">
        <v>1254</v>
      </c>
      <c r="K134" s="307" t="s">
        <v>1255</v>
      </c>
      <c r="L134" s="66"/>
      <c r="M134" s="66"/>
      <c r="N134" s="66"/>
      <c r="O134" s="66"/>
      <c r="P134" s="66" t="str">
        <f t="shared" si="9"/>
        <v>HERRERA  EDGARDO CASTRO</v>
      </c>
      <c r="Q134" s="66" t="str">
        <f>IFERROR(VLOOKUP(P134,[1]Disposition!$AB$9:$AC$495,2,0),"NO RECORD YET")</f>
        <v>NO RECORD YET</v>
      </c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18" customHeight="1">
      <c r="A135" s="188">
        <v>49</v>
      </c>
      <c r="B135" s="193" t="s">
        <v>430</v>
      </c>
      <c r="C135" s="193" t="s">
        <v>19</v>
      </c>
      <c r="D135" s="194" t="s">
        <v>28</v>
      </c>
      <c r="E135" s="204" t="s">
        <v>441</v>
      </c>
      <c r="F135" s="204" t="s">
        <v>442</v>
      </c>
      <c r="G135" s="204" t="s">
        <v>443</v>
      </c>
      <c r="H135" s="205"/>
      <c r="I135" s="212"/>
      <c r="J135" s="279" t="s">
        <v>444</v>
      </c>
      <c r="K135" s="307" t="s">
        <v>445</v>
      </c>
      <c r="L135" s="66"/>
      <c r="M135" s="66"/>
      <c r="N135" s="66"/>
      <c r="O135" s="66"/>
      <c r="P135" s="66" t="str">
        <f t="shared" si="9"/>
        <v>INALVEZ NEIL ADRIAN NUCOM</v>
      </c>
      <c r="Q135" s="66" t="str">
        <f>IFERROR(VLOOKUP(P135,[1]Disposition!$AB$9:$AC$495,2,0),"NO RECORD YET")</f>
        <v>676 Purok KB3, Maugat, San Antonio, Nueva Ecija,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18" customHeight="1">
      <c r="A136" s="188">
        <v>50</v>
      </c>
      <c r="B136" s="193" t="s">
        <v>1229</v>
      </c>
      <c r="C136" s="231" t="s">
        <v>19</v>
      </c>
      <c r="D136" s="194" t="s">
        <v>28</v>
      </c>
      <c r="E136" s="204" t="s">
        <v>87</v>
      </c>
      <c r="F136" s="204" t="s">
        <v>1256</v>
      </c>
      <c r="G136" s="204" t="s">
        <v>914</v>
      </c>
      <c r="H136" s="205"/>
      <c r="I136" s="212"/>
      <c r="J136" s="279" t="s">
        <v>1257</v>
      </c>
      <c r="K136" s="307" t="s">
        <v>1258</v>
      </c>
      <c r="L136" s="66"/>
      <c r="M136" s="66"/>
      <c r="N136" s="66"/>
      <c r="O136" s="66"/>
      <c r="P136" s="66" t="str">
        <f t="shared" si="9"/>
        <v>LLANEZA MARC LEE</v>
      </c>
      <c r="Q136" s="66" t="str">
        <f>IFERROR(VLOOKUP(P136,[1]Disposition!$AB$9:$AC$495,2,0),"NO RECORD YET")</f>
        <v>10-E Rajah Soliman St., Santa Lucia, Quezon City</v>
      </c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18" customHeight="1">
      <c r="A137" s="188">
        <v>51</v>
      </c>
      <c r="B137" s="193" t="s">
        <v>531</v>
      </c>
      <c r="C137" s="193" t="s">
        <v>19</v>
      </c>
      <c r="D137" s="190" t="s">
        <v>28</v>
      </c>
      <c r="E137" s="195" t="s">
        <v>562</v>
      </c>
      <c r="F137" s="195" t="s">
        <v>22</v>
      </c>
      <c r="G137" s="195" t="s">
        <v>563</v>
      </c>
      <c r="H137" s="194" t="s">
        <v>268</v>
      </c>
      <c r="I137" s="212"/>
      <c r="J137" s="281" t="s">
        <v>564</v>
      </c>
      <c r="K137" s="307" t="s">
        <v>565</v>
      </c>
      <c r="L137" s="66"/>
      <c r="M137" s="66"/>
      <c r="N137" s="66"/>
      <c r="O137" s="66"/>
      <c r="P137" s="66" t="str">
        <f t="shared" si="9"/>
        <v>MACAWILE ROMY INCISO</v>
      </c>
      <c r="Q137" s="66" t="str">
        <f>IFERROR(VLOOKUP(P137,[1]Disposition!$AB$9:$AC$495,2,0),"NO RECORD YET")</f>
        <v>NO RECORD YET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18" customHeight="1">
      <c r="A138" s="188">
        <v>52</v>
      </c>
      <c r="B138" s="193" t="s">
        <v>479</v>
      </c>
      <c r="C138" s="193" t="s">
        <v>19</v>
      </c>
      <c r="D138" s="190" t="s">
        <v>28</v>
      </c>
      <c r="E138" s="195" t="s">
        <v>500</v>
      </c>
      <c r="F138" s="195" t="s">
        <v>501</v>
      </c>
      <c r="G138" s="195" t="s">
        <v>502</v>
      </c>
      <c r="H138" s="194"/>
      <c r="I138" s="212"/>
      <c r="J138" s="281" t="s">
        <v>503</v>
      </c>
      <c r="K138" s="307" t="s">
        <v>504</v>
      </c>
      <c r="L138" s="66"/>
      <c r="M138" s="66"/>
      <c r="N138" s="66"/>
      <c r="O138" s="66"/>
      <c r="P138" s="66" t="str">
        <f t="shared" si="9"/>
        <v>MANGOBA ROMMEL JAZMIN</v>
      </c>
      <c r="Q138" s="66" t="str">
        <f>IFERROR(VLOOKUP(P138,[1]Disposition!$AB$9:$AC$495,2,0),"NO RECORD YET")</f>
        <v>NO RECORD YET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18" customHeight="1">
      <c r="A139" s="188">
        <v>53</v>
      </c>
      <c r="B139" s="193" t="s">
        <v>301</v>
      </c>
      <c r="C139" s="193" t="s">
        <v>19</v>
      </c>
      <c r="D139" s="190" t="s">
        <v>28</v>
      </c>
      <c r="E139" s="195" t="s">
        <v>321</v>
      </c>
      <c r="F139" s="195" t="s">
        <v>322</v>
      </c>
      <c r="G139" s="195" t="s">
        <v>323</v>
      </c>
      <c r="H139" s="194"/>
      <c r="I139" s="212"/>
      <c r="J139" s="281" t="s">
        <v>324</v>
      </c>
      <c r="K139" s="307" t="s">
        <v>325</v>
      </c>
      <c r="L139" s="66"/>
      <c r="M139" s="66"/>
      <c r="N139" s="66"/>
      <c r="O139" s="66"/>
      <c r="P139" s="66" t="str">
        <f t="shared" si="9"/>
        <v>MANIQUIZ JEREMY BINUYA</v>
      </c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18" customHeight="1">
      <c r="A140" s="188">
        <v>54</v>
      </c>
      <c r="B140" s="193" t="s">
        <v>505</v>
      </c>
      <c r="C140" s="193" t="s">
        <v>39</v>
      </c>
      <c r="D140" s="194" t="s">
        <v>28</v>
      </c>
      <c r="E140" s="204" t="s">
        <v>506</v>
      </c>
      <c r="F140" s="204" t="s">
        <v>507</v>
      </c>
      <c r="G140" s="204" t="s">
        <v>508</v>
      </c>
      <c r="H140" s="205"/>
      <c r="I140" s="212"/>
      <c r="J140" s="279" t="s">
        <v>509</v>
      </c>
      <c r="K140" s="307" t="s">
        <v>510</v>
      </c>
      <c r="L140" s="66"/>
      <c r="M140" s="66"/>
      <c r="N140" s="66"/>
      <c r="O140" s="66"/>
      <c r="P140" s="66" t="str">
        <f t="shared" si="9"/>
        <v>MARASIGAN MIA ANGELA CORNEJO</v>
      </c>
      <c r="Q140" s="66" t="str">
        <f>IFERROR(VLOOKUP(P140,[1]Disposition!$AB$9:$AC$495,2,0),"NO RECORD YET")</f>
        <v>121G 14TH Ave., Socorro, Quezon City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18" customHeight="1">
      <c r="A141" s="188">
        <v>55</v>
      </c>
      <c r="B141" s="193" t="s">
        <v>1065</v>
      </c>
      <c r="C141" s="193" t="s">
        <v>39</v>
      </c>
      <c r="D141" s="190" t="s">
        <v>28</v>
      </c>
      <c r="E141" s="191" t="s">
        <v>1194</v>
      </c>
      <c r="F141" s="191" t="s">
        <v>108</v>
      </c>
      <c r="G141" s="191" t="s">
        <v>822</v>
      </c>
      <c r="H141" s="192"/>
      <c r="I141" s="212"/>
      <c r="J141" s="281" t="s">
        <v>1195</v>
      </c>
      <c r="K141" s="307" t="s">
        <v>1196</v>
      </c>
      <c r="L141" s="66"/>
      <c r="M141" s="66"/>
      <c r="N141" s="66"/>
      <c r="O141" s="66"/>
      <c r="P141" s="66" t="str">
        <f t="shared" si="9"/>
        <v>MELGAR CATHERINE MANUEL</v>
      </c>
      <c r="Q141" s="66" t="str">
        <f>IFERROR(VLOOKUP(P141,[1]Disposition!$AB$9:$AC$495,2,0),"NO RECORD YET")</f>
        <v>NO RECORD YET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18" customHeight="1">
      <c r="A142" s="188">
        <v>56</v>
      </c>
      <c r="B142" s="193" t="s">
        <v>1229</v>
      </c>
      <c r="C142" s="189" t="s">
        <v>19</v>
      </c>
      <c r="D142" s="194" t="s">
        <v>28</v>
      </c>
      <c r="E142" s="195" t="s">
        <v>1259</v>
      </c>
      <c r="F142" s="195" t="s">
        <v>1260</v>
      </c>
      <c r="G142" s="195" t="s">
        <v>962</v>
      </c>
      <c r="H142" s="194"/>
      <c r="I142" s="212"/>
      <c r="J142" s="281" t="s">
        <v>1261</v>
      </c>
      <c r="K142" s="307" t="s">
        <v>1262</v>
      </c>
      <c r="L142" s="66"/>
      <c r="M142" s="66"/>
      <c r="N142" s="66"/>
      <c r="O142" s="66"/>
      <c r="P142" s="66" t="str">
        <f t="shared" si="9"/>
        <v>MONTIGO MARKIN GUTIERREZ</v>
      </c>
      <c r="Q142" s="66" t="str">
        <f>IFERROR(VLOOKUP(P142,[1]Disposition!$AB$9:$AC$495,2,0),"NO RECORD YET")</f>
        <v>NO RECORD YET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18" customHeight="1">
      <c r="A143" s="188">
        <v>57</v>
      </c>
      <c r="B143" s="193" t="s">
        <v>398</v>
      </c>
      <c r="C143" s="193" t="s">
        <v>19</v>
      </c>
      <c r="D143" s="190" t="s">
        <v>28</v>
      </c>
      <c r="E143" s="195" t="s">
        <v>403</v>
      </c>
      <c r="F143" s="195" t="s">
        <v>404</v>
      </c>
      <c r="G143" s="195" t="s">
        <v>405</v>
      </c>
      <c r="H143" s="194"/>
      <c r="I143" s="212"/>
      <c r="J143" s="281" t="s">
        <v>406</v>
      </c>
      <c r="K143" s="307" t="s">
        <v>407</v>
      </c>
      <c r="L143" s="66"/>
      <c r="M143" s="66"/>
      <c r="N143" s="66"/>
      <c r="O143" s="66"/>
      <c r="P143" s="66" t="str">
        <f t="shared" si="9"/>
        <v>OBOG JOHN  MARLO MAGRAMO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18" customHeight="1">
      <c r="A144" s="188">
        <v>58</v>
      </c>
      <c r="B144" s="193" t="s">
        <v>446</v>
      </c>
      <c r="C144" s="193" t="s">
        <v>19</v>
      </c>
      <c r="D144" s="190" t="s">
        <v>28</v>
      </c>
      <c r="E144" s="195" t="s">
        <v>462</v>
      </c>
      <c r="F144" s="195" t="s">
        <v>463</v>
      </c>
      <c r="G144" s="195" t="s">
        <v>464</v>
      </c>
      <c r="H144" s="194" t="s">
        <v>268</v>
      </c>
      <c r="I144" s="212"/>
      <c r="J144" s="281" t="s">
        <v>465</v>
      </c>
      <c r="K144" s="307" t="s">
        <v>466</v>
      </c>
      <c r="L144" s="66"/>
      <c r="M144" s="66"/>
      <c r="N144" s="66"/>
      <c r="O144" s="66"/>
      <c r="P144" s="66" t="str">
        <f t="shared" si="9"/>
        <v>ORLANDA BERNABE MACADANGDANG</v>
      </c>
      <c r="Q144" s="66" t="str">
        <f>IFERROR(VLOOKUP(P144,[1]Disposition!$AB$9:$AC$495,2,0),"NO RECORD YET")</f>
        <v>NO RECORD YET</v>
      </c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18" customHeight="1">
      <c r="A145" s="188">
        <v>59</v>
      </c>
      <c r="B145" s="193" t="s">
        <v>580</v>
      </c>
      <c r="C145" s="189" t="s">
        <v>19</v>
      </c>
      <c r="D145" s="190" t="s">
        <v>28</v>
      </c>
      <c r="E145" s="195" t="s">
        <v>593</v>
      </c>
      <c r="F145" s="195" t="s">
        <v>594</v>
      </c>
      <c r="G145" s="195" t="s">
        <v>595</v>
      </c>
      <c r="H145" s="194"/>
      <c r="I145" s="212"/>
      <c r="J145" s="281" t="s">
        <v>596</v>
      </c>
      <c r="K145" s="307" t="s">
        <v>597</v>
      </c>
      <c r="L145" s="66"/>
      <c r="M145" s="66"/>
      <c r="N145" s="66"/>
      <c r="O145" s="66"/>
      <c r="P145" s="66" t="str">
        <f t="shared" si="9"/>
        <v>PADILLA KEM EDNYLL MACARINE</v>
      </c>
      <c r="Q145" s="66" t="str">
        <f>IFERROR(VLOOKUP(P145,[1]Disposition!$AB$9:$AC$495,2,0),"NO RECORD YET")</f>
        <v>NO RECORD YET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18" customHeight="1">
      <c r="A146" s="188">
        <v>60</v>
      </c>
      <c r="B146" s="193" t="s">
        <v>531</v>
      </c>
      <c r="C146" s="189" t="s">
        <v>19</v>
      </c>
      <c r="D146" s="190" t="s">
        <v>28</v>
      </c>
      <c r="E146" s="195" t="s">
        <v>566</v>
      </c>
      <c r="F146" s="195" t="s">
        <v>567</v>
      </c>
      <c r="G146" s="195" t="s">
        <v>568</v>
      </c>
      <c r="H146" s="194"/>
      <c r="I146" s="212"/>
      <c r="J146" s="281" t="s">
        <v>569</v>
      </c>
      <c r="K146" s="307" t="s">
        <v>570</v>
      </c>
      <c r="L146" s="66"/>
      <c r="M146" s="66"/>
      <c r="N146" s="66"/>
      <c r="O146" s="66"/>
      <c r="P146" s="66" t="str">
        <f t="shared" si="9"/>
        <v>PAISTE MARL JAYSON JOVES</v>
      </c>
      <c r="Q146" s="66" t="str">
        <f>IFERROR(VLOOKUP(P146,[1]Disposition!$AB$9:$AC$495,2,0),"NO RECORD YET")</f>
        <v>NO RECORD YET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18" customHeight="1">
      <c r="A147" s="188">
        <v>61</v>
      </c>
      <c r="B147" s="193" t="s">
        <v>531</v>
      </c>
      <c r="C147" s="193" t="s">
        <v>19</v>
      </c>
      <c r="D147" s="190" t="s">
        <v>28</v>
      </c>
      <c r="E147" s="195" t="s">
        <v>571</v>
      </c>
      <c r="F147" s="195" t="s">
        <v>572</v>
      </c>
      <c r="G147" s="195" t="s">
        <v>573</v>
      </c>
      <c r="H147" s="194"/>
      <c r="I147" s="212"/>
      <c r="J147" s="281" t="s">
        <v>574</v>
      </c>
      <c r="K147" s="307" t="s">
        <v>575</v>
      </c>
      <c r="L147" s="66"/>
      <c r="M147" s="66"/>
      <c r="N147" s="66"/>
      <c r="O147" s="66"/>
      <c r="P147" s="66" t="str">
        <f t="shared" si="9"/>
        <v>PARALLAG MAX CASSANDER SINIGUIAN</v>
      </c>
      <c r="Q147" s="66" t="str">
        <f>IFERROR(VLOOKUP(P147,[1]Disposition!$AB$9:$AC$495,2,0),"NO RECORD YET")</f>
        <v>NO RECORD YET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18" customHeight="1">
      <c r="A148" s="188">
        <v>62</v>
      </c>
      <c r="B148" s="193" t="s">
        <v>479</v>
      </c>
      <c r="C148" s="193" t="s">
        <v>39</v>
      </c>
      <c r="D148" s="194" t="s">
        <v>28</v>
      </c>
      <c r="E148" s="204" t="s">
        <v>511</v>
      </c>
      <c r="F148" s="204" t="s">
        <v>512</v>
      </c>
      <c r="G148" s="204" t="s">
        <v>513</v>
      </c>
      <c r="H148" s="205"/>
      <c r="I148" s="212"/>
      <c r="J148" s="279" t="s">
        <v>514</v>
      </c>
      <c r="K148" s="307" t="s">
        <v>515</v>
      </c>
      <c r="L148" s="66"/>
      <c r="M148" s="66"/>
      <c r="N148" s="66"/>
      <c r="O148" s="66"/>
      <c r="P148" s="66" t="str">
        <f t="shared" si="9"/>
        <v>RADA KRIZTELA FEY LIM</v>
      </c>
      <c r="Q148" s="66" t="str">
        <f>IFERROR(VLOOKUP(P148,[1]Disposition!$AB$9:$AC$495,2,0),"NO RECORD YET")</f>
        <v>Pili, San Fernando, Romblon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18" customHeight="1">
      <c r="A149" s="188">
        <v>63</v>
      </c>
      <c r="B149" s="193" t="s">
        <v>352</v>
      </c>
      <c r="C149" s="193" t="s">
        <v>39</v>
      </c>
      <c r="D149" s="190" t="s">
        <v>28</v>
      </c>
      <c r="E149" s="191" t="s">
        <v>377</v>
      </c>
      <c r="F149" s="191" t="s">
        <v>378</v>
      </c>
      <c r="G149" s="191" t="s">
        <v>379</v>
      </c>
      <c r="H149" s="192"/>
      <c r="I149" s="212"/>
      <c r="J149" s="281" t="s">
        <v>380</v>
      </c>
      <c r="K149" s="307" t="s">
        <v>381</v>
      </c>
      <c r="L149" s="66"/>
      <c r="M149" s="66"/>
      <c r="N149" s="66"/>
      <c r="O149" s="66"/>
      <c r="P149" s="66" t="str">
        <f t="shared" si="9"/>
        <v>SAET MITZI ANNE BESA</v>
      </c>
      <c r="Q149" s="66" t="str">
        <f>IFERROR(VLOOKUP(P149,[1]Disposition!$AB$9:$AC$495,2,0),"NO RECORD YET")</f>
        <v>NO RECORD YET</v>
      </c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18" customHeight="1">
      <c r="A150" s="188">
        <v>64</v>
      </c>
      <c r="B150" s="193" t="s">
        <v>352</v>
      </c>
      <c r="C150" s="193" t="s">
        <v>19</v>
      </c>
      <c r="D150" s="190" t="s">
        <v>28</v>
      </c>
      <c r="E150" s="195" t="s">
        <v>382</v>
      </c>
      <c r="F150" s="195" t="s">
        <v>383</v>
      </c>
      <c r="G150" s="195" t="s">
        <v>384</v>
      </c>
      <c r="H150" s="194"/>
      <c r="I150" s="212"/>
      <c r="J150" s="281" t="s">
        <v>385</v>
      </c>
      <c r="K150" s="307" t="s">
        <v>386</v>
      </c>
      <c r="L150" s="66"/>
      <c r="M150" s="66"/>
      <c r="N150" s="66"/>
      <c r="O150" s="66"/>
      <c r="P150" s="66" t="str">
        <f t="shared" si="9"/>
        <v>SALES JAFET ANINAO</v>
      </c>
      <c r="Q150" s="66" t="str">
        <f>IFERROR(VLOOKUP(P150,[1]Disposition!$AB$9:$AC$495,2,0),"NO RECORD YET")</f>
        <v>NO RECORD YET</v>
      </c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18" customHeight="1">
      <c r="A151" s="188">
        <v>65</v>
      </c>
      <c r="B151" s="193" t="s">
        <v>335</v>
      </c>
      <c r="C151" s="193" t="s">
        <v>19</v>
      </c>
      <c r="D151" s="190" t="s">
        <v>28</v>
      </c>
      <c r="E151" s="195" t="s">
        <v>341</v>
      </c>
      <c r="F151" s="195" t="s">
        <v>342</v>
      </c>
      <c r="G151" s="195" t="s">
        <v>343</v>
      </c>
      <c r="H151" s="194"/>
      <c r="I151" s="212"/>
      <c r="J151" s="281" t="s">
        <v>344</v>
      </c>
      <c r="K151" s="307" t="s">
        <v>345</v>
      </c>
      <c r="L151" s="66"/>
      <c r="M151" s="66"/>
      <c r="N151" s="66"/>
      <c r="O151" s="66"/>
      <c r="P151" s="66" t="str">
        <f t="shared" si="9"/>
        <v>TAGPAO RAFAEL ALUNDAY</v>
      </c>
      <c r="Q151" s="66" t="str">
        <f>IFERROR(VLOOKUP(P151,[1]Disposition!$AB$9:$AC$495,2,0),"NO RECORD YET")</f>
        <v>NO RECORD YET</v>
      </c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18" customHeight="1">
      <c r="A152" s="188">
        <v>66</v>
      </c>
      <c r="B152" s="193" t="s">
        <v>1229</v>
      </c>
      <c r="C152" s="189" t="s">
        <v>19</v>
      </c>
      <c r="D152" s="194" t="s">
        <v>28</v>
      </c>
      <c r="E152" s="195" t="s">
        <v>423</v>
      </c>
      <c r="F152" s="195" t="s">
        <v>1263</v>
      </c>
      <c r="G152" s="195" t="s">
        <v>1264</v>
      </c>
      <c r="H152" s="194"/>
      <c r="I152" s="212"/>
      <c r="J152" s="281" t="s">
        <v>1265</v>
      </c>
      <c r="K152" s="307" t="s">
        <v>1266</v>
      </c>
      <c r="L152" s="66"/>
      <c r="M152" s="66"/>
      <c r="N152" s="66"/>
      <c r="O152" s="66"/>
      <c r="P152" s="66" t="str">
        <f t="shared" si="9"/>
        <v>TAMONDONG ALEXIS YONG</v>
      </c>
      <c r="Q152" s="66" t="str">
        <f>IFERROR(VLOOKUP(P152,[1]Disposition!$AB$9:$AC$495,2,0),"NO RECORD YET")</f>
        <v>NO RECORD YET</v>
      </c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18" customHeight="1">
      <c r="A153" s="188">
        <v>67</v>
      </c>
      <c r="B153" s="193" t="s">
        <v>227</v>
      </c>
      <c r="C153" s="193" t="s">
        <v>19</v>
      </c>
      <c r="D153" s="190" t="s">
        <v>28</v>
      </c>
      <c r="E153" s="195" t="s">
        <v>228</v>
      </c>
      <c r="F153" s="195" t="s">
        <v>229</v>
      </c>
      <c r="G153" s="195" t="s">
        <v>230</v>
      </c>
      <c r="H153" s="194"/>
      <c r="I153" s="212"/>
      <c r="J153" s="281" t="s">
        <v>231</v>
      </c>
      <c r="K153" s="307" t="s">
        <v>232</v>
      </c>
      <c r="L153" s="66"/>
      <c r="M153" s="66"/>
      <c r="N153" s="66"/>
      <c r="O153" s="66"/>
      <c r="P153" s="66" t="str">
        <f t="shared" si="9"/>
        <v>TUBELLEZA JOHN CARLO VILLARINO</v>
      </c>
      <c r="Q153" s="66" t="str">
        <f>IFERROR(VLOOKUP(P153,[1]Disposition!$AB$9:$AC$495,2,0),"NO RECORD YET")</f>
        <v>NO RECORD YET</v>
      </c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18" customHeight="1">
      <c r="A154" s="188">
        <v>68</v>
      </c>
      <c r="B154" s="193" t="s">
        <v>479</v>
      </c>
      <c r="C154" s="193" t="s">
        <v>19</v>
      </c>
      <c r="D154" s="190" t="s">
        <v>28</v>
      </c>
      <c r="E154" s="195" t="s">
        <v>516</v>
      </c>
      <c r="F154" s="195" t="s">
        <v>517</v>
      </c>
      <c r="G154" s="195" t="s">
        <v>518</v>
      </c>
      <c r="H154" s="194"/>
      <c r="I154" s="212"/>
      <c r="J154" s="281" t="s">
        <v>519</v>
      </c>
      <c r="K154" s="307" t="s">
        <v>520</v>
      </c>
      <c r="L154" s="66"/>
      <c r="M154" s="66"/>
      <c r="N154" s="66"/>
      <c r="O154" s="66"/>
      <c r="P154" s="66" t="str">
        <f t="shared" si="9"/>
        <v>VILLABRIGA TIMOTHY HORNOZ</v>
      </c>
      <c r="Q154" s="66" t="str">
        <f>IFERROR(VLOOKUP(P154,[1]Disposition!$AB$9:$AC$495,2,0),"NO RECORD YET")</f>
        <v>NO RECORD YET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18" customHeight="1">
      <c r="A155" s="188">
        <v>69</v>
      </c>
      <c r="B155" s="193" t="s">
        <v>346</v>
      </c>
      <c r="C155" s="189" t="s">
        <v>19</v>
      </c>
      <c r="D155" s="190" t="s">
        <v>28</v>
      </c>
      <c r="E155" s="195" t="s">
        <v>347</v>
      </c>
      <c r="F155" s="195" t="s">
        <v>348</v>
      </c>
      <c r="G155" s="195" t="s">
        <v>349</v>
      </c>
      <c r="H155" s="194"/>
      <c r="I155" s="212"/>
      <c r="J155" s="281" t="s">
        <v>350</v>
      </c>
      <c r="K155" s="307" t="s">
        <v>351</v>
      </c>
      <c r="L155" s="66"/>
      <c r="M155" s="66"/>
      <c r="N155" s="66"/>
      <c r="O155" s="66"/>
      <c r="P155" s="66" t="str">
        <f t="shared" si="9"/>
        <v>VILLEGAS NAIF STA ANA</v>
      </c>
      <c r="Q155" s="66" t="str">
        <f>IFERROR(VLOOKUP(P155,[1]Disposition!$AB$9:$AC$495,2,0),"NO RECORD YET")</f>
        <v>NO RECORD YET</v>
      </c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21.75" customHeight="1">
      <c r="A156" s="379" t="s">
        <v>2671</v>
      </c>
      <c r="B156" s="372"/>
      <c r="C156" s="372"/>
      <c r="D156" s="372"/>
      <c r="E156" s="372"/>
      <c r="F156" s="372"/>
      <c r="G156" s="372"/>
      <c r="H156" s="372"/>
      <c r="I156" s="371"/>
      <c r="J156" s="289"/>
      <c r="K156" s="291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18" customHeight="1">
      <c r="A157" s="188">
        <v>1</v>
      </c>
      <c r="B157" s="193" t="s">
        <v>1065</v>
      </c>
      <c r="C157" s="193" t="s">
        <v>39</v>
      </c>
      <c r="D157" s="190" t="s">
        <v>40</v>
      </c>
      <c r="E157" s="191" t="s">
        <v>1197</v>
      </c>
      <c r="F157" s="191" t="s">
        <v>1198</v>
      </c>
      <c r="G157" s="191" t="s">
        <v>1199</v>
      </c>
      <c r="H157" s="192"/>
      <c r="I157" s="210"/>
      <c r="J157" s="265" t="s">
        <v>1065</v>
      </c>
      <c r="K157" s="265" t="s">
        <v>39</v>
      </c>
      <c r="L157" s="190" t="s">
        <v>40</v>
      </c>
      <c r="M157" s="191" t="s">
        <v>1197</v>
      </c>
      <c r="N157" s="191" t="s">
        <v>1198</v>
      </c>
      <c r="O157" s="191" t="s">
        <v>1199</v>
      </c>
      <c r="P157" s="66"/>
      <c r="Q157" s="192"/>
      <c r="R157" s="210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18" customHeight="1">
      <c r="A158" s="188">
        <v>2</v>
      </c>
      <c r="B158" s="193" t="s">
        <v>398</v>
      </c>
      <c r="C158" s="193" t="s">
        <v>19</v>
      </c>
      <c r="D158" s="194" t="s">
        <v>40</v>
      </c>
      <c r="E158" s="204" t="s">
        <v>408</v>
      </c>
      <c r="F158" s="204" t="s">
        <v>409</v>
      </c>
      <c r="G158" s="204" t="s">
        <v>410</v>
      </c>
      <c r="H158" s="205"/>
      <c r="I158" s="210"/>
      <c r="J158" s="265" t="s">
        <v>398</v>
      </c>
      <c r="K158" s="265" t="s">
        <v>19</v>
      </c>
      <c r="L158" s="194" t="s">
        <v>40</v>
      </c>
      <c r="M158" s="204" t="s">
        <v>408</v>
      </c>
      <c r="N158" s="204" t="s">
        <v>409</v>
      </c>
      <c r="O158" s="204" t="s">
        <v>410</v>
      </c>
      <c r="P158" s="66"/>
      <c r="Q158" s="205"/>
      <c r="R158" s="210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18" customHeight="1">
      <c r="A159" s="188">
        <v>3</v>
      </c>
      <c r="B159" s="193" t="s">
        <v>1202</v>
      </c>
      <c r="C159" s="193" t="s">
        <v>39</v>
      </c>
      <c r="D159" s="190" t="s">
        <v>40</v>
      </c>
      <c r="E159" s="191" t="s">
        <v>1203</v>
      </c>
      <c r="F159" s="191" t="s">
        <v>1204</v>
      </c>
      <c r="G159" s="191" t="s">
        <v>1205</v>
      </c>
      <c r="H159" s="192"/>
      <c r="I159" s="210"/>
      <c r="J159" s="265" t="s">
        <v>1202</v>
      </c>
      <c r="K159" s="265" t="s">
        <v>39</v>
      </c>
      <c r="L159" s="190" t="s">
        <v>40</v>
      </c>
      <c r="M159" s="191" t="s">
        <v>1203</v>
      </c>
      <c r="N159" s="191" t="s">
        <v>1204</v>
      </c>
      <c r="O159" s="191" t="s">
        <v>1205</v>
      </c>
      <c r="P159" s="66"/>
      <c r="Q159" s="192"/>
      <c r="R159" s="210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18" customHeight="1">
      <c r="A160" s="188">
        <v>4</v>
      </c>
      <c r="B160" s="193" t="s">
        <v>1065</v>
      </c>
      <c r="C160" s="189" t="s">
        <v>19</v>
      </c>
      <c r="D160" s="190" t="s">
        <v>40</v>
      </c>
      <c r="E160" s="191" t="s">
        <v>1212</v>
      </c>
      <c r="F160" s="191" t="s">
        <v>1213</v>
      </c>
      <c r="G160" s="191" t="s">
        <v>1214</v>
      </c>
      <c r="H160" s="192"/>
      <c r="I160" s="223"/>
      <c r="J160" s="265" t="s">
        <v>1065</v>
      </c>
      <c r="K160" s="189" t="s">
        <v>19</v>
      </c>
      <c r="L160" s="190" t="s">
        <v>40</v>
      </c>
      <c r="M160" s="191" t="s">
        <v>1212</v>
      </c>
      <c r="N160" s="191" t="s">
        <v>1213</v>
      </c>
      <c r="O160" s="191" t="s">
        <v>1214</v>
      </c>
      <c r="P160" s="66"/>
      <c r="Q160" s="192"/>
      <c r="R160" s="210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18" customHeight="1">
      <c r="A161" s="188">
        <v>5</v>
      </c>
      <c r="B161" s="193" t="s">
        <v>580</v>
      </c>
      <c r="C161" s="189" t="s">
        <v>19</v>
      </c>
      <c r="D161" s="190" t="s">
        <v>40</v>
      </c>
      <c r="E161" s="191" t="s">
        <v>256</v>
      </c>
      <c r="F161" s="191" t="s">
        <v>598</v>
      </c>
      <c r="G161" s="191" t="s">
        <v>256</v>
      </c>
      <c r="H161" s="192"/>
      <c r="I161" s="212"/>
      <c r="J161" s="265" t="s">
        <v>580</v>
      </c>
      <c r="K161" s="189" t="s">
        <v>19</v>
      </c>
      <c r="L161" s="190" t="s">
        <v>40</v>
      </c>
      <c r="M161" s="191" t="s">
        <v>256</v>
      </c>
      <c r="N161" s="191" t="s">
        <v>598</v>
      </c>
      <c r="O161" s="191" t="s">
        <v>256</v>
      </c>
      <c r="P161" s="66"/>
      <c r="Q161" s="192"/>
      <c r="R161" s="210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18" customHeight="1">
      <c r="A162" s="188">
        <v>6</v>
      </c>
      <c r="B162" s="193" t="s">
        <v>1065</v>
      </c>
      <c r="C162" s="193" t="s">
        <v>39</v>
      </c>
      <c r="D162" s="190" t="s">
        <v>40</v>
      </c>
      <c r="E162" s="191" t="s">
        <v>256</v>
      </c>
      <c r="F162" s="191" t="s">
        <v>1208</v>
      </c>
      <c r="G162" s="191" t="s">
        <v>1209</v>
      </c>
      <c r="H162" s="192"/>
      <c r="I162" s="223"/>
      <c r="J162" s="265" t="s">
        <v>1065</v>
      </c>
      <c r="K162" s="265" t="s">
        <v>39</v>
      </c>
      <c r="L162" s="190" t="s">
        <v>40</v>
      </c>
      <c r="M162" s="191" t="s">
        <v>256</v>
      </c>
      <c r="N162" s="191" t="s">
        <v>1208</v>
      </c>
      <c r="O162" s="191" t="s">
        <v>1209</v>
      </c>
      <c r="P162" s="66"/>
      <c r="Q162" s="192"/>
      <c r="R162" s="210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18" customHeight="1">
      <c r="A163" s="188">
        <v>7</v>
      </c>
      <c r="B163" s="193" t="s">
        <v>607</v>
      </c>
      <c r="C163" s="193" t="s">
        <v>39</v>
      </c>
      <c r="D163" s="190" t="s">
        <v>40</v>
      </c>
      <c r="E163" s="191" t="s">
        <v>365</v>
      </c>
      <c r="F163" s="191" t="s">
        <v>613</v>
      </c>
      <c r="G163" s="191" t="s">
        <v>614</v>
      </c>
      <c r="H163" s="192"/>
      <c r="I163" s="210"/>
      <c r="J163" s="265" t="s">
        <v>607</v>
      </c>
      <c r="K163" s="265" t="s">
        <v>39</v>
      </c>
      <c r="L163" s="190" t="s">
        <v>40</v>
      </c>
      <c r="M163" s="191" t="s">
        <v>365</v>
      </c>
      <c r="N163" s="191" t="s">
        <v>613</v>
      </c>
      <c r="O163" s="191" t="s">
        <v>614</v>
      </c>
      <c r="P163" s="66"/>
      <c r="Q163" s="192"/>
      <c r="R163" s="210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18" customHeight="1">
      <c r="A164" s="188">
        <v>8</v>
      </c>
      <c r="B164" s="193" t="s">
        <v>623</v>
      </c>
      <c r="C164" s="193" t="s">
        <v>19</v>
      </c>
      <c r="D164" s="190" t="s">
        <v>40</v>
      </c>
      <c r="E164" s="191" t="s">
        <v>628</v>
      </c>
      <c r="F164" s="191" t="s">
        <v>629</v>
      </c>
      <c r="G164" s="191" t="s">
        <v>630</v>
      </c>
      <c r="H164" s="192"/>
      <c r="I164" s="210"/>
      <c r="J164" s="265" t="s">
        <v>623</v>
      </c>
      <c r="K164" s="265" t="s">
        <v>19</v>
      </c>
      <c r="L164" s="190" t="s">
        <v>40</v>
      </c>
      <c r="M164" s="191" t="s">
        <v>628</v>
      </c>
      <c r="N164" s="191" t="s">
        <v>629</v>
      </c>
      <c r="O164" s="191" t="s">
        <v>630</v>
      </c>
      <c r="P164" s="66"/>
      <c r="Q164" s="192"/>
      <c r="R164" s="212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18" customHeight="1">
      <c r="A165" s="188">
        <v>9</v>
      </c>
      <c r="B165" s="193" t="s">
        <v>411</v>
      </c>
      <c r="C165" s="193" t="s">
        <v>39</v>
      </c>
      <c r="D165" s="190" t="s">
        <v>40</v>
      </c>
      <c r="E165" s="191" t="s">
        <v>421</v>
      </c>
      <c r="F165" s="191" t="s">
        <v>422</v>
      </c>
      <c r="G165" s="191" t="s">
        <v>423</v>
      </c>
      <c r="H165" s="192"/>
      <c r="I165" s="210"/>
      <c r="J165" s="265"/>
      <c r="K165" s="265"/>
      <c r="L165" s="190"/>
      <c r="M165" s="191"/>
      <c r="N165" s="191"/>
      <c r="O165" s="191"/>
      <c r="P165" s="66"/>
      <c r="Q165" s="192"/>
      <c r="R165" s="212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18" customHeight="1">
      <c r="A166" s="188">
        <v>10</v>
      </c>
      <c r="B166" s="193" t="s">
        <v>1229</v>
      </c>
      <c r="C166" s="193" t="s">
        <v>39</v>
      </c>
      <c r="D166" s="190" t="s">
        <v>40</v>
      </c>
      <c r="E166" s="191" t="s">
        <v>1267</v>
      </c>
      <c r="F166" s="191" t="s">
        <v>1268</v>
      </c>
      <c r="G166" s="191" t="s">
        <v>155</v>
      </c>
      <c r="H166" s="192"/>
      <c r="I166" s="228"/>
      <c r="J166" s="265" t="s">
        <v>411</v>
      </c>
      <c r="K166" s="265" t="s">
        <v>39</v>
      </c>
      <c r="L166" s="190" t="s">
        <v>40</v>
      </c>
      <c r="M166" s="191" t="s">
        <v>421</v>
      </c>
      <c r="N166" s="191" t="s">
        <v>422</v>
      </c>
      <c r="O166" s="191" t="s">
        <v>423</v>
      </c>
      <c r="P166" s="192"/>
      <c r="Q166" s="210"/>
      <c r="R166" s="212"/>
      <c r="S166" s="257"/>
      <c r="T166" s="257"/>
      <c r="U166" s="257"/>
      <c r="V166" s="257"/>
      <c r="W166" s="257"/>
      <c r="X166" s="257"/>
      <c r="Y166" s="257"/>
      <c r="Z166" s="257"/>
      <c r="AA166" s="257"/>
    </row>
    <row r="167" spans="1:27" ht="18" customHeight="1">
      <c r="A167" s="188">
        <v>11</v>
      </c>
      <c r="B167" s="193" t="s">
        <v>301</v>
      </c>
      <c r="C167" s="193" t="s">
        <v>39</v>
      </c>
      <c r="D167" s="190" t="s">
        <v>40</v>
      </c>
      <c r="E167" s="191" t="s">
        <v>326</v>
      </c>
      <c r="F167" s="191" t="s">
        <v>327</v>
      </c>
      <c r="G167" s="191" t="s">
        <v>328</v>
      </c>
      <c r="H167" s="192"/>
      <c r="I167" s="210"/>
      <c r="J167" s="193" t="s">
        <v>1788</v>
      </c>
      <c r="K167" s="193" t="s">
        <v>39</v>
      </c>
      <c r="L167" s="190" t="s">
        <v>40</v>
      </c>
      <c r="M167" s="191" t="s">
        <v>1794</v>
      </c>
      <c r="N167" s="191" t="s">
        <v>1795</v>
      </c>
      <c r="O167" s="191" t="s">
        <v>1796</v>
      </c>
      <c r="P167" s="192"/>
      <c r="Q167" s="210"/>
      <c r="R167" s="210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18" customHeight="1">
      <c r="A168" s="188">
        <v>12</v>
      </c>
      <c r="B168" s="193" t="s">
        <v>479</v>
      </c>
      <c r="C168" s="193" t="s">
        <v>39</v>
      </c>
      <c r="D168" s="190" t="s">
        <v>40</v>
      </c>
      <c r="E168" s="191" t="s">
        <v>521</v>
      </c>
      <c r="F168" s="191" t="s">
        <v>522</v>
      </c>
      <c r="G168" s="191" t="s">
        <v>523</v>
      </c>
      <c r="H168" s="192"/>
      <c r="I168" s="210"/>
      <c r="J168" s="265" t="s">
        <v>1229</v>
      </c>
      <c r="K168" s="265" t="s">
        <v>39</v>
      </c>
      <c r="L168" s="190" t="s">
        <v>40</v>
      </c>
      <c r="M168" s="191" t="s">
        <v>1267</v>
      </c>
      <c r="N168" s="191" t="s">
        <v>1268</v>
      </c>
      <c r="O168" s="191" t="s">
        <v>155</v>
      </c>
      <c r="P168" s="192"/>
      <c r="Q168" s="228"/>
      <c r="R168" s="210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18" customHeight="1">
      <c r="A169" s="188">
        <v>13</v>
      </c>
      <c r="B169" s="193" t="s">
        <v>763</v>
      </c>
      <c r="C169" s="193" t="s">
        <v>39</v>
      </c>
      <c r="D169" s="190" t="s">
        <v>40</v>
      </c>
      <c r="E169" s="191" t="s">
        <v>774</v>
      </c>
      <c r="F169" s="191" t="s">
        <v>775</v>
      </c>
      <c r="G169" s="191" t="s">
        <v>776</v>
      </c>
      <c r="H169" s="192"/>
      <c r="I169" s="210"/>
      <c r="J169" s="193" t="s">
        <v>837</v>
      </c>
      <c r="K169" s="193" t="s">
        <v>39</v>
      </c>
      <c r="L169" s="190" t="s">
        <v>40</v>
      </c>
      <c r="M169" s="191" t="s">
        <v>871</v>
      </c>
      <c r="N169" s="191" t="s">
        <v>872</v>
      </c>
      <c r="O169" s="191" t="s">
        <v>873</v>
      </c>
      <c r="P169" s="192"/>
      <c r="Q169" s="228"/>
      <c r="R169" s="210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18" customHeight="1">
      <c r="A170" s="188">
        <v>14</v>
      </c>
      <c r="B170" s="193" t="s">
        <v>1229</v>
      </c>
      <c r="C170" s="189" t="s">
        <v>19</v>
      </c>
      <c r="D170" s="190" t="s">
        <v>40</v>
      </c>
      <c r="E170" s="191" t="s">
        <v>1271</v>
      </c>
      <c r="F170" s="191" t="s">
        <v>1272</v>
      </c>
      <c r="G170" s="191" t="s">
        <v>1273</v>
      </c>
      <c r="H170" s="192"/>
      <c r="I170" s="223"/>
      <c r="J170" s="193" t="s">
        <v>1588</v>
      </c>
      <c r="K170" s="193" t="s">
        <v>19</v>
      </c>
      <c r="L170" s="190" t="s">
        <v>40</v>
      </c>
      <c r="M170" s="191" t="s">
        <v>1593</v>
      </c>
      <c r="N170" s="191" t="s">
        <v>1594</v>
      </c>
      <c r="O170" s="191" t="s">
        <v>1595</v>
      </c>
      <c r="P170" s="192"/>
      <c r="Q170" s="212"/>
      <c r="R170" s="228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18" customHeight="1">
      <c r="A171" s="188">
        <v>15</v>
      </c>
      <c r="B171" s="193" t="s">
        <v>1065</v>
      </c>
      <c r="C171" s="193" t="s">
        <v>39</v>
      </c>
      <c r="D171" s="190" t="s">
        <v>40</v>
      </c>
      <c r="E171" s="191" t="s">
        <v>1215</v>
      </c>
      <c r="F171" s="191" t="s">
        <v>1216</v>
      </c>
      <c r="G171" s="191" t="s">
        <v>1217</v>
      </c>
      <c r="H171" s="192"/>
      <c r="I171" s="210"/>
      <c r="J171" s="189" t="s">
        <v>1330</v>
      </c>
      <c r="K171" s="189" t="s">
        <v>19</v>
      </c>
      <c r="L171" s="190" t="s">
        <v>40</v>
      </c>
      <c r="M171" s="191" t="s">
        <v>1331</v>
      </c>
      <c r="N171" s="191" t="s">
        <v>1332</v>
      </c>
      <c r="O171" s="191" t="s">
        <v>1333</v>
      </c>
      <c r="P171" s="192"/>
      <c r="Q171" s="210"/>
      <c r="R171" s="210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18" customHeight="1">
      <c r="A172" s="188">
        <v>16</v>
      </c>
      <c r="B172" s="193" t="s">
        <v>1065</v>
      </c>
      <c r="C172" s="193" t="s">
        <v>39</v>
      </c>
      <c r="D172" s="190" t="s">
        <v>40</v>
      </c>
      <c r="E172" s="191" t="s">
        <v>1220</v>
      </c>
      <c r="F172" s="191" t="s">
        <v>1221</v>
      </c>
      <c r="G172" s="191" t="s">
        <v>836</v>
      </c>
      <c r="H172" s="192"/>
      <c r="I172" s="223"/>
      <c r="J172" s="189" t="s">
        <v>891</v>
      </c>
      <c r="K172" s="193" t="s">
        <v>39</v>
      </c>
      <c r="L172" s="190" t="s">
        <v>40</v>
      </c>
      <c r="M172" s="191" t="s">
        <v>914</v>
      </c>
      <c r="N172" s="191" t="s">
        <v>915</v>
      </c>
      <c r="O172" s="191" t="s">
        <v>916</v>
      </c>
      <c r="P172" s="192"/>
      <c r="Q172" s="210"/>
      <c r="R172" s="210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18" customHeight="1">
      <c r="A173" s="188">
        <v>17</v>
      </c>
      <c r="B173" s="193" t="s">
        <v>479</v>
      </c>
      <c r="C173" s="193" t="s">
        <v>19</v>
      </c>
      <c r="D173" s="190" t="s">
        <v>40</v>
      </c>
      <c r="E173" s="191" t="s">
        <v>526</v>
      </c>
      <c r="F173" s="191" t="s">
        <v>527</v>
      </c>
      <c r="G173" s="191" t="s">
        <v>528</v>
      </c>
      <c r="H173" s="192"/>
      <c r="I173" s="210"/>
      <c r="J173" s="189" t="s">
        <v>1296</v>
      </c>
      <c r="K173" s="193" t="s">
        <v>39</v>
      </c>
      <c r="L173" s="190" t="s">
        <v>40</v>
      </c>
      <c r="M173" s="191" t="s">
        <v>1325</v>
      </c>
      <c r="N173" s="191" t="s">
        <v>1326</v>
      </c>
      <c r="O173" s="191" t="s">
        <v>1327</v>
      </c>
      <c r="P173" s="192"/>
      <c r="Q173" s="210"/>
      <c r="R173" s="223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18" customHeight="1">
      <c r="A174" s="188">
        <v>18</v>
      </c>
      <c r="B174" s="193" t="s">
        <v>1229</v>
      </c>
      <c r="C174" s="193" t="s">
        <v>39</v>
      </c>
      <c r="D174" s="190" t="s">
        <v>40</v>
      </c>
      <c r="E174" s="191" t="s">
        <v>929</v>
      </c>
      <c r="F174" s="191" t="s">
        <v>1274</v>
      </c>
      <c r="G174" s="191" t="s">
        <v>206</v>
      </c>
      <c r="H174" s="192"/>
      <c r="I174" s="223"/>
      <c r="J174" s="265" t="s">
        <v>301</v>
      </c>
      <c r="K174" s="265" t="s">
        <v>39</v>
      </c>
      <c r="L174" s="190" t="s">
        <v>40</v>
      </c>
      <c r="M174" s="191" t="s">
        <v>326</v>
      </c>
      <c r="N174" s="191" t="s">
        <v>327</v>
      </c>
      <c r="O174" s="191" t="s">
        <v>328</v>
      </c>
      <c r="P174" s="192"/>
      <c r="Q174" s="210"/>
      <c r="R174" s="210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18" customHeight="1">
      <c r="A175" s="188">
        <v>19</v>
      </c>
      <c r="B175" s="193" t="s">
        <v>1229</v>
      </c>
      <c r="C175" s="189" t="s">
        <v>19</v>
      </c>
      <c r="D175" s="190" t="s">
        <v>40</v>
      </c>
      <c r="E175" s="191" t="s">
        <v>1275</v>
      </c>
      <c r="F175" s="191" t="s">
        <v>1276</v>
      </c>
      <c r="G175" s="191" t="s">
        <v>1277</v>
      </c>
      <c r="H175" s="192"/>
      <c r="I175" s="210"/>
      <c r="J175" s="189" t="s">
        <v>18</v>
      </c>
      <c r="K175" s="193" t="s">
        <v>39</v>
      </c>
      <c r="L175" s="190" t="s">
        <v>40</v>
      </c>
      <c r="M175" s="191" t="s">
        <v>46</v>
      </c>
      <c r="N175" s="191" t="s">
        <v>47</v>
      </c>
      <c r="O175" s="191" t="s">
        <v>48</v>
      </c>
      <c r="P175" s="192"/>
      <c r="Q175" s="223"/>
      <c r="R175" s="210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18" customHeight="1">
      <c r="A176" s="188">
        <v>20</v>
      </c>
      <c r="B176" s="193" t="s">
        <v>719</v>
      </c>
      <c r="C176" s="193" t="s">
        <v>19</v>
      </c>
      <c r="D176" s="190" t="s">
        <v>40</v>
      </c>
      <c r="E176" s="191" t="s">
        <v>636</v>
      </c>
      <c r="F176" s="191" t="s">
        <v>725</v>
      </c>
      <c r="G176" s="191" t="s">
        <v>726</v>
      </c>
      <c r="H176" s="192"/>
      <c r="I176" s="210"/>
      <c r="J176" s="193" t="s">
        <v>1890</v>
      </c>
      <c r="K176" s="189" t="s">
        <v>19</v>
      </c>
      <c r="L176" s="190" t="s">
        <v>40</v>
      </c>
      <c r="M176" s="191" t="s">
        <v>1902</v>
      </c>
      <c r="N176" s="191" t="s">
        <v>354</v>
      </c>
      <c r="O176" s="191" t="s">
        <v>1903</v>
      </c>
      <c r="P176" s="202"/>
      <c r="Q176" s="210"/>
      <c r="R176" s="212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18" customHeight="1">
      <c r="A177" s="188">
        <v>21</v>
      </c>
      <c r="B177" s="193" t="s">
        <v>352</v>
      </c>
      <c r="C177" s="193" t="s">
        <v>19</v>
      </c>
      <c r="D177" s="190" t="s">
        <v>40</v>
      </c>
      <c r="E177" s="191" t="s">
        <v>387</v>
      </c>
      <c r="F177" s="191" t="s">
        <v>388</v>
      </c>
      <c r="G177" s="191" t="s">
        <v>389</v>
      </c>
      <c r="H177" s="192"/>
      <c r="I177" s="210"/>
      <c r="J177" s="189" t="s">
        <v>1765</v>
      </c>
      <c r="K177" s="193" t="s">
        <v>39</v>
      </c>
      <c r="L177" s="190" t="s">
        <v>40</v>
      </c>
      <c r="M177" s="191" t="s">
        <v>1784</v>
      </c>
      <c r="N177" s="191" t="s">
        <v>1785</v>
      </c>
      <c r="O177" s="191" t="s">
        <v>311</v>
      </c>
      <c r="P177" s="192"/>
      <c r="Q177" s="210"/>
      <c r="R177" s="228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18" customHeight="1">
      <c r="A178" s="188">
        <v>22</v>
      </c>
      <c r="B178" s="193" t="s">
        <v>1229</v>
      </c>
      <c r="C178" s="193" t="s">
        <v>39</v>
      </c>
      <c r="D178" s="190" t="s">
        <v>40</v>
      </c>
      <c r="E178" s="191" t="s">
        <v>423</v>
      </c>
      <c r="F178" s="191" t="s">
        <v>1280</v>
      </c>
      <c r="G178" s="191" t="s">
        <v>1281</v>
      </c>
      <c r="H178" s="192"/>
      <c r="I178" s="210"/>
      <c r="J178" s="265" t="s">
        <v>479</v>
      </c>
      <c r="K178" s="265" t="s">
        <v>39</v>
      </c>
      <c r="L178" s="190" t="s">
        <v>40</v>
      </c>
      <c r="M178" s="191" t="s">
        <v>521</v>
      </c>
      <c r="N178" s="191" t="s">
        <v>522</v>
      </c>
      <c r="O178" s="191" t="s">
        <v>523</v>
      </c>
      <c r="P178" s="192"/>
      <c r="Q178" s="210"/>
      <c r="R178" s="210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18" customHeight="1">
      <c r="A179" s="188">
        <v>23</v>
      </c>
      <c r="B179" s="193" t="s">
        <v>411</v>
      </c>
      <c r="C179" s="193" t="s">
        <v>39</v>
      </c>
      <c r="D179" s="190" t="s">
        <v>40</v>
      </c>
      <c r="E179" s="191" t="s">
        <v>426</v>
      </c>
      <c r="F179" s="191" t="s">
        <v>427</v>
      </c>
      <c r="G179" s="191" t="s">
        <v>423</v>
      </c>
      <c r="H179" s="192"/>
      <c r="I179" s="210"/>
      <c r="J179" s="265" t="s">
        <v>763</v>
      </c>
      <c r="K179" s="265" t="s">
        <v>39</v>
      </c>
      <c r="L179" s="190" t="s">
        <v>40</v>
      </c>
      <c r="M179" s="191" t="s">
        <v>774</v>
      </c>
      <c r="N179" s="191" t="s">
        <v>775</v>
      </c>
      <c r="O179" s="191" t="s">
        <v>776</v>
      </c>
      <c r="P179" s="192"/>
      <c r="Q179" s="210"/>
      <c r="R179" s="223"/>
      <c r="S179" s="66"/>
      <c r="T179" s="66"/>
      <c r="U179" s="66"/>
      <c r="V179" s="66"/>
      <c r="W179" s="66"/>
      <c r="X179" s="66"/>
      <c r="Y179" s="66"/>
      <c r="Z179" s="66"/>
      <c r="AA179" s="66"/>
    </row>
    <row r="180" spans="1:27" ht="18" customHeight="1">
      <c r="A180" s="188">
        <v>24</v>
      </c>
      <c r="B180" s="193" t="s">
        <v>301</v>
      </c>
      <c r="C180" s="193" t="s">
        <v>39</v>
      </c>
      <c r="D180" s="190" t="s">
        <v>40</v>
      </c>
      <c r="E180" s="191" t="s">
        <v>331</v>
      </c>
      <c r="F180" s="191" t="s">
        <v>186</v>
      </c>
      <c r="G180" s="191" t="s">
        <v>332</v>
      </c>
      <c r="H180" s="192"/>
      <c r="I180" s="210"/>
      <c r="J180" s="189" t="s">
        <v>1396</v>
      </c>
      <c r="K180" s="189" t="s">
        <v>19</v>
      </c>
      <c r="L180" s="190" t="s">
        <v>40</v>
      </c>
      <c r="M180" s="191" t="s">
        <v>774</v>
      </c>
      <c r="N180" s="191" t="s">
        <v>1397</v>
      </c>
      <c r="O180" s="191" t="s">
        <v>1398</v>
      </c>
      <c r="P180" s="192"/>
      <c r="Q180" s="210"/>
      <c r="R180" s="212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18" customHeight="1">
      <c r="A181" s="188">
        <v>25</v>
      </c>
      <c r="B181" s="193" t="s">
        <v>1065</v>
      </c>
      <c r="C181" s="193" t="s">
        <v>39</v>
      </c>
      <c r="D181" s="190" t="s">
        <v>40</v>
      </c>
      <c r="E181" s="191" t="s">
        <v>1224</v>
      </c>
      <c r="F181" s="191" t="s">
        <v>1225</v>
      </c>
      <c r="G181" s="191" t="s">
        <v>1226</v>
      </c>
      <c r="H181" s="192"/>
      <c r="I181" s="210"/>
      <c r="J181" s="265" t="s">
        <v>1229</v>
      </c>
      <c r="K181" s="189" t="s">
        <v>19</v>
      </c>
      <c r="L181" s="190" t="s">
        <v>40</v>
      </c>
      <c r="M181" s="191" t="s">
        <v>1271</v>
      </c>
      <c r="N181" s="191" t="s">
        <v>1272</v>
      </c>
      <c r="O181" s="191" t="s">
        <v>1273</v>
      </c>
      <c r="P181" s="192"/>
      <c r="Q181" s="223"/>
      <c r="R181" s="228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13.5" customHeight="1">
      <c r="A182" s="230"/>
      <c r="B182" s="268"/>
      <c r="C182" s="269"/>
      <c r="D182" s="3"/>
      <c r="E182" s="4"/>
      <c r="F182" s="4"/>
      <c r="G182" s="4"/>
      <c r="H182" s="270"/>
      <c r="I182" s="271"/>
      <c r="J182" s="189" t="s">
        <v>1638</v>
      </c>
      <c r="K182" s="189" t="s">
        <v>19</v>
      </c>
      <c r="L182" s="190" t="s">
        <v>40</v>
      </c>
      <c r="M182" s="191" t="s">
        <v>1645</v>
      </c>
      <c r="N182" s="191" t="s">
        <v>1646</v>
      </c>
      <c r="O182" s="191" t="s">
        <v>347</v>
      </c>
      <c r="P182" s="192"/>
      <c r="Q182" s="210"/>
      <c r="R182" s="210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9" customHeight="1">
      <c r="A183" s="3"/>
      <c r="B183" s="268"/>
      <c r="C183" s="268"/>
      <c r="D183" s="3"/>
      <c r="E183" s="185"/>
      <c r="F183" s="4"/>
      <c r="G183" s="4"/>
      <c r="H183" s="3"/>
      <c r="I183" s="271"/>
      <c r="J183" s="189" t="s">
        <v>73</v>
      </c>
      <c r="K183" s="193" t="s">
        <v>39</v>
      </c>
      <c r="L183" s="190" t="s">
        <v>40</v>
      </c>
      <c r="M183" s="191" t="s">
        <v>74</v>
      </c>
      <c r="N183" s="191" t="s">
        <v>75</v>
      </c>
      <c r="O183" s="191" t="s">
        <v>76</v>
      </c>
      <c r="P183" s="192"/>
      <c r="Q183" s="210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13.5" customHeight="1">
      <c r="A184" s="272" t="s">
        <v>1907</v>
      </c>
      <c r="B184" s="268"/>
      <c r="C184" s="268"/>
      <c r="D184" s="3"/>
      <c r="E184" s="66"/>
      <c r="F184" s="185"/>
      <c r="G184" s="185"/>
      <c r="H184" s="3"/>
      <c r="I184" s="271"/>
      <c r="J184" s="265" t="s">
        <v>1065</v>
      </c>
      <c r="K184" s="265" t="s">
        <v>39</v>
      </c>
      <c r="L184" s="190" t="s">
        <v>40</v>
      </c>
      <c r="M184" s="191" t="s">
        <v>1220</v>
      </c>
      <c r="N184" s="191" t="s">
        <v>1221</v>
      </c>
      <c r="O184" s="191" t="s">
        <v>836</v>
      </c>
      <c r="P184" s="192"/>
      <c r="Q184" s="223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42" customHeight="1">
      <c r="A185" s="377" t="s">
        <v>9</v>
      </c>
      <c r="B185" s="371"/>
      <c r="C185" s="273"/>
      <c r="D185" s="378" t="s">
        <v>1908</v>
      </c>
      <c r="E185" s="371"/>
      <c r="F185" s="44" t="s">
        <v>2666</v>
      </c>
      <c r="G185" s="378" t="s">
        <v>1911</v>
      </c>
      <c r="H185" s="371"/>
      <c r="I185" s="187" t="s">
        <v>1912</v>
      </c>
      <c r="J185" s="265" t="s">
        <v>479</v>
      </c>
      <c r="K185" s="265" t="s">
        <v>19</v>
      </c>
      <c r="L185" s="190" t="s">
        <v>40</v>
      </c>
      <c r="M185" s="191" t="s">
        <v>526</v>
      </c>
      <c r="N185" s="191" t="s">
        <v>527</v>
      </c>
      <c r="O185" s="191" t="s">
        <v>528</v>
      </c>
      <c r="P185" s="192"/>
      <c r="Q185" s="210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spans="1:27" ht="13.5" customHeight="1">
      <c r="A186" s="373" t="s">
        <v>1913</v>
      </c>
      <c r="B186" s="371"/>
      <c r="C186" s="274"/>
      <c r="D186" s="373">
        <v>35</v>
      </c>
      <c r="E186" s="371"/>
      <c r="F186" s="275">
        <v>145</v>
      </c>
      <c r="G186" s="374">
        <v>1</v>
      </c>
      <c r="H186" s="371"/>
      <c r="I186" s="276">
        <f t="shared" ref="I186:I188" si="10">SUM(D186:H186)</f>
        <v>181</v>
      </c>
      <c r="J186" s="295"/>
      <c r="K186" s="248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13.5" customHeight="1">
      <c r="A187" s="373" t="s">
        <v>1914</v>
      </c>
      <c r="B187" s="371"/>
      <c r="C187" s="274"/>
      <c r="D187" s="373">
        <v>55</v>
      </c>
      <c r="E187" s="371"/>
      <c r="F187" s="275">
        <v>149</v>
      </c>
      <c r="G187" s="374">
        <v>4</v>
      </c>
      <c r="H187" s="371"/>
      <c r="I187" s="276">
        <f t="shared" si="10"/>
        <v>208</v>
      </c>
      <c r="J187" s="295"/>
      <c r="K187" s="248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spans="1:27" ht="13.5" customHeight="1">
      <c r="A188" s="373" t="s">
        <v>1915</v>
      </c>
      <c r="B188" s="371"/>
      <c r="C188" s="274"/>
      <c r="D188" s="373">
        <v>150</v>
      </c>
      <c r="E188" s="371"/>
      <c r="F188" s="275">
        <v>27</v>
      </c>
      <c r="G188" s="374">
        <v>0</v>
      </c>
      <c r="H188" s="371"/>
      <c r="I188" s="276">
        <f t="shared" si="10"/>
        <v>177</v>
      </c>
      <c r="J188" s="295"/>
      <c r="K188" s="248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spans="1:27" ht="13.5" customHeight="1">
      <c r="A189" s="373" t="s">
        <v>1916</v>
      </c>
      <c r="B189" s="371"/>
      <c r="C189" s="274"/>
      <c r="D189" s="373">
        <f>SUM(D186:D188)</f>
        <v>240</v>
      </c>
      <c r="E189" s="371"/>
      <c r="F189" s="31">
        <f t="shared" ref="F189:G189" si="11">SUM(F186:F188)</f>
        <v>321</v>
      </c>
      <c r="G189" s="373">
        <f t="shared" si="11"/>
        <v>5</v>
      </c>
      <c r="H189" s="371"/>
      <c r="I189" s="31">
        <f>SUM(I186:I188)</f>
        <v>566</v>
      </c>
      <c r="J189" s="295"/>
      <c r="K189" s="248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spans="1:27" ht="23.25" customHeight="1">
      <c r="A190" s="53"/>
      <c r="B190" s="53"/>
      <c r="C190" s="53"/>
      <c r="D190" s="54"/>
      <c r="E190" s="66"/>
      <c r="F190" s="54"/>
      <c r="G190" s="54"/>
      <c r="H190" s="54"/>
      <c r="I190" s="54"/>
      <c r="J190" s="54"/>
      <c r="K190" s="248"/>
      <c r="L190" s="166"/>
      <c r="M190" s="296"/>
      <c r="N190" s="29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spans="1:27" ht="13.5" customHeight="1">
      <c r="A191" s="185"/>
      <c r="B191" s="65" t="s">
        <v>1917</v>
      </c>
      <c r="C191" s="65"/>
      <c r="D191" s="65"/>
      <c r="E191" s="164" t="s">
        <v>1918</v>
      </c>
      <c r="F191" s="164"/>
      <c r="G191" s="164"/>
      <c r="H191" s="164" t="s">
        <v>1919</v>
      </c>
      <c r="I191" s="166"/>
      <c r="J191" s="66"/>
      <c r="K191" s="248"/>
      <c r="L191" s="166"/>
      <c r="M191" s="296"/>
      <c r="N191" s="296"/>
      <c r="O191" s="365"/>
      <c r="P191" s="363"/>
      <c r="Q191" s="366"/>
      <c r="R191" s="366"/>
      <c r="S191" s="364"/>
      <c r="T191" s="364"/>
      <c r="U191" s="364"/>
      <c r="V191" s="364"/>
      <c r="W191" s="367"/>
      <c r="X191" s="363"/>
      <c r="Y191" s="364"/>
      <c r="Z191" s="363"/>
      <c r="AA191" s="363"/>
    </row>
    <row r="192" spans="1:27" ht="22.5" customHeight="1">
      <c r="A192" s="185"/>
      <c r="B192" s="65"/>
      <c r="C192" s="65"/>
      <c r="D192" s="65"/>
      <c r="E192" s="66"/>
      <c r="F192" s="66"/>
      <c r="G192" s="66"/>
      <c r="H192" s="66"/>
      <c r="I192" s="166"/>
      <c r="J192" s="66"/>
      <c r="K192" s="248"/>
      <c r="L192" s="166"/>
      <c r="M192" s="166"/>
      <c r="N192" s="166"/>
      <c r="O192" s="364"/>
      <c r="P192" s="364"/>
      <c r="Q192" s="364"/>
      <c r="R192" s="277"/>
      <c r="S192" s="277"/>
      <c r="T192" s="277"/>
      <c r="U192" s="366"/>
      <c r="V192" s="364"/>
      <c r="W192" s="364"/>
      <c r="X192" s="364"/>
      <c r="Y192" s="364"/>
      <c r="Z192" s="364"/>
      <c r="AA192" s="364"/>
    </row>
    <row r="193" spans="1:27" ht="13.5" customHeight="1">
      <c r="A193" s="185"/>
      <c r="B193" s="65"/>
      <c r="C193" s="65"/>
      <c r="D193" s="65"/>
      <c r="E193" s="66"/>
      <c r="F193" s="66"/>
      <c r="G193" s="66"/>
      <c r="H193" s="66"/>
      <c r="I193" s="166"/>
      <c r="J193" s="66"/>
      <c r="K193" s="248"/>
      <c r="L193" s="166"/>
      <c r="M193" s="166"/>
      <c r="N193" s="166"/>
      <c r="O193" s="34"/>
      <c r="P193" s="34"/>
      <c r="Q193" s="36"/>
      <c r="R193" s="36"/>
      <c r="S193" s="36"/>
      <c r="T193" s="36"/>
      <c r="U193" s="368"/>
      <c r="V193" s="364"/>
      <c r="W193" s="278"/>
      <c r="X193" s="369"/>
      <c r="Y193" s="364"/>
      <c r="Z193" s="62"/>
      <c r="AA193" s="62"/>
    </row>
    <row r="194" spans="1:27" ht="12" customHeight="1">
      <c r="A194" s="185"/>
      <c r="B194" s="39" t="s">
        <v>1920</v>
      </c>
      <c r="C194" s="67"/>
      <c r="D194" s="65"/>
      <c r="E194" s="167" t="s">
        <v>1921</v>
      </c>
      <c r="F194" s="167"/>
      <c r="G194" s="167"/>
      <c r="H194" s="167" t="s">
        <v>1922</v>
      </c>
      <c r="I194" s="166"/>
      <c r="J194" s="66"/>
      <c r="K194" s="248"/>
      <c r="L194" s="166"/>
      <c r="M194" s="166"/>
      <c r="N194" s="166"/>
      <c r="O194" s="34"/>
      <c r="P194" s="34"/>
      <c r="Q194" s="36"/>
      <c r="R194" s="36"/>
      <c r="S194" s="36"/>
      <c r="T194" s="36"/>
      <c r="U194" s="368"/>
      <c r="V194" s="364"/>
      <c r="W194" s="278"/>
      <c r="X194" s="369"/>
      <c r="Y194" s="364"/>
      <c r="Z194" s="62"/>
      <c r="AA194" s="62"/>
    </row>
    <row r="195" spans="1:27" ht="12" customHeight="1">
      <c r="A195" s="185"/>
      <c r="B195" s="72" t="s">
        <v>1923</v>
      </c>
      <c r="C195" s="72"/>
      <c r="D195" s="168"/>
      <c r="E195" s="168" t="s">
        <v>1924</v>
      </c>
      <c r="F195" s="168"/>
      <c r="G195" s="168"/>
      <c r="H195" s="168" t="s">
        <v>1925</v>
      </c>
      <c r="I195" s="166"/>
      <c r="J195" s="66"/>
      <c r="K195" s="248"/>
      <c r="L195" s="166"/>
      <c r="M195" s="166"/>
      <c r="N195" s="166"/>
      <c r="O195" s="34"/>
      <c r="P195" s="34"/>
      <c r="Q195" s="36"/>
      <c r="R195" s="36"/>
      <c r="S195" s="36"/>
      <c r="T195" s="36"/>
      <c r="U195" s="368"/>
      <c r="V195" s="364"/>
      <c r="W195" s="278"/>
      <c r="X195" s="369"/>
      <c r="Y195" s="364"/>
      <c r="Z195" s="62"/>
      <c r="AA195" s="62"/>
    </row>
    <row r="196" spans="1:27" ht="12" customHeight="1">
      <c r="A196" s="185"/>
      <c r="B196" s="72" t="s">
        <v>1926</v>
      </c>
      <c r="C196" s="72"/>
      <c r="D196" s="168"/>
      <c r="E196" s="168" t="s">
        <v>1927</v>
      </c>
      <c r="F196" s="168"/>
      <c r="G196" s="168"/>
      <c r="H196" s="168" t="s">
        <v>1928</v>
      </c>
      <c r="I196" s="166"/>
      <c r="J196" s="66">
        <f>SUM(J188:J195)</f>
        <v>0</v>
      </c>
      <c r="K196" s="248"/>
      <c r="L196" s="166"/>
      <c r="M196" s="166"/>
      <c r="N196" s="166"/>
      <c r="O196" s="34"/>
      <c r="P196" s="34"/>
      <c r="Q196" s="36"/>
      <c r="R196" s="36"/>
      <c r="S196" s="36"/>
      <c r="T196" s="36"/>
      <c r="U196" s="368"/>
      <c r="V196" s="364"/>
      <c r="W196" s="278"/>
      <c r="X196" s="369"/>
      <c r="Y196" s="364"/>
      <c r="Z196" s="34"/>
      <c r="AA196" s="62"/>
    </row>
    <row r="197" spans="1:27" ht="13.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248"/>
      <c r="L197" s="66"/>
      <c r="M197" s="66"/>
      <c r="N197" s="66"/>
      <c r="O197" s="34"/>
      <c r="P197" s="40"/>
      <c r="Q197" s="41"/>
      <c r="R197" s="41"/>
      <c r="S197" s="36"/>
      <c r="T197" s="41"/>
      <c r="U197" s="41"/>
      <c r="V197" s="41"/>
      <c r="W197" s="41"/>
      <c r="X197" s="41"/>
      <c r="Y197" s="40"/>
      <c r="Z197" s="40"/>
      <c r="AA197" s="40"/>
    </row>
    <row r="198" spans="1:27" ht="13.5" customHeight="1">
      <c r="A198" s="66"/>
      <c r="B198" s="66"/>
      <c r="C198" s="66"/>
      <c r="D198" s="66"/>
      <c r="E198" s="69"/>
      <c r="F198" s="66"/>
      <c r="G198" s="66"/>
      <c r="H198" s="66"/>
      <c r="I198" s="66"/>
      <c r="J198" s="66"/>
      <c r="K198" s="248"/>
      <c r="L198" s="66"/>
      <c r="M198" s="66"/>
      <c r="N198" s="66"/>
      <c r="O198" s="53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ht="13.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248"/>
      <c r="L199" s="66"/>
      <c r="M199" s="66"/>
      <c r="N199" s="66"/>
      <c r="O199" s="42"/>
      <c r="P199" s="43"/>
      <c r="Q199" s="43" t="s">
        <v>1929</v>
      </c>
      <c r="R199" s="370" t="s">
        <v>1930</v>
      </c>
      <c r="S199" s="371"/>
      <c r="T199" s="206" t="s">
        <v>1931</v>
      </c>
      <c r="U199" s="370" t="s">
        <v>1932</v>
      </c>
      <c r="V199" s="372"/>
      <c r="W199" s="372"/>
      <c r="X199" s="372"/>
      <c r="Y199" s="371"/>
      <c r="Z199" s="206" t="s">
        <v>1933</v>
      </c>
      <c r="AA199" s="206" t="s">
        <v>1934</v>
      </c>
    </row>
    <row r="200" spans="1:27" ht="13.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248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13.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248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13.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248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13.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248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13.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248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13.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248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13.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248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13.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248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13.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248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13.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248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spans="1:27" ht="13.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248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13.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248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13.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248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13.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248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13.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248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13.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248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13.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248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13.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248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13.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248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13.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248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13.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248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13.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248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 spans="1:27" ht="13.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248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13.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248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13.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248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13.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248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13.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248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13.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248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13.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248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13.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248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13.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248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13.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248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13.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248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13.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248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13.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248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13.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248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13.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248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13.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248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13.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248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13.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248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13.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248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13.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248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13.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248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13.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248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13.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248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13.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248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13.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248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13.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248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13.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248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13.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248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13.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248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13.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248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13.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248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13.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248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13.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248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13.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248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13.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248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13.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248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spans="1:27" ht="13.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248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spans="1:27" ht="13.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248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spans="1:27" ht="13.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248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spans="1:27" ht="13.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248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spans="1:27" ht="13.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248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spans="1:27" ht="13.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248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spans="1:27" ht="13.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248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spans="1:27" ht="13.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248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spans="1:27" ht="13.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248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ht="13.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248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ht="13.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248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spans="1:27" ht="13.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248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spans="1:27" ht="13.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248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13.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248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13.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248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13.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248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13.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248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13.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248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13.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248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13.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248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13.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248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13.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248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13.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248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13.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248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13.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248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13.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248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13.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248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13.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248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13.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248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13.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248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13.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248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13.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248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13.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248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13.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248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13.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248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13.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248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13.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248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13.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248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13.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248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13.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248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13.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248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13.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248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13.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248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13.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248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13.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248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13.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248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13.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248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13.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248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13.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248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13.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248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13.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248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13.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248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13.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248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13.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248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13.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248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13.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248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13.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248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13.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248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13.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248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13.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248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3.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248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3.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248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3.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248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3.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248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3.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248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3.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248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3.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248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3.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248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3.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248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3.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248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3.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248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3.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248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3.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248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3.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248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3.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248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3.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248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13.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248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3.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248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3.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248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3.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248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3.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248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3.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248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3.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248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3.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248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3.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248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3.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248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3.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248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3.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248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3.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248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3.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248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3.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248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3.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248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3.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248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3.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248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3.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248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3.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248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13.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248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13.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248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13.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248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13.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248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13.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248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13.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248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13.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248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13.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248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13.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248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13.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248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13.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248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13.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248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13.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248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13.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248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13.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248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13.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248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13.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248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13.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248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13.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248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13.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248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13.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248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13.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248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spans="1:27" ht="13.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248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13.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248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13.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248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13.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248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13.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248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13.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248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13.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248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13.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248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13.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248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13.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248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13.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248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13.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248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13.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248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13.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248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13.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248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13.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248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13.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248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13.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248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spans="1:27" ht="13.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248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13.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248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13.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248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13.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248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13.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248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13.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248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13.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248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13.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248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13.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248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13.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248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13.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248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13.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248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spans="1:27" ht="13.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248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13.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248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13.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248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13.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248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13.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248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13.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248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13.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248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13.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248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13.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248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13.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248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13.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248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13.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248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13.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248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13.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248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13.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248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13.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248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13.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248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13.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248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13.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248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13.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248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13.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248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spans="1:27" ht="13.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248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spans="1:27" ht="13.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248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spans="1:27" ht="13.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248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spans="1:27" ht="13.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248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spans="1:27" ht="13.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248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spans="1:27" ht="13.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248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spans="1:27" ht="13.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248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spans="1:27" ht="13.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248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spans="1:27" ht="13.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248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spans="1:27" ht="13.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248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spans="1:27" ht="13.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248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spans="1:27" ht="13.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248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spans="1:27" ht="13.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248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13.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248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13.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248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13.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248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13.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248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13.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248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13.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248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13.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248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13.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248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13.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248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13.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248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13.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248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13.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248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13.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248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13.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248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13.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248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13.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248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13.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248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13.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248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13.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248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13.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248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13.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248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13.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248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13.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248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13.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248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13.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248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13.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248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13.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248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13.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248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13.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248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13.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248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13.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248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13.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248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13.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248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13.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248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13.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248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13.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248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13.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248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13.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248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13.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248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13.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248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13.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248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13.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248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13.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248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13.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248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13.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248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13.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248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13.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248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13.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248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13.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248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13.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248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13.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248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13.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248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13.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248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13.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248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13.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248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13.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248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13.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248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13.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248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13.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248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13.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248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13.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248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13.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248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13.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248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13.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248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13.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248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13.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248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13.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248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13.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248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13.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248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13.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248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13.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248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13.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248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13.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248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13.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248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13.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248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13.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248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13.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248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13.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248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13.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248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13.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248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13.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248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13.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248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13.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248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13.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248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13.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248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13.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248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13.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248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13.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248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13.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248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13.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248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13.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248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13.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248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13.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248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13.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248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13.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248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13.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248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13.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248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13.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248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13.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248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13.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248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13.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248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13.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248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13.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248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13.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248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13.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248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13.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248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13.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248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13.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248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 spans="1:27" ht="13.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248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13.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248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13.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248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13.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248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13.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248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13.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248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13.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248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13.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248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13.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248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13.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248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13.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248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13.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248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spans="1:27" ht="13.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248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13.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248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13.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248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13.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248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13.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248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13.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248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13.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248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13.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248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13.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248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13.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248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13.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248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13.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248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13.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248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13.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248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13.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248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13.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248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13.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248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13.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248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13.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248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13.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248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13.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248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 spans="1:27" ht="13.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248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spans="1:27" ht="13.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248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 spans="1:27" ht="13.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248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spans="1:27" ht="13.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248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 spans="1:27" ht="13.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248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spans="1:27" ht="13.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248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 spans="1:27" ht="13.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248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spans="1:27" ht="13.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248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 spans="1:27" ht="13.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248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spans="1:27" ht="13.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248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 spans="1:27" ht="13.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248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spans="1:27" ht="13.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248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 spans="1:27" ht="13.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248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13.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248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13.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248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13.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248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13.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248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13.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248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13.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248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13.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248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13.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248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13.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248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13.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248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13.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248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13.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248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13.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248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13.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248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13.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248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13.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248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13.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248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13.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248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13.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248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13.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248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13.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248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13.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248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13.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248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13.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248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13.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248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13.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248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13.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248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13.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248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13.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248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13.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248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13.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248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13.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248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13.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248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13.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248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13.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248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13.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248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13.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248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13.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248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13.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248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13.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248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13.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248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13.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248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13.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248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13.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248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13.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248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13.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248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13.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248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13.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248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13.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248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13.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248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13.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248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13.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248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13.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248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13.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248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13.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248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13.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248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13.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248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13.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248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13.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248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13.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248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13.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248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13.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248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13.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248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13.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248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13.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248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13.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248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13.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248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13.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248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13.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248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13.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248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13.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248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13.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248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13.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248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13.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248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13.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248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13.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248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13.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248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13.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248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13.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248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13.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248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13.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248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13.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248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13.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248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13.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248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13.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248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13.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248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13.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248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13.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248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13.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248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13.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248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13.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248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13.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248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13.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248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13.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248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13.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248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13.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248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13.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248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13.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248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13.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248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13.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248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13.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248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13.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248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13.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248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13.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248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13.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248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13.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248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13.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248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13.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248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13.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248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13.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248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13.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248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13.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248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13.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248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13.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248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13.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248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13.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248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13.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248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13.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248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13.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248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13.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248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13.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248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13.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248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13.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248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13.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248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13.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248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13.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248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13.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248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13.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248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13.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248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13.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248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13.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248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13.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248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13.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248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13.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248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13.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248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13.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248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13.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248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13.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248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13.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248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13.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248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13.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248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13.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248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13.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248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13.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248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13.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248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13.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248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13.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248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13.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248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13.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248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13.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248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13.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248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13.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248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13.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248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13.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248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13.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248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13.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248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13.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248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13.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248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13.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248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13.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248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13.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248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13.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248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13.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248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13.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248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13.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248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13.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248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13.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248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13.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248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13.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248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13.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248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13.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248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13.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248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13.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248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13.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248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13.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248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13.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248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13.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248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13.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248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13.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248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13.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248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13.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248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13.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248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13.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248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13.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248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13.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248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13.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248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13.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248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13.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248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13.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248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13.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248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13.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248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13.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248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13.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248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13.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248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13.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248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13.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248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13.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248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13.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248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13.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248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13.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248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13.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248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13.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248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13.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248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13.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248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13.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248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13.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248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13.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248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13.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248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13.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248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13.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248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13.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248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13.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248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13.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248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13.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248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13.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248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13.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248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13.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248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13.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248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13.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248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13.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248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13.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248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13.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248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13.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248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13.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248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13.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248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13.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248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13.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248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13.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248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13.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248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13.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248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13.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248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13.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248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13.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248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13.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248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13.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248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13.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248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13.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248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13.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248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13.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248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13.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248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13.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248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13.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248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13.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248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13.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248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13.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248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13.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248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13.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248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13.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248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13.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248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13.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248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13.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248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13.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248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13.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248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13.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248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13.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248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13.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248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13.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248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13.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248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13.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248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13.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248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13.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248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13.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248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13.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248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13.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248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13.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248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13.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248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13.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248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13.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248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13.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248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13.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248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13.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248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13.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248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13.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248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13.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248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13.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248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13.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248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13.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248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13.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248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13.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248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13.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248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13.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248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13.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248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13.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248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13.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248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13.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248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13.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248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13.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248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13.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248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13.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248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13.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248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13.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248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13.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248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13.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248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13.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248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13.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248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13.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248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13.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248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13.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248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13.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248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13.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248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 spans="1:27" ht="13.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248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 spans="1:27" ht="13.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248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 spans="1:27" ht="13.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248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 spans="1:27" ht="13.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248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 spans="1:27" ht="13.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248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 spans="1:27" ht="13.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248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 spans="1:27" ht="13.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248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 spans="1:27" ht="13.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248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 spans="1:27" ht="13.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248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 spans="1:27" ht="13.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248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 spans="1:27" ht="13.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248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 spans="1:27" ht="13.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248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 spans="1:27" ht="13.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248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 spans="1:27" ht="13.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248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 spans="1:27" ht="13.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248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 spans="1:27" ht="13.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248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 spans="1:27" ht="13.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248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 spans="1:27" ht="13.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248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 spans="1:27" ht="13.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248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 spans="1:27" ht="13.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248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 spans="1:27" ht="13.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248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 spans="1:27" ht="13.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248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 spans="1:27" ht="13.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248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 spans="1:27" ht="13.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248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 spans="1:27" ht="13.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248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 spans="1:27" ht="13.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248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 spans="1:27" ht="13.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248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 spans="1:27" ht="13.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248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 spans="1:27" ht="13.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248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 spans="1:27" ht="13.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248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 spans="1:27" ht="13.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248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 spans="1:27" ht="13.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248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 spans="1:27" ht="13.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248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 spans="1:27" ht="13.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248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 spans="1:27" ht="13.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248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 spans="1:27" ht="13.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248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 spans="1:27" ht="13.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248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 spans="1:27" ht="13.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248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 spans="1:27" ht="13.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248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 spans="1:27" ht="13.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248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 spans="1:27" ht="13.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248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 spans="1:27" ht="13.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248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 spans="1:27" ht="13.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248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 spans="1:27" ht="13.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248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 spans="1:27" ht="13.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248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 spans="1:27" ht="13.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248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 spans="1:27" ht="13.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248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 spans="1:27" ht="13.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248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 spans="1:27" ht="13.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248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 spans="1:27" ht="13.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248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 spans="1:27" ht="13.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248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 spans="1:27" ht="13.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248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 spans="1:27" ht="13.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248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 spans="1:27" ht="13.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248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 spans="1:27" ht="13.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248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 spans="1:27" ht="13.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248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 spans="1:27" ht="13.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248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 spans="1:27" ht="13.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248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 spans="1:27" ht="13.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248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 spans="1:27" ht="13.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248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 spans="1:27" ht="13.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248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 spans="1:27" ht="13.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248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 spans="1:27" ht="13.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248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 spans="1:27" ht="13.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248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 spans="1:27" ht="13.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248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 spans="1:27" ht="13.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248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 spans="1:27" ht="13.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248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 spans="1:27" ht="13.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248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 spans="1:27" ht="13.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248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 spans="1:27" ht="13.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248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 spans="1:27" ht="13.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248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 spans="1:27" ht="13.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248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 spans="1:27" ht="13.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248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 spans="1:27" ht="13.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248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 spans="1:27" ht="13.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248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 spans="1:27" ht="13.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248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 spans="1:27" ht="13.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248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 spans="1:27" ht="13.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248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 spans="1:27" ht="13.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248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 spans="1:27" ht="13.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248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 spans="1:27" ht="13.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248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 spans="1:27" ht="13.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248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 spans="1:27" ht="13.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248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 spans="1:27" ht="13.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248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 spans="1:27" ht="13.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248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 spans="1:27" ht="13.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248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 spans="1:27" ht="13.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248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 spans="1:27" ht="13.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248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 spans="1:27" ht="13.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248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 spans="1:27" ht="13.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248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 spans="1:27" ht="13.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248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 spans="1:27" ht="13.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248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 spans="1:27" ht="13.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248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 spans="1:27" ht="13.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248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  <row r="988" spans="1:27" ht="13.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248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</row>
    <row r="989" spans="1:27" ht="13.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248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</row>
    <row r="990" spans="1:27" ht="13.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248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</row>
    <row r="991" spans="1:27" ht="13.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248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</row>
    <row r="992" spans="1:27" ht="13.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248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</row>
    <row r="993" spans="1:27" ht="13.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248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</row>
    <row r="994" spans="1:27" ht="13.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248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</row>
    <row r="995" spans="1:27" ht="13.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248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</row>
    <row r="996" spans="1:27" ht="13.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248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</row>
    <row r="997" spans="1:27" ht="13.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248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</row>
    <row r="998" spans="1:27" ht="13.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248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</row>
    <row r="999" spans="1:27" ht="13.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248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</row>
    <row r="1000" spans="1:27" ht="13.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248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</row>
  </sheetData>
  <mergeCells count="44">
    <mergeCell ref="A1:I1"/>
    <mergeCell ref="A2:I2"/>
    <mergeCell ref="A3:I3"/>
    <mergeCell ref="A4:I4"/>
    <mergeCell ref="A5:I5"/>
    <mergeCell ref="A6:I6"/>
    <mergeCell ref="A7:I7"/>
    <mergeCell ref="A10:I10"/>
    <mergeCell ref="A86:I86"/>
    <mergeCell ref="A156:I156"/>
    <mergeCell ref="A185:B185"/>
    <mergeCell ref="D185:E185"/>
    <mergeCell ref="G185:H185"/>
    <mergeCell ref="A186:B186"/>
    <mergeCell ref="D186:E186"/>
    <mergeCell ref="G186:H186"/>
    <mergeCell ref="A187:B187"/>
    <mergeCell ref="D187:E187"/>
    <mergeCell ref="G187:H187"/>
    <mergeCell ref="A188:B188"/>
    <mergeCell ref="D188:E188"/>
    <mergeCell ref="G188:H188"/>
    <mergeCell ref="A189:B189"/>
    <mergeCell ref="D189:E189"/>
    <mergeCell ref="G189:H189"/>
    <mergeCell ref="R191:V191"/>
    <mergeCell ref="U192:V192"/>
    <mergeCell ref="R199:S199"/>
    <mergeCell ref="U199:Y199"/>
    <mergeCell ref="O191:O192"/>
    <mergeCell ref="P191:P192"/>
    <mergeCell ref="Q191:Q192"/>
    <mergeCell ref="W191:W192"/>
    <mergeCell ref="U193:V193"/>
    <mergeCell ref="X193:Y193"/>
    <mergeCell ref="U194:V194"/>
    <mergeCell ref="X194:Y194"/>
    <mergeCell ref="U195:V195"/>
    <mergeCell ref="X195:Y195"/>
    <mergeCell ref="Z191:Z192"/>
    <mergeCell ref="AA191:AA192"/>
    <mergeCell ref="X191:Y192"/>
    <mergeCell ref="U196:V196"/>
    <mergeCell ref="X196:Y196"/>
  </mergeCells>
  <pageMargins left="0.118110236220472" right="0.118110236220472" top="0.55118110236220497" bottom="0.35433070866141703" header="0" footer="0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workbookViewId="0">
      <selection sqref="A1:I1"/>
    </sheetView>
  </sheetViews>
  <sheetFormatPr defaultColWidth="12.5703125" defaultRowHeight="15" customHeight="1"/>
  <cols>
    <col min="1" max="1" width="5" customWidth="1"/>
    <col min="2" max="2" width="25.85546875" customWidth="1"/>
    <col min="3" max="3" width="12.5703125" hidden="1"/>
    <col min="4" max="4" width="9.42578125" customWidth="1"/>
    <col min="5" max="5" width="17" customWidth="1"/>
    <col min="6" max="6" width="19.140625" customWidth="1"/>
    <col min="7" max="7" width="16.5703125" customWidth="1"/>
    <col min="8" max="8" width="5.7109375" customWidth="1"/>
    <col min="9" max="9" width="23.85546875" customWidth="1"/>
    <col min="10" max="10" width="26.7109375" customWidth="1"/>
    <col min="11" max="11" width="14" customWidth="1"/>
    <col min="12" max="12" width="9.140625" customWidth="1"/>
    <col min="13" max="13" width="18.5703125" customWidth="1"/>
    <col min="14" max="15" width="9.140625" customWidth="1"/>
    <col min="16" max="16" width="47.28515625" customWidth="1"/>
    <col min="17" max="27" width="9.140625" customWidth="1"/>
  </cols>
  <sheetData>
    <row r="1" spans="1:27" ht="11.25" customHeight="1">
      <c r="A1" s="375" t="s">
        <v>0</v>
      </c>
      <c r="B1" s="376"/>
      <c r="C1" s="376"/>
      <c r="D1" s="376"/>
      <c r="E1" s="376"/>
      <c r="F1" s="376"/>
      <c r="G1" s="376"/>
      <c r="H1" s="376"/>
      <c r="I1" s="376"/>
      <c r="J1" s="28"/>
      <c r="K1" s="24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1.25" customHeight="1">
      <c r="A2" s="375" t="s">
        <v>1</v>
      </c>
      <c r="B2" s="376"/>
      <c r="C2" s="376"/>
      <c r="D2" s="376"/>
      <c r="E2" s="376"/>
      <c r="F2" s="376"/>
      <c r="G2" s="376"/>
      <c r="H2" s="376"/>
      <c r="I2" s="376"/>
      <c r="J2" s="28"/>
      <c r="K2" s="248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1.25" customHeight="1">
      <c r="A3" s="375" t="s">
        <v>2</v>
      </c>
      <c r="B3" s="376"/>
      <c r="C3" s="376"/>
      <c r="D3" s="376"/>
      <c r="E3" s="376"/>
      <c r="F3" s="376"/>
      <c r="G3" s="376"/>
      <c r="H3" s="376"/>
      <c r="I3" s="376"/>
      <c r="J3" s="28"/>
      <c r="K3" s="248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5" customHeight="1">
      <c r="A4" s="375" t="s">
        <v>3</v>
      </c>
      <c r="B4" s="376"/>
      <c r="C4" s="376"/>
      <c r="D4" s="376"/>
      <c r="E4" s="376"/>
      <c r="F4" s="376"/>
      <c r="G4" s="376"/>
      <c r="H4" s="376"/>
      <c r="I4" s="376"/>
      <c r="J4" s="28"/>
      <c r="K4" s="248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13.5" customHeight="1">
      <c r="A5" s="375"/>
      <c r="B5" s="376"/>
      <c r="C5" s="376"/>
      <c r="D5" s="376"/>
      <c r="E5" s="376"/>
      <c r="F5" s="376"/>
      <c r="G5" s="376"/>
      <c r="H5" s="376"/>
      <c r="I5" s="376"/>
      <c r="J5" s="66"/>
      <c r="K5" s="248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ht="13.5" customHeight="1">
      <c r="A6" s="375" t="s">
        <v>2672</v>
      </c>
      <c r="B6" s="376"/>
      <c r="C6" s="376"/>
      <c r="D6" s="376"/>
      <c r="E6" s="376"/>
      <c r="F6" s="376"/>
      <c r="G6" s="376"/>
      <c r="H6" s="376"/>
      <c r="I6" s="376"/>
      <c r="J6" s="28"/>
      <c r="K6" s="248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5" customHeight="1">
      <c r="A7" s="375" t="s">
        <v>5</v>
      </c>
      <c r="B7" s="376"/>
      <c r="C7" s="376"/>
      <c r="D7" s="376"/>
      <c r="E7" s="376"/>
      <c r="F7" s="376"/>
      <c r="G7" s="376"/>
      <c r="H7" s="376"/>
      <c r="I7" s="376"/>
      <c r="J7" s="28"/>
      <c r="K7" s="248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11.25" customHeight="1">
      <c r="A8" s="28"/>
      <c r="B8" s="185"/>
      <c r="C8" s="185"/>
      <c r="D8" s="185"/>
      <c r="E8" s="185"/>
      <c r="F8" s="185"/>
      <c r="G8" s="185"/>
      <c r="H8" s="3"/>
      <c r="I8" s="28"/>
      <c r="J8" s="28"/>
      <c r="K8" s="248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18.75" customHeight="1">
      <c r="A9" s="186" t="s">
        <v>6</v>
      </c>
      <c r="B9" s="186" t="s">
        <v>7</v>
      </c>
      <c r="C9" s="206" t="s">
        <v>8</v>
      </c>
      <c r="D9" s="186" t="s">
        <v>9</v>
      </c>
      <c r="E9" s="186" t="s">
        <v>10</v>
      </c>
      <c r="F9" s="186" t="s">
        <v>11</v>
      </c>
      <c r="G9" s="186" t="s">
        <v>12</v>
      </c>
      <c r="H9" s="187" t="s">
        <v>13</v>
      </c>
      <c r="I9" s="187" t="s">
        <v>14</v>
      </c>
      <c r="J9" s="249"/>
      <c r="K9" s="250"/>
      <c r="L9" s="66"/>
      <c r="M9" s="66"/>
      <c r="N9" s="66"/>
      <c r="O9" s="66"/>
      <c r="P9" s="59"/>
      <c r="Q9" s="59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18.75" customHeight="1">
      <c r="A10" s="379" t="s">
        <v>2669</v>
      </c>
      <c r="B10" s="372"/>
      <c r="C10" s="372"/>
      <c r="D10" s="372"/>
      <c r="E10" s="372"/>
      <c r="F10" s="372"/>
      <c r="G10" s="372"/>
      <c r="H10" s="372"/>
      <c r="I10" s="371"/>
      <c r="J10" s="251"/>
      <c r="K10" s="250"/>
      <c r="L10" s="66"/>
      <c r="M10" s="66"/>
      <c r="N10" s="66"/>
      <c r="O10" s="66"/>
      <c r="P10" s="59"/>
      <c r="Q10" s="59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18" customHeight="1">
      <c r="A11" s="188">
        <v>1</v>
      </c>
      <c r="B11" s="189" t="s">
        <v>1723</v>
      </c>
      <c r="C11" s="193" t="s">
        <v>39</v>
      </c>
      <c r="D11" s="190" t="s">
        <v>20</v>
      </c>
      <c r="E11" s="191" t="s">
        <v>1589</v>
      </c>
      <c r="F11" s="191" t="s">
        <v>1724</v>
      </c>
      <c r="G11" s="191" t="s">
        <v>242</v>
      </c>
      <c r="H11" s="192"/>
      <c r="I11" s="210"/>
      <c r="J11" s="189"/>
      <c r="K11" s="189"/>
      <c r="L11" s="190"/>
      <c r="M11" s="191"/>
      <c r="N11" s="191"/>
      <c r="O11" s="191"/>
      <c r="P11" s="192"/>
      <c r="Q11" s="210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18" customHeight="1">
      <c r="A12" s="188">
        <v>2</v>
      </c>
      <c r="B12" s="193" t="s">
        <v>154</v>
      </c>
      <c r="C12" s="189" t="s">
        <v>19</v>
      </c>
      <c r="D12" s="190" t="s">
        <v>20</v>
      </c>
      <c r="E12" s="191" t="s">
        <v>155</v>
      </c>
      <c r="F12" s="191" t="s">
        <v>156</v>
      </c>
      <c r="G12" s="191" t="s">
        <v>157</v>
      </c>
      <c r="H12" s="192"/>
      <c r="I12" s="210"/>
      <c r="J12" s="189"/>
      <c r="K12" s="193"/>
      <c r="L12" s="190"/>
      <c r="M12" s="191"/>
      <c r="N12" s="191"/>
      <c r="O12" s="191"/>
      <c r="P12" s="192"/>
      <c r="Q12" s="210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18" customHeight="1">
      <c r="A13" s="188">
        <v>3</v>
      </c>
      <c r="B13" s="189" t="s">
        <v>801</v>
      </c>
      <c r="C13" s="189" t="s">
        <v>19</v>
      </c>
      <c r="D13" s="190" t="s">
        <v>20</v>
      </c>
      <c r="E13" s="191" t="s">
        <v>802</v>
      </c>
      <c r="F13" s="191" t="s">
        <v>803</v>
      </c>
      <c r="G13" s="191" t="s">
        <v>804</v>
      </c>
      <c r="H13" s="192" t="s">
        <v>268</v>
      </c>
      <c r="I13" s="210"/>
      <c r="J13" s="193"/>
      <c r="K13" s="189"/>
      <c r="L13" s="190"/>
      <c r="M13" s="191"/>
      <c r="N13" s="191"/>
      <c r="O13" s="191"/>
      <c r="P13" s="192"/>
      <c r="Q13" s="210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18" customHeight="1">
      <c r="A14" s="188">
        <v>4</v>
      </c>
      <c r="B14" s="189" t="s">
        <v>1804</v>
      </c>
      <c r="C14" s="193" t="s">
        <v>19</v>
      </c>
      <c r="D14" s="190" t="s">
        <v>20</v>
      </c>
      <c r="E14" s="191" t="s">
        <v>1805</v>
      </c>
      <c r="F14" s="191" t="s">
        <v>1806</v>
      </c>
      <c r="G14" s="191" t="s">
        <v>1807</v>
      </c>
      <c r="H14" s="192"/>
      <c r="I14" s="210"/>
      <c r="J14" s="193"/>
      <c r="K14" s="193"/>
      <c r="L14" s="190"/>
      <c r="M14" s="191"/>
      <c r="N14" s="191"/>
      <c r="O14" s="191"/>
      <c r="P14" s="192"/>
      <c r="Q14" s="210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ht="18" customHeight="1">
      <c r="A15" s="188">
        <v>5</v>
      </c>
      <c r="B15" s="189" t="s">
        <v>18</v>
      </c>
      <c r="C15" s="189" t="s">
        <v>19</v>
      </c>
      <c r="D15" s="190" t="s">
        <v>20</v>
      </c>
      <c r="E15" s="191" t="s">
        <v>21</v>
      </c>
      <c r="F15" s="191" t="s">
        <v>22</v>
      </c>
      <c r="G15" s="191" t="s">
        <v>23</v>
      </c>
      <c r="H15" s="192"/>
      <c r="I15" s="210"/>
      <c r="J15" s="189"/>
      <c r="K15" s="189"/>
      <c r="L15" s="190"/>
      <c r="M15" s="191"/>
      <c r="N15" s="191"/>
      <c r="O15" s="191"/>
      <c r="P15" s="192"/>
      <c r="Q15" s="210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18" customHeight="1">
      <c r="A16" s="188">
        <v>6</v>
      </c>
      <c r="B16" s="189" t="s">
        <v>90</v>
      </c>
      <c r="C16" s="193" t="s">
        <v>19</v>
      </c>
      <c r="D16" s="190" t="s">
        <v>20</v>
      </c>
      <c r="E16" s="191" t="s">
        <v>91</v>
      </c>
      <c r="F16" s="191" t="s">
        <v>92</v>
      </c>
      <c r="G16" s="191" t="s">
        <v>93</v>
      </c>
      <c r="H16" s="192"/>
      <c r="I16" s="210"/>
      <c r="J16" s="193"/>
      <c r="K16" s="193"/>
      <c r="L16" s="194"/>
      <c r="M16" s="195"/>
      <c r="N16" s="195"/>
      <c r="O16" s="195"/>
      <c r="P16" s="194"/>
      <c r="Q16" s="212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" customHeight="1">
      <c r="A17" s="188">
        <v>7</v>
      </c>
      <c r="B17" s="189" t="s">
        <v>51</v>
      </c>
      <c r="C17" s="193" t="s">
        <v>19</v>
      </c>
      <c r="D17" s="190" t="s">
        <v>20</v>
      </c>
      <c r="E17" s="191" t="s">
        <v>52</v>
      </c>
      <c r="F17" s="191" t="s">
        <v>53</v>
      </c>
      <c r="G17" s="191" t="s">
        <v>54</v>
      </c>
      <c r="H17" s="192" t="s">
        <v>55</v>
      </c>
      <c r="I17" s="210"/>
      <c r="J17" s="193"/>
      <c r="K17" s="193"/>
      <c r="L17" s="194"/>
      <c r="M17" s="191"/>
      <c r="N17" s="191"/>
      <c r="O17" s="191"/>
      <c r="P17" s="192"/>
      <c r="Q17" s="210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27" ht="18" customHeight="1">
      <c r="A18" s="188">
        <v>8</v>
      </c>
      <c r="B18" s="189" t="s">
        <v>924</v>
      </c>
      <c r="C18" s="189" t="s">
        <v>19</v>
      </c>
      <c r="D18" s="190" t="s">
        <v>160</v>
      </c>
      <c r="E18" s="191" t="s">
        <v>318</v>
      </c>
      <c r="F18" s="191" t="s">
        <v>925</v>
      </c>
      <c r="G18" s="191" t="s">
        <v>926</v>
      </c>
      <c r="H18" s="192"/>
      <c r="I18" s="210"/>
      <c r="J18" s="193"/>
      <c r="K18" s="193"/>
      <c r="L18" s="194"/>
      <c r="M18" s="191"/>
      <c r="N18" s="191"/>
      <c r="O18" s="191"/>
      <c r="P18" s="192"/>
      <c r="Q18" s="210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8" customHeight="1">
      <c r="A19" s="188">
        <v>9</v>
      </c>
      <c r="B19" s="189" t="s">
        <v>919</v>
      </c>
      <c r="C19" s="189" t="s">
        <v>19</v>
      </c>
      <c r="D19" s="190" t="s">
        <v>160</v>
      </c>
      <c r="E19" s="191" t="s">
        <v>920</v>
      </c>
      <c r="F19" s="191" t="s">
        <v>501</v>
      </c>
      <c r="G19" s="191" t="s">
        <v>921</v>
      </c>
      <c r="H19" s="192"/>
      <c r="I19" s="210"/>
      <c r="J19" s="189"/>
      <c r="K19" s="193"/>
      <c r="L19" s="190"/>
      <c r="M19" s="191"/>
      <c r="N19" s="191"/>
      <c r="O19" s="191"/>
      <c r="P19" s="192"/>
      <c r="Q19" s="210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18" customHeight="1">
      <c r="A20" s="188">
        <v>10</v>
      </c>
      <c r="B20" s="193" t="s">
        <v>154</v>
      </c>
      <c r="C20" s="193" t="s">
        <v>39</v>
      </c>
      <c r="D20" s="190" t="s">
        <v>160</v>
      </c>
      <c r="E20" s="191" t="s">
        <v>161</v>
      </c>
      <c r="F20" s="191" t="s">
        <v>162</v>
      </c>
      <c r="G20" s="191" t="s">
        <v>163</v>
      </c>
      <c r="H20" s="192"/>
      <c r="I20" s="210"/>
      <c r="J20" s="189"/>
      <c r="K20" s="189"/>
      <c r="L20" s="190"/>
      <c r="M20" s="191"/>
      <c r="N20" s="191"/>
      <c r="O20" s="191"/>
      <c r="P20" s="192"/>
      <c r="Q20" s="210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18" customHeight="1">
      <c r="A21" s="188">
        <v>11</v>
      </c>
      <c r="B21" s="189" t="s">
        <v>1290</v>
      </c>
      <c r="C21" s="193" t="s">
        <v>19</v>
      </c>
      <c r="D21" s="190" t="s">
        <v>160</v>
      </c>
      <c r="E21" s="191" t="s">
        <v>1291</v>
      </c>
      <c r="F21" s="191" t="s">
        <v>1292</v>
      </c>
      <c r="G21" s="191" t="s">
        <v>1293</v>
      </c>
      <c r="H21" s="192"/>
      <c r="I21" s="210"/>
      <c r="J21" s="189"/>
      <c r="K21" s="193"/>
      <c r="L21" s="190"/>
      <c r="M21" s="191"/>
      <c r="N21" s="191"/>
      <c r="O21" s="191"/>
      <c r="P21" s="192"/>
      <c r="Q21" s="210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18" customHeight="1">
      <c r="A22" s="188">
        <v>12</v>
      </c>
      <c r="B22" s="189" t="s">
        <v>1656</v>
      </c>
      <c r="C22" s="193" t="s">
        <v>19</v>
      </c>
      <c r="D22" s="190" t="s">
        <v>160</v>
      </c>
      <c r="E22" s="191" t="s">
        <v>636</v>
      </c>
      <c r="F22" s="191" t="s">
        <v>1657</v>
      </c>
      <c r="G22" s="191" t="s">
        <v>1658</v>
      </c>
      <c r="H22" s="192"/>
      <c r="I22" s="210"/>
      <c r="J22" s="189"/>
      <c r="K22" s="193"/>
      <c r="L22" s="190"/>
      <c r="M22" s="191"/>
      <c r="N22" s="191"/>
      <c r="O22" s="191"/>
      <c r="P22" s="192"/>
      <c r="Q22" s="210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ht="18" customHeight="1">
      <c r="A23" s="188">
        <v>13</v>
      </c>
      <c r="B23" s="189" t="s">
        <v>801</v>
      </c>
      <c r="C23" s="193" t="s">
        <v>39</v>
      </c>
      <c r="D23" s="190" t="s">
        <v>160</v>
      </c>
      <c r="E23" s="191" t="s">
        <v>807</v>
      </c>
      <c r="F23" s="191" t="s">
        <v>808</v>
      </c>
      <c r="G23" s="191" t="s">
        <v>809</v>
      </c>
      <c r="H23" s="192"/>
      <c r="I23" s="210"/>
      <c r="J23" s="189"/>
      <c r="K23" s="189"/>
      <c r="L23" s="190"/>
      <c r="M23" s="191"/>
      <c r="N23" s="191"/>
      <c r="O23" s="191"/>
      <c r="P23" s="192"/>
      <c r="Q23" s="210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ht="18" customHeight="1">
      <c r="A24" s="188">
        <v>14</v>
      </c>
      <c r="B24" s="199" t="s">
        <v>1810</v>
      </c>
      <c r="C24" s="199" t="s">
        <v>19</v>
      </c>
      <c r="D24" s="200" t="s">
        <v>160</v>
      </c>
      <c r="E24" s="201" t="s">
        <v>1811</v>
      </c>
      <c r="F24" s="201" t="s">
        <v>400</v>
      </c>
      <c r="G24" s="201" t="s">
        <v>1812</v>
      </c>
      <c r="H24" s="202"/>
      <c r="I24" s="228"/>
      <c r="J24" s="189"/>
      <c r="K24" s="189"/>
      <c r="L24" s="190"/>
      <c r="M24" s="191"/>
      <c r="N24" s="191"/>
      <c r="O24" s="191"/>
      <c r="P24" s="192"/>
      <c r="Q24" s="210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ht="18" customHeight="1">
      <c r="A25" s="188">
        <v>15</v>
      </c>
      <c r="B25" s="193" t="s">
        <v>2655</v>
      </c>
      <c r="C25" s="193" t="s">
        <v>19</v>
      </c>
      <c r="D25" s="190" t="s">
        <v>160</v>
      </c>
      <c r="E25" s="191" t="s">
        <v>2656</v>
      </c>
      <c r="F25" s="191" t="s">
        <v>684</v>
      </c>
      <c r="G25" s="191" t="s">
        <v>2657</v>
      </c>
      <c r="H25" s="192"/>
      <c r="I25" s="210"/>
      <c r="J25" s="189"/>
      <c r="K25" s="189"/>
      <c r="L25" s="190"/>
      <c r="M25" s="191"/>
      <c r="N25" s="191"/>
      <c r="O25" s="191"/>
      <c r="P25" s="192"/>
      <c r="Q25" s="210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ht="18" customHeight="1">
      <c r="A26" s="188">
        <v>16</v>
      </c>
      <c r="B26" s="189" t="s">
        <v>1765</v>
      </c>
      <c r="C26" s="193" t="s">
        <v>39</v>
      </c>
      <c r="D26" s="190" t="s">
        <v>96</v>
      </c>
      <c r="E26" s="204" t="s">
        <v>1766</v>
      </c>
      <c r="F26" s="204" t="s">
        <v>1767</v>
      </c>
      <c r="G26" s="204" t="s">
        <v>1768</v>
      </c>
      <c r="H26" s="205"/>
      <c r="I26" s="210"/>
      <c r="J26" s="193"/>
      <c r="K26" s="193"/>
      <c r="L26" s="190"/>
      <c r="M26" s="191"/>
      <c r="N26" s="191"/>
      <c r="O26" s="191"/>
      <c r="P26" s="192"/>
      <c r="Q26" s="210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ht="18" customHeight="1">
      <c r="A27" s="188">
        <v>17</v>
      </c>
      <c r="B27" s="193" t="s">
        <v>221</v>
      </c>
      <c r="C27" s="193" t="s">
        <v>19</v>
      </c>
      <c r="D27" s="190" t="s">
        <v>96</v>
      </c>
      <c r="E27" s="204" t="s">
        <v>222</v>
      </c>
      <c r="F27" s="204" t="s">
        <v>223</v>
      </c>
      <c r="G27" s="204" t="s">
        <v>224</v>
      </c>
      <c r="H27" s="205"/>
      <c r="I27" s="210"/>
      <c r="J27" s="189"/>
      <c r="K27" s="189"/>
      <c r="L27" s="190"/>
      <c r="M27" s="191"/>
      <c r="N27" s="191"/>
      <c r="O27" s="191"/>
      <c r="P27" s="192"/>
      <c r="Q27" s="210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ht="18" customHeight="1">
      <c r="A28" s="188">
        <v>18</v>
      </c>
      <c r="B28" s="189" t="s">
        <v>1296</v>
      </c>
      <c r="C28" s="189" t="s">
        <v>19</v>
      </c>
      <c r="D28" s="190" t="s">
        <v>96</v>
      </c>
      <c r="E28" s="204" t="s">
        <v>1302</v>
      </c>
      <c r="F28" s="204" t="s">
        <v>1303</v>
      </c>
      <c r="G28" s="204" t="s">
        <v>1304</v>
      </c>
      <c r="H28" s="205"/>
      <c r="I28" s="210"/>
      <c r="J28" s="193"/>
      <c r="K28" s="193"/>
      <c r="L28" s="190"/>
      <c r="M28" s="191"/>
      <c r="N28" s="191"/>
      <c r="O28" s="191"/>
      <c r="P28" s="192"/>
      <c r="Q28" s="210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ht="18" customHeight="1">
      <c r="A29" s="188">
        <v>19</v>
      </c>
      <c r="B29" s="193" t="s">
        <v>1632</v>
      </c>
      <c r="C29" s="189" t="s">
        <v>19</v>
      </c>
      <c r="D29" s="190" t="s">
        <v>96</v>
      </c>
      <c r="E29" s="191" t="s">
        <v>1633</v>
      </c>
      <c r="F29" s="191" t="s">
        <v>1634</v>
      </c>
      <c r="G29" s="191" t="s">
        <v>1635</v>
      </c>
      <c r="H29" s="192"/>
      <c r="I29" s="210"/>
      <c r="J29" s="189"/>
      <c r="K29" s="189"/>
      <c r="L29" s="190"/>
      <c r="M29" s="191"/>
      <c r="N29" s="191"/>
      <c r="O29" s="191"/>
      <c r="P29" s="192"/>
      <c r="Q29" s="210"/>
      <c r="R29" s="174"/>
      <c r="S29" s="174"/>
      <c r="T29" s="174"/>
      <c r="U29" s="174"/>
      <c r="V29" s="174"/>
      <c r="W29" s="174"/>
      <c r="X29" s="174"/>
      <c r="Y29" s="174"/>
      <c r="Z29" s="174"/>
      <c r="AA29" s="174"/>
    </row>
    <row r="30" spans="1:27" ht="18" customHeight="1">
      <c r="A30" s="188">
        <v>20</v>
      </c>
      <c r="B30" s="189" t="s">
        <v>1296</v>
      </c>
      <c r="C30" s="193" t="s">
        <v>39</v>
      </c>
      <c r="D30" s="190" t="s">
        <v>96</v>
      </c>
      <c r="E30" s="204" t="s">
        <v>1307</v>
      </c>
      <c r="F30" s="204" t="s">
        <v>1308</v>
      </c>
      <c r="G30" s="204" t="s">
        <v>151</v>
      </c>
      <c r="H30" s="205"/>
      <c r="I30" s="210"/>
      <c r="J30" s="193"/>
      <c r="K30" s="193"/>
      <c r="L30" s="190"/>
      <c r="M30" s="191"/>
      <c r="N30" s="191"/>
      <c r="O30" s="191"/>
      <c r="P30" s="192"/>
      <c r="Q30" s="210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8" customHeight="1">
      <c r="A31" s="188">
        <v>21</v>
      </c>
      <c r="B31" s="189" t="s">
        <v>90</v>
      </c>
      <c r="C31" s="189" t="s">
        <v>19</v>
      </c>
      <c r="D31" s="190" t="s">
        <v>96</v>
      </c>
      <c r="E31" s="204" t="s">
        <v>97</v>
      </c>
      <c r="F31" s="204" t="s">
        <v>98</v>
      </c>
      <c r="G31" s="204" t="s">
        <v>99</v>
      </c>
      <c r="H31" s="205"/>
      <c r="I31" s="210"/>
      <c r="J31" s="193"/>
      <c r="K31" s="189"/>
      <c r="L31" s="190"/>
      <c r="M31" s="191"/>
      <c r="N31" s="191"/>
      <c r="O31" s="191"/>
      <c r="P31" s="192"/>
      <c r="Q31" s="210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8" customHeight="1">
      <c r="A32" s="188">
        <v>22</v>
      </c>
      <c r="B32" s="193" t="s">
        <v>1037</v>
      </c>
      <c r="C32" s="189" t="s">
        <v>19</v>
      </c>
      <c r="D32" s="190" t="s">
        <v>96</v>
      </c>
      <c r="E32" s="191" t="s">
        <v>1038</v>
      </c>
      <c r="F32" s="191" t="s">
        <v>413</v>
      </c>
      <c r="G32" s="191" t="s">
        <v>1039</v>
      </c>
      <c r="H32" s="192" t="s">
        <v>268</v>
      </c>
      <c r="I32" s="210"/>
      <c r="J32" s="189"/>
      <c r="K32" s="193"/>
      <c r="L32" s="190"/>
      <c r="M32" s="191"/>
      <c r="N32" s="191"/>
      <c r="O32" s="191"/>
      <c r="P32" s="192"/>
      <c r="Q32" s="210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8" customHeight="1">
      <c r="A33" s="188">
        <v>23</v>
      </c>
      <c r="B33" s="189" t="s">
        <v>1656</v>
      </c>
      <c r="C33" s="189" t="s">
        <v>19</v>
      </c>
      <c r="D33" s="190" t="s">
        <v>96</v>
      </c>
      <c r="E33" s="204" t="s">
        <v>1660</v>
      </c>
      <c r="F33" s="204" t="s">
        <v>1661</v>
      </c>
      <c r="G33" s="204" t="s">
        <v>1662</v>
      </c>
      <c r="H33" s="205"/>
      <c r="I33" s="210"/>
      <c r="J33" s="193"/>
      <c r="K33" s="193"/>
      <c r="L33" s="190"/>
      <c r="M33" s="191"/>
      <c r="N33" s="191"/>
      <c r="O33" s="191"/>
      <c r="P33" s="192"/>
      <c r="Q33" s="210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8" customHeight="1">
      <c r="A34" s="188">
        <v>24</v>
      </c>
      <c r="B34" s="189" t="s">
        <v>1296</v>
      </c>
      <c r="C34" s="189" t="s">
        <v>19</v>
      </c>
      <c r="D34" s="190" t="s">
        <v>96</v>
      </c>
      <c r="E34" s="204" t="s">
        <v>1311</v>
      </c>
      <c r="F34" s="204" t="s">
        <v>1312</v>
      </c>
      <c r="G34" s="204" t="s">
        <v>1313</v>
      </c>
      <c r="H34" s="205"/>
      <c r="I34" s="210"/>
      <c r="J34" s="189"/>
      <c r="K34" s="193"/>
      <c r="L34" s="222"/>
      <c r="M34" s="252"/>
      <c r="N34" s="252"/>
      <c r="O34" s="252"/>
      <c r="P34" s="253"/>
      <c r="Q34" s="210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18" customHeight="1">
      <c r="A35" s="188">
        <v>25</v>
      </c>
      <c r="B35" s="193" t="s">
        <v>837</v>
      </c>
      <c r="C35" s="193" t="s">
        <v>19</v>
      </c>
      <c r="D35" s="190" t="s">
        <v>96</v>
      </c>
      <c r="E35" s="204" t="s">
        <v>838</v>
      </c>
      <c r="F35" s="204" t="s">
        <v>839</v>
      </c>
      <c r="G35" s="204" t="s">
        <v>840</v>
      </c>
      <c r="H35" s="205"/>
      <c r="I35" s="210"/>
      <c r="J35" s="193"/>
      <c r="K35" s="193"/>
      <c r="L35" s="190"/>
      <c r="M35" s="191"/>
      <c r="N35" s="191"/>
      <c r="O35" s="191"/>
      <c r="P35" s="192"/>
      <c r="Q35" s="210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18" customHeight="1">
      <c r="A36" s="188">
        <v>26</v>
      </c>
      <c r="B36" s="189" t="s">
        <v>1296</v>
      </c>
      <c r="C36" s="189" t="s">
        <v>19</v>
      </c>
      <c r="D36" s="190" t="s">
        <v>96</v>
      </c>
      <c r="E36" s="204" t="s">
        <v>1316</v>
      </c>
      <c r="F36" s="204" t="s">
        <v>1317</v>
      </c>
      <c r="G36" s="204" t="s">
        <v>1318</v>
      </c>
      <c r="H36" s="205"/>
      <c r="I36" s="210"/>
      <c r="J36" s="193"/>
      <c r="K36" s="193"/>
      <c r="L36" s="190"/>
      <c r="M36" s="191"/>
      <c r="N36" s="191"/>
      <c r="O36" s="191"/>
      <c r="P36" s="192"/>
      <c r="Q36" s="210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18" customHeight="1">
      <c r="A37" s="188">
        <v>27</v>
      </c>
      <c r="B37" s="193" t="s">
        <v>1788</v>
      </c>
      <c r="C37" s="189" t="s">
        <v>19</v>
      </c>
      <c r="D37" s="190" t="s">
        <v>246</v>
      </c>
      <c r="E37" s="191" t="s">
        <v>1789</v>
      </c>
      <c r="F37" s="191" t="s">
        <v>1790</v>
      </c>
      <c r="G37" s="191" t="s">
        <v>1791</v>
      </c>
      <c r="H37" s="192"/>
      <c r="I37" s="210"/>
      <c r="J37" s="193"/>
      <c r="K37" s="193"/>
      <c r="L37" s="190"/>
      <c r="M37" s="191"/>
      <c r="N37" s="191"/>
      <c r="O37" s="191"/>
      <c r="P37" s="192"/>
      <c r="Q37" s="210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18" customHeight="1">
      <c r="A38" s="188">
        <v>28</v>
      </c>
      <c r="B38" s="193" t="s">
        <v>1486</v>
      </c>
      <c r="C38" s="189" t="s">
        <v>19</v>
      </c>
      <c r="D38" s="190" t="s">
        <v>246</v>
      </c>
      <c r="E38" s="191" t="s">
        <v>1491</v>
      </c>
      <c r="F38" s="191" t="s">
        <v>1492</v>
      </c>
      <c r="G38" s="191" t="s">
        <v>1493</v>
      </c>
      <c r="H38" s="192"/>
      <c r="I38" s="210"/>
      <c r="J38" s="193"/>
      <c r="K38" s="193"/>
      <c r="L38" s="190"/>
      <c r="M38" s="191"/>
      <c r="N38" s="191"/>
      <c r="O38" s="191"/>
      <c r="P38" s="192"/>
      <c r="Q38" s="210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18" customHeight="1">
      <c r="A39" s="188">
        <v>29</v>
      </c>
      <c r="B39" s="189" t="s">
        <v>1656</v>
      </c>
      <c r="C39" s="189" t="s">
        <v>19</v>
      </c>
      <c r="D39" s="190" t="s">
        <v>246</v>
      </c>
      <c r="E39" s="191" t="s">
        <v>1481</v>
      </c>
      <c r="F39" s="191" t="s">
        <v>1665</v>
      </c>
      <c r="G39" s="191" t="s">
        <v>1666</v>
      </c>
      <c r="H39" s="192"/>
      <c r="I39" s="210"/>
      <c r="J39" s="43"/>
      <c r="K39" s="254"/>
      <c r="L39" s="194"/>
      <c r="M39" s="195"/>
      <c r="N39" s="195"/>
      <c r="O39" s="195"/>
      <c r="P39" s="192"/>
      <c r="Q39" s="229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1:27" ht="18" customHeight="1">
      <c r="A40" s="188">
        <v>30</v>
      </c>
      <c r="B40" s="193" t="s">
        <v>1890</v>
      </c>
      <c r="C40" s="189" t="s">
        <v>19</v>
      </c>
      <c r="D40" s="190" t="s">
        <v>246</v>
      </c>
      <c r="E40" s="191" t="s">
        <v>1891</v>
      </c>
      <c r="F40" s="191" t="s">
        <v>1892</v>
      </c>
      <c r="G40" s="191" t="s">
        <v>1893</v>
      </c>
      <c r="H40" s="192" t="s">
        <v>268</v>
      </c>
      <c r="I40" s="210"/>
      <c r="J40" s="193"/>
      <c r="K40" s="193"/>
      <c r="L40" s="190"/>
      <c r="M40" s="191"/>
      <c r="N40" s="191"/>
      <c r="O40" s="191"/>
      <c r="P40" s="192"/>
      <c r="Q40" s="210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18" customHeight="1">
      <c r="A41" s="188">
        <v>31</v>
      </c>
      <c r="B41" s="193" t="s">
        <v>1486</v>
      </c>
      <c r="C41" s="189" t="s">
        <v>19</v>
      </c>
      <c r="D41" s="190" t="s">
        <v>246</v>
      </c>
      <c r="E41" s="191" t="s">
        <v>1494</v>
      </c>
      <c r="F41" s="191" t="s">
        <v>690</v>
      </c>
      <c r="G41" s="191" t="s">
        <v>1495</v>
      </c>
      <c r="H41" s="192" t="s">
        <v>268</v>
      </c>
      <c r="I41" s="210"/>
      <c r="J41" s="189"/>
      <c r="K41" s="193"/>
      <c r="L41" s="190"/>
      <c r="M41" s="191"/>
      <c r="N41" s="191"/>
      <c r="O41" s="191"/>
      <c r="P41" s="192"/>
      <c r="Q41" s="210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spans="1:27" ht="18" customHeight="1">
      <c r="A42" s="188">
        <v>32</v>
      </c>
      <c r="B42" s="189" t="s">
        <v>891</v>
      </c>
      <c r="C42" s="193" t="s">
        <v>39</v>
      </c>
      <c r="D42" s="190" t="s">
        <v>246</v>
      </c>
      <c r="E42" s="191" t="s">
        <v>892</v>
      </c>
      <c r="F42" s="191" t="s">
        <v>422</v>
      </c>
      <c r="G42" s="191" t="s">
        <v>893</v>
      </c>
      <c r="H42" s="192"/>
      <c r="I42" s="210"/>
      <c r="J42" s="193"/>
      <c r="K42" s="193"/>
      <c r="L42" s="190"/>
      <c r="M42" s="191"/>
      <c r="N42" s="191"/>
      <c r="O42" s="191"/>
      <c r="P42" s="192"/>
      <c r="Q42" s="210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18" customHeight="1">
      <c r="A43" s="188">
        <v>33</v>
      </c>
      <c r="B43" s="189" t="s">
        <v>1296</v>
      </c>
      <c r="C43" s="189" t="s">
        <v>19</v>
      </c>
      <c r="D43" s="190" t="s">
        <v>246</v>
      </c>
      <c r="E43" s="191" t="s">
        <v>1321</v>
      </c>
      <c r="F43" s="191" t="s">
        <v>1322</v>
      </c>
      <c r="G43" s="191" t="s">
        <v>1323</v>
      </c>
      <c r="H43" s="192"/>
      <c r="I43" s="210"/>
      <c r="J43" s="193"/>
      <c r="K43" s="193"/>
      <c r="L43" s="190"/>
      <c r="M43" s="191"/>
      <c r="N43" s="191"/>
      <c r="O43" s="191"/>
      <c r="P43" s="192"/>
      <c r="Q43" s="210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spans="1:27" ht="18" customHeight="1">
      <c r="A44" s="188">
        <v>34</v>
      </c>
      <c r="B44" s="189" t="s">
        <v>1005</v>
      </c>
      <c r="C44" s="193" t="s">
        <v>39</v>
      </c>
      <c r="D44" s="190" t="s">
        <v>246</v>
      </c>
      <c r="E44" s="191" t="s">
        <v>151</v>
      </c>
      <c r="F44" s="191" t="s">
        <v>1006</v>
      </c>
      <c r="G44" s="191" t="s">
        <v>1007</v>
      </c>
      <c r="H44" s="192"/>
      <c r="I44" s="210"/>
      <c r="J44" s="193"/>
      <c r="K44" s="193"/>
      <c r="L44" s="190"/>
      <c r="M44" s="191"/>
      <c r="N44" s="191"/>
      <c r="O44" s="191"/>
      <c r="P44" s="192"/>
      <c r="Q44" s="210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spans="1:27" ht="18" customHeight="1">
      <c r="A45" s="188">
        <v>35</v>
      </c>
      <c r="B45" s="189" t="s">
        <v>1740</v>
      </c>
      <c r="C45" s="193" t="s">
        <v>19</v>
      </c>
      <c r="D45" s="190" t="s">
        <v>246</v>
      </c>
      <c r="E45" s="191" t="s">
        <v>1741</v>
      </c>
      <c r="F45" s="191" t="s">
        <v>1742</v>
      </c>
      <c r="G45" s="191" t="s">
        <v>1743</v>
      </c>
      <c r="H45" s="192"/>
      <c r="I45" s="210"/>
      <c r="J45" s="189"/>
      <c r="K45" s="255"/>
      <c r="L45" s="196"/>
      <c r="M45" s="191"/>
      <c r="N45" s="197"/>
      <c r="O45" s="197"/>
      <c r="P45" s="198"/>
      <c r="Q45" s="210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7" ht="21.75" customHeight="1">
      <c r="A46" s="379" t="s">
        <v>2670</v>
      </c>
      <c r="B46" s="372"/>
      <c r="C46" s="372"/>
      <c r="D46" s="372"/>
      <c r="E46" s="372"/>
      <c r="F46" s="372"/>
      <c r="G46" s="372"/>
      <c r="H46" s="372"/>
      <c r="I46" s="371"/>
      <c r="J46" s="189"/>
      <c r="K46" s="193"/>
      <c r="L46" s="190"/>
      <c r="M46" s="191"/>
      <c r="N46" s="191"/>
      <c r="O46" s="191"/>
      <c r="P46" s="192"/>
      <c r="Q46" s="210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7" ht="18" customHeight="1">
      <c r="A47" s="188">
        <v>1</v>
      </c>
      <c r="B47" s="193" t="s">
        <v>801</v>
      </c>
      <c r="C47" s="193" t="s">
        <v>19</v>
      </c>
      <c r="D47" s="190" t="s">
        <v>277</v>
      </c>
      <c r="E47" s="191" t="s">
        <v>812</v>
      </c>
      <c r="F47" s="191" t="s">
        <v>813</v>
      </c>
      <c r="G47" s="191" t="s">
        <v>814</v>
      </c>
      <c r="H47" s="192"/>
      <c r="I47" s="210"/>
      <c r="J47" s="189" t="s">
        <v>1740</v>
      </c>
      <c r="K47" s="189" t="s">
        <v>19</v>
      </c>
      <c r="L47" s="190" t="s">
        <v>57</v>
      </c>
      <c r="M47" s="191" t="s">
        <v>1745</v>
      </c>
      <c r="N47" s="191" t="s">
        <v>1746</v>
      </c>
      <c r="O47" s="191" t="s">
        <v>1747</v>
      </c>
      <c r="P47" s="192"/>
      <c r="Q47" s="212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18" customHeight="1">
      <c r="A48" s="188">
        <v>2</v>
      </c>
      <c r="B48" s="189" t="s">
        <v>965</v>
      </c>
      <c r="C48" s="193" t="s">
        <v>19</v>
      </c>
      <c r="D48" s="190" t="s">
        <v>277</v>
      </c>
      <c r="E48" s="191" t="s">
        <v>966</v>
      </c>
      <c r="F48" s="191" t="s">
        <v>967</v>
      </c>
      <c r="G48" s="191" t="s">
        <v>968</v>
      </c>
      <c r="H48" s="192"/>
      <c r="I48" s="212"/>
      <c r="J48" s="189" t="s">
        <v>2229</v>
      </c>
      <c r="K48" s="189" t="s">
        <v>19</v>
      </c>
      <c r="L48" s="190" t="s">
        <v>57</v>
      </c>
      <c r="M48" s="191" t="s">
        <v>2240</v>
      </c>
      <c r="N48" s="191" t="s">
        <v>2241</v>
      </c>
      <c r="O48" s="191" t="s">
        <v>2242</v>
      </c>
      <c r="P48" s="192"/>
      <c r="Q48" s="210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8" customHeight="1">
      <c r="A49" s="188">
        <v>3</v>
      </c>
      <c r="B49" s="189" t="s">
        <v>1723</v>
      </c>
      <c r="C49" s="189" t="s">
        <v>19</v>
      </c>
      <c r="D49" s="190" t="s">
        <v>366</v>
      </c>
      <c r="E49" s="191" t="s">
        <v>1732</v>
      </c>
      <c r="F49" s="191" t="s">
        <v>1733</v>
      </c>
      <c r="G49" s="191" t="s">
        <v>1734</v>
      </c>
      <c r="H49" s="192"/>
      <c r="I49" s="212"/>
      <c r="J49" s="193" t="s">
        <v>190</v>
      </c>
      <c r="K49" s="193" t="s">
        <v>19</v>
      </c>
      <c r="L49" s="190" t="s">
        <v>57</v>
      </c>
      <c r="M49" s="191" t="s">
        <v>191</v>
      </c>
      <c r="N49" s="191" t="s">
        <v>192</v>
      </c>
      <c r="O49" s="191" t="s">
        <v>146</v>
      </c>
      <c r="P49" s="192"/>
      <c r="Q49" s="212"/>
      <c r="R49" s="256"/>
      <c r="S49" s="256"/>
      <c r="T49" s="256"/>
      <c r="U49" s="256"/>
      <c r="V49" s="256"/>
      <c r="W49" s="256"/>
      <c r="X49" s="256"/>
      <c r="Y49" s="256"/>
      <c r="Z49" s="256"/>
      <c r="AA49" s="256"/>
    </row>
    <row r="50" spans="1:27" ht="18" customHeight="1">
      <c r="A50" s="188">
        <v>4</v>
      </c>
      <c r="B50" s="189" t="s">
        <v>919</v>
      </c>
      <c r="C50" s="189" t="s">
        <v>19</v>
      </c>
      <c r="D50" s="190" t="s">
        <v>366</v>
      </c>
      <c r="E50" s="191" t="s">
        <v>929</v>
      </c>
      <c r="F50" s="191" t="s">
        <v>930</v>
      </c>
      <c r="G50" s="191" t="s">
        <v>931</v>
      </c>
      <c r="H50" s="192"/>
      <c r="I50" s="210"/>
      <c r="J50" s="189" t="s">
        <v>56</v>
      </c>
      <c r="K50" s="189" t="s">
        <v>19</v>
      </c>
      <c r="L50" s="190" t="s">
        <v>57</v>
      </c>
      <c r="M50" s="191" t="s">
        <v>58</v>
      </c>
      <c r="N50" s="191" t="s">
        <v>59</v>
      </c>
      <c r="O50" s="191" t="s">
        <v>60</v>
      </c>
      <c r="P50" s="192"/>
      <c r="Q50" s="212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8" customHeight="1">
      <c r="A51" s="188">
        <v>5</v>
      </c>
      <c r="B51" s="193" t="s">
        <v>1486</v>
      </c>
      <c r="C51" s="189" t="s">
        <v>19</v>
      </c>
      <c r="D51" s="190" t="s">
        <v>366</v>
      </c>
      <c r="E51" s="191" t="s">
        <v>1462</v>
      </c>
      <c r="F51" s="191" t="s">
        <v>1496</v>
      </c>
      <c r="G51" s="191" t="s">
        <v>1497</v>
      </c>
      <c r="H51" s="192"/>
      <c r="I51" s="212"/>
      <c r="J51" s="189" t="s">
        <v>2051</v>
      </c>
      <c r="K51" s="189" t="s">
        <v>19</v>
      </c>
      <c r="L51" s="190" t="s">
        <v>57</v>
      </c>
      <c r="M51" s="191" t="s">
        <v>1622</v>
      </c>
      <c r="N51" s="191" t="s">
        <v>2069</v>
      </c>
      <c r="O51" s="191" t="s">
        <v>2070</v>
      </c>
      <c r="P51" s="192"/>
      <c r="Q51" s="210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18" customHeight="1">
      <c r="A52" s="188">
        <v>6</v>
      </c>
      <c r="B52" s="189" t="s">
        <v>817</v>
      </c>
      <c r="C52" s="189" t="s">
        <v>19</v>
      </c>
      <c r="D52" s="190" t="s">
        <v>57</v>
      </c>
      <c r="E52" s="191" t="s">
        <v>818</v>
      </c>
      <c r="F52" s="191" t="s">
        <v>432</v>
      </c>
      <c r="G52" s="191" t="s">
        <v>819</v>
      </c>
      <c r="H52" s="192" t="s">
        <v>268</v>
      </c>
      <c r="I52" s="210"/>
      <c r="J52" s="189" t="s">
        <v>2324</v>
      </c>
      <c r="K52" s="189" t="s">
        <v>19</v>
      </c>
      <c r="L52" s="190" t="s">
        <v>57</v>
      </c>
      <c r="M52" s="191" t="s">
        <v>2333</v>
      </c>
      <c r="N52" s="191" t="s">
        <v>2334</v>
      </c>
      <c r="O52" s="191" t="s">
        <v>2335</v>
      </c>
      <c r="P52" s="192" t="s">
        <v>268</v>
      </c>
      <c r="Q52" s="212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18" customHeight="1">
      <c r="A53" s="188">
        <v>7</v>
      </c>
      <c r="B53" s="189" t="s">
        <v>1740</v>
      </c>
      <c r="C53" s="189" t="s">
        <v>19</v>
      </c>
      <c r="D53" s="190" t="s">
        <v>57</v>
      </c>
      <c r="E53" s="191" t="s">
        <v>1745</v>
      </c>
      <c r="F53" s="191" t="s">
        <v>1746</v>
      </c>
      <c r="G53" s="191" t="s">
        <v>1747</v>
      </c>
      <c r="H53" s="192"/>
      <c r="I53" s="210"/>
      <c r="J53" s="189" t="s">
        <v>2136</v>
      </c>
      <c r="K53" s="189" t="s">
        <v>19</v>
      </c>
      <c r="L53" s="190" t="s">
        <v>57</v>
      </c>
      <c r="M53" s="191" t="s">
        <v>1942</v>
      </c>
      <c r="N53" s="191" t="s">
        <v>2159</v>
      </c>
      <c r="O53" s="191" t="s">
        <v>2160</v>
      </c>
      <c r="P53" s="202"/>
      <c r="Q53" s="212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8" customHeight="1">
      <c r="A54" s="188">
        <v>8</v>
      </c>
      <c r="B54" s="193" t="s">
        <v>190</v>
      </c>
      <c r="C54" s="193" t="s">
        <v>19</v>
      </c>
      <c r="D54" s="190" t="s">
        <v>57</v>
      </c>
      <c r="E54" s="191" t="s">
        <v>191</v>
      </c>
      <c r="F54" s="191" t="s">
        <v>192</v>
      </c>
      <c r="G54" s="191" t="s">
        <v>146</v>
      </c>
      <c r="H54" s="192"/>
      <c r="I54" s="210"/>
      <c r="J54" s="189" t="s">
        <v>965</v>
      </c>
      <c r="K54" s="189" t="s">
        <v>19</v>
      </c>
      <c r="L54" s="190" t="s">
        <v>644</v>
      </c>
      <c r="M54" s="191" t="s">
        <v>971</v>
      </c>
      <c r="N54" s="191" t="s">
        <v>972</v>
      </c>
      <c r="O54" s="191" t="s">
        <v>973</v>
      </c>
      <c r="P54" s="192"/>
      <c r="Q54" s="212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8" customHeight="1">
      <c r="A55" s="188">
        <v>9</v>
      </c>
      <c r="B55" s="189" t="s">
        <v>56</v>
      </c>
      <c r="C55" s="189" t="s">
        <v>19</v>
      </c>
      <c r="D55" s="190" t="s">
        <v>57</v>
      </c>
      <c r="E55" s="191" t="s">
        <v>58</v>
      </c>
      <c r="F55" s="191" t="s">
        <v>59</v>
      </c>
      <c r="G55" s="191" t="s">
        <v>60</v>
      </c>
      <c r="H55" s="192"/>
      <c r="I55" s="212"/>
      <c r="J55" s="193" t="s">
        <v>1537</v>
      </c>
      <c r="K55" s="193" t="s">
        <v>19</v>
      </c>
      <c r="L55" s="190" t="s">
        <v>644</v>
      </c>
      <c r="M55" s="191" t="s">
        <v>1538</v>
      </c>
      <c r="N55" s="191" t="s">
        <v>646</v>
      </c>
      <c r="O55" s="191" t="s">
        <v>1539</v>
      </c>
      <c r="P55" s="192"/>
      <c r="Q55" s="212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18" customHeight="1">
      <c r="A56" s="188">
        <v>10</v>
      </c>
      <c r="B56" s="189" t="s">
        <v>965</v>
      </c>
      <c r="C56" s="189" t="s">
        <v>19</v>
      </c>
      <c r="D56" s="190" t="s">
        <v>644</v>
      </c>
      <c r="E56" s="191" t="s">
        <v>971</v>
      </c>
      <c r="F56" s="191" t="s">
        <v>972</v>
      </c>
      <c r="G56" s="191" t="s">
        <v>973</v>
      </c>
      <c r="H56" s="192"/>
      <c r="I56" s="228"/>
      <c r="J56" s="189" t="s">
        <v>1348</v>
      </c>
      <c r="K56" s="189" t="s">
        <v>19</v>
      </c>
      <c r="L56" s="190" t="s">
        <v>644</v>
      </c>
      <c r="M56" s="191" t="s">
        <v>1431</v>
      </c>
      <c r="N56" s="191" t="s">
        <v>1432</v>
      </c>
      <c r="O56" s="191" t="s">
        <v>1433</v>
      </c>
      <c r="P56" s="192"/>
      <c r="Q56" s="212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18" customHeight="1">
      <c r="A57" s="188">
        <v>11</v>
      </c>
      <c r="B57" s="193" t="s">
        <v>1537</v>
      </c>
      <c r="C57" s="193" t="s">
        <v>19</v>
      </c>
      <c r="D57" s="190" t="s">
        <v>644</v>
      </c>
      <c r="E57" s="191" t="s">
        <v>1538</v>
      </c>
      <c r="F57" s="191" t="s">
        <v>646</v>
      </c>
      <c r="G57" s="191" t="s">
        <v>1539</v>
      </c>
      <c r="H57" s="192"/>
      <c r="I57" s="210"/>
      <c r="J57" s="189" t="s">
        <v>2473</v>
      </c>
      <c r="K57" s="189" t="s">
        <v>19</v>
      </c>
      <c r="L57" s="190" t="s">
        <v>644</v>
      </c>
      <c r="M57" s="191" t="s">
        <v>2478</v>
      </c>
      <c r="N57" s="191" t="s">
        <v>2479</v>
      </c>
      <c r="O57" s="191" t="s">
        <v>2480</v>
      </c>
      <c r="P57" s="192"/>
      <c r="Q57" s="212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18" customHeight="1">
      <c r="A58" s="188">
        <v>12</v>
      </c>
      <c r="B58" s="189" t="s">
        <v>1348</v>
      </c>
      <c r="C58" s="189" t="s">
        <v>19</v>
      </c>
      <c r="D58" s="190" t="s">
        <v>644</v>
      </c>
      <c r="E58" s="191" t="s">
        <v>1431</v>
      </c>
      <c r="F58" s="191" t="s">
        <v>1432</v>
      </c>
      <c r="G58" s="191" t="s">
        <v>1433</v>
      </c>
      <c r="H58" s="192"/>
      <c r="I58" s="210"/>
      <c r="J58" s="189" t="s">
        <v>2022</v>
      </c>
      <c r="K58" s="189" t="s">
        <v>19</v>
      </c>
      <c r="L58" s="190" t="s">
        <v>644</v>
      </c>
      <c r="M58" s="191" t="s">
        <v>2027</v>
      </c>
      <c r="N58" s="191" t="s">
        <v>2028</v>
      </c>
      <c r="O58" s="191" t="s">
        <v>2029</v>
      </c>
      <c r="P58" s="192"/>
      <c r="Q58" s="212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18" customHeight="1">
      <c r="A59" s="188">
        <v>13</v>
      </c>
      <c r="B59" s="189" t="s">
        <v>1008</v>
      </c>
      <c r="C59" s="189" t="s">
        <v>19</v>
      </c>
      <c r="D59" s="190" t="s">
        <v>644</v>
      </c>
      <c r="E59" s="191" t="s">
        <v>1009</v>
      </c>
      <c r="F59" s="191" t="s">
        <v>1010</v>
      </c>
      <c r="G59" s="191" t="s">
        <v>1011</v>
      </c>
      <c r="H59" s="192"/>
      <c r="I59" s="212"/>
      <c r="J59" s="189" t="s">
        <v>1008</v>
      </c>
      <c r="K59" s="189" t="s">
        <v>19</v>
      </c>
      <c r="L59" s="190" t="s">
        <v>644</v>
      </c>
      <c r="M59" s="191" t="s">
        <v>1009</v>
      </c>
      <c r="N59" s="191" t="s">
        <v>1010</v>
      </c>
      <c r="O59" s="191" t="s">
        <v>1011</v>
      </c>
      <c r="P59" s="192"/>
      <c r="Q59" s="212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18" customHeight="1">
      <c r="A60" s="188">
        <v>14</v>
      </c>
      <c r="B60" s="193" t="s">
        <v>801</v>
      </c>
      <c r="C60" s="193"/>
      <c r="D60" s="190" t="s">
        <v>644</v>
      </c>
      <c r="E60" s="191" t="s">
        <v>822</v>
      </c>
      <c r="F60" s="191" t="s">
        <v>823</v>
      </c>
      <c r="G60" s="191" t="s">
        <v>824</v>
      </c>
      <c r="H60" s="192"/>
      <c r="I60" s="210"/>
      <c r="J60" s="193" t="s">
        <v>801</v>
      </c>
      <c r="K60" s="193"/>
      <c r="L60" s="190" t="s">
        <v>644</v>
      </c>
      <c r="M60" s="191" t="s">
        <v>822</v>
      </c>
      <c r="N60" s="191" t="s">
        <v>823</v>
      </c>
      <c r="O60" s="191" t="s">
        <v>824</v>
      </c>
      <c r="P60" s="192"/>
      <c r="Q60" s="212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spans="1:27" ht="18" customHeight="1">
      <c r="A61" s="188">
        <v>15</v>
      </c>
      <c r="B61" s="189" t="s">
        <v>90</v>
      </c>
      <c r="C61" s="189" t="s">
        <v>19</v>
      </c>
      <c r="D61" s="190" t="s">
        <v>24</v>
      </c>
      <c r="E61" s="191" t="s">
        <v>102</v>
      </c>
      <c r="F61" s="191" t="s">
        <v>103</v>
      </c>
      <c r="G61" s="191" t="s">
        <v>104</v>
      </c>
      <c r="H61" s="192"/>
      <c r="I61" s="212"/>
      <c r="J61" s="189" t="s">
        <v>1979</v>
      </c>
      <c r="K61" s="189" t="s">
        <v>19</v>
      </c>
      <c r="L61" s="190" t="s">
        <v>644</v>
      </c>
      <c r="M61" s="191" t="s">
        <v>1991</v>
      </c>
      <c r="N61" s="191" t="s">
        <v>1992</v>
      </c>
      <c r="O61" s="191" t="s">
        <v>1993</v>
      </c>
      <c r="P61" s="192"/>
      <c r="Q61" s="212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spans="1:27" ht="18" customHeight="1">
      <c r="A62" s="188">
        <v>16</v>
      </c>
      <c r="B62" s="189" t="s">
        <v>18</v>
      </c>
      <c r="C62" s="193" t="s">
        <v>19</v>
      </c>
      <c r="D62" s="190" t="s">
        <v>24</v>
      </c>
      <c r="E62" s="191" t="s">
        <v>25</v>
      </c>
      <c r="F62" s="191" t="s">
        <v>26</v>
      </c>
      <c r="G62" s="191" t="s">
        <v>27</v>
      </c>
      <c r="H62" s="192"/>
      <c r="I62" s="210"/>
      <c r="J62" s="193" t="s">
        <v>801</v>
      </c>
      <c r="K62" s="193" t="s">
        <v>39</v>
      </c>
      <c r="L62" s="194" t="s">
        <v>24</v>
      </c>
      <c r="M62" s="204" t="s">
        <v>829</v>
      </c>
      <c r="N62" s="204" t="s">
        <v>830</v>
      </c>
      <c r="O62" s="204" t="s">
        <v>831</v>
      </c>
      <c r="P62" s="192"/>
      <c r="Q62" s="210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spans="1:27" ht="18" customHeight="1">
      <c r="A63" s="188">
        <v>17</v>
      </c>
      <c r="B63" s="193" t="s">
        <v>801</v>
      </c>
      <c r="C63" s="193" t="s">
        <v>39</v>
      </c>
      <c r="D63" s="194" t="s">
        <v>24</v>
      </c>
      <c r="E63" s="204" t="s">
        <v>825</v>
      </c>
      <c r="F63" s="204" t="s">
        <v>826</v>
      </c>
      <c r="G63" s="204" t="s">
        <v>827</v>
      </c>
      <c r="H63" s="205"/>
      <c r="I63" s="210"/>
      <c r="J63" s="189" t="s">
        <v>2136</v>
      </c>
      <c r="K63" s="193" t="s">
        <v>39</v>
      </c>
      <c r="L63" s="194" t="s">
        <v>28</v>
      </c>
      <c r="M63" s="204" t="s">
        <v>2168</v>
      </c>
      <c r="N63" s="204" t="s">
        <v>2169</v>
      </c>
      <c r="O63" s="204" t="s">
        <v>2170</v>
      </c>
      <c r="P63" s="192"/>
      <c r="Q63" s="212"/>
      <c r="R63" s="257"/>
      <c r="S63" s="257"/>
      <c r="T63" s="257"/>
      <c r="U63" s="257"/>
      <c r="V63" s="257"/>
      <c r="W63" s="257"/>
      <c r="X63" s="257"/>
      <c r="Y63" s="257"/>
      <c r="Z63" s="257"/>
      <c r="AA63" s="257"/>
    </row>
    <row r="64" spans="1:27" ht="18" customHeight="1">
      <c r="A64" s="188">
        <v>18</v>
      </c>
      <c r="B64" s="189" t="s">
        <v>138</v>
      </c>
      <c r="C64" s="193" t="s">
        <v>39</v>
      </c>
      <c r="D64" s="194" t="s">
        <v>24</v>
      </c>
      <c r="E64" s="204" t="s">
        <v>139</v>
      </c>
      <c r="F64" s="204" t="s">
        <v>140</v>
      </c>
      <c r="G64" s="204" t="s">
        <v>141</v>
      </c>
      <c r="H64" s="205"/>
      <c r="I64" s="210"/>
      <c r="J64" s="189" t="s">
        <v>1656</v>
      </c>
      <c r="K64" s="193"/>
      <c r="L64" s="194" t="s">
        <v>28</v>
      </c>
      <c r="M64" s="204" t="s">
        <v>1671</v>
      </c>
      <c r="N64" s="204" t="s">
        <v>1672</v>
      </c>
      <c r="O64" s="204" t="s">
        <v>1673</v>
      </c>
      <c r="P64" s="192"/>
      <c r="Q64" s="212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ht="18" customHeight="1">
      <c r="A65" s="188">
        <v>19</v>
      </c>
      <c r="B65" s="193" t="s">
        <v>801</v>
      </c>
      <c r="C65" s="193" t="s">
        <v>39</v>
      </c>
      <c r="D65" s="194" t="s">
        <v>24</v>
      </c>
      <c r="E65" s="204" t="s">
        <v>829</v>
      </c>
      <c r="F65" s="204" t="s">
        <v>830</v>
      </c>
      <c r="G65" s="204" t="s">
        <v>831</v>
      </c>
      <c r="H65" s="205"/>
      <c r="I65" s="210"/>
      <c r="J65" s="189" t="s">
        <v>2051</v>
      </c>
      <c r="K65" s="193" t="s">
        <v>39</v>
      </c>
      <c r="L65" s="190" t="s">
        <v>28</v>
      </c>
      <c r="M65" s="191" t="s">
        <v>2083</v>
      </c>
      <c r="N65" s="191" t="s">
        <v>2084</v>
      </c>
      <c r="O65" s="191" t="s">
        <v>2085</v>
      </c>
      <c r="P65" s="192"/>
      <c r="Q65" s="210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spans="1:27" ht="18" customHeight="1">
      <c r="A66" s="188">
        <v>20</v>
      </c>
      <c r="B66" s="189" t="s">
        <v>90</v>
      </c>
      <c r="C66" s="193" t="s">
        <v>39</v>
      </c>
      <c r="D66" s="194" t="s">
        <v>24</v>
      </c>
      <c r="E66" s="204" t="s">
        <v>107</v>
      </c>
      <c r="F66" s="204" t="s">
        <v>108</v>
      </c>
      <c r="G66" s="204" t="s">
        <v>109</v>
      </c>
      <c r="H66" s="205"/>
      <c r="I66" s="212"/>
      <c r="J66" s="193" t="s">
        <v>1229</v>
      </c>
      <c r="K66" s="231" t="s">
        <v>19</v>
      </c>
      <c r="L66" s="194" t="s">
        <v>28</v>
      </c>
      <c r="M66" s="204" t="s">
        <v>87</v>
      </c>
      <c r="N66" s="204" t="s">
        <v>1256</v>
      </c>
      <c r="O66" s="204" t="s">
        <v>914</v>
      </c>
      <c r="P66" s="192"/>
      <c r="Q66" s="212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spans="1:27" ht="18" customHeight="1">
      <c r="A67" s="188">
        <v>21</v>
      </c>
      <c r="B67" s="189" t="s">
        <v>965</v>
      </c>
      <c r="C67" s="189" t="s">
        <v>19</v>
      </c>
      <c r="D67" s="190" t="s">
        <v>24</v>
      </c>
      <c r="E67" s="191" t="s">
        <v>976</v>
      </c>
      <c r="F67" s="191" t="s">
        <v>977</v>
      </c>
      <c r="G67" s="191" t="s">
        <v>242</v>
      </c>
      <c r="H67" s="192"/>
      <c r="I67" s="212"/>
      <c r="J67" s="189" t="s">
        <v>2263</v>
      </c>
      <c r="K67" s="189" t="s">
        <v>19</v>
      </c>
      <c r="L67" s="190" t="s">
        <v>28</v>
      </c>
      <c r="M67" s="191" t="s">
        <v>2269</v>
      </c>
      <c r="N67" s="191" t="s">
        <v>2270</v>
      </c>
      <c r="O67" s="191" t="s">
        <v>2271</v>
      </c>
      <c r="P67" s="192"/>
      <c r="Q67" s="212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18" customHeight="1">
      <c r="A68" s="188">
        <v>22</v>
      </c>
      <c r="B68" s="189" t="s">
        <v>1368</v>
      </c>
      <c r="C68" s="189" t="s">
        <v>19</v>
      </c>
      <c r="D68" s="190" t="s">
        <v>24</v>
      </c>
      <c r="E68" s="191" t="s">
        <v>1373</v>
      </c>
      <c r="F68" s="191" t="s">
        <v>1374</v>
      </c>
      <c r="G68" s="191" t="s">
        <v>1375</v>
      </c>
      <c r="H68" s="192"/>
      <c r="I68" s="210"/>
      <c r="J68" s="189" t="s">
        <v>2420</v>
      </c>
      <c r="K68" s="193" t="s">
        <v>19</v>
      </c>
      <c r="L68" s="190" t="s">
        <v>28</v>
      </c>
      <c r="M68" s="195" t="s">
        <v>1038</v>
      </c>
      <c r="N68" s="195" t="s">
        <v>2444</v>
      </c>
      <c r="O68" s="195" t="s">
        <v>2445</v>
      </c>
      <c r="P68" s="192"/>
      <c r="Q68" s="210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1:27" ht="18" customHeight="1">
      <c r="A69" s="188">
        <v>23</v>
      </c>
      <c r="B69" s="193" t="s">
        <v>837</v>
      </c>
      <c r="C69" s="193" t="s">
        <v>19</v>
      </c>
      <c r="D69" s="190" t="s">
        <v>28</v>
      </c>
      <c r="E69" s="195" t="s">
        <v>843</v>
      </c>
      <c r="F69" s="195" t="s">
        <v>844</v>
      </c>
      <c r="G69" s="195" t="s">
        <v>845</v>
      </c>
      <c r="H69" s="194"/>
      <c r="I69" s="210"/>
      <c r="J69" s="189" t="s">
        <v>2386</v>
      </c>
      <c r="K69" s="193" t="s">
        <v>39</v>
      </c>
      <c r="L69" s="194" t="s">
        <v>28</v>
      </c>
      <c r="M69" s="204" t="s">
        <v>2410</v>
      </c>
      <c r="N69" s="204" t="s">
        <v>2411</v>
      </c>
      <c r="O69" s="204" t="s">
        <v>2412</v>
      </c>
      <c r="P69" s="194"/>
      <c r="Q69" s="212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spans="1:27" ht="18" customHeight="1">
      <c r="A70" s="188">
        <v>24</v>
      </c>
      <c r="B70" s="189" t="s">
        <v>1804</v>
      </c>
      <c r="C70" s="193" t="s">
        <v>19</v>
      </c>
      <c r="D70" s="190" t="s">
        <v>28</v>
      </c>
      <c r="E70" s="195" t="s">
        <v>1815</v>
      </c>
      <c r="F70" s="195" t="s">
        <v>1816</v>
      </c>
      <c r="G70" s="195" t="s">
        <v>1817</v>
      </c>
      <c r="H70" s="194"/>
      <c r="I70" s="210"/>
      <c r="J70" s="189" t="s">
        <v>2556</v>
      </c>
      <c r="K70" s="193" t="s">
        <v>19</v>
      </c>
      <c r="L70" s="190" t="s">
        <v>28</v>
      </c>
      <c r="M70" s="195" t="s">
        <v>2577</v>
      </c>
      <c r="N70" s="195" t="s">
        <v>1968</v>
      </c>
      <c r="O70" s="195" t="s">
        <v>2578</v>
      </c>
      <c r="P70" s="192"/>
      <c r="Q70" s="210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ht="18" customHeight="1">
      <c r="A71" s="188">
        <v>25</v>
      </c>
      <c r="B71" s="189" t="s">
        <v>965</v>
      </c>
      <c r="C71" s="189" t="s">
        <v>19</v>
      </c>
      <c r="D71" s="190" t="s">
        <v>28</v>
      </c>
      <c r="E71" s="195" t="s">
        <v>980</v>
      </c>
      <c r="F71" s="195" t="s">
        <v>981</v>
      </c>
      <c r="G71" s="195" t="s">
        <v>982</v>
      </c>
      <c r="H71" s="194"/>
      <c r="I71" s="212"/>
      <c r="J71" s="193" t="s">
        <v>531</v>
      </c>
      <c r="K71" s="193" t="s">
        <v>19</v>
      </c>
      <c r="L71" s="190" t="s">
        <v>28</v>
      </c>
      <c r="M71" s="195" t="s">
        <v>562</v>
      </c>
      <c r="N71" s="195" t="s">
        <v>22</v>
      </c>
      <c r="O71" s="195" t="s">
        <v>563</v>
      </c>
      <c r="P71" s="205" t="s">
        <v>268</v>
      </c>
      <c r="Q71" s="212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 ht="18" customHeight="1">
      <c r="A72" s="188">
        <v>26</v>
      </c>
      <c r="B72" s="189" t="s">
        <v>18</v>
      </c>
      <c r="C72" s="193" t="s">
        <v>19</v>
      </c>
      <c r="D72" s="190" t="s">
        <v>28</v>
      </c>
      <c r="E72" s="195" t="s">
        <v>29</v>
      </c>
      <c r="F72" s="195" t="s">
        <v>30</v>
      </c>
      <c r="G72" s="195" t="s">
        <v>31</v>
      </c>
      <c r="H72" s="194"/>
      <c r="I72" s="212"/>
      <c r="J72" s="193" t="s">
        <v>1037</v>
      </c>
      <c r="K72" s="189" t="s">
        <v>19</v>
      </c>
      <c r="L72" s="194" t="s">
        <v>28</v>
      </c>
      <c r="M72" s="204" t="s">
        <v>1059</v>
      </c>
      <c r="N72" s="204" t="s">
        <v>1060</v>
      </c>
      <c r="O72" s="204" t="s">
        <v>1061</v>
      </c>
      <c r="P72" s="194"/>
      <c r="Q72" s="212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 ht="18" customHeight="1">
      <c r="A73" s="188">
        <v>27</v>
      </c>
      <c r="B73" s="189" t="s">
        <v>1656</v>
      </c>
      <c r="C73" s="193" t="s">
        <v>19</v>
      </c>
      <c r="D73" s="194" t="s">
        <v>28</v>
      </c>
      <c r="E73" s="195" t="s">
        <v>1667</v>
      </c>
      <c r="F73" s="195" t="s">
        <v>1668</v>
      </c>
      <c r="G73" s="195" t="s">
        <v>1669</v>
      </c>
      <c r="H73" s="194"/>
      <c r="I73" s="210"/>
      <c r="J73" s="193" t="s">
        <v>169</v>
      </c>
      <c r="K73" s="193" t="s">
        <v>19</v>
      </c>
      <c r="L73" s="190" t="s">
        <v>28</v>
      </c>
      <c r="M73" s="195" t="s">
        <v>180</v>
      </c>
      <c r="N73" s="195" t="s">
        <v>181</v>
      </c>
      <c r="O73" s="195" t="s">
        <v>182</v>
      </c>
      <c r="P73" s="205"/>
      <c r="Q73" s="212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spans="1:27" ht="18" customHeight="1">
      <c r="A74" s="188">
        <v>28</v>
      </c>
      <c r="B74" s="189" t="s">
        <v>1330</v>
      </c>
      <c r="C74" s="189" t="s">
        <v>19</v>
      </c>
      <c r="D74" s="190" t="s">
        <v>28</v>
      </c>
      <c r="E74" s="191" t="s">
        <v>1336</v>
      </c>
      <c r="F74" s="191" t="s">
        <v>1337</v>
      </c>
      <c r="G74" s="191" t="s">
        <v>1338</v>
      </c>
      <c r="H74" s="192"/>
      <c r="I74" s="210"/>
      <c r="J74" s="189" t="s">
        <v>1979</v>
      </c>
      <c r="K74" s="193" t="s">
        <v>19</v>
      </c>
      <c r="L74" s="190" t="s">
        <v>28</v>
      </c>
      <c r="M74" s="195" t="s">
        <v>2001</v>
      </c>
      <c r="N74" s="195" t="s">
        <v>1440</v>
      </c>
      <c r="O74" s="195" t="s">
        <v>2002</v>
      </c>
      <c r="P74" s="205"/>
      <c r="Q74" s="212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spans="1:27" ht="18" customHeight="1">
      <c r="A75" s="188">
        <v>29</v>
      </c>
      <c r="B75" s="193" t="s">
        <v>169</v>
      </c>
      <c r="C75" s="193" t="s">
        <v>39</v>
      </c>
      <c r="D75" s="190" t="s">
        <v>28</v>
      </c>
      <c r="E75" s="191" t="s">
        <v>175</v>
      </c>
      <c r="F75" s="191" t="s">
        <v>176</v>
      </c>
      <c r="G75" s="191" t="s">
        <v>177</v>
      </c>
      <c r="H75" s="192"/>
      <c r="I75" s="210"/>
      <c r="J75" s="193" t="s">
        <v>479</v>
      </c>
      <c r="K75" s="193" t="s">
        <v>19</v>
      </c>
      <c r="L75" s="190" t="s">
        <v>28</v>
      </c>
      <c r="M75" s="195" t="s">
        <v>500</v>
      </c>
      <c r="N75" s="195" t="s">
        <v>501</v>
      </c>
      <c r="O75" s="195" t="s">
        <v>502</v>
      </c>
      <c r="P75" s="194"/>
      <c r="Q75" s="210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spans="1:27" ht="18" customHeight="1">
      <c r="A76" s="188">
        <v>30</v>
      </c>
      <c r="B76" s="193" t="s">
        <v>1486</v>
      </c>
      <c r="C76" s="193"/>
      <c r="D76" s="194" t="s">
        <v>1500</v>
      </c>
      <c r="E76" s="204" t="s">
        <v>1501</v>
      </c>
      <c r="F76" s="204" t="s">
        <v>1502</v>
      </c>
      <c r="G76" s="204" t="s">
        <v>1503</v>
      </c>
      <c r="H76" s="205"/>
      <c r="I76" s="210"/>
      <c r="J76" s="193" t="s">
        <v>1486</v>
      </c>
      <c r="K76" s="193" t="s">
        <v>19</v>
      </c>
      <c r="L76" s="190" t="s">
        <v>28</v>
      </c>
      <c r="M76" s="195" t="s">
        <v>1507</v>
      </c>
      <c r="N76" s="195" t="s">
        <v>1508</v>
      </c>
      <c r="O76" s="195" t="s">
        <v>1509</v>
      </c>
      <c r="P76" s="194"/>
      <c r="Q76" s="210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spans="1:27" ht="18" customHeight="1">
      <c r="A77" s="188">
        <v>31</v>
      </c>
      <c r="B77" s="193" t="s">
        <v>837</v>
      </c>
      <c r="C77" s="193" t="s">
        <v>19</v>
      </c>
      <c r="D77" s="190" t="s">
        <v>28</v>
      </c>
      <c r="E77" s="195" t="s">
        <v>848</v>
      </c>
      <c r="F77" s="195" t="s">
        <v>849</v>
      </c>
      <c r="G77" s="195" t="s">
        <v>146</v>
      </c>
      <c r="H77" s="194"/>
      <c r="I77" s="210"/>
      <c r="J77" s="193" t="s">
        <v>301</v>
      </c>
      <c r="K77" s="193" t="s">
        <v>19</v>
      </c>
      <c r="L77" s="190" t="s">
        <v>28</v>
      </c>
      <c r="M77" s="195" t="s">
        <v>321</v>
      </c>
      <c r="N77" s="195" t="s">
        <v>322</v>
      </c>
      <c r="O77" s="195" t="s">
        <v>323</v>
      </c>
      <c r="P77" s="194"/>
      <c r="Q77" s="212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spans="1:27" ht="18" customHeight="1">
      <c r="A78" s="188">
        <v>32</v>
      </c>
      <c r="B78" s="193" t="s">
        <v>1563</v>
      </c>
      <c r="C78" s="193" t="s">
        <v>19</v>
      </c>
      <c r="D78" s="190" t="s">
        <v>28</v>
      </c>
      <c r="E78" s="195" t="s">
        <v>1564</v>
      </c>
      <c r="F78" s="195" t="s">
        <v>1565</v>
      </c>
      <c r="G78" s="195" t="s">
        <v>1566</v>
      </c>
      <c r="H78" s="194"/>
      <c r="I78" s="212"/>
      <c r="J78" s="193" t="s">
        <v>505</v>
      </c>
      <c r="K78" s="193" t="s">
        <v>39</v>
      </c>
      <c r="L78" s="194" t="s">
        <v>28</v>
      </c>
      <c r="M78" s="204" t="s">
        <v>506</v>
      </c>
      <c r="N78" s="204" t="s">
        <v>507</v>
      </c>
      <c r="O78" s="204" t="s">
        <v>508</v>
      </c>
      <c r="P78" s="194"/>
      <c r="Q78" s="212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spans="1:27" ht="18" customHeight="1">
      <c r="A79" s="188">
        <v>33</v>
      </c>
      <c r="B79" s="193" t="s">
        <v>1486</v>
      </c>
      <c r="C79" s="193"/>
      <c r="D79" s="194" t="s">
        <v>1500</v>
      </c>
      <c r="E79" s="204" t="s">
        <v>1504</v>
      </c>
      <c r="F79" s="204" t="s">
        <v>1505</v>
      </c>
      <c r="G79" s="204" t="s">
        <v>1506</v>
      </c>
      <c r="H79" s="205"/>
      <c r="I79" s="210"/>
      <c r="J79" s="193" t="s">
        <v>2488</v>
      </c>
      <c r="K79" s="193" t="s">
        <v>19</v>
      </c>
      <c r="L79" s="190" t="s">
        <v>28</v>
      </c>
      <c r="M79" s="195" t="s">
        <v>2520</v>
      </c>
      <c r="N79" s="195" t="s">
        <v>2521</v>
      </c>
      <c r="O79" s="195" t="s">
        <v>2522</v>
      </c>
      <c r="P79" s="194"/>
      <c r="Q79" s="212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spans="1:27" ht="18" customHeight="1">
      <c r="A80" s="188">
        <v>34</v>
      </c>
      <c r="B80" s="189" t="s">
        <v>1638</v>
      </c>
      <c r="C80" s="193" t="s">
        <v>19</v>
      </c>
      <c r="D80" s="190" t="s">
        <v>28</v>
      </c>
      <c r="E80" s="195" t="s">
        <v>1024</v>
      </c>
      <c r="F80" s="195" t="s">
        <v>553</v>
      </c>
      <c r="G80" s="195" t="s">
        <v>934</v>
      </c>
      <c r="H80" s="194"/>
      <c r="I80" s="212"/>
      <c r="J80" s="193" t="s">
        <v>1065</v>
      </c>
      <c r="K80" s="193" t="s">
        <v>39</v>
      </c>
      <c r="L80" s="190" t="s">
        <v>28</v>
      </c>
      <c r="M80" s="191" t="s">
        <v>1194</v>
      </c>
      <c r="N80" s="191" t="s">
        <v>108</v>
      </c>
      <c r="O80" s="191" t="s">
        <v>822</v>
      </c>
      <c r="P80" s="194"/>
      <c r="Q80" s="212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spans="1:27" ht="18" customHeight="1">
      <c r="A81" s="188">
        <v>35</v>
      </c>
      <c r="B81" s="193" t="s">
        <v>837</v>
      </c>
      <c r="C81" s="193" t="s">
        <v>19</v>
      </c>
      <c r="D81" s="190" t="s">
        <v>28</v>
      </c>
      <c r="E81" s="195" t="s">
        <v>852</v>
      </c>
      <c r="F81" s="195" t="s">
        <v>853</v>
      </c>
      <c r="G81" s="195" t="s">
        <v>854</v>
      </c>
      <c r="H81" s="194"/>
      <c r="I81" s="210"/>
      <c r="J81" s="193" t="s">
        <v>1951</v>
      </c>
      <c r="K81" s="193" t="s">
        <v>19</v>
      </c>
      <c r="L81" s="194" t="s">
        <v>28</v>
      </c>
      <c r="M81" s="204" t="s">
        <v>526</v>
      </c>
      <c r="N81" s="204" t="s">
        <v>1957</v>
      </c>
      <c r="O81" s="204" t="s">
        <v>1958</v>
      </c>
      <c r="P81" s="194"/>
      <c r="Q81" s="210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spans="1:27" ht="18" customHeight="1">
      <c r="A82" s="188">
        <v>36</v>
      </c>
      <c r="B82" s="189" t="s">
        <v>1330</v>
      </c>
      <c r="C82" s="189" t="s">
        <v>19</v>
      </c>
      <c r="D82" s="194" t="s">
        <v>28</v>
      </c>
      <c r="E82" s="204" t="s">
        <v>973</v>
      </c>
      <c r="F82" s="204" t="s">
        <v>1341</v>
      </c>
      <c r="G82" s="204" t="s">
        <v>1342</v>
      </c>
      <c r="H82" s="205"/>
      <c r="I82" s="210"/>
      <c r="J82" s="189" t="s">
        <v>919</v>
      </c>
      <c r="K82" s="189" t="s">
        <v>19</v>
      </c>
      <c r="L82" s="190" t="s">
        <v>28</v>
      </c>
      <c r="M82" s="195" t="s">
        <v>934</v>
      </c>
      <c r="N82" s="195" t="s">
        <v>935</v>
      </c>
      <c r="O82" s="195" t="s">
        <v>936</v>
      </c>
      <c r="P82" s="194"/>
      <c r="Q82" s="212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1:27" ht="18" customHeight="1">
      <c r="A83" s="188">
        <v>37</v>
      </c>
      <c r="B83" s="189" t="s">
        <v>965</v>
      </c>
      <c r="C83" s="193" t="s">
        <v>19</v>
      </c>
      <c r="D83" s="190" t="s">
        <v>28</v>
      </c>
      <c r="E83" s="195" t="s">
        <v>984</v>
      </c>
      <c r="F83" s="195" t="s">
        <v>985</v>
      </c>
      <c r="G83" s="195" t="s">
        <v>986</v>
      </c>
      <c r="H83" s="194"/>
      <c r="I83" s="210"/>
      <c r="J83" s="193" t="s">
        <v>1229</v>
      </c>
      <c r="K83" s="189" t="s">
        <v>19</v>
      </c>
      <c r="L83" s="194" t="s">
        <v>28</v>
      </c>
      <c r="M83" s="195" t="s">
        <v>1259</v>
      </c>
      <c r="N83" s="195" t="s">
        <v>1260</v>
      </c>
      <c r="O83" s="195" t="s">
        <v>962</v>
      </c>
      <c r="P83" s="192"/>
      <c r="Q83" s="212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spans="1:27" ht="18" customHeight="1">
      <c r="A84" s="188">
        <v>38</v>
      </c>
      <c r="B84" s="189" t="s">
        <v>1740</v>
      </c>
      <c r="C84" s="193" t="s">
        <v>39</v>
      </c>
      <c r="D84" s="190" t="s">
        <v>28</v>
      </c>
      <c r="E84" s="191" t="s">
        <v>1748</v>
      </c>
      <c r="F84" s="191" t="s">
        <v>1749</v>
      </c>
      <c r="G84" s="191" t="s">
        <v>1750</v>
      </c>
      <c r="H84" s="192"/>
      <c r="I84" s="210"/>
      <c r="J84" s="189" t="s">
        <v>18</v>
      </c>
      <c r="K84" s="193" t="s">
        <v>19</v>
      </c>
      <c r="L84" s="190" t="s">
        <v>28</v>
      </c>
      <c r="M84" s="195" t="s">
        <v>34</v>
      </c>
      <c r="N84" s="195" t="s">
        <v>35</v>
      </c>
      <c r="O84" s="195" t="s">
        <v>36</v>
      </c>
      <c r="P84" s="194"/>
      <c r="Q84" s="210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spans="1:27" ht="18" customHeight="1">
      <c r="A85" s="188">
        <v>39</v>
      </c>
      <c r="B85" s="189" t="s">
        <v>1656</v>
      </c>
      <c r="C85" s="193"/>
      <c r="D85" s="194" t="s">
        <v>28</v>
      </c>
      <c r="E85" s="204" t="s">
        <v>1671</v>
      </c>
      <c r="F85" s="204" t="s">
        <v>1672</v>
      </c>
      <c r="G85" s="204" t="s">
        <v>1673</v>
      </c>
      <c r="H85" s="205"/>
      <c r="I85" s="210"/>
      <c r="J85" s="193" t="s">
        <v>190</v>
      </c>
      <c r="K85" s="193" t="s">
        <v>19</v>
      </c>
      <c r="L85" s="190" t="s">
        <v>28</v>
      </c>
      <c r="M85" s="195" t="s">
        <v>195</v>
      </c>
      <c r="N85" s="195" t="s">
        <v>196</v>
      </c>
      <c r="O85" s="195" t="s">
        <v>197</v>
      </c>
      <c r="P85" s="192"/>
      <c r="Q85" s="212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spans="1:27" ht="18" customHeight="1">
      <c r="A86" s="188">
        <v>40</v>
      </c>
      <c r="B86" s="193" t="s">
        <v>169</v>
      </c>
      <c r="C86" s="193" t="s">
        <v>19</v>
      </c>
      <c r="D86" s="190" t="s">
        <v>28</v>
      </c>
      <c r="E86" s="195" t="s">
        <v>180</v>
      </c>
      <c r="F86" s="195" t="s">
        <v>181</v>
      </c>
      <c r="G86" s="195" t="s">
        <v>182</v>
      </c>
      <c r="H86" s="205"/>
      <c r="I86" s="210"/>
      <c r="J86" s="193"/>
      <c r="K86" s="193"/>
      <c r="L86" s="190"/>
      <c r="M86" s="195"/>
      <c r="N86" s="195"/>
      <c r="O86" s="195"/>
      <c r="P86" s="192"/>
      <c r="Q86" s="212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spans="1:27" ht="18" customHeight="1">
      <c r="A87" s="188">
        <v>41</v>
      </c>
      <c r="B87" s="189" t="s">
        <v>919</v>
      </c>
      <c r="C87" s="189" t="s">
        <v>19</v>
      </c>
      <c r="D87" s="190" t="s">
        <v>28</v>
      </c>
      <c r="E87" s="195" t="s">
        <v>934</v>
      </c>
      <c r="F87" s="195" t="s">
        <v>935</v>
      </c>
      <c r="G87" s="195" t="s">
        <v>936</v>
      </c>
      <c r="H87" s="194"/>
      <c r="I87" s="210"/>
      <c r="J87" s="189" t="s">
        <v>1451</v>
      </c>
      <c r="K87" s="189" t="s">
        <v>19</v>
      </c>
      <c r="L87" s="190" t="s">
        <v>28</v>
      </c>
      <c r="M87" s="195" t="s">
        <v>1456</v>
      </c>
      <c r="N87" s="195" t="s">
        <v>1457</v>
      </c>
      <c r="O87" s="195" t="s">
        <v>934</v>
      </c>
      <c r="P87" s="194" t="s">
        <v>268</v>
      </c>
      <c r="Q87" s="212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spans="1:27" ht="18" customHeight="1">
      <c r="A88" s="188">
        <v>42</v>
      </c>
      <c r="B88" s="189" t="s">
        <v>18</v>
      </c>
      <c r="C88" s="193" t="s">
        <v>19</v>
      </c>
      <c r="D88" s="190" t="s">
        <v>28</v>
      </c>
      <c r="E88" s="195" t="s">
        <v>34</v>
      </c>
      <c r="F88" s="195" t="s">
        <v>35</v>
      </c>
      <c r="G88" s="195" t="s">
        <v>36</v>
      </c>
      <c r="H88" s="194"/>
      <c r="I88" s="210"/>
      <c r="J88" s="189" t="s">
        <v>2195</v>
      </c>
      <c r="K88" s="193" t="s">
        <v>39</v>
      </c>
      <c r="L88" s="194" t="s">
        <v>28</v>
      </c>
      <c r="M88" s="204" t="s">
        <v>2219</v>
      </c>
      <c r="N88" s="204" t="s">
        <v>2220</v>
      </c>
      <c r="O88" s="204" t="s">
        <v>732</v>
      </c>
      <c r="P88" s="192"/>
      <c r="Q88" s="210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spans="1:27" ht="18" customHeight="1">
      <c r="A89" s="188">
        <v>43</v>
      </c>
      <c r="B89" s="193" t="s">
        <v>190</v>
      </c>
      <c r="C89" s="193" t="s">
        <v>19</v>
      </c>
      <c r="D89" s="190" t="s">
        <v>28</v>
      </c>
      <c r="E89" s="195" t="s">
        <v>195</v>
      </c>
      <c r="F89" s="195" t="s">
        <v>196</v>
      </c>
      <c r="G89" s="195" t="s">
        <v>197</v>
      </c>
      <c r="H89" s="194"/>
      <c r="I89" s="210"/>
      <c r="J89" s="189" t="s">
        <v>2348</v>
      </c>
      <c r="K89" s="193" t="s">
        <v>19</v>
      </c>
      <c r="L89" s="190" t="s">
        <v>28</v>
      </c>
      <c r="M89" s="195" t="s">
        <v>2373</v>
      </c>
      <c r="N89" s="195" t="s">
        <v>2374</v>
      </c>
      <c r="O89" s="195" t="s">
        <v>2375</v>
      </c>
      <c r="P89" s="194"/>
      <c r="Q89" s="212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spans="1:27" ht="18" customHeight="1">
      <c r="A90" s="188">
        <v>44</v>
      </c>
      <c r="B90" s="189" t="s">
        <v>1451</v>
      </c>
      <c r="C90" s="189" t="s">
        <v>19</v>
      </c>
      <c r="D90" s="190" t="s">
        <v>28</v>
      </c>
      <c r="E90" s="195" t="s">
        <v>1456</v>
      </c>
      <c r="F90" s="195" t="s">
        <v>1457</v>
      </c>
      <c r="G90" s="195" t="s">
        <v>934</v>
      </c>
      <c r="H90" s="194"/>
      <c r="I90" s="210"/>
      <c r="J90" s="193" t="s">
        <v>2223</v>
      </c>
      <c r="K90" s="193" t="s">
        <v>19</v>
      </c>
      <c r="L90" s="190" t="s">
        <v>28</v>
      </c>
      <c r="M90" s="195" t="s">
        <v>2224</v>
      </c>
      <c r="N90" s="195" t="s">
        <v>2225</v>
      </c>
      <c r="O90" s="195" t="s">
        <v>2226</v>
      </c>
      <c r="P90" s="194" t="s">
        <v>268</v>
      </c>
      <c r="Q90" s="210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spans="1:27" ht="18" customHeight="1">
      <c r="A91" s="188">
        <v>45</v>
      </c>
      <c r="B91" s="189" t="s">
        <v>1656</v>
      </c>
      <c r="C91" s="193" t="s">
        <v>19</v>
      </c>
      <c r="D91" s="190" t="s">
        <v>28</v>
      </c>
      <c r="E91" s="195" t="s">
        <v>1674</v>
      </c>
      <c r="F91" s="195" t="s">
        <v>1675</v>
      </c>
      <c r="G91" s="195" t="s">
        <v>1676</v>
      </c>
      <c r="H91" s="194"/>
      <c r="I91" s="210"/>
      <c r="J91" s="193" t="s">
        <v>398</v>
      </c>
      <c r="K91" s="193" t="s">
        <v>19</v>
      </c>
      <c r="L91" s="190" t="s">
        <v>28</v>
      </c>
      <c r="M91" s="195" t="s">
        <v>403</v>
      </c>
      <c r="N91" s="195" t="s">
        <v>404</v>
      </c>
      <c r="O91" s="195" t="s">
        <v>405</v>
      </c>
      <c r="P91" s="194"/>
      <c r="Q91" s="212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spans="1:27" ht="18" customHeight="1">
      <c r="A92" s="188">
        <v>46</v>
      </c>
      <c r="B92" s="189" t="s">
        <v>79</v>
      </c>
      <c r="C92" s="193" t="s">
        <v>39</v>
      </c>
      <c r="D92" s="190" t="s">
        <v>28</v>
      </c>
      <c r="E92" s="191" t="s">
        <v>80</v>
      </c>
      <c r="F92" s="191" t="s">
        <v>81</v>
      </c>
      <c r="G92" s="191" t="s">
        <v>82</v>
      </c>
      <c r="H92" s="192"/>
      <c r="I92" s="210"/>
      <c r="J92" s="193" t="s">
        <v>446</v>
      </c>
      <c r="K92" s="193" t="s">
        <v>19</v>
      </c>
      <c r="L92" s="190" t="s">
        <v>28</v>
      </c>
      <c r="M92" s="195" t="s">
        <v>462</v>
      </c>
      <c r="N92" s="195" t="s">
        <v>463</v>
      </c>
      <c r="O92" s="195" t="s">
        <v>464</v>
      </c>
      <c r="P92" s="194"/>
      <c r="Q92" s="212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 spans="1:27" ht="18" customHeight="1">
      <c r="A93" s="188">
        <v>47</v>
      </c>
      <c r="B93" s="189" t="s">
        <v>1368</v>
      </c>
      <c r="C93" s="189" t="s">
        <v>19</v>
      </c>
      <c r="D93" s="190" t="s">
        <v>28</v>
      </c>
      <c r="E93" s="195" t="s">
        <v>1378</v>
      </c>
      <c r="F93" s="195" t="s">
        <v>1379</v>
      </c>
      <c r="G93" s="195" t="s">
        <v>1380</v>
      </c>
      <c r="H93" s="194"/>
      <c r="I93" s="210"/>
      <c r="J93" s="189" t="s">
        <v>2324</v>
      </c>
      <c r="K93" s="193" t="s">
        <v>39</v>
      </c>
      <c r="L93" s="190" t="s">
        <v>28</v>
      </c>
      <c r="M93" s="191" t="s">
        <v>2343</v>
      </c>
      <c r="N93" s="191" t="s">
        <v>2344</v>
      </c>
      <c r="O93" s="191" t="s">
        <v>2345</v>
      </c>
      <c r="P93" s="194"/>
      <c r="Q93" s="212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18" customHeight="1">
      <c r="A94" s="188">
        <v>48</v>
      </c>
      <c r="B94" s="193" t="s">
        <v>1486</v>
      </c>
      <c r="C94" s="193" t="s">
        <v>19</v>
      </c>
      <c r="D94" s="190" t="s">
        <v>28</v>
      </c>
      <c r="E94" s="195" t="s">
        <v>1507</v>
      </c>
      <c r="F94" s="195" t="s">
        <v>1508</v>
      </c>
      <c r="G94" s="195" t="s">
        <v>1509</v>
      </c>
      <c r="H94" s="194"/>
      <c r="I94" s="212"/>
      <c r="J94" s="189" t="s">
        <v>2386</v>
      </c>
      <c r="K94" s="193" t="s">
        <v>19</v>
      </c>
      <c r="L94" s="190" t="s">
        <v>28</v>
      </c>
      <c r="M94" s="195" t="s">
        <v>2415</v>
      </c>
      <c r="N94" s="195" t="s">
        <v>2416</v>
      </c>
      <c r="O94" s="195" t="s">
        <v>2417</v>
      </c>
      <c r="P94" s="194"/>
      <c r="Q94" s="212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spans="1:27" ht="18" customHeight="1">
      <c r="A95" s="188">
        <v>49</v>
      </c>
      <c r="B95" s="189" t="s">
        <v>122</v>
      </c>
      <c r="C95" s="193" t="s">
        <v>19</v>
      </c>
      <c r="D95" s="190" t="s">
        <v>28</v>
      </c>
      <c r="E95" s="195" t="s">
        <v>123</v>
      </c>
      <c r="F95" s="195" t="s">
        <v>124</v>
      </c>
      <c r="G95" s="195" t="s">
        <v>125</v>
      </c>
      <c r="H95" s="194"/>
      <c r="I95" s="210"/>
      <c r="J95" s="193" t="s">
        <v>580</v>
      </c>
      <c r="K95" s="189" t="s">
        <v>19</v>
      </c>
      <c r="L95" s="190" t="s">
        <v>28</v>
      </c>
      <c r="M95" s="195" t="s">
        <v>593</v>
      </c>
      <c r="N95" s="195" t="s">
        <v>594</v>
      </c>
      <c r="O95" s="195" t="s">
        <v>595</v>
      </c>
      <c r="P95" s="194"/>
      <c r="Q95" s="228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spans="1:27" ht="18" customHeight="1">
      <c r="A96" s="188">
        <v>50</v>
      </c>
      <c r="B96" s="193" t="s">
        <v>1563</v>
      </c>
      <c r="C96" s="193" t="s">
        <v>19</v>
      </c>
      <c r="D96" s="190" t="s">
        <v>28</v>
      </c>
      <c r="E96" s="195" t="s">
        <v>1083</v>
      </c>
      <c r="F96" s="195" t="s">
        <v>1569</v>
      </c>
      <c r="G96" s="195" t="s">
        <v>1570</v>
      </c>
      <c r="H96" s="194"/>
      <c r="I96" s="212"/>
      <c r="J96" s="193" t="s">
        <v>531</v>
      </c>
      <c r="K96" s="189" t="s">
        <v>19</v>
      </c>
      <c r="L96" s="190" t="s">
        <v>28</v>
      </c>
      <c r="M96" s="195" t="s">
        <v>566</v>
      </c>
      <c r="N96" s="195" t="s">
        <v>567</v>
      </c>
      <c r="O96" s="195" t="s">
        <v>568</v>
      </c>
      <c r="P96" s="194" t="s">
        <v>268</v>
      </c>
      <c r="Q96" s="210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spans="1:27" ht="18" customHeight="1">
      <c r="A97" s="188">
        <v>51</v>
      </c>
      <c r="B97" s="193" t="s">
        <v>1486</v>
      </c>
      <c r="C97" s="193" t="s">
        <v>19</v>
      </c>
      <c r="D97" s="190" t="s">
        <v>28</v>
      </c>
      <c r="E97" s="191" t="s">
        <v>1512</v>
      </c>
      <c r="F97" s="191" t="s">
        <v>1513</v>
      </c>
      <c r="G97" s="191" t="s">
        <v>1514</v>
      </c>
      <c r="H97" s="192"/>
      <c r="I97" s="210"/>
      <c r="J97" s="189" t="s">
        <v>1656</v>
      </c>
      <c r="K97" s="193" t="s">
        <v>19</v>
      </c>
      <c r="L97" s="190" t="s">
        <v>28</v>
      </c>
      <c r="M97" s="195" t="s">
        <v>1674</v>
      </c>
      <c r="N97" s="195" t="s">
        <v>1675</v>
      </c>
      <c r="O97" s="195" t="s">
        <v>1676</v>
      </c>
      <c r="P97" s="192"/>
      <c r="Q97" s="210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spans="1:27" ht="18" customHeight="1">
      <c r="A98" s="188">
        <v>52</v>
      </c>
      <c r="B98" s="193" t="s">
        <v>837</v>
      </c>
      <c r="C98" s="193" t="s">
        <v>19</v>
      </c>
      <c r="D98" s="190" t="s">
        <v>28</v>
      </c>
      <c r="E98" s="195" t="s">
        <v>857</v>
      </c>
      <c r="F98" s="195" t="s">
        <v>858</v>
      </c>
      <c r="G98" s="195" t="s">
        <v>401</v>
      </c>
      <c r="H98" s="194"/>
      <c r="I98" s="210"/>
      <c r="J98" s="189" t="s">
        <v>79</v>
      </c>
      <c r="K98" s="193" t="s">
        <v>39</v>
      </c>
      <c r="L98" s="190" t="s">
        <v>28</v>
      </c>
      <c r="M98" s="191" t="s">
        <v>80</v>
      </c>
      <c r="N98" s="191" t="s">
        <v>81</v>
      </c>
      <c r="O98" s="191" t="s">
        <v>82</v>
      </c>
      <c r="P98" s="205"/>
      <c r="Q98" s="212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spans="1:27" ht="18" customHeight="1">
      <c r="A99" s="188">
        <v>53</v>
      </c>
      <c r="B99" s="189" t="s">
        <v>891</v>
      </c>
      <c r="C99" s="193" t="s">
        <v>19</v>
      </c>
      <c r="D99" s="190" t="s">
        <v>28</v>
      </c>
      <c r="E99" s="195" t="s">
        <v>894</v>
      </c>
      <c r="F99" s="195" t="s">
        <v>895</v>
      </c>
      <c r="G99" s="195" t="s">
        <v>896</v>
      </c>
      <c r="H99" s="194"/>
      <c r="I99" s="210"/>
      <c r="J99" s="189" t="s">
        <v>1368</v>
      </c>
      <c r="K99" s="189" t="s">
        <v>19</v>
      </c>
      <c r="L99" s="190" t="s">
        <v>28</v>
      </c>
      <c r="M99" s="195" t="s">
        <v>1378</v>
      </c>
      <c r="N99" s="195" t="s">
        <v>1379</v>
      </c>
      <c r="O99" s="195" t="s">
        <v>1380</v>
      </c>
      <c r="P99" s="194"/>
      <c r="Q99" s="212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ht="18" customHeight="1">
      <c r="A100" s="188">
        <v>54</v>
      </c>
      <c r="B100" s="189" t="s">
        <v>1765</v>
      </c>
      <c r="C100" s="193" t="s">
        <v>39</v>
      </c>
      <c r="D100" s="190" t="s">
        <v>28</v>
      </c>
      <c r="E100" s="191" t="s">
        <v>1771</v>
      </c>
      <c r="F100" s="191" t="s">
        <v>1772</v>
      </c>
      <c r="G100" s="191" t="s">
        <v>1773</v>
      </c>
      <c r="H100" s="192"/>
      <c r="I100" s="210"/>
      <c r="J100" s="193" t="s">
        <v>531</v>
      </c>
      <c r="K100" s="193" t="s">
        <v>19</v>
      </c>
      <c r="L100" s="190" t="s">
        <v>28</v>
      </c>
      <c r="M100" s="195" t="s">
        <v>571</v>
      </c>
      <c r="N100" s="195" t="s">
        <v>572</v>
      </c>
      <c r="O100" s="195" t="s">
        <v>573</v>
      </c>
      <c r="P100" s="194"/>
      <c r="Q100" s="212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ht="21.75" customHeight="1">
      <c r="A101" s="379" t="s">
        <v>2671</v>
      </c>
      <c r="B101" s="372"/>
      <c r="C101" s="372"/>
      <c r="D101" s="372"/>
      <c r="E101" s="372"/>
      <c r="F101" s="372"/>
      <c r="G101" s="372"/>
      <c r="H101" s="372"/>
      <c r="I101" s="371"/>
      <c r="J101" s="189"/>
      <c r="K101" s="193"/>
      <c r="L101" s="190"/>
      <c r="M101" s="195"/>
      <c r="N101" s="195"/>
      <c r="O101" s="195"/>
      <c r="P101" s="194"/>
      <c r="Q101" s="212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spans="1:27" ht="18" customHeight="1">
      <c r="A102" s="188">
        <v>1</v>
      </c>
      <c r="B102" s="258" t="s">
        <v>891</v>
      </c>
      <c r="C102" s="258" t="s">
        <v>19</v>
      </c>
      <c r="D102" s="232" t="s">
        <v>40</v>
      </c>
      <c r="E102" s="259" t="s">
        <v>899</v>
      </c>
      <c r="F102" s="259" t="s">
        <v>900</v>
      </c>
      <c r="G102" s="259" t="s">
        <v>901</v>
      </c>
      <c r="H102" s="260"/>
      <c r="I102" s="261"/>
      <c r="J102" s="258" t="s">
        <v>891</v>
      </c>
      <c r="K102" s="258" t="s">
        <v>19</v>
      </c>
      <c r="L102" s="232" t="s">
        <v>40</v>
      </c>
      <c r="M102" s="259" t="s">
        <v>899</v>
      </c>
      <c r="N102" s="259" t="s">
        <v>900</v>
      </c>
      <c r="O102" s="259" t="s">
        <v>901</v>
      </c>
      <c r="P102" s="260"/>
      <c r="Q102" s="261" t="s">
        <v>2673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spans="1:27" ht="18" customHeight="1">
      <c r="A103" s="188">
        <v>2</v>
      </c>
      <c r="B103" s="258" t="s">
        <v>1396</v>
      </c>
      <c r="C103" s="193" t="s">
        <v>39</v>
      </c>
      <c r="D103" s="190" t="s">
        <v>40</v>
      </c>
      <c r="E103" s="191" t="s">
        <v>1401</v>
      </c>
      <c r="F103" s="191" t="s">
        <v>1402</v>
      </c>
      <c r="G103" s="191" t="s">
        <v>1403</v>
      </c>
      <c r="H103" s="192"/>
      <c r="I103" s="210"/>
      <c r="J103" s="258" t="s">
        <v>1396</v>
      </c>
      <c r="K103" s="193" t="s">
        <v>39</v>
      </c>
      <c r="L103" s="190" t="s">
        <v>40</v>
      </c>
      <c r="M103" s="191" t="s">
        <v>1401</v>
      </c>
      <c r="N103" s="191" t="s">
        <v>1402</v>
      </c>
      <c r="O103" s="191" t="s">
        <v>1403</v>
      </c>
      <c r="P103" s="192"/>
      <c r="Q103" s="210" t="s">
        <v>2674</v>
      </c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spans="1:27" ht="18" customHeight="1">
      <c r="A104" s="188">
        <v>3</v>
      </c>
      <c r="B104" s="244" t="s">
        <v>1588</v>
      </c>
      <c r="C104" s="193" t="s">
        <v>19</v>
      </c>
      <c r="D104" s="190" t="s">
        <v>40</v>
      </c>
      <c r="E104" s="191" t="s">
        <v>1598</v>
      </c>
      <c r="F104" s="191" t="s">
        <v>1599</v>
      </c>
      <c r="G104" s="191" t="s">
        <v>1600</v>
      </c>
      <c r="H104" s="192"/>
      <c r="I104" s="212"/>
      <c r="J104" s="244" t="s">
        <v>1588</v>
      </c>
      <c r="K104" s="193" t="s">
        <v>19</v>
      </c>
      <c r="L104" s="190" t="s">
        <v>40</v>
      </c>
      <c r="M104" s="191" t="s">
        <v>1598</v>
      </c>
      <c r="N104" s="191" t="s">
        <v>1599</v>
      </c>
      <c r="O104" s="191" t="s">
        <v>1600</v>
      </c>
      <c r="P104" s="192"/>
      <c r="Q104" s="212" t="s">
        <v>2675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spans="1:27" ht="18" customHeight="1">
      <c r="A105" s="188">
        <v>4</v>
      </c>
      <c r="B105" s="258" t="s">
        <v>1451</v>
      </c>
      <c r="C105" s="189" t="s">
        <v>19</v>
      </c>
      <c r="D105" s="190" t="s">
        <v>40</v>
      </c>
      <c r="E105" s="191" t="s">
        <v>1452</v>
      </c>
      <c r="F105" s="191" t="s">
        <v>770</v>
      </c>
      <c r="G105" s="191" t="s">
        <v>1453</v>
      </c>
      <c r="H105" s="192"/>
      <c r="I105" s="210"/>
      <c r="J105" s="258" t="s">
        <v>1451</v>
      </c>
      <c r="K105" s="189" t="s">
        <v>19</v>
      </c>
      <c r="L105" s="190" t="s">
        <v>40</v>
      </c>
      <c r="M105" s="191" t="s">
        <v>1452</v>
      </c>
      <c r="N105" s="191" t="s">
        <v>770</v>
      </c>
      <c r="O105" s="191" t="s">
        <v>1453</v>
      </c>
      <c r="P105" s="192"/>
      <c r="Q105" s="210" t="s">
        <v>2676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spans="1:27" ht="18" customHeight="1">
      <c r="A106" s="188">
        <v>5</v>
      </c>
      <c r="B106" s="258" t="s">
        <v>1804</v>
      </c>
      <c r="C106" s="189" t="s">
        <v>19</v>
      </c>
      <c r="D106" s="190" t="s">
        <v>40</v>
      </c>
      <c r="E106" s="191" t="s">
        <v>971</v>
      </c>
      <c r="F106" s="191" t="s">
        <v>1388</v>
      </c>
      <c r="G106" s="191" t="s">
        <v>636</v>
      </c>
      <c r="H106" s="192"/>
      <c r="I106" s="223"/>
      <c r="J106" s="258" t="s">
        <v>1804</v>
      </c>
      <c r="K106" s="189" t="s">
        <v>19</v>
      </c>
      <c r="L106" s="190" t="s">
        <v>40</v>
      </c>
      <c r="M106" s="191" t="s">
        <v>971</v>
      </c>
      <c r="N106" s="191" t="s">
        <v>1388</v>
      </c>
      <c r="O106" s="191" t="s">
        <v>636</v>
      </c>
      <c r="P106" s="192"/>
      <c r="Q106" s="223" t="s">
        <v>2677</v>
      </c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spans="1:27" ht="18" customHeight="1">
      <c r="A107" s="188">
        <v>6</v>
      </c>
      <c r="B107" s="258" t="s">
        <v>919</v>
      </c>
      <c r="C107" s="193" t="s">
        <v>39</v>
      </c>
      <c r="D107" s="190" t="s">
        <v>40</v>
      </c>
      <c r="E107" s="191" t="s">
        <v>939</v>
      </c>
      <c r="F107" s="191" t="s">
        <v>940</v>
      </c>
      <c r="G107" s="191" t="s">
        <v>941</v>
      </c>
      <c r="H107" s="192"/>
      <c r="I107" s="210"/>
      <c r="J107" s="258" t="s">
        <v>919</v>
      </c>
      <c r="K107" s="193" t="s">
        <v>39</v>
      </c>
      <c r="L107" s="190" t="s">
        <v>40</v>
      </c>
      <c r="M107" s="191" t="s">
        <v>939</v>
      </c>
      <c r="N107" s="191" t="s">
        <v>940</v>
      </c>
      <c r="O107" s="191" t="s">
        <v>941</v>
      </c>
      <c r="P107" s="192"/>
      <c r="Q107" s="210" t="s">
        <v>2678</v>
      </c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spans="1:27" ht="18" customHeight="1">
      <c r="A108" s="188">
        <v>7</v>
      </c>
      <c r="B108" s="244" t="s">
        <v>1486</v>
      </c>
      <c r="C108" s="193" t="s">
        <v>39</v>
      </c>
      <c r="D108" s="190" t="s">
        <v>40</v>
      </c>
      <c r="E108" s="191" t="s">
        <v>1517</v>
      </c>
      <c r="F108" s="191" t="s">
        <v>1518</v>
      </c>
      <c r="G108" s="191" t="s">
        <v>1519</v>
      </c>
      <c r="H108" s="192"/>
      <c r="I108" s="228"/>
      <c r="J108" s="244" t="s">
        <v>1486</v>
      </c>
      <c r="K108" s="193" t="s">
        <v>39</v>
      </c>
      <c r="L108" s="190" t="s">
        <v>40</v>
      </c>
      <c r="M108" s="191" t="s">
        <v>1517</v>
      </c>
      <c r="N108" s="191" t="s">
        <v>1518</v>
      </c>
      <c r="O108" s="191" t="s">
        <v>1519</v>
      </c>
      <c r="P108" s="192"/>
      <c r="Q108" s="228" t="s">
        <v>2679</v>
      </c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 spans="1:27" ht="18" customHeight="1">
      <c r="A109" s="188">
        <v>8</v>
      </c>
      <c r="B109" s="193" t="s">
        <v>1486</v>
      </c>
      <c r="C109" s="189" t="s">
        <v>19</v>
      </c>
      <c r="D109" s="190" t="s">
        <v>40</v>
      </c>
      <c r="E109" s="191" t="s">
        <v>1520</v>
      </c>
      <c r="F109" s="191" t="s">
        <v>1521</v>
      </c>
      <c r="G109" s="191" t="s">
        <v>1522</v>
      </c>
      <c r="H109" s="192"/>
      <c r="I109" s="210"/>
      <c r="J109" s="193" t="s">
        <v>1486</v>
      </c>
      <c r="K109" s="189" t="s">
        <v>19</v>
      </c>
      <c r="L109" s="190" t="s">
        <v>40</v>
      </c>
      <c r="M109" s="191" t="s">
        <v>1520</v>
      </c>
      <c r="N109" s="191" t="s">
        <v>1521</v>
      </c>
      <c r="O109" s="191" t="s">
        <v>1522</v>
      </c>
      <c r="P109" s="192"/>
      <c r="Q109" s="210" t="s">
        <v>2680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spans="1:27" ht="18" customHeight="1">
      <c r="A110" s="188">
        <v>9</v>
      </c>
      <c r="B110" s="189" t="s">
        <v>1714</v>
      </c>
      <c r="C110" s="189" t="s">
        <v>19</v>
      </c>
      <c r="D110" s="190" t="s">
        <v>40</v>
      </c>
      <c r="E110" s="191" t="s">
        <v>1719</v>
      </c>
      <c r="F110" s="191" t="s">
        <v>1720</v>
      </c>
      <c r="G110" s="191" t="s">
        <v>1721</v>
      </c>
      <c r="H110" s="192"/>
      <c r="I110" s="262"/>
      <c r="J110" s="189" t="s">
        <v>1714</v>
      </c>
      <c r="K110" s="189" t="s">
        <v>19</v>
      </c>
      <c r="L110" s="190" t="s">
        <v>40</v>
      </c>
      <c r="M110" s="191" t="s">
        <v>1719</v>
      </c>
      <c r="N110" s="191" t="s">
        <v>1720</v>
      </c>
      <c r="O110" s="191" t="s">
        <v>1721</v>
      </c>
      <c r="P110" s="192"/>
      <c r="Q110" s="262" t="s">
        <v>2681</v>
      </c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8" customHeight="1">
      <c r="A111" s="188">
        <v>10</v>
      </c>
      <c r="B111" s="193" t="s">
        <v>1588</v>
      </c>
      <c r="C111" s="193" t="s">
        <v>19</v>
      </c>
      <c r="D111" s="190" t="s">
        <v>40</v>
      </c>
      <c r="E111" s="191" t="s">
        <v>1589</v>
      </c>
      <c r="F111" s="191" t="s">
        <v>1590</v>
      </c>
      <c r="G111" s="191" t="s">
        <v>151</v>
      </c>
      <c r="H111" s="192"/>
      <c r="I111" s="212"/>
      <c r="J111" s="193" t="s">
        <v>1588</v>
      </c>
      <c r="K111" s="193" t="s">
        <v>19</v>
      </c>
      <c r="L111" s="190" t="s">
        <v>40</v>
      </c>
      <c r="M111" s="191" t="s">
        <v>1589</v>
      </c>
      <c r="N111" s="191" t="s">
        <v>1590</v>
      </c>
      <c r="O111" s="191" t="s">
        <v>151</v>
      </c>
      <c r="P111" s="192"/>
      <c r="Q111" s="210" t="s">
        <v>2682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spans="1:27" ht="18" customHeight="1">
      <c r="A112" s="188">
        <v>11</v>
      </c>
      <c r="B112" s="189" t="s">
        <v>1330</v>
      </c>
      <c r="C112" s="193" t="s">
        <v>39</v>
      </c>
      <c r="D112" s="190" t="s">
        <v>40</v>
      </c>
      <c r="E112" s="191" t="s">
        <v>1343</v>
      </c>
      <c r="F112" s="191" t="s">
        <v>1344</v>
      </c>
      <c r="G112" s="191" t="s">
        <v>1345</v>
      </c>
      <c r="H112" s="192"/>
      <c r="I112" s="210"/>
      <c r="J112" s="189" t="s">
        <v>1330</v>
      </c>
      <c r="K112" s="193" t="s">
        <v>39</v>
      </c>
      <c r="L112" s="190" t="s">
        <v>40</v>
      </c>
      <c r="M112" s="191" t="s">
        <v>1343</v>
      </c>
      <c r="N112" s="191" t="s">
        <v>1344</v>
      </c>
      <c r="O112" s="191" t="s">
        <v>1345</v>
      </c>
      <c r="P112" s="192"/>
      <c r="Q112" s="212" t="s">
        <v>2683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spans="1:27" ht="18" customHeight="1">
      <c r="A113" s="188">
        <v>12</v>
      </c>
      <c r="B113" s="189" t="s">
        <v>1858</v>
      </c>
      <c r="C113" s="189" t="s">
        <v>19</v>
      </c>
      <c r="D113" s="190" t="s">
        <v>40</v>
      </c>
      <c r="E113" s="191" t="s">
        <v>1862</v>
      </c>
      <c r="F113" s="191" t="s">
        <v>690</v>
      </c>
      <c r="G113" s="191" t="s">
        <v>1863</v>
      </c>
      <c r="H113" s="192"/>
      <c r="I113" s="212"/>
      <c r="J113" s="189" t="s">
        <v>1858</v>
      </c>
      <c r="K113" s="189" t="s">
        <v>19</v>
      </c>
      <c r="L113" s="190" t="s">
        <v>40</v>
      </c>
      <c r="M113" s="191" t="s">
        <v>1862</v>
      </c>
      <c r="N113" s="191" t="s">
        <v>690</v>
      </c>
      <c r="O113" s="191" t="s">
        <v>1863</v>
      </c>
      <c r="P113" s="192"/>
      <c r="Q113" s="210" t="s">
        <v>2684</v>
      </c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spans="1:27" ht="18" customHeight="1">
      <c r="A114" s="188">
        <v>13</v>
      </c>
      <c r="B114" s="189" t="s">
        <v>122</v>
      </c>
      <c r="C114" s="193" t="s">
        <v>39</v>
      </c>
      <c r="D114" s="190" t="s">
        <v>40</v>
      </c>
      <c r="E114" s="191" t="s">
        <v>128</v>
      </c>
      <c r="F114" s="191" t="s">
        <v>129</v>
      </c>
      <c r="G114" s="191" t="s">
        <v>130</v>
      </c>
      <c r="H114" s="192"/>
      <c r="I114" s="210"/>
      <c r="J114" s="189" t="s">
        <v>122</v>
      </c>
      <c r="K114" s="193" t="s">
        <v>39</v>
      </c>
      <c r="L114" s="190" t="s">
        <v>40</v>
      </c>
      <c r="M114" s="191" t="s">
        <v>128</v>
      </c>
      <c r="N114" s="191" t="s">
        <v>129</v>
      </c>
      <c r="O114" s="191" t="s">
        <v>130</v>
      </c>
      <c r="P114" s="192"/>
      <c r="Q114" s="212" t="s">
        <v>2685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spans="1:27" ht="18" customHeight="1">
      <c r="A115" s="188">
        <v>14</v>
      </c>
      <c r="B115" s="193" t="s">
        <v>837</v>
      </c>
      <c r="C115" s="193" t="s">
        <v>39</v>
      </c>
      <c r="D115" s="190" t="s">
        <v>40</v>
      </c>
      <c r="E115" s="191" t="s">
        <v>861</v>
      </c>
      <c r="F115" s="191" t="s">
        <v>862</v>
      </c>
      <c r="G115" s="191" t="s">
        <v>863</v>
      </c>
      <c r="H115" s="192"/>
      <c r="I115" s="210"/>
      <c r="J115" s="193" t="s">
        <v>837</v>
      </c>
      <c r="K115" s="193" t="s">
        <v>39</v>
      </c>
      <c r="L115" s="190" t="s">
        <v>40</v>
      </c>
      <c r="M115" s="191" t="s">
        <v>861</v>
      </c>
      <c r="N115" s="191" t="s">
        <v>862</v>
      </c>
      <c r="O115" s="191" t="s">
        <v>863</v>
      </c>
      <c r="P115" s="192"/>
      <c r="Q115" s="210" t="s">
        <v>2686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spans="1:27" ht="18" customHeight="1">
      <c r="A116" s="188">
        <v>15</v>
      </c>
      <c r="B116" s="189" t="s">
        <v>1008</v>
      </c>
      <c r="C116" s="189" t="s">
        <v>19</v>
      </c>
      <c r="D116" s="190" t="s">
        <v>40</v>
      </c>
      <c r="E116" s="191" t="s">
        <v>1014</v>
      </c>
      <c r="F116" s="191" t="s">
        <v>1015</v>
      </c>
      <c r="G116" s="191" t="s">
        <v>91</v>
      </c>
      <c r="H116" s="192"/>
      <c r="I116" s="212"/>
      <c r="J116" s="189" t="s">
        <v>1008</v>
      </c>
      <c r="K116" s="189" t="s">
        <v>19</v>
      </c>
      <c r="L116" s="190" t="s">
        <v>40</v>
      </c>
      <c r="M116" s="191" t="s">
        <v>1014</v>
      </c>
      <c r="N116" s="191" t="s">
        <v>1015</v>
      </c>
      <c r="O116" s="191" t="s">
        <v>91</v>
      </c>
      <c r="P116" s="192"/>
      <c r="Q116" s="210" t="s">
        <v>2687</v>
      </c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spans="1:27" ht="18" customHeight="1">
      <c r="A117" s="188">
        <v>16</v>
      </c>
      <c r="B117" s="189" t="s">
        <v>1396</v>
      </c>
      <c r="C117" s="193" t="s">
        <v>39</v>
      </c>
      <c r="D117" s="190" t="s">
        <v>40</v>
      </c>
      <c r="E117" s="191" t="s">
        <v>1406</v>
      </c>
      <c r="F117" s="263" t="s">
        <v>1407</v>
      </c>
      <c r="G117" s="191" t="s">
        <v>1408</v>
      </c>
      <c r="H117" s="192"/>
      <c r="I117" s="210"/>
      <c r="J117" s="189" t="s">
        <v>1396</v>
      </c>
      <c r="K117" s="193" t="s">
        <v>39</v>
      </c>
      <c r="L117" s="190" t="s">
        <v>40</v>
      </c>
      <c r="M117" s="191" t="s">
        <v>1406</v>
      </c>
      <c r="N117" s="263" t="s">
        <v>1407</v>
      </c>
      <c r="O117" s="191" t="s">
        <v>1408</v>
      </c>
      <c r="P117" s="192"/>
      <c r="Q117" s="212" t="s">
        <v>2688</v>
      </c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spans="1:27" ht="18" customHeight="1">
      <c r="A118" s="188">
        <v>17</v>
      </c>
      <c r="B118" s="189" t="s">
        <v>1740</v>
      </c>
      <c r="C118" s="189" t="s">
        <v>19</v>
      </c>
      <c r="D118" s="190" t="s">
        <v>40</v>
      </c>
      <c r="E118" s="191" t="s">
        <v>1757</v>
      </c>
      <c r="F118" s="191" t="s">
        <v>1758</v>
      </c>
      <c r="G118" s="191" t="s">
        <v>1759</v>
      </c>
      <c r="H118" s="192"/>
      <c r="I118" s="223"/>
      <c r="J118" s="189" t="s">
        <v>1740</v>
      </c>
      <c r="K118" s="189" t="s">
        <v>19</v>
      </c>
      <c r="L118" s="190" t="s">
        <v>40</v>
      </c>
      <c r="M118" s="191" t="s">
        <v>1757</v>
      </c>
      <c r="N118" s="191" t="s">
        <v>1758</v>
      </c>
      <c r="O118" s="191" t="s">
        <v>1759</v>
      </c>
      <c r="P118" s="192"/>
      <c r="Q118" s="210" t="s">
        <v>2689</v>
      </c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spans="1:27" ht="18" customHeight="1">
      <c r="A119" s="188">
        <v>18</v>
      </c>
      <c r="B119" s="193" t="s">
        <v>1788</v>
      </c>
      <c r="C119" s="193" t="s">
        <v>19</v>
      </c>
      <c r="D119" s="190" t="s">
        <v>40</v>
      </c>
      <c r="E119" s="191" t="s">
        <v>1792</v>
      </c>
      <c r="F119" s="191" t="s">
        <v>400</v>
      </c>
      <c r="G119" s="191" t="s">
        <v>1793</v>
      </c>
      <c r="H119" s="192"/>
      <c r="I119" s="212"/>
      <c r="J119" s="193" t="s">
        <v>1788</v>
      </c>
      <c r="K119" s="193" t="s">
        <v>19</v>
      </c>
      <c r="L119" s="190" t="s">
        <v>40</v>
      </c>
      <c r="M119" s="191" t="s">
        <v>1792</v>
      </c>
      <c r="N119" s="191" t="s">
        <v>400</v>
      </c>
      <c r="O119" s="191" t="s">
        <v>1793</v>
      </c>
      <c r="P119" s="192"/>
      <c r="Q119" s="223" t="s">
        <v>2690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spans="1:27" ht="18" customHeight="1">
      <c r="A120" s="188">
        <v>19</v>
      </c>
      <c r="B120" s="189" t="s">
        <v>18</v>
      </c>
      <c r="C120" s="193" t="s">
        <v>39</v>
      </c>
      <c r="D120" s="190" t="s">
        <v>40</v>
      </c>
      <c r="E120" s="191" t="s">
        <v>41</v>
      </c>
      <c r="F120" s="191" t="s">
        <v>42</v>
      </c>
      <c r="G120" s="264" t="s">
        <v>43</v>
      </c>
      <c r="H120" s="202"/>
      <c r="I120" s="210"/>
      <c r="J120" s="189" t="s">
        <v>18</v>
      </c>
      <c r="K120" s="193" t="s">
        <v>39</v>
      </c>
      <c r="L120" s="190" t="s">
        <v>40</v>
      </c>
      <c r="M120" s="191" t="s">
        <v>41</v>
      </c>
      <c r="N120" s="191" t="s">
        <v>42</v>
      </c>
      <c r="O120" s="264" t="s">
        <v>43</v>
      </c>
      <c r="P120" s="192"/>
      <c r="Q120" s="212" t="s">
        <v>2691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spans="1:27" ht="18" customHeight="1">
      <c r="A121" s="188">
        <v>20</v>
      </c>
      <c r="B121" s="193" t="s">
        <v>1588</v>
      </c>
      <c r="C121" s="193" t="s">
        <v>19</v>
      </c>
      <c r="D121" s="190" t="s">
        <v>40</v>
      </c>
      <c r="E121" s="191" t="s">
        <v>904</v>
      </c>
      <c r="F121" s="191" t="s">
        <v>684</v>
      </c>
      <c r="G121" s="191" t="s">
        <v>256</v>
      </c>
      <c r="H121" s="192"/>
      <c r="I121" s="210"/>
      <c r="J121" s="193" t="s">
        <v>1588</v>
      </c>
      <c r="K121" s="193" t="s">
        <v>19</v>
      </c>
      <c r="L121" s="190" t="s">
        <v>40</v>
      </c>
      <c r="M121" s="191" t="s">
        <v>904</v>
      </c>
      <c r="N121" s="191" t="s">
        <v>684</v>
      </c>
      <c r="O121" s="191" t="s">
        <v>256</v>
      </c>
      <c r="P121" s="202"/>
      <c r="Q121" s="210" t="s">
        <v>2692</v>
      </c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spans="1:27" ht="18" customHeight="1">
      <c r="A122" s="188">
        <v>21</v>
      </c>
      <c r="B122" s="189" t="s">
        <v>891</v>
      </c>
      <c r="C122" s="193" t="s">
        <v>39</v>
      </c>
      <c r="D122" s="190" t="s">
        <v>40</v>
      </c>
      <c r="E122" s="191" t="s">
        <v>904</v>
      </c>
      <c r="F122" s="191" t="s">
        <v>905</v>
      </c>
      <c r="G122" s="191" t="s">
        <v>906</v>
      </c>
      <c r="H122" s="192"/>
      <c r="I122" s="212"/>
      <c r="J122" s="189" t="s">
        <v>891</v>
      </c>
      <c r="K122" s="193" t="s">
        <v>39</v>
      </c>
      <c r="L122" s="190" t="s">
        <v>40</v>
      </c>
      <c r="M122" s="191" t="s">
        <v>904</v>
      </c>
      <c r="N122" s="191" t="s">
        <v>905</v>
      </c>
      <c r="O122" s="191" t="s">
        <v>906</v>
      </c>
      <c r="P122" s="192"/>
      <c r="Q122" s="210" t="s">
        <v>2693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spans="1:27" ht="18" customHeight="1">
      <c r="A123" s="188">
        <v>22</v>
      </c>
      <c r="B123" s="189" t="s">
        <v>79</v>
      </c>
      <c r="C123" s="193" t="s">
        <v>39</v>
      </c>
      <c r="D123" s="190" t="s">
        <v>40</v>
      </c>
      <c r="E123" s="191" t="s">
        <v>85</v>
      </c>
      <c r="F123" s="191" t="s">
        <v>86</v>
      </c>
      <c r="G123" s="191" t="s">
        <v>87</v>
      </c>
      <c r="H123" s="192"/>
      <c r="I123" s="210"/>
      <c r="J123" s="189" t="s">
        <v>79</v>
      </c>
      <c r="K123" s="193" t="s">
        <v>39</v>
      </c>
      <c r="L123" s="190" t="s">
        <v>40</v>
      </c>
      <c r="M123" s="191" t="s">
        <v>85</v>
      </c>
      <c r="N123" s="191" t="s">
        <v>86</v>
      </c>
      <c r="O123" s="191" t="s">
        <v>87</v>
      </c>
      <c r="P123" s="192"/>
      <c r="Q123" s="212" t="s">
        <v>2694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spans="1:27" ht="18" customHeight="1">
      <c r="A124" s="188">
        <v>23</v>
      </c>
      <c r="B124" s="189" t="s">
        <v>1451</v>
      </c>
      <c r="C124" s="189" t="s">
        <v>19</v>
      </c>
      <c r="D124" s="190" t="s">
        <v>40</v>
      </c>
      <c r="E124" s="191" t="s">
        <v>1460</v>
      </c>
      <c r="F124" s="191" t="s">
        <v>1461</v>
      </c>
      <c r="G124" s="191" t="s">
        <v>1462</v>
      </c>
      <c r="H124" s="192"/>
      <c r="I124" s="228"/>
      <c r="J124" s="189" t="s">
        <v>1451</v>
      </c>
      <c r="K124" s="189" t="s">
        <v>19</v>
      </c>
      <c r="L124" s="190" t="s">
        <v>40</v>
      </c>
      <c r="M124" s="191" t="s">
        <v>1460</v>
      </c>
      <c r="N124" s="191" t="s">
        <v>1461</v>
      </c>
      <c r="O124" s="191" t="s">
        <v>1462</v>
      </c>
      <c r="P124" s="192"/>
      <c r="Q124" s="210" t="s">
        <v>2695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spans="1:27" ht="18" customHeight="1">
      <c r="A125" s="188">
        <v>24</v>
      </c>
      <c r="B125" s="189" t="s">
        <v>1723</v>
      </c>
      <c r="C125" s="193" t="s">
        <v>39</v>
      </c>
      <c r="D125" s="190" t="s">
        <v>40</v>
      </c>
      <c r="E125" s="191" t="s">
        <v>1727</v>
      </c>
      <c r="F125" s="191" t="s">
        <v>1728</v>
      </c>
      <c r="G125" s="191" t="s">
        <v>1729</v>
      </c>
      <c r="H125" s="192"/>
      <c r="I125" s="210"/>
      <c r="J125" s="189" t="s">
        <v>1723</v>
      </c>
      <c r="K125" s="193" t="s">
        <v>39</v>
      </c>
      <c r="L125" s="190" t="s">
        <v>40</v>
      </c>
      <c r="M125" s="191" t="s">
        <v>1727</v>
      </c>
      <c r="N125" s="191" t="s">
        <v>1728</v>
      </c>
      <c r="O125" s="191" t="s">
        <v>1729</v>
      </c>
      <c r="P125" s="192"/>
      <c r="Q125" s="228" t="s">
        <v>2696</v>
      </c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spans="1:27" ht="18" customHeight="1">
      <c r="A126" s="188">
        <v>25</v>
      </c>
      <c r="B126" s="193" t="s">
        <v>1890</v>
      </c>
      <c r="C126" s="193" t="s">
        <v>39</v>
      </c>
      <c r="D126" s="190" t="s">
        <v>40</v>
      </c>
      <c r="E126" s="191" t="s">
        <v>1894</v>
      </c>
      <c r="F126" s="191" t="s">
        <v>1895</v>
      </c>
      <c r="G126" s="191" t="s">
        <v>1896</v>
      </c>
      <c r="H126" s="192"/>
      <c r="I126" s="210"/>
      <c r="J126" s="193" t="s">
        <v>1890</v>
      </c>
      <c r="K126" s="193" t="s">
        <v>39</v>
      </c>
      <c r="L126" s="190" t="s">
        <v>40</v>
      </c>
      <c r="M126" s="191" t="s">
        <v>1894</v>
      </c>
      <c r="N126" s="191" t="s">
        <v>1895</v>
      </c>
      <c r="O126" s="191" t="s">
        <v>1896</v>
      </c>
      <c r="P126" s="192"/>
      <c r="Q126" s="210" t="s">
        <v>2697</v>
      </c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spans="1:27" ht="18" customHeight="1">
      <c r="A127" s="188">
        <v>26</v>
      </c>
      <c r="B127" s="189" t="s">
        <v>965</v>
      </c>
      <c r="C127" s="193" t="s">
        <v>39</v>
      </c>
      <c r="D127" s="190" t="s">
        <v>40</v>
      </c>
      <c r="E127" s="191" t="s">
        <v>989</v>
      </c>
      <c r="F127" s="191" t="s">
        <v>990</v>
      </c>
      <c r="G127" s="191" t="s">
        <v>991</v>
      </c>
      <c r="H127" s="192"/>
      <c r="I127" s="210"/>
      <c r="J127" s="189" t="s">
        <v>965</v>
      </c>
      <c r="K127" s="193" t="s">
        <v>39</v>
      </c>
      <c r="L127" s="190" t="s">
        <v>40</v>
      </c>
      <c r="M127" s="191" t="s">
        <v>989</v>
      </c>
      <c r="N127" s="191" t="s">
        <v>990</v>
      </c>
      <c r="O127" s="191" t="s">
        <v>991</v>
      </c>
      <c r="P127" s="192"/>
      <c r="Q127" s="210" t="s">
        <v>2698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spans="1:27" ht="18" customHeight="1">
      <c r="A128" s="188">
        <v>27</v>
      </c>
      <c r="B128" s="193" t="s">
        <v>190</v>
      </c>
      <c r="C128" s="193" t="s">
        <v>39</v>
      </c>
      <c r="D128" s="190" t="s">
        <v>40</v>
      </c>
      <c r="E128" s="191" t="s">
        <v>200</v>
      </c>
      <c r="F128" s="191" t="s">
        <v>201</v>
      </c>
      <c r="G128" s="191" t="s">
        <v>202</v>
      </c>
      <c r="H128" s="192"/>
      <c r="I128" s="212"/>
      <c r="J128" s="193" t="s">
        <v>190</v>
      </c>
      <c r="K128" s="193" t="s">
        <v>39</v>
      </c>
      <c r="L128" s="190" t="s">
        <v>40</v>
      </c>
      <c r="M128" s="191" t="s">
        <v>200</v>
      </c>
      <c r="N128" s="191" t="s">
        <v>201</v>
      </c>
      <c r="O128" s="191" t="s">
        <v>202</v>
      </c>
      <c r="P128" s="192"/>
      <c r="Q128" s="210" t="s">
        <v>2699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spans="1:27" ht="18" customHeight="1">
      <c r="A129" s="188">
        <v>28</v>
      </c>
      <c r="B129" s="189" t="s">
        <v>1804</v>
      </c>
      <c r="C129" s="193"/>
      <c r="D129" s="190" t="s">
        <v>40</v>
      </c>
      <c r="E129" s="195" t="s">
        <v>1822</v>
      </c>
      <c r="F129" s="195" t="s">
        <v>1823</v>
      </c>
      <c r="G129" s="195" t="s">
        <v>1824</v>
      </c>
      <c r="H129" s="194"/>
      <c r="I129" s="228"/>
      <c r="J129" s="189" t="s">
        <v>1804</v>
      </c>
      <c r="K129" s="193"/>
      <c r="L129" s="190" t="s">
        <v>40</v>
      </c>
      <c r="M129" s="195" t="s">
        <v>1822</v>
      </c>
      <c r="N129" s="195" t="s">
        <v>1823</v>
      </c>
      <c r="O129" s="195" t="s">
        <v>1824</v>
      </c>
      <c r="P129" s="192"/>
      <c r="Q129" s="212" t="s">
        <v>2700</v>
      </c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spans="1:27" ht="18" customHeight="1">
      <c r="A130" s="188">
        <v>29</v>
      </c>
      <c r="B130" s="189" t="s">
        <v>1698</v>
      </c>
      <c r="C130" s="193" t="s">
        <v>39</v>
      </c>
      <c r="D130" s="190" t="s">
        <v>40</v>
      </c>
      <c r="E130" s="242" t="s">
        <v>1239</v>
      </c>
      <c r="F130" s="191" t="s">
        <v>145</v>
      </c>
      <c r="G130" s="191" t="s">
        <v>720</v>
      </c>
      <c r="H130" s="192"/>
      <c r="I130" s="210"/>
      <c r="J130" s="189" t="s">
        <v>1698</v>
      </c>
      <c r="K130" s="193" t="s">
        <v>39</v>
      </c>
      <c r="L130" s="190" t="s">
        <v>40</v>
      </c>
      <c r="M130" s="242" t="s">
        <v>1239</v>
      </c>
      <c r="N130" s="191" t="s">
        <v>145</v>
      </c>
      <c r="O130" s="191" t="s">
        <v>720</v>
      </c>
      <c r="P130" s="194"/>
      <c r="Q130" s="228" t="s">
        <v>2701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spans="1:27" ht="18" customHeight="1">
      <c r="A131" s="188">
        <v>30</v>
      </c>
      <c r="B131" s="193" t="s">
        <v>1537</v>
      </c>
      <c r="C131" s="193" t="s">
        <v>39</v>
      </c>
      <c r="D131" s="190" t="s">
        <v>40</v>
      </c>
      <c r="E131" s="191" t="s">
        <v>294</v>
      </c>
      <c r="F131" s="191" t="s">
        <v>1541</v>
      </c>
      <c r="G131" s="191" t="s">
        <v>1169</v>
      </c>
      <c r="H131" s="192"/>
      <c r="I131" s="210"/>
      <c r="J131" s="193" t="s">
        <v>1537</v>
      </c>
      <c r="K131" s="193" t="s">
        <v>39</v>
      </c>
      <c r="L131" s="190" t="s">
        <v>40</v>
      </c>
      <c r="M131" s="191" t="s">
        <v>294</v>
      </c>
      <c r="N131" s="191" t="s">
        <v>1541</v>
      </c>
      <c r="O131" s="191" t="s">
        <v>1169</v>
      </c>
      <c r="P131" s="192"/>
      <c r="Q131" s="210" t="s">
        <v>2702</v>
      </c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spans="1:27" ht="18" customHeight="1">
      <c r="A132" s="188">
        <v>31</v>
      </c>
      <c r="B132" s="189" t="s">
        <v>965</v>
      </c>
      <c r="C132" s="189" t="s">
        <v>19</v>
      </c>
      <c r="D132" s="190" t="s">
        <v>40</v>
      </c>
      <c r="E132" s="191" t="s">
        <v>994</v>
      </c>
      <c r="F132" s="191" t="s">
        <v>995</v>
      </c>
      <c r="G132" s="191" t="s">
        <v>996</v>
      </c>
      <c r="H132" s="192"/>
      <c r="I132" s="210"/>
      <c r="J132" s="189" t="s">
        <v>965</v>
      </c>
      <c r="K132" s="189" t="s">
        <v>19</v>
      </c>
      <c r="L132" s="190" t="s">
        <v>40</v>
      </c>
      <c r="M132" s="191" t="s">
        <v>994</v>
      </c>
      <c r="N132" s="191" t="s">
        <v>995</v>
      </c>
      <c r="O132" s="191" t="s">
        <v>996</v>
      </c>
      <c r="P132" s="192"/>
      <c r="Q132" s="210" t="s">
        <v>2703</v>
      </c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spans="1:27" ht="18" customHeight="1">
      <c r="A133" s="188">
        <v>32</v>
      </c>
      <c r="B133" s="189" t="s">
        <v>1348</v>
      </c>
      <c r="C133" s="193" t="s">
        <v>39</v>
      </c>
      <c r="D133" s="190" t="s">
        <v>40</v>
      </c>
      <c r="E133" s="191" t="s">
        <v>1349</v>
      </c>
      <c r="F133" s="191" t="s">
        <v>1350</v>
      </c>
      <c r="G133" s="191" t="s">
        <v>1351</v>
      </c>
      <c r="H133" s="192"/>
      <c r="I133" s="210"/>
      <c r="J133" s="189" t="s">
        <v>1348</v>
      </c>
      <c r="K133" s="193" t="s">
        <v>39</v>
      </c>
      <c r="L133" s="190" t="s">
        <v>40</v>
      </c>
      <c r="M133" s="191" t="s">
        <v>1349</v>
      </c>
      <c r="N133" s="191" t="s">
        <v>1350</v>
      </c>
      <c r="O133" s="191" t="s">
        <v>1351</v>
      </c>
      <c r="P133" s="205"/>
      <c r="Q133" s="210" t="s">
        <v>2704</v>
      </c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spans="1:27" ht="18" customHeight="1">
      <c r="A134" s="188">
        <v>33</v>
      </c>
      <c r="B134" s="189" t="s">
        <v>1740</v>
      </c>
      <c r="C134" s="193" t="s">
        <v>39</v>
      </c>
      <c r="D134" s="190" t="s">
        <v>40</v>
      </c>
      <c r="E134" s="191" t="s">
        <v>1762</v>
      </c>
      <c r="F134" s="191" t="s">
        <v>1763</v>
      </c>
      <c r="G134" s="191" t="s">
        <v>1764</v>
      </c>
      <c r="H134" s="192"/>
      <c r="I134" s="210"/>
      <c r="J134" s="189" t="s">
        <v>1740</v>
      </c>
      <c r="K134" s="193" t="s">
        <v>39</v>
      </c>
      <c r="L134" s="190" t="s">
        <v>40</v>
      </c>
      <c r="M134" s="191" t="s">
        <v>1762</v>
      </c>
      <c r="N134" s="191" t="s">
        <v>1763</v>
      </c>
      <c r="O134" s="191" t="s">
        <v>1764</v>
      </c>
      <c r="P134" s="192"/>
      <c r="Q134" s="210" t="s">
        <v>2705</v>
      </c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spans="1:27" ht="18" customHeight="1">
      <c r="A135" s="188">
        <v>34</v>
      </c>
      <c r="B135" s="189" t="s">
        <v>1396</v>
      </c>
      <c r="C135" s="189" t="s">
        <v>19</v>
      </c>
      <c r="D135" s="190" t="s">
        <v>40</v>
      </c>
      <c r="E135" s="191" t="s">
        <v>1411</v>
      </c>
      <c r="F135" s="191" t="s">
        <v>1412</v>
      </c>
      <c r="G135" s="191" t="s">
        <v>1413</v>
      </c>
      <c r="H135" s="192"/>
      <c r="I135" s="210"/>
      <c r="J135" s="189" t="s">
        <v>1396</v>
      </c>
      <c r="K135" s="189" t="s">
        <v>19</v>
      </c>
      <c r="L135" s="190" t="s">
        <v>40</v>
      </c>
      <c r="M135" s="191" t="s">
        <v>1411</v>
      </c>
      <c r="N135" s="191" t="s">
        <v>1412</v>
      </c>
      <c r="O135" s="191" t="s">
        <v>1413</v>
      </c>
      <c r="P135" s="192"/>
      <c r="Q135" s="210" t="s">
        <v>2706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spans="1:27" ht="18" customHeight="1">
      <c r="A136" s="188">
        <v>35</v>
      </c>
      <c r="B136" s="189" t="s">
        <v>1008</v>
      </c>
      <c r="C136" s="189" t="s">
        <v>19</v>
      </c>
      <c r="D136" s="190" t="s">
        <v>40</v>
      </c>
      <c r="E136" s="191" t="s">
        <v>1018</v>
      </c>
      <c r="F136" s="191" t="s">
        <v>754</v>
      </c>
      <c r="G136" s="191" t="s">
        <v>1019</v>
      </c>
      <c r="H136" s="192"/>
      <c r="I136" s="212"/>
      <c r="J136" s="189" t="s">
        <v>1008</v>
      </c>
      <c r="K136" s="189" t="s">
        <v>19</v>
      </c>
      <c r="L136" s="190" t="s">
        <v>40</v>
      </c>
      <c r="M136" s="191" t="s">
        <v>1018</v>
      </c>
      <c r="N136" s="191" t="s">
        <v>754</v>
      </c>
      <c r="O136" s="191" t="s">
        <v>1019</v>
      </c>
      <c r="P136" s="192"/>
      <c r="Q136" s="210" t="s">
        <v>2707</v>
      </c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spans="1:27" ht="18" customHeight="1">
      <c r="A137" s="188">
        <v>36</v>
      </c>
      <c r="B137" s="189" t="s">
        <v>1008</v>
      </c>
      <c r="C137" s="189" t="s">
        <v>19</v>
      </c>
      <c r="D137" s="190" t="s">
        <v>40</v>
      </c>
      <c r="E137" s="191" t="s">
        <v>1020</v>
      </c>
      <c r="F137" s="191" t="s">
        <v>528</v>
      </c>
      <c r="G137" s="191" t="s">
        <v>1021</v>
      </c>
      <c r="H137" s="192"/>
      <c r="I137" s="212"/>
      <c r="J137" s="189" t="s">
        <v>1008</v>
      </c>
      <c r="K137" s="189" t="s">
        <v>19</v>
      </c>
      <c r="L137" s="190" t="s">
        <v>40</v>
      </c>
      <c r="M137" s="191" t="s">
        <v>1020</v>
      </c>
      <c r="N137" s="191" t="s">
        <v>528</v>
      </c>
      <c r="O137" s="191" t="s">
        <v>1021</v>
      </c>
      <c r="P137" s="192"/>
      <c r="Q137" s="210" t="s">
        <v>2708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spans="1:27" ht="18" customHeight="1">
      <c r="A138" s="188">
        <v>37</v>
      </c>
      <c r="B138" s="189" t="s">
        <v>138</v>
      </c>
      <c r="C138" s="193" t="s">
        <v>39</v>
      </c>
      <c r="D138" s="190" t="s">
        <v>40</v>
      </c>
      <c r="E138" s="191" t="s">
        <v>144</v>
      </c>
      <c r="F138" s="191" t="s">
        <v>145</v>
      </c>
      <c r="G138" s="191" t="s">
        <v>146</v>
      </c>
      <c r="H138" s="192"/>
      <c r="I138" s="210"/>
      <c r="J138" s="189" t="s">
        <v>138</v>
      </c>
      <c r="K138" s="193" t="s">
        <v>39</v>
      </c>
      <c r="L138" s="190" t="s">
        <v>40</v>
      </c>
      <c r="M138" s="191" t="s">
        <v>144</v>
      </c>
      <c r="N138" s="191" t="s">
        <v>145</v>
      </c>
      <c r="O138" s="191" t="s">
        <v>146</v>
      </c>
      <c r="P138" s="192"/>
      <c r="Q138" s="210" t="s">
        <v>2709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spans="1:27" ht="18" customHeight="1">
      <c r="A139" s="188">
        <v>38</v>
      </c>
      <c r="B139" s="189" t="s">
        <v>1656</v>
      </c>
      <c r="C139" s="193" t="s">
        <v>39</v>
      </c>
      <c r="D139" s="190" t="s">
        <v>40</v>
      </c>
      <c r="E139" s="191" t="s">
        <v>1679</v>
      </c>
      <c r="F139" s="191" t="s">
        <v>1680</v>
      </c>
      <c r="G139" s="191" t="s">
        <v>1681</v>
      </c>
      <c r="H139" s="192"/>
      <c r="I139" s="210"/>
      <c r="J139" s="189" t="s">
        <v>1656</v>
      </c>
      <c r="K139" s="193" t="s">
        <v>39</v>
      </c>
      <c r="L139" s="190" t="s">
        <v>40</v>
      </c>
      <c r="M139" s="191" t="s">
        <v>1679</v>
      </c>
      <c r="N139" s="191" t="s">
        <v>1680</v>
      </c>
      <c r="O139" s="191" t="s">
        <v>1681</v>
      </c>
      <c r="P139" s="192"/>
      <c r="Q139" s="212" t="s">
        <v>2710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spans="1:27" ht="18" customHeight="1">
      <c r="A140" s="188">
        <v>39</v>
      </c>
      <c r="B140" s="189" t="s">
        <v>1656</v>
      </c>
      <c r="C140" s="193" t="s">
        <v>39</v>
      </c>
      <c r="D140" s="190" t="s">
        <v>40</v>
      </c>
      <c r="E140" s="191" t="s">
        <v>1684</v>
      </c>
      <c r="F140" s="191" t="s">
        <v>1685</v>
      </c>
      <c r="G140" s="191" t="s">
        <v>1686</v>
      </c>
      <c r="H140" s="192"/>
      <c r="I140" s="228"/>
      <c r="J140" s="189" t="s">
        <v>1656</v>
      </c>
      <c r="K140" s="193" t="s">
        <v>39</v>
      </c>
      <c r="L140" s="190" t="s">
        <v>40</v>
      </c>
      <c r="M140" s="191" t="s">
        <v>1684</v>
      </c>
      <c r="N140" s="191" t="s">
        <v>1685</v>
      </c>
      <c r="O140" s="191" t="s">
        <v>1686</v>
      </c>
      <c r="P140" s="192"/>
      <c r="Q140" s="212" t="s">
        <v>2711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spans="1:27" ht="18" customHeight="1">
      <c r="A141" s="188">
        <v>40</v>
      </c>
      <c r="B141" s="193" t="s">
        <v>169</v>
      </c>
      <c r="C141" s="193" t="s">
        <v>19</v>
      </c>
      <c r="D141" s="190" t="s">
        <v>40</v>
      </c>
      <c r="E141" s="191" t="s">
        <v>185</v>
      </c>
      <c r="F141" s="191" t="s">
        <v>186</v>
      </c>
      <c r="G141" s="191" t="s">
        <v>187</v>
      </c>
      <c r="H141" s="192"/>
      <c r="I141" s="210"/>
      <c r="J141" s="193" t="s">
        <v>169</v>
      </c>
      <c r="K141" s="193" t="s">
        <v>19</v>
      </c>
      <c r="L141" s="190" t="s">
        <v>40</v>
      </c>
      <c r="M141" s="191" t="s">
        <v>185</v>
      </c>
      <c r="N141" s="191" t="s">
        <v>186</v>
      </c>
      <c r="O141" s="191" t="s">
        <v>187</v>
      </c>
      <c r="P141" s="192"/>
      <c r="Q141" s="210" t="s">
        <v>2712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spans="1:27" ht="18" customHeight="1">
      <c r="A142" s="188">
        <v>41</v>
      </c>
      <c r="B142" s="193" t="s">
        <v>1486</v>
      </c>
      <c r="C142" s="193" t="s">
        <v>19</v>
      </c>
      <c r="D142" s="190" t="s">
        <v>40</v>
      </c>
      <c r="E142" s="191" t="s">
        <v>1523</v>
      </c>
      <c r="F142" s="191" t="s">
        <v>1524</v>
      </c>
      <c r="G142" s="191" t="s">
        <v>1525</v>
      </c>
      <c r="H142" s="192"/>
      <c r="I142" s="210"/>
      <c r="J142" s="193" t="s">
        <v>1486</v>
      </c>
      <c r="K142" s="193" t="s">
        <v>19</v>
      </c>
      <c r="L142" s="190" t="s">
        <v>40</v>
      </c>
      <c r="M142" s="191" t="s">
        <v>1523</v>
      </c>
      <c r="N142" s="191" t="s">
        <v>1524</v>
      </c>
      <c r="O142" s="191" t="s">
        <v>1525</v>
      </c>
      <c r="P142" s="192"/>
      <c r="Q142" s="210" t="s">
        <v>2713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spans="1:27" ht="18" customHeight="1">
      <c r="A143" s="188">
        <v>42</v>
      </c>
      <c r="B143" s="189" t="s">
        <v>1348</v>
      </c>
      <c r="C143" s="193" t="s">
        <v>39</v>
      </c>
      <c r="D143" s="190" t="s">
        <v>40</v>
      </c>
      <c r="E143" s="191" t="s">
        <v>999</v>
      </c>
      <c r="F143" s="191" t="s">
        <v>1354</v>
      </c>
      <c r="G143" s="191" t="s">
        <v>1355</v>
      </c>
      <c r="H143" s="192"/>
      <c r="I143" s="210"/>
      <c r="J143" s="66"/>
      <c r="K143" s="66"/>
      <c r="L143" s="66"/>
      <c r="M143" s="66"/>
      <c r="N143" s="66"/>
      <c r="O143" s="66"/>
      <c r="P143" s="192"/>
      <c r="Q143" s="210" t="s">
        <v>2714</v>
      </c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spans="1:27" ht="18" customHeight="1">
      <c r="A144" s="188">
        <v>43</v>
      </c>
      <c r="B144" s="189" t="s">
        <v>1396</v>
      </c>
      <c r="C144" s="193" t="s">
        <v>39</v>
      </c>
      <c r="D144" s="194" t="s">
        <v>40</v>
      </c>
      <c r="E144" s="204" t="s">
        <v>256</v>
      </c>
      <c r="F144" s="204" t="s">
        <v>1414</v>
      </c>
      <c r="G144" s="204" t="s">
        <v>1415</v>
      </c>
      <c r="H144" s="205"/>
      <c r="I144" s="210"/>
      <c r="J144" s="189" t="s">
        <v>1396</v>
      </c>
      <c r="K144" s="193" t="s">
        <v>39</v>
      </c>
      <c r="L144" s="194" t="s">
        <v>40</v>
      </c>
      <c r="M144" s="204" t="s">
        <v>256</v>
      </c>
      <c r="N144" s="204" t="s">
        <v>1414</v>
      </c>
      <c r="O144" s="204" t="s">
        <v>1415</v>
      </c>
      <c r="P144" s="192"/>
      <c r="Q144" s="228" t="s">
        <v>2679</v>
      </c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spans="1:27" ht="18" customHeight="1">
      <c r="A145" s="188">
        <v>44</v>
      </c>
      <c r="B145" s="189" t="s">
        <v>1804</v>
      </c>
      <c r="C145" s="193" t="s">
        <v>39</v>
      </c>
      <c r="D145" s="190" t="s">
        <v>40</v>
      </c>
      <c r="E145" s="191" t="s">
        <v>256</v>
      </c>
      <c r="F145" s="191" t="s">
        <v>1825</v>
      </c>
      <c r="G145" s="191" t="s">
        <v>410</v>
      </c>
      <c r="H145" s="192"/>
      <c r="I145" s="228"/>
      <c r="J145" s="189" t="s">
        <v>1804</v>
      </c>
      <c r="K145" s="193" t="s">
        <v>39</v>
      </c>
      <c r="L145" s="190" t="s">
        <v>40</v>
      </c>
      <c r="M145" s="191" t="s">
        <v>256</v>
      </c>
      <c r="N145" s="191" t="s">
        <v>1825</v>
      </c>
      <c r="O145" s="191" t="s">
        <v>410</v>
      </c>
      <c r="P145" s="192"/>
      <c r="Q145" s="210" t="s">
        <v>2715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spans="1:27" ht="18" customHeight="1">
      <c r="A146" s="188">
        <v>45</v>
      </c>
      <c r="B146" s="193" t="s">
        <v>1486</v>
      </c>
      <c r="C146" s="193" t="s">
        <v>39</v>
      </c>
      <c r="D146" s="190" t="s">
        <v>40</v>
      </c>
      <c r="E146" s="191" t="s">
        <v>256</v>
      </c>
      <c r="F146" s="191" t="s">
        <v>1528</v>
      </c>
      <c r="G146" s="191" t="s">
        <v>1529</v>
      </c>
      <c r="H146" s="192"/>
      <c r="I146" s="210"/>
      <c r="J146" s="193" t="s">
        <v>1486</v>
      </c>
      <c r="K146" s="193" t="s">
        <v>39</v>
      </c>
      <c r="L146" s="190" t="s">
        <v>40</v>
      </c>
      <c r="M146" s="191" t="s">
        <v>256</v>
      </c>
      <c r="N146" s="191" t="s">
        <v>1528</v>
      </c>
      <c r="O146" s="191" t="s">
        <v>1529</v>
      </c>
      <c r="P146" s="192"/>
      <c r="Q146" s="210" t="s">
        <v>2716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spans="1:27" ht="18" customHeight="1">
      <c r="A147" s="188">
        <v>46</v>
      </c>
      <c r="B147" s="189" t="s">
        <v>1858</v>
      </c>
      <c r="C147" s="193" t="s">
        <v>39</v>
      </c>
      <c r="D147" s="190" t="s">
        <v>40</v>
      </c>
      <c r="E147" s="191" t="s">
        <v>256</v>
      </c>
      <c r="F147" s="191" t="s">
        <v>1866</v>
      </c>
      <c r="G147" s="191" t="s">
        <v>1867</v>
      </c>
      <c r="H147" s="192"/>
      <c r="I147" s="212"/>
      <c r="J147" s="189" t="s">
        <v>1858</v>
      </c>
      <c r="K147" s="193" t="s">
        <v>39</v>
      </c>
      <c r="L147" s="190" t="s">
        <v>40</v>
      </c>
      <c r="M147" s="191" t="s">
        <v>256</v>
      </c>
      <c r="N147" s="191" t="s">
        <v>1866</v>
      </c>
      <c r="O147" s="191" t="s">
        <v>1867</v>
      </c>
      <c r="P147" s="192"/>
      <c r="Q147" s="223" t="s">
        <v>2717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spans="1:27" ht="18" customHeight="1">
      <c r="A148" s="188">
        <v>47</v>
      </c>
      <c r="B148" s="193" t="s">
        <v>1486</v>
      </c>
      <c r="C148" s="189" t="s">
        <v>19</v>
      </c>
      <c r="D148" s="190" t="s">
        <v>40</v>
      </c>
      <c r="E148" s="191" t="s">
        <v>1532</v>
      </c>
      <c r="F148" s="191" t="s">
        <v>1533</v>
      </c>
      <c r="G148" s="191" t="s">
        <v>1534</v>
      </c>
      <c r="H148" s="192"/>
      <c r="I148" s="228"/>
      <c r="J148" s="193" t="s">
        <v>1486</v>
      </c>
      <c r="K148" s="189" t="s">
        <v>19</v>
      </c>
      <c r="L148" s="190" t="s">
        <v>40</v>
      </c>
      <c r="M148" s="191" t="s">
        <v>1532</v>
      </c>
      <c r="N148" s="191" t="s">
        <v>1533</v>
      </c>
      <c r="O148" s="191" t="s">
        <v>1534</v>
      </c>
      <c r="P148" s="192"/>
      <c r="Q148" s="210" t="s">
        <v>2718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spans="1:27" ht="18" customHeight="1">
      <c r="A149" s="188">
        <v>48</v>
      </c>
      <c r="B149" s="189" t="s">
        <v>1858</v>
      </c>
      <c r="C149" s="193" t="s">
        <v>19</v>
      </c>
      <c r="D149" s="190" t="s">
        <v>40</v>
      </c>
      <c r="E149" s="191" t="s">
        <v>1544</v>
      </c>
      <c r="F149" s="191" t="s">
        <v>1870</v>
      </c>
      <c r="G149" s="191" t="s">
        <v>618</v>
      </c>
      <c r="H149" s="192"/>
      <c r="I149" s="210"/>
      <c r="J149" s="189" t="s">
        <v>1858</v>
      </c>
      <c r="K149" s="193" t="s">
        <v>19</v>
      </c>
      <c r="L149" s="190" t="s">
        <v>40</v>
      </c>
      <c r="M149" s="191" t="s">
        <v>1544</v>
      </c>
      <c r="N149" s="191" t="s">
        <v>1870</v>
      </c>
      <c r="O149" s="191" t="s">
        <v>618</v>
      </c>
      <c r="P149" s="205"/>
      <c r="Q149" s="210" t="s">
        <v>2719</v>
      </c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spans="1:27" ht="18" customHeight="1">
      <c r="A150" s="188">
        <v>49</v>
      </c>
      <c r="B150" s="193" t="s">
        <v>1537</v>
      </c>
      <c r="C150" s="193" t="s">
        <v>39</v>
      </c>
      <c r="D150" s="190" t="s">
        <v>40</v>
      </c>
      <c r="E150" s="191" t="s">
        <v>1544</v>
      </c>
      <c r="F150" s="191" t="s">
        <v>1545</v>
      </c>
      <c r="G150" s="191" t="s">
        <v>1546</v>
      </c>
      <c r="H150" s="192"/>
      <c r="I150" s="212"/>
      <c r="J150" s="193" t="s">
        <v>1537</v>
      </c>
      <c r="K150" s="193" t="s">
        <v>39</v>
      </c>
      <c r="L150" s="190" t="s">
        <v>40</v>
      </c>
      <c r="M150" s="191" t="s">
        <v>1544</v>
      </c>
      <c r="N150" s="191" t="s">
        <v>1545</v>
      </c>
      <c r="O150" s="191" t="s">
        <v>1546</v>
      </c>
      <c r="P150" s="192"/>
      <c r="Q150" s="212" t="s">
        <v>2720</v>
      </c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spans="1:27" ht="18" customHeight="1">
      <c r="A151" s="188">
        <v>50</v>
      </c>
      <c r="B151" s="189" t="s">
        <v>1765</v>
      </c>
      <c r="C151" s="189" t="s">
        <v>19</v>
      </c>
      <c r="D151" s="190" t="s">
        <v>40</v>
      </c>
      <c r="E151" s="191" t="s">
        <v>1776</v>
      </c>
      <c r="F151" s="191" t="s">
        <v>1777</v>
      </c>
      <c r="G151" s="191" t="s">
        <v>1778</v>
      </c>
      <c r="H151" s="192"/>
      <c r="I151" s="210"/>
      <c r="J151" s="189" t="s">
        <v>1765</v>
      </c>
      <c r="K151" s="189" t="s">
        <v>19</v>
      </c>
      <c r="L151" s="190" t="s">
        <v>40</v>
      </c>
      <c r="M151" s="191" t="s">
        <v>1776</v>
      </c>
      <c r="N151" s="191" t="s">
        <v>1777</v>
      </c>
      <c r="O151" s="191" t="s">
        <v>1778</v>
      </c>
      <c r="P151" s="192"/>
      <c r="Q151" s="228" t="s">
        <v>2679</v>
      </c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spans="1:27" ht="18" customHeight="1">
      <c r="A152" s="188">
        <v>51</v>
      </c>
      <c r="B152" s="231" t="s">
        <v>1844</v>
      </c>
      <c r="C152" s="193" t="s">
        <v>39</v>
      </c>
      <c r="D152" s="194" t="s">
        <v>40</v>
      </c>
      <c r="E152" s="195" t="s">
        <v>1776</v>
      </c>
      <c r="F152" s="195" t="s">
        <v>1847</v>
      </c>
      <c r="G152" s="195" t="s">
        <v>1848</v>
      </c>
      <c r="H152" s="192"/>
      <c r="I152" s="223"/>
      <c r="J152" s="231" t="s">
        <v>1844</v>
      </c>
      <c r="K152" s="193" t="s">
        <v>39</v>
      </c>
      <c r="L152" s="194" t="s">
        <v>40</v>
      </c>
      <c r="M152" s="195" t="s">
        <v>1776</v>
      </c>
      <c r="N152" s="195" t="s">
        <v>1847</v>
      </c>
      <c r="O152" s="195" t="s">
        <v>1848</v>
      </c>
      <c r="P152" s="192"/>
      <c r="Q152" s="210" t="s">
        <v>2721</v>
      </c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spans="1:27" ht="18" customHeight="1">
      <c r="A153" s="188">
        <v>52</v>
      </c>
      <c r="B153" s="189" t="s">
        <v>965</v>
      </c>
      <c r="C153" s="193" t="s">
        <v>39</v>
      </c>
      <c r="D153" s="190" t="s">
        <v>40</v>
      </c>
      <c r="E153" s="191" t="s">
        <v>997</v>
      </c>
      <c r="F153" s="191" t="s">
        <v>998</v>
      </c>
      <c r="G153" s="191" t="s">
        <v>999</v>
      </c>
      <c r="H153" s="192"/>
      <c r="I153" s="210"/>
      <c r="J153" s="189" t="s">
        <v>965</v>
      </c>
      <c r="K153" s="193" t="s">
        <v>39</v>
      </c>
      <c r="L153" s="190" t="s">
        <v>40</v>
      </c>
      <c r="M153" s="191" t="s">
        <v>997</v>
      </c>
      <c r="N153" s="191" t="s">
        <v>998</v>
      </c>
      <c r="O153" s="191" t="s">
        <v>999</v>
      </c>
      <c r="P153" s="192"/>
      <c r="Q153" s="223" t="s">
        <v>2717</v>
      </c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spans="1:27" ht="18" customHeight="1">
      <c r="A154" s="188">
        <v>53</v>
      </c>
      <c r="B154" s="189" t="s">
        <v>1858</v>
      </c>
      <c r="C154" s="193" t="s">
        <v>39</v>
      </c>
      <c r="D154" s="190" t="s">
        <v>40</v>
      </c>
      <c r="E154" s="191" t="s">
        <v>997</v>
      </c>
      <c r="F154" s="191" t="s">
        <v>1871</v>
      </c>
      <c r="G154" s="191" t="s">
        <v>1872</v>
      </c>
      <c r="H154" s="192"/>
      <c r="I154" s="212"/>
      <c r="J154" s="189" t="s">
        <v>1858</v>
      </c>
      <c r="K154" s="193" t="s">
        <v>39</v>
      </c>
      <c r="L154" s="190" t="s">
        <v>40</v>
      </c>
      <c r="M154" s="191" t="s">
        <v>997</v>
      </c>
      <c r="N154" s="191" t="s">
        <v>1871</v>
      </c>
      <c r="O154" s="191" t="s">
        <v>1872</v>
      </c>
      <c r="P154" s="192"/>
      <c r="Q154" s="212" t="s">
        <v>2685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spans="1:27" ht="18" customHeight="1">
      <c r="A155" s="188">
        <v>54</v>
      </c>
      <c r="B155" s="189" t="s">
        <v>56</v>
      </c>
      <c r="C155" s="193" t="s">
        <v>39</v>
      </c>
      <c r="D155" s="190" t="s">
        <v>40</v>
      </c>
      <c r="E155" s="191" t="s">
        <v>63</v>
      </c>
      <c r="F155" s="191" t="s">
        <v>64</v>
      </c>
      <c r="G155" s="191" t="s">
        <v>65</v>
      </c>
      <c r="H155" s="192"/>
      <c r="I155" s="223"/>
      <c r="J155" s="189" t="s">
        <v>56</v>
      </c>
      <c r="K155" s="193" t="s">
        <v>39</v>
      </c>
      <c r="L155" s="190" t="s">
        <v>40</v>
      </c>
      <c r="M155" s="191" t="s">
        <v>63</v>
      </c>
      <c r="N155" s="191" t="s">
        <v>64</v>
      </c>
      <c r="O155" s="191" t="s">
        <v>65</v>
      </c>
      <c r="P155" s="192"/>
      <c r="Q155" s="228" t="s">
        <v>2679</v>
      </c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spans="1:27" ht="18" customHeight="1">
      <c r="A156" s="188">
        <v>55</v>
      </c>
      <c r="B156" s="193" t="s">
        <v>1563</v>
      </c>
      <c r="C156" s="193" t="s">
        <v>19</v>
      </c>
      <c r="D156" s="190" t="s">
        <v>40</v>
      </c>
      <c r="E156" s="191" t="s">
        <v>1573</v>
      </c>
      <c r="F156" s="191" t="s">
        <v>1113</v>
      </c>
      <c r="G156" s="191" t="s">
        <v>1574</v>
      </c>
      <c r="H156" s="192"/>
      <c r="I156" s="228"/>
      <c r="J156" s="193" t="s">
        <v>1563</v>
      </c>
      <c r="K156" s="193" t="s">
        <v>19</v>
      </c>
      <c r="L156" s="190" t="s">
        <v>40</v>
      </c>
      <c r="M156" s="191" t="s">
        <v>1573</v>
      </c>
      <c r="N156" s="191" t="s">
        <v>1113</v>
      </c>
      <c r="O156" s="191" t="s">
        <v>1574</v>
      </c>
      <c r="P156" s="192"/>
      <c r="Q156" s="210" t="s">
        <v>2716</v>
      </c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spans="1:27" ht="18" customHeight="1">
      <c r="A157" s="188">
        <v>56</v>
      </c>
      <c r="B157" s="189" t="s">
        <v>90</v>
      </c>
      <c r="C157" s="193" t="s">
        <v>39</v>
      </c>
      <c r="D157" s="190" t="s">
        <v>40</v>
      </c>
      <c r="E157" s="191" t="s">
        <v>112</v>
      </c>
      <c r="F157" s="191" t="s">
        <v>113</v>
      </c>
      <c r="G157" s="191" t="s">
        <v>114</v>
      </c>
      <c r="H157" s="192"/>
      <c r="I157" s="210"/>
      <c r="J157" s="189" t="s">
        <v>90</v>
      </c>
      <c r="K157" s="193" t="s">
        <v>39</v>
      </c>
      <c r="L157" s="190" t="s">
        <v>40</v>
      </c>
      <c r="M157" s="191" t="s">
        <v>112</v>
      </c>
      <c r="N157" s="191" t="s">
        <v>113</v>
      </c>
      <c r="O157" s="191" t="s">
        <v>114</v>
      </c>
      <c r="P157" s="192"/>
      <c r="Q157" s="210" t="s">
        <v>2722</v>
      </c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spans="1:27" ht="18" customHeight="1">
      <c r="A158" s="188">
        <v>57</v>
      </c>
      <c r="B158" s="189" t="s">
        <v>1348</v>
      </c>
      <c r="C158" s="189" t="s">
        <v>19</v>
      </c>
      <c r="D158" s="190" t="s">
        <v>40</v>
      </c>
      <c r="E158" s="191" t="s">
        <v>1434</v>
      </c>
      <c r="F158" s="191" t="s">
        <v>1435</v>
      </c>
      <c r="G158" s="191" t="s">
        <v>1436</v>
      </c>
      <c r="H158" s="192"/>
      <c r="I158" s="210"/>
      <c r="J158" s="189" t="s">
        <v>1348</v>
      </c>
      <c r="K158" s="189" t="s">
        <v>19</v>
      </c>
      <c r="L158" s="190" t="s">
        <v>40</v>
      </c>
      <c r="M158" s="191" t="s">
        <v>1434</v>
      </c>
      <c r="N158" s="191" t="s">
        <v>1435</v>
      </c>
      <c r="O158" s="191" t="s">
        <v>1436</v>
      </c>
      <c r="P158" s="192"/>
      <c r="Q158" s="212" t="s">
        <v>2723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spans="1:27" ht="18" customHeight="1">
      <c r="A159" s="188">
        <v>58</v>
      </c>
      <c r="B159" s="193" t="s">
        <v>801</v>
      </c>
      <c r="C159" s="193" t="s">
        <v>39</v>
      </c>
      <c r="D159" s="190" t="s">
        <v>40</v>
      </c>
      <c r="E159" s="191" t="s">
        <v>834</v>
      </c>
      <c r="F159" s="191" t="s">
        <v>835</v>
      </c>
      <c r="G159" s="191" t="s">
        <v>836</v>
      </c>
      <c r="H159" s="192"/>
      <c r="I159" s="210"/>
      <c r="J159" s="193" t="s">
        <v>801</v>
      </c>
      <c r="K159" s="193" t="s">
        <v>39</v>
      </c>
      <c r="L159" s="190" t="s">
        <v>40</v>
      </c>
      <c r="M159" s="191" t="s">
        <v>834</v>
      </c>
      <c r="N159" s="191" t="s">
        <v>835</v>
      </c>
      <c r="O159" s="191" t="s">
        <v>836</v>
      </c>
      <c r="P159" s="192"/>
      <c r="Q159" s="210" t="s">
        <v>2712</v>
      </c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spans="1:27" ht="18" customHeight="1">
      <c r="A160" s="188">
        <v>59</v>
      </c>
      <c r="B160" s="189" t="s">
        <v>1008</v>
      </c>
      <c r="C160" s="189" t="s">
        <v>19</v>
      </c>
      <c r="D160" s="190" t="s">
        <v>40</v>
      </c>
      <c r="E160" s="191" t="s">
        <v>1024</v>
      </c>
      <c r="F160" s="191" t="s">
        <v>1025</v>
      </c>
      <c r="G160" s="191" t="s">
        <v>1026</v>
      </c>
      <c r="H160" s="242"/>
      <c r="I160" s="212"/>
      <c r="J160" s="189" t="s">
        <v>1008</v>
      </c>
      <c r="K160" s="189" t="s">
        <v>19</v>
      </c>
      <c r="L160" s="190" t="s">
        <v>40</v>
      </c>
      <c r="M160" s="191" t="s">
        <v>1024</v>
      </c>
      <c r="N160" s="191" t="s">
        <v>1025</v>
      </c>
      <c r="O160" s="191" t="s">
        <v>1026</v>
      </c>
      <c r="P160" s="192"/>
      <c r="Q160" s="210" t="s">
        <v>2724</v>
      </c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spans="1:27" ht="18" customHeight="1">
      <c r="A161" s="188">
        <v>60</v>
      </c>
      <c r="B161" s="189" t="s">
        <v>1348</v>
      </c>
      <c r="C161" s="189" t="s">
        <v>19</v>
      </c>
      <c r="D161" s="190" t="s">
        <v>40</v>
      </c>
      <c r="E161" s="204" t="s">
        <v>1439</v>
      </c>
      <c r="F161" s="204" t="s">
        <v>1440</v>
      </c>
      <c r="G161" s="204" t="s">
        <v>1441</v>
      </c>
      <c r="H161" s="205"/>
      <c r="I161" s="210"/>
      <c r="J161" s="189" t="s">
        <v>1348</v>
      </c>
      <c r="K161" s="189" t="s">
        <v>19</v>
      </c>
      <c r="L161" s="190" t="s">
        <v>40</v>
      </c>
      <c r="M161" s="204" t="s">
        <v>1439</v>
      </c>
      <c r="N161" s="204" t="s">
        <v>1440</v>
      </c>
      <c r="O161" s="204" t="s">
        <v>1441</v>
      </c>
      <c r="P161" s="192"/>
      <c r="Q161" s="223" t="s">
        <v>2725</v>
      </c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spans="1:27" ht="18" customHeight="1">
      <c r="A162" s="188">
        <v>61</v>
      </c>
      <c r="B162" s="193" t="s">
        <v>1563</v>
      </c>
      <c r="C162" s="193" t="s">
        <v>19</v>
      </c>
      <c r="D162" s="190" t="s">
        <v>40</v>
      </c>
      <c r="E162" s="191" t="s">
        <v>1577</v>
      </c>
      <c r="F162" s="191" t="s">
        <v>1578</v>
      </c>
      <c r="G162" s="191" t="s">
        <v>1579</v>
      </c>
      <c r="H162" s="192"/>
      <c r="I162" s="210"/>
      <c r="J162" s="193" t="s">
        <v>1563</v>
      </c>
      <c r="K162" s="193" t="s">
        <v>19</v>
      </c>
      <c r="L162" s="190" t="s">
        <v>40</v>
      </c>
      <c r="M162" s="191" t="s">
        <v>1577</v>
      </c>
      <c r="N162" s="191" t="s">
        <v>1578</v>
      </c>
      <c r="O162" s="191" t="s">
        <v>1579</v>
      </c>
      <c r="P162" s="192"/>
      <c r="Q162" s="210" t="s">
        <v>2705</v>
      </c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spans="1:27" ht="18" customHeight="1">
      <c r="A163" s="188">
        <v>62</v>
      </c>
      <c r="B163" s="189" t="s">
        <v>1638</v>
      </c>
      <c r="C163" s="193" t="s">
        <v>39</v>
      </c>
      <c r="D163" s="190" t="s">
        <v>40</v>
      </c>
      <c r="E163" s="191" t="s">
        <v>1641</v>
      </c>
      <c r="F163" s="191" t="s">
        <v>1642</v>
      </c>
      <c r="G163" s="191" t="s">
        <v>1197</v>
      </c>
      <c r="H163" s="192"/>
      <c r="I163" s="210"/>
      <c r="J163" s="189" t="s">
        <v>1638</v>
      </c>
      <c r="K163" s="193" t="s">
        <v>39</v>
      </c>
      <c r="L163" s="190" t="s">
        <v>40</v>
      </c>
      <c r="M163" s="191" t="s">
        <v>1641</v>
      </c>
      <c r="N163" s="191" t="s">
        <v>1642</v>
      </c>
      <c r="O163" s="191" t="s">
        <v>1197</v>
      </c>
      <c r="P163" s="192"/>
      <c r="Q163" s="212" t="s">
        <v>2726</v>
      </c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spans="1:27" ht="18" customHeight="1">
      <c r="A164" s="188">
        <v>63</v>
      </c>
      <c r="B164" s="193" t="s">
        <v>1588</v>
      </c>
      <c r="C164" s="193" t="s">
        <v>19</v>
      </c>
      <c r="D164" s="190" t="s">
        <v>40</v>
      </c>
      <c r="E164" s="191" t="s">
        <v>1605</v>
      </c>
      <c r="F164" s="191" t="s">
        <v>1606</v>
      </c>
      <c r="G164" s="191" t="s">
        <v>1607</v>
      </c>
      <c r="H164" s="192"/>
      <c r="I164" s="210"/>
      <c r="J164" s="193" t="s">
        <v>1588</v>
      </c>
      <c r="K164" s="193" t="s">
        <v>19</v>
      </c>
      <c r="L164" s="190" t="s">
        <v>40</v>
      </c>
      <c r="M164" s="191" t="s">
        <v>1605</v>
      </c>
      <c r="N164" s="191" t="s">
        <v>1606</v>
      </c>
      <c r="O164" s="191" t="s">
        <v>1607</v>
      </c>
      <c r="P164" s="192"/>
      <c r="Q164" s="223" t="s">
        <v>2727</v>
      </c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spans="1:27" ht="18" customHeight="1">
      <c r="A165" s="188">
        <v>64</v>
      </c>
      <c r="B165" s="193" t="s">
        <v>154</v>
      </c>
      <c r="C165" s="193" t="s">
        <v>39</v>
      </c>
      <c r="D165" s="190" t="s">
        <v>40</v>
      </c>
      <c r="E165" s="191" t="s">
        <v>164</v>
      </c>
      <c r="F165" s="191" t="s">
        <v>165</v>
      </c>
      <c r="G165" s="191" t="s">
        <v>166</v>
      </c>
      <c r="H165" s="192"/>
      <c r="I165" s="210"/>
      <c r="J165" s="193" t="s">
        <v>154</v>
      </c>
      <c r="K165" s="193" t="s">
        <v>39</v>
      </c>
      <c r="L165" s="190" t="s">
        <v>40</v>
      </c>
      <c r="M165" s="191" t="s">
        <v>164</v>
      </c>
      <c r="N165" s="191" t="s">
        <v>165</v>
      </c>
      <c r="O165" s="191" t="s">
        <v>166</v>
      </c>
      <c r="P165" s="192"/>
      <c r="Q165" s="228" t="s">
        <v>2714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spans="1:27" ht="18" customHeight="1">
      <c r="A166" s="188">
        <v>65</v>
      </c>
      <c r="B166" s="193" t="s">
        <v>837</v>
      </c>
      <c r="C166" s="193" t="s">
        <v>39</v>
      </c>
      <c r="D166" s="190" t="s">
        <v>40</v>
      </c>
      <c r="E166" s="191" t="s">
        <v>866</v>
      </c>
      <c r="F166" s="191" t="s">
        <v>867</v>
      </c>
      <c r="G166" s="191" t="s">
        <v>868</v>
      </c>
      <c r="H166" s="192"/>
      <c r="I166" s="210"/>
      <c r="J166" s="193" t="s">
        <v>837</v>
      </c>
      <c r="K166" s="193" t="s">
        <v>39</v>
      </c>
      <c r="L166" s="190" t="s">
        <v>40</v>
      </c>
      <c r="M166" s="191" t="s">
        <v>866</v>
      </c>
      <c r="N166" s="191" t="s">
        <v>867</v>
      </c>
      <c r="O166" s="191" t="s">
        <v>868</v>
      </c>
      <c r="P166" s="192"/>
      <c r="Q166" s="210" t="s">
        <v>2728</v>
      </c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spans="1:27" ht="18" customHeight="1">
      <c r="A167" s="188">
        <v>66</v>
      </c>
      <c r="B167" s="189" t="s">
        <v>965</v>
      </c>
      <c r="C167" s="189" t="s">
        <v>19</v>
      </c>
      <c r="D167" s="190" t="s">
        <v>40</v>
      </c>
      <c r="E167" s="191" t="s">
        <v>1000</v>
      </c>
      <c r="F167" s="191" t="s">
        <v>1001</v>
      </c>
      <c r="G167" s="191" t="s">
        <v>1002</v>
      </c>
      <c r="H167" s="192"/>
      <c r="I167" s="210"/>
      <c r="J167" s="189" t="s">
        <v>965</v>
      </c>
      <c r="K167" s="189" t="s">
        <v>19</v>
      </c>
      <c r="L167" s="190" t="s">
        <v>40</v>
      </c>
      <c r="M167" s="191" t="s">
        <v>1000</v>
      </c>
      <c r="N167" s="191" t="s">
        <v>1001</v>
      </c>
      <c r="O167" s="191" t="s">
        <v>1002</v>
      </c>
      <c r="P167" s="192"/>
      <c r="Q167" s="210" t="s">
        <v>2729</v>
      </c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spans="1:27" ht="18" customHeight="1">
      <c r="A168" s="188">
        <v>67</v>
      </c>
      <c r="B168" s="193" t="s">
        <v>1486</v>
      </c>
      <c r="C168" s="189" t="s">
        <v>19</v>
      </c>
      <c r="D168" s="190" t="s">
        <v>40</v>
      </c>
      <c r="E168" s="191" t="s">
        <v>1535</v>
      </c>
      <c r="F168" s="191" t="s">
        <v>1536</v>
      </c>
      <c r="G168" s="191" t="s">
        <v>93</v>
      </c>
      <c r="H168" s="192"/>
      <c r="I168" s="228"/>
      <c r="J168" s="193" t="s">
        <v>1486</v>
      </c>
      <c r="K168" s="189" t="s">
        <v>19</v>
      </c>
      <c r="L168" s="190" t="s">
        <v>40</v>
      </c>
      <c r="M168" s="191" t="s">
        <v>1535</v>
      </c>
      <c r="N168" s="191" t="s">
        <v>1536</v>
      </c>
      <c r="O168" s="191" t="s">
        <v>93</v>
      </c>
      <c r="P168" s="192"/>
      <c r="Q168" s="210" t="s">
        <v>2730</v>
      </c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spans="1:27" ht="18" customHeight="1">
      <c r="A169" s="188">
        <v>68</v>
      </c>
      <c r="B169" s="189" t="s">
        <v>891</v>
      </c>
      <c r="C169" s="193" t="s">
        <v>39</v>
      </c>
      <c r="D169" s="190" t="s">
        <v>40</v>
      </c>
      <c r="E169" s="191" t="s">
        <v>909</v>
      </c>
      <c r="F169" s="191" t="s">
        <v>910</v>
      </c>
      <c r="G169" s="191" t="s">
        <v>911</v>
      </c>
      <c r="H169" s="192"/>
      <c r="I169" s="210"/>
      <c r="J169" s="189" t="s">
        <v>891</v>
      </c>
      <c r="K169" s="193" t="s">
        <v>39</v>
      </c>
      <c r="L169" s="190" t="s">
        <v>40</v>
      </c>
      <c r="M169" s="191" t="s">
        <v>909</v>
      </c>
      <c r="N169" s="191" t="s">
        <v>910</v>
      </c>
      <c r="O169" s="191" t="s">
        <v>911</v>
      </c>
      <c r="P169" s="242"/>
      <c r="Q169" s="212" t="s">
        <v>2711</v>
      </c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1:27" ht="18" customHeight="1">
      <c r="A170" s="188">
        <v>69</v>
      </c>
      <c r="B170" s="189" t="s">
        <v>1844</v>
      </c>
      <c r="C170" s="193" t="s">
        <v>39</v>
      </c>
      <c r="D170" s="190" t="s">
        <v>40</v>
      </c>
      <c r="E170" s="191" t="s">
        <v>1383</v>
      </c>
      <c r="F170" s="191" t="s">
        <v>1851</v>
      </c>
      <c r="G170" s="191" t="s">
        <v>1852</v>
      </c>
      <c r="H170" s="192"/>
      <c r="I170" s="210"/>
      <c r="J170" s="189" t="s">
        <v>1844</v>
      </c>
      <c r="K170" s="193" t="s">
        <v>39</v>
      </c>
      <c r="L170" s="190" t="s">
        <v>40</v>
      </c>
      <c r="M170" s="191" t="s">
        <v>1383</v>
      </c>
      <c r="N170" s="191" t="s">
        <v>1851</v>
      </c>
      <c r="O170" s="191" t="s">
        <v>1852</v>
      </c>
      <c r="P170" s="205"/>
      <c r="Q170" s="210" t="s">
        <v>2731</v>
      </c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spans="1:27" ht="18" customHeight="1">
      <c r="A171" s="188">
        <v>70</v>
      </c>
      <c r="B171" s="189" t="s">
        <v>1368</v>
      </c>
      <c r="C171" s="189" t="s">
        <v>19</v>
      </c>
      <c r="D171" s="190" t="s">
        <v>40</v>
      </c>
      <c r="E171" s="191" t="s">
        <v>1383</v>
      </c>
      <c r="F171" s="191" t="s">
        <v>1384</v>
      </c>
      <c r="G171" s="191" t="s">
        <v>1061</v>
      </c>
      <c r="H171" s="192"/>
      <c r="I171" s="210"/>
      <c r="J171" s="189" t="s">
        <v>1368</v>
      </c>
      <c r="K171" s="189" t="s">
        <v>19</v>
      </c>
      <c r="L171" s="190" t="s">
        <v>40</v>
      </c>
      <c r="M171" s="191" t="s">
        <v>1383</v>
      </c>
      <c r="N171" s="191" t="s">
        <v>1384</v>
      </c>
      <c r="O171" s="191" t="s">
        <v>1061</v>
      </c>
      <c r="P171" s="192"/>
      <c r="Q171" s="210" t="s">
        <v>2700</v>
      </c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spans="1:27" ht="18" customHeight="1">
      <c r="A172" s="188">
        <v>71</v>
      </c>
      <c r="B172" s="189" t="s">
        <v>1714</v>
      </c>
      <c r="C172" s="193" t="s">
        <v>39</v>
      </c>
      <c r="D172" s="190" t="s">
        <v>40</v>
      </c>
      <c r="E172" s="191" t="s">
        <v>563</v>
      </c>
      <c r="F172" s="191" t="s">
        <v>1715</v>
      </c>
      <c r="G172" s="191" t="s">
        <v>1716</v>
      </c>
      <c r="H172" s="192"/>
      <c r="I172" s="212"/>
      <c r="J172" s="189" t="s">
        <v>1714</v>
      </c>
      <c r="K172" s="193" t="s">
        <v>39</v>
      </c>
      <c r="L172" s="190" t="s">
        <v>40</v>
      </c>
      <c r="M172" s="191" t="s">
        <v>563</v>
      </c>
      <c r="N172" s="191" t="s">
        <v>1715</v>
      </c>
      <c r="O172" s="191" t="s">
        <v>1716</v>
      </c>
      <c r="P172" s="192"/>
      <c r="Q172" s="210" t="s">
        <v>2714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spans="1:27" ht="18" customHeight="1">
      <c r="A173" s="188">
        <v>72</v>
      </c>
      <c r="B173" s="231" t="s">
        <v>1844</v>
      </c>
      <c r="C173" s="193" t="s">
        <v>39</v>
      </c>
      <c r="D173" s="190" t="s">
        <v>40</v>
      </c>
      <c r="E173" s="191" t="s">
        <v>543</v>
      </c>
      <c r="F173" s="191" t="s">
        <v>1845</v>
      </c>
      <c r="G173" s="191" t="s">
        <v>1846</v>
      </c>
      <c r="H173" s="192"/>
      <c r="I173" s="210"/>
      <c r="J173" s="231" t="s">
        <v>1844</v>
      </c>
      <c r="K173" s="193" t="s">
        <v>39</v>
      </c>
      <c r="L173" s="190" t="s">
        <v>40</v>
      </c>
      <c r="M173" s="191" t="s">
        <v>543</v>
      </c>
      <c r="N173" s="191" t="s">
        <v>1845</v>
      </c>
      <c r="O173" s="191" t="s">
        <v>1846</v>
      </c>
      <c r="P173" s="192"/>
      <c r="Q173" s="210" t="s">
        <v>2732</v>
      </c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spans="1:27" ht="18" customHeight="1">
      <c r="A174" s="188">
        <v>73</v>
      </c>
      <c r="B174" s="193" t="s">
        <v>1788</v>
      </c>
      <c r="C174" s="193" t="s">
        <v>39</v>
      </c>
      <c r="D174" s="190" t="s">
        <v>40</v>
      </c>
      <c r="E174" s="191" t="s">
        <v>1794</v>
      </c>
      <c r="F174" s="191" t="s">
        <v>1795</v>
      </c>
      <c r="G174" s="191" t="s">
        <v>1796</v>
      </c>
      <c r="H174" s="192"/>
      <c r="I174" s="210"/>
      <c r="J174" s="193" t="s">
        <v>1788</v>
      </c>
      <c r="K174" s="193" t="s">
        <v>39</v>
      </c>
      <c r="L174" s="190" t="s">
        <v>40</v>
      </c>
      <c r="M174" s="191" t="s">
        <v>1794</v>
      </c>
      <c r="N174" s="191" t="s">
        <v>1795</v>
      </c>
      <c r="O174" s="191" t="s">
        <v>1796</v>
      </c>
      <c r="P174" s="192"/>
      <c r="Q174" s="210" t="s">
        <v>2706</v>
      </c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spans="1:27" ht="18" customHeight="1">
      <c r="A175" s="188">
        <v>74</v>
      </c>
      <c r="B175" s="193" t="s">
        <v>837</v>
      </c>
      <c r="C175" s="193" t="s">
        <v>39</v>
      </c>
      <c r="D175" s="190" t="s">
        <v>40</v>
      </c>
      <c r="E175" s="191" t="s">
        <v>871</v>
      </c>
      <c r="F175" s="191" t="s">
        <v>872</v>
      </c>
      <c r="G175" s="191" t="s">
        <v>873</v>
      </c>
      <c r="H175" s="192"/>
      <c r="I175" s="228"/>
      <c r="J175" s="193" t="s">
        <v>837</v>
      </c>
      <c r="K175" s="193" t="s">
        <v>39</v>
      </c>
      <c r="L175" s="190" t="s">
        <v>40</v>
      </c>
      <c r="M175" s="191" t="s">
        <v>871</v>
      </c>
      <c r="N175" s="191" t="s">
        <v>872</v>
      </c>
      <c r="O175" s="191" t="s">
        <v>873</v>
      </c>
      <c r="P175" s="192"/>
      <c r="Q175" s="210" t="s">
        <v>2733</v>
      </c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spans="1:27" ht="18" customHeight="1">
      <c r="A176" s="188">
        <v>75</v>
      </c>
      <c r="B176" s="193" t="s">
        <v>1588</v>
      </c>
      <c r="C176" s="193" t="s">
        <v>19</v>
      </c>
      <c r="D176" s="190" t="s">
        <v>40</v>
      </c>
      <c r="E176" s="191" t="s">
        <v>1593</v>
      </c>
      <c r="F176" s="191" t="s">
        <v>1594</v>
      </c>
      <c r="G176" s="191" t="s">
        <v>1595</v>
      </c>
      <c r="H176" s="192"/>
      <c r="I176" s="212"/>
      <c r="J176" s="193" t="s">
        <v>1588</v>
      </c>
      <c r="K176" s="193" t="s">
        <v>19</v>
      </c>
      <c r="L176" s="190" t="s">
        <v>40</v>
      </c>
      <c r="M176" s="191" t="s">
        <v>1593</v>
      </c>
      <c r="N176" s="191" t="s">
        <v>1594</v>
      </c>
      <c r="O176" s="191" t="s">
        <v>1595</v>
      </c>
      <c r="P176" s="192"/>
      <c r="Q176" s="210" t="s">
        <v>2705</v>
      </c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spans="1:27" ht="18" customHeight="1">
      <c r="A177" s="188">
        <v>76</v>
      </c>
      <c r="B177" s="189" t="s">
        <v>1330</v>
      </c>
      <c r="C177" s="189" t="s">
        <v>19</v>
      </c>
      <c r="D177" s="190" t="s">
        <v>40</v>
      </c>
      <c r="E177" s="191" t="s">
        <v>1331</v>
      </c>
      <c r="F177" s="191" t="s">
        <v>1332</v>
      </c>
      <c r="G177" s="191" t="s">
        <v>1333</v>
      </c>
      <c r="H177" s="192"/>
      <c r="I177" s="210"/>
      <c r="J177" s="189" t="s">
        <v>1330</v>
      </c>
      <c r="K177" s="189" t="s">
        <v>19</v>
      </c>
      <c r="L177" s="190" t="s">
        <v>40</v>
      </c>
      <c r="M177" s="191" t="s">
        <v>1331</v>
      </c>
      <c r="N177" s="191" t="s">
        <v>1332</v>
      </c>
      <c r="O177" s="191" t="s">
        <v>1333</v>
      </c>
      <c r="P177" s="192"/>
      <c r="Q177" s="228" t="s">
        <v>2680</v>
      </c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18" customHeight="1">
      <c r="A178" s="188">
        <v>77</v>
      </c>
      <c r="B178" s="189" t="s">
        <v>891</v>
      </c>
      <c r="C178" s="193" t="s">
        <v>39</v>
      </c>
      <c r="D178" s="190" t="s">
        <v>40</v>
      </c>
      <c r="E178" s="191" t="s">
        <v>914</v>
      </c>
      <c r="F178" s="191" t="s">
        <v>915</v>
      </c>
      <c r="G178" s="191" t="s">
        <v>916</v>
      </c>
      <c r="H178" s="192"/>
      <c r="I178" s="210"/>
      <c r="J178" s="189" t="s">
        <v>891</v>
      </c>
      <c r="K178" s="193" t="s">
        <v>39</v>
      </c>
      <c r="L178" s="190" t="s">
        <v>40</v>
      </c>
      <c r="M178" s="191" t="s">
        <v>914</v>
      </c>
      <c r="N178" s="191" t="s">
        <v>915</v>
      </c>
      <c r="O178" s="191" t="s">
        <v>916</v>
      </c>
      <c r="P178" s="192"/>
      <c r="Q178" s="210" t="s">
        <v>2734</v>
      </c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spans="1:27" ht="18" customHeight="1">
      <c r="A179" s="188">
        <v>78</v>
      </c>
      <c r="B179" s="189" t="s">
        <v>1296</v>
      </c>
      <c r="C179" s="193" t="s">
        <v>39</v>
      </c>
      <c r="D179" s="190" t="s">
        <v>40</v>
      </c>
      <c r="E179" s="191" t="s">
        <v>1325</v>
      </c>
      <c r="F179" s="191" t="s">
        <v>1326</v>
      </c>
      <c r="G179" s="191" t="s">
        <v>1327</v>
      </c>
      <c r="H179" s="192"/>
      <c r="I179" s="210"/>
      <c r="J179" s="189" t="s">
        <v>1296</v>
      </c>
      <c r="K179" s="193" t="s">
        <v>39</v>
      </c>
      <c r="L179" s="190" t="s">
        <v>40</v>
      </c>
      <c r="M179" s="191" t="s">
        <v>1325</v>
      </c>
      <c r="N179" s="191" t="s">
        <v>1326</v>
      </c>
      <c r="O179" s="191" t="s">
        <v>1327</v>
      </c>
      <c r="P179" s="192"/>
      <c r="Q179" s="210" t="s">
        <v>2735</v>
      </c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 spans="1:27" ht="18" customHeight="1">
      <c r="A180" s="188">
        <v>79</v>
      </c>
      <c r="B180" s="189" t="s">
        <v>18</v>
      </c>
      <c r="C180" s="193" t="s">
        <v>39</v>
      </c>
      <c r="D180" s="190" t="s">
        <v>40</v>
      </c>
      <c r="E180" s="191" t="s">
        <v>46</v>
      </c>
      <c r="F180" s="191" t="s">
        <v>47</v>
      </c>
      <c r="G180" s="191" t="s">
        <v>48</v>
      </c>
      <c r="H180" s="192"/>
      <c r="I180" s="223"/>
      <c r="J180" s="189" t="s">
        <v>18</v>
      </c>
      <c r="K180" s="193" t="s">
        <v>39</v>
      </c>
      <c r="L180" s="190" t="s">
        <v>40</v>
      </c>
      <c r="M180" s="191" t="s">
        <v>46</v>
      </c>
      <c r="N180" s="191" t="s">
        <v>47</v>
      </c>
      <c r="O180" s="191" t="s">
        <v>48</v>
      </c>
      <c r="P180" s="192"/>
      <c r="Q180" s="210" t="s">
        <v>2736</v>
      </c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spans="1:27" ht="18" customHeight="1">
      <c r="A181" s="188">
        <v>80</v>
      </c>
      <c r="B181" s="193" t="s">
        <v>1890</v>
      </c>
      <c r="C181" s="189" t="s">
        <v>19</v>
      </c>
      <c r="D181" s="190" t="s">
        <v>40</v>
      </c>
      <c r="E181" s="191" t="s">
        <v>1902</v>
      </c>
      <c r="F181" s="191" t="s">
        <v>354</v>
      </c>
      <c r="G181" s="191" t="s">
        <v>1903</v>
      </c>
      <c r="H181" s="202"/>
      <c r="I181" s="210"/>
      <c r="J181" s="193" t="s">
        <v>1890</v>
      </c>
      <c r="K181" s="189" t="s">
        <v>19</v>
      </c>
      <c r="L181" s="190" t="s">
        <v>40</v>
      </c>
      <c r="M181" s="191" t="s">
        <v>1902</v>
      </c>
      <c r="N181" s="191" t="s">
        <v>354</v>
      </c>
      <c r="O181" s="191" t="s">
        <v>1903</v>
      </c>
      <c r="P181" s="192"/>
      <c r="Q181" s="212" t="s">
        <v>2737</v>
      </c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spans="1:27" ht="18" customHeight="1">
      <c r="A182" s="188">
        <v>81</v>
      </c>
      <c r="B182" s="189" t="s">
        <v>1765</v>
      </c>
      <c r="C182" s="193" t="s">
        <v>39</v>
      </c>
      <c r="D182" s="190" t="s">
        <v>40</v>
      </c>
      <c r="E182" s="191" t="s">
        <v>1784</v>
      </c>
      <c r="F182" s="191" t="s">
        <v>1785</v>
      </c>
      <c r="G182" s="191" t="s">
        <v>311</v>
      </c>
      <c r="H182" s="192"/>
      <c r="I182" s="210"/>
      <c r="J182" s="189" t="s">
        <v>1765</v>
      </c>
      <c r="K182" s="193" t="s">
        <v>39</v>
      </c>
      <c r="L182" s="190" t="s">
        <v>40</v>
      </c>
      <c r="M182" s="191" t="s">
        <v>1784</v>
      </c>
      <c r="N182" s="191" t="s">
        <v>1785</v>
      </c>
      <c r="O182" s="191" t="s">
        <v>311</v>
      </c>
      <c r="P182" s="192"/>
      <c r="Q182" s="210" t="s">
        <v>2738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spans="1:27" ht="18" customHeight="1">
      <c r="A183" s="188">
        <v>82</v>
      </c>
      <c r="B183" s="189" t="s">
        <v>1396</v>
      </c>
      <c r="C183" s="189" t="s">
        <v>19</v>
      </c>
      <c r="D183" s="190" t="s">
        <v>40</v>
      </c>
      <c r="E183" s="191" t="s">
        <v>774</v>
      </c>
      <c r="F183" s="191" t="s">
        <v>1397</v>
      </c>
      <c r="G183" s="191" t="s">
        <v>1398</v>
      </c>
      <c r="H183" s="192"/>
      <c r="I183" s="210"/>
      <c r="J183" s="189" t="s">
        <v>1396</v>
      </c>
      <c r="K183" s="189" t="s">
        <v>19</v>
      </c>
      <c r="L183" s="190" t="s">
        <v>40</v>
      </c>
      <c r="M183" s="191" t="s">
        <v>774</v>
      </c>
      <c r="N183" s="191" t="s">
        <v>1397</v>
      </c>
      <c r="O183" s="191" t="s">
        <v>1398</v>
      </c>
      <c r="P183" s="192"/>
      <c r="Q183" s="210" t="s">
        <v>2739</v>
      </c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spans="1:27" ht="18" customHeight="1">
      <c r="A184" s="188">
        <v>83</v>
      </c>
      <c r="B184" s="189" t="s">
        <v>1638</v>
      </c>
      <c r="C184" s="189" t="s">
        <v>19</v>
      </c>
      <c r="D184" s="190" t="s">
        <v>40</v>
      </c>
      <c r="E184" s="191" t="s">
        <v>1645</v>
      </c>
      <c r="F184" s="191" t="s">
        <v>1646</v>
      </c>
      <c r="G184" s="191" t="s">
        <v>347</v>
      </c>
      <c r="H184" s="192"/>
      <c r="I184" s="210"/>
      <c r="J184" s="189"/>
      <c r="K184" s="189"/>
      <c r="L184" s="190"/>
      <c r="M184" s="191"/>
      <c r="N184" s="191"/>
      <c r="O184" s="191"/>
      <c r="P184" s="192"/>
      <c r="Q184" s="210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spans="1:27" ht="18" customHeight="1">
      <c r="A185" s="188">
        <v>84</v>
      </c>
      <c r="B185" s="193" t="s">
        <v>1588</v>
      </c>
      <c r="C185" s="193" t="s">
        <v>19</v>
      </c>
      <c r="D185" s="190" t="s">
        <v>40</v>
      </c>
      <c r="E185" s="191" t="s">
        <v>1610</v>
      </c>
      <c r="F185" s="191" t="s">
        <v>293</v>
      </c>
      <c r="G185" s="191" t="s">
        <v>1611</v>
      </c>
      <c r="H185" s="202"/>
      <c r="I185" s="210"/>
      <c r="J185" s="265" t="s">
        <v>479</v>
      </c>
      <c r="K185" s="265" t="s">
        <v>39</v>
      </c>
      <c r="L185" s="190" t="s">
        <v>40</v>
      </c>
      <c r="M185" s="191" t="s">
        <v>521</v>
      </c>
      <c r="N185" s="191" t="s">
        <v>522</v>
      </c>
      <c r="O185" s="191" t="s">
        <v>523</v>
      </c>
      <c r="P185" s="192"/>
      <c r="Q185" s="210" t="s">
        <v>2740</v>
      </c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</row>
    <row r="186" spans="1:27" ht="18" customHeight="1">
      <c r="A186" s="188">
        <v>85</v>
      </c>
      <c r="B186" s="189" t="s">
        <v>1348</v>
      </c>
      <c r="C186" s="189" t="s">
        <v>19</v>
      </c>
      <c r="D186" s="190" t="s">
        <v>40</v>
      </c>
      <c r="E186" s="191" t="s">
        <v>1446</v>
      </c>
      <c r="F186" s="191" t="s">
        <v>1447</v>
      </c>
      <c r="G186" s="191" t="s">
        <v>1448</v>
      </c>
      <c r="H186" s="192"/>
      <c r="I186" s="210"/>
      <c r="J186" s="265" t="s">
        <v>763</v>
      </c>
      <c r="K186" s="265" t="s">
        <v>39</v>
      </c>
      <c r="L186" s="190" t="s">
        <v>40</v>
      </c>
      <c r="M186" s="191" t="s">
        <v>774</v>
      </c>
      <c r="N186" s="191" t="s">
        <v>775</v>
      </c>
      <c r="O186" s="191" t="s">
        <v>776</v>
      </c>
      <c r="P186" s="192"/>
      <c r="Q186" s="228" t="s">
        <v>2692</v>
      </c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spans="1:27" ht="18" customHeight="1">
      <c r="A187" s="188">
        <v>86</v>
      </c>
      <c r="B187" s="189" t="s">
        <v>919</v>
      </c>
      <c r="C187" s="193" t="s">
        <v>39</v>
      </c>
      <c r="D187" s="190" t="s">
        <v>40</v>
      </c>
      <c r="E187" s="191" t="s">
        <v>942</v>
      </c>
      <c r="F187" s="191" t="s">
        <v>943</v>
      </c>
      <c r="G187" s="191" t="s">
        <v>944</v>
      </c>
      <c r="H187" s="192"/>
      <c r="I187" s="210"/>
      <c r="J187" s="66"/>
      <c r="K187" s="66"/>
      <c r="L187" s="66"/>
      <c r="M187" s="66"/>
      <c r="N187" s="66"/>
      <c r="O187" s="66"/>
      <c r="P187" s="192"/>
      <c r="Q187" s="228" t="s">
        <v>2741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spans="1:27" ht="18" customHeight="1">
      <c r="A188" s="188">
        <v>87</v>
      </c>
      <c r="B188" s="189" t="s">
        <v>73</v>
      </c>
      <c r="C188" s="193" t="s">
        <v>39</v>
      </c>
      <c r="D188" s="190" t="s">
        <v>40</v>
      </c>
      <c r="E188" s="191" t="s">
        <v>74</v>
      </c>
      <c r="F188" s="191" t="s">
        <v>75</v>
      </c>
      <c r="G188" s="191" t="s">
        <v>76</v>
      </c>
      <c r="H188" s="192"/>
      <c r="I188" s="210"/>
      <c r="J188" s="265" t="s">
        <v>1229</v>
      </c>
      <c r="K188" s="189" t="s">
        <v>19</v>
      </c>
      <c r="L188" s="190" t="s">
        <v>40</v>
      </c>
      <c r="M188" s="191" t="s">
        <v>1271</v>
      </c>
      <c r="N188" s="191" t="s">
        <v>1272</v>
      </c>
      <c r="O188" s="191" t="s">
        <v>1273</v>
      </c>
      <c r="P188" s="192"/>
      <c r="Q188" s="212" t="s">
        <v>2742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spans="1:27" ht="18" customHeight="1">
      <c r="A189" s="188">
        <v>88</v>
      </c>
      <c r="B189" s="189" t="s">
        <v>1368</v>
      </c>
      <c r="C189" s="189" t="s">
        <v>19</v>
      </c>
      <c r="D189" s="190" t="s">
        <v>40</v>
      </c>
      <c r="E189" s="191" t="s">
        <v>526</v>
      </c>
      <c r="F189" s="191" t="s">
        <v>1387</v>
      </c>
      <c r="G189" s="191" t="s">
        <v>1388</v>
      </c>
      <c r="H189" s="192" t="s">
        <v>268</v>
      </c>
      <c r="I189" s="210"/>
      <c r="J189" s="189" t="s">
        <v>1638</v>
      </c>
      <c r="K189" s="189" t="s">
        <v>19</v>
      </c>
      <c r="L189" s="190" t="s">
        <v>40</v>
      </c>
      <c r="M189" s="191" t="s">
        <v>1645</v>
      </c>
      <c r="N189" s="191" t="s">
        <v>1646</v>
      </c>
      <c r="O189" s="191" t="s">
        <v>347</v>
      </c>
      <c r="P189" s="192"/>
      <c r="Q189" s="210" t="s">
        <v>2743</v>
      </c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spans="1:27" ht="18" customHeight="1">
      <c r="A190" s="188">
        <v>89</v>
      </c>
      <c r="B190" s="189" t="s">
        <v>1804</v>
      </c>
      <c r="C190" s="189" t="s">
        <v>19</v>
      </c>
      <c r="D190" s="190" t="s">
        <v>40</v>
      </c>
      <c r="E190" s="191" t="s">
        <v>1826</v>
      </c>
      <c r="F190" s="191" t="s">
        <v>1827</v>
      </c>
      <c r="G190" s="191" t="s">
        <v>1828</v>
      </c>
      <c r="H190" s="192"/>
      <c r="I190" s="228"/>
      <c r="J190" s="265" t="s">
        <v>1065</v>
      </c>
      <c r="K190" s="265" t="s">
        <v>39</v>
      </c>
      <c r="L190" s="190" t="s">
        <v>40</v>
      </c>
      <c r="M190" s="191" t="s">
        <v>1215</v>
      </c>
      <c r="N190" s="191" t="s">
        <v>1216</v>
      </c>
      <c r="O190" s="191" t="s">
        <v>1217</v>
      </c>
      <c r="P190" s="192"/>
      <c r="Q190" s="210" t="s">
        <v>2744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spans="1:27" ht="18" customHeight="1">
      <c r="A191" s="188">
        <v>90</v>
      </c>
      <c r="B191" s="193" t="s">
        <v>837</v>
      </c>
      <c r="C191" s="193" t="s">
        <v>39</v>
      </c>
      <c r="D191" s="190" t="s">
        <v>40</v>
      </c>
      <c r="E191" s="191" t="s">
        <v>874</v>
      </c>
      <c r="F191" s="191" t="s">
        <v>875</v>
      </c>
      <c r="G191" s="191" t="s">
        <v>876</v>
      </c>
      <c r="H191" s="192"/>
      <c r="I191" s="210"/>
      <c r="J191" s="193" t="s">
        <v>1588</v>
      </c>
      <c r="K191" s="193" t="s">
        <v>19</v>
      </c>
      <c r="L191" s="190" t="s">
        <v>40</v>
      </c>
      <c r="M191" s="191" t="s">
        <v>1610</v>
      </c>
      <c r="N191" s="191" t="s">
        <v>293</v>
      </c>
      <c r="O191" s="191" t="s">
        <v>1611</v>
      </c>
      <c r="P191" s="192"/>
      <c r="Q191" s="210" t="s">
        <v>2745</v>
      </c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spans="1:27" ht="18" customHeight="1">
      <c r="A192" s="188">
        <v>91</v>
      </c>
      <c r="B192" s="189" t="s">
        <v>1396</v>
      </c>
      <c r="C192" s="189" t="s">
        <v>19</v>
      </c>
      <c r="D192" s="190" t="s">
        <v>40</v>
      </c>
      <c r="E192" s="191" t="s">
        <v>1416</v>
      </c>
      <c r="F192" s="191" t="s">
        <v>1417</v>
      </c>
      <c r="G192" s="191" t="s">
        <v>1418</v>
      </c>
      <c r="H192" s="192"/>
      <c r="I192" s="210"/>
      <c r="J192" s="189" t="s">
        <v>1348</v>
      </c>
      <c r="K192" s="189" t="s">
        <v>19</v>
      </c>
      <c r="L192" s="190" t="s">
        <v>40</v>
      </c>
      <c r="M192" s="191" t="s">
        <v>1446</v>
      </c>
      <c r="N192" s="191" t="s">
        <v>1447</v>
      </c>
      <c r="O192" s="191" t="s">
        <v>1448</v>
      </c>
      <c r="P192" s="192"/>
      <c r="Q192" s="210" t="s">
        <v>2716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spans="1:27" ht="18" customHeight="1">
      <c r="A193" s="188">
        <v>92</v>
      </c>
      <c r="B193" s="189" t="s">
        <v>1709</v>
      </c>
      <c r="C193" s="193" t="s">
        <v>39</v>
      </c>
      <c r="D193" s="190" t="s">
        <v>40</v>
      </c>
      <c r="E193" s="191" t="s">
        <v>1710</v>
      </c>
      <c r="F193" s="266" t="s">
        <v>1711</v>
      </c>
      <c r="G193" s="191" t="s">
        <v>1169</v>
      </c>
      <c r="H193" s="192"/>
      <c r="I193" s="228"/>
      <c r="J193" s="189" t="s">
        <v>919</v>
      </c>
      <c r="K193" s="193" t="s">
        <v>39</v>
      </c>
      <c r="L193" s="190" t="s">
        <v>40</v>
      </c>
      <c r="M193" s="191" t="s">
        <v>942</v>
      </c>
      <c r="N193" s="191" t="s">
        <v>943</v>
      </c>
      <c r="O193" s="191" t="s">
        <v>944</v>
      </c>
      <c r="P193" s="192"/>
      <c r="Q193" s="223" t="s">
        <v>2717</v>
      </c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ht="18" customHeight="1">
      <c r="A194" s="188">
        <v>93</v>
      </c>
      <c r="B194" s="193" t="s">
        <v>1563</v>
      </c>
      <c r="C194" s="193" t="s">
        <v>39</v>
      </c>
      <c r="D194" s="190" t="s">
        <v>40</v>
      </c>
      <c r="E194" s="191" t="s">
        <v>1456</v>
      </c>
      <c r="F194" s="191" t="s">
        <v>1582</v>
      </c>
      <c r="G194" s="191" t="s">
        <v>1583</v>
      </c>
      <c r="H194" s="192"/>
      <c r="I194" s="212"/>
      <c r="J194" s="189" t="s">
        <v>73</v>
      </c>
      <c r="K194" s="193" t="s">
        <v>39</v>
      </c>
      <c r="L194" s="190" t="s">
        <v>40</v>
      </c>
      <c r="M194" s="191" t="s">
        <v>74</v>
      </c>
      <c r="N194" s="191" t="s">
        <v>75</v>
      </c>
      <c r="O194" s="191" t="s">
        <v>76</v>
      </c>
      <c r="P194" s="202"/>
      <c r="Q194" s="210" t="s">
        <v>2746</v>
      </c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spans="1:27" ht="18" customHeight="1">
      <c r="A195" s="188">
        <v>94</v>
      </c>
      <c r="B195" s="189" t="s">
        <v>1804</v>
      </c>
      <c r="C195" s="193" t="s">
        <v>39</v>
      </c>
      <c r="D195" s="190" t="s">
        <v>40</v>
      </c>
      <c r="E195" s="191" t="s">
        <v>1829</v>
      </c>
      <c r="F195" s="191" t="s">
        <v>1830</v>
      </c>
      <c r="G195" s="191" t="s">
        <v>1831</v>
      </c>
      <c r="H195" s="192"/>
      <c r="I195" s="228"/>
      <c r="J195" s="66"/>
      <c r="K195" s="66"/>
      <c r="L195" s="66"/>
      <c r="M195" s="66"/>
      <c r="N195" s="66"/>
      <c r="O195" s="66"/>
      <c r="P195" s="192"/>
      <c r="Q195" s="210" t="s">
        <v>2747</v>
      </c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spans="1:27" ht="18" customHeight="1">
      <c r="A196" s="188">
        <v>95</v>
      </c>
      <c r="B196" s="189" t="s">
        <v>1656</v>
      </c>
      <c r="C196" s="193" t="s">
        <v>39</v>
      </c>
      <c r="D196" s="190" t="s">
        <v>40</v>
      </c>
      <c r="E196" s="191" t="s">
        <v>1687</v>
      </c>
      <c r="F196" s="191" t="s">
        <v>1688</v>
      </c>
      <c r="G196" s="191" t="s">
        <v>1689</v>
      </c>
      <c r="H196" s="192"/>
      <c r="I196" s="228"/>
      <c r="J196" s="66"/>
      <c r="K196" s="66"/>
      <c r="L196" s="66"/>
      <c r="M196" s="66"/>
      <c r="N196" s="66"/>
      <c r="O196" s="66"/>
      <c r="P196" s="192"/>
      <c r="Q196" s="210" t="s">
        <v>2704</v>
      </c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spans="1:27" ht="18" customHeight="1">
      <c r="A197" s="188">
        <v>96</v>
      </c>
      <c r="B197" s="189" t="s">
        <v>90</v>
      </c>
      <c r="C197" s="189" t="s">
        <v>19</v>
      </c>
      <c r="D197" s="190" t="s">
        <v>40</v>
      </c>
      <c r="E197" s="191" t="s">
        <v>117</v>
      </c>
      <c r="F197" s="191" t="s">
        <v>118</v>
      </c>
      <c r="G197" s="191" t="s">
        <v>119</v>
      </c>
      <c r="H197" s="192"/>
      <c r="I197" s="212"/>
      <c r="J197" s="265" t="s">
        <v>1065</v>
      </c>
      <c r="K197" s="265" t="s">
        <v>39</v>
      </c>
      <c r="L197" s="190" t="s">
        <v>40</v>
      </c>
      <c r="M197" s="191" t="s">
        <v>1220</v>
      </c>
      <c r="N197" s="191" t="s">
        <v>1221</v>
      </c>
      <c r="O197" s="191" t="s">
        <v>836</v>
      </c>
      <c r="P197" s="192"/>
      <c r="Q197" s="210" t="s">
        <v>2748</v>
      </c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spans="1:27" ht="18" customHeight="1">
      <c r="A198" s="188">
        <v>97</v>
      </c>
      <c r="B198" s="193" t="s">
        <v>1486</v>
      </c>
      <c r="C198" s="193" t="s">
        <v>19</v>
      </c>
      <c r="D198" s="190" t="s">
        <v>40</v>
      </c>
      <c r="E198" s="191" t="s">
        <v>1487</v>
      </c>
      <c r="F198" s="191" t="s">
        <v>553</v>
      </c>
      <c r="G198" s="191" t="s">
        <v>1488</v>
      </c>
      <c r="H198" s="192"/>
      <c r="I198" s="210"/>
      <c r="J198" s="265" t="s">
        <v>479</v>
      </c>
      <c r="K198" s="265" t="s">
        <v>19</v>
      </c>
      <c r="L198" s="190" t="s">
        <v>40</v>
      </c>
      <c r="M198" s="191" t="s">
        <v>526</v>
      </c>
      <c r="N198" s="191" t="s">
        <v>527</v>
      </c>
      <c r="O198" s="191" t="s">
        <v>528</v>
      </c>
      <c r="P198" s="192"/>
      <c r="Q198" s="210" t="s">
        <v>2749</v>
      </c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spans="1:27" ht="18" customHeight="1">
      <c r="A199" s="188">
        <v>98</v>
      </c>
      <c r="B199" s="193" t="s">
        <v>837</v>
      </c>
      <c r="C199" s="193" t="s">
        <v>39</v>
      </c>
      <c r="D199" s="190" t="s">
        <v>40</v>
      </c>
      <c r="E199" s="191" t="s">
        <v>879</v>
      </c>
      <c r="F199" s="191" t="s">
        <v>880</v>
      </c>
      <c r="G199" s="191" t="s">
        <v>881</v>
      </c>
      <c r="H199" s="202"/>
      <c r="I199" s="212"/>
      <c r="J199" s="189" t="s">
        <v>1368</v>
      </c>
      <c r="K199" s="189" t="s">
        <v>19</v>
      </c>
      <c r="L199" s="190" t="s">
        <v>40</v>
      </c>
      <c r="M199" s="191" t="s">
        <v>526</v>
      </c>
      <c r="N199" s="191" t="s">
        <v>1387</v>
      </c>
      <c r="O199" s="191" t="s">
        <v>1388</v>
      </c>
      <c r="P199" s="192"/>
      <c r="Q199" s="223" t="s">
        <v>2677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spans="1:27" ht="18" customHeight="1">
      <c r="A200" s="188">
        <v>99</v>
      </c>
      <c r="B200" s="189" t="s">
        <v>1451</v>
      </c>
      <c r="C200" s="193" t="s">
        <v>39</v>
      </c>
      <c r="D200" s="190" t="s">
        <v>40</v>
      </c>
      <c r="E200" s="191" t="s">
        <v>1463</v>
      </c>
      <c r="F200" s="191" t="s">
        <v>1464</v>
      </c>
      <c r="G200" s="191" t="s">
        <v>1024</v>
      </c>
      <c r="H200" s="192"/>
      <c r="I200" s="210"/>
      <c r="J200" s="189" t="s">
        <v>1804</v>
      </c>
      <c r="K200" s="189" t="s">
        <v>19</v>
      </c>
      <c r="L200" s="190" t="s">
        <v>40</v>
      </c>
      <c r="M200" s="191" t="s">
        <v>1826</v>
      </c>
      <c r="N200" s="191" t="s">
        <v>1827</v>
      </c>
      <c r="O200" s="191" t="s">
        <v>1828</v>
      </c>
      <c r="P200" s="192"/>
      <c r="Q200" s="210" t="s">
        <v>2750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spans="1:27" ht="18" customHeight="1">
      <c r="A201" s="188">
        <v>100</v>
      </c>
      <c r="B201" s="189" t="s">
        <v>1804</v>
      </c>
      <c r="C201" s="193" t="s">
        <v>39</v>
      </c>
      <c r="D201" s="190" t="s">
        <v>40</v>
      </c>
      <c r="E201" s="191" t="s">
        <v>1832</v>
      </c>
      <c r="F201" s="191" t="s">
        <v>1833</v>
      </c>
      <c r="G201" s="191" t="s">
        <v>1834</v>
      </c>
      <c r="H201" s="192"/>
      <c r="I201" s="228"/>
      <c r="J201" s="189" t="s">
        <v>2229</v>
      </c>
      <c r="K201" s="265" t="s">
        <v>39</v>
      </c>
      <c r="L201" s="190" t="s">
        <v>40</v>
      </c>
      <c r="M201" s="191" t="s">
        <v>2249</v>
      </c>
      <c r="N201" s="191" t="s">
        <v>2250</v>
      </c>
      <c r="O201" s="191" t="s">
        <v>2251</v>
      </c>
      <c r="P201" s="192"/>
      <c r="Q201" s="210" t="s">
        <v>2706</v>
      </c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spans="1:27" ht="18" customHeight="1">
      <c r="A202" s="188">
        <v>101</v>
      </c>
      <c r="B202" s="189" t="s">
        <v>1656</v>
      </c>
      <c r="C202" s="193" t="s">
        <v>19</v>
      </c>
      <c r="D202" s="190" t="s">
        <v>40</v>
      </c>
      <c r="E202" s="191" t="s">
        <v>1690</v>
      </c>
      <c r="F202" s="191" t="s">
        <v>1691</v>
      </c>
      <c r="G202" s="191" t="s">
        <v>1692</v>
      </c>
      <c r="H202" s="192"/>
      <c r="I202" s="210"/>
      <c r="J202" s="193" t="s">
        <v>837</v>
      </c>
      <c r="K202" s="193" t="s">
        <v>39</v>
      </c>
      <c r="L202" s="190" t="s">
        <v>40</v>
      </c>
      <c r="M202" s="191" t="s">
        <v>874</v>
      </c>
      <c r="N202" s="191" t="s">
        <v>875</v>
      </c>
      <c r="O202" s="191" t="s">
        <v>876</v>
      </c>
      <c r="P202" s="202"/>
      <c r="Q202" s="210" t="s">
        <v>2751</v>
      </c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spans="1:27" ht="18" customHeight="1">
      <c r="A203" s="188">
        <v>102</v>
      </c>
      <c r="B203" s="193" t="s">
        <v>1890</v>
      </c>
      <c r="C203" s="189" t="s">
        <v>19</v>
      </c>
      <c r="D203" s="190" t="s">
        <v>40</v>
      </c>
      <c r="E203" s="191" t="s">
        <v>1899</v>
      </c>
      <c r="F203" s="191" t="s">
        <v>1900</v>
      </c>
      <c r="G203" s="191" t="s">
        <v>1901</v>
      </c>
      <c r="H203" s="192"/>
      <c r="I203" s="228"/>
      <c r="J203" s="189" t="s">
        <v>1396</v>
      </c>
      <c r="K203" s="189" t="s">
        <v>19</v>
      </c>
      <c r="L203" s="190" t="s">
        <v>40</v>
      </c>
      <c r="M203" s="191" t="s">
        <v>1416</v>
      </c>
      <c r="N203" s="191" t="s">
        <v>1417</v>
      </c>
      <c r="O203" s="191" t="s">
        <v>1418</v>
      </c>
      <c r="P203" s="192"/>
      <c r="Q203" s="210" t="s">
        <v>2752</v>
      </c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spans="1:27" ht="18" customHeight="1">
      <c r="A204" s="188">
        <v>103</v>
      </c>
      <c r="B204" s="189" t="s">
        <v>1740</v>
      </c>
      <c r="C204" s="189" t="s">
        <v>19</v>
      </c>
      <c r="D204" s="190" t="s">
        <v>40</v>
      </c>
      <c r="E204" s="191" t="s">
        <v>1753</v>
      </c>
      <c r="F204" s="191" t="s">
        <v>1754</v>
      </c>
      <c r="G204" s="191" t="s">
        <v>759</v>
      </c>
      <c r="H204" s="192"/>
      <c r="I204" s="210"/>
      <c r="J204" s="189" t="s">
        <v>1709</v>
      </c>
      <c r="K204" s="193" t="s">
        <v>39</v>
      </c>
      <c r="L204" s="190" t="s">
        <v>40</v>
      </c>
      <c r="M204" s="191" t="s">
        <v>1710</v>
      </c>
      <c r="N204" s="266" t="s">
        <v>1711</v>
      </c>
      <c r="O204" s="191" t="s">
        <v>1169</v>
      </c>
      <c r="P204" s="192"/>
      <c r="Q204" s="210" t="s">
        <v>2753</v>
      </c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spans="1:27" ht="18" customHeight="1">
      <c r="A205" s="188">
        <v>104</v>
      </c>
      <c r="B205" s="189" t="s">
        <v>1396</v>
      </c>
      <c r="C205" s="189" t="s">
        <v>19</v>
      </c>
      <c r="D205" s="190" t="s">
        <v>40</v>
      </c>
      <c r="E205" s="191" t="s">
        <v>1421</v>
      </c>
      <c r="F205" s="191" t="s">
        <v>1422</v>
      </c>
      <c r="G205" s="191" t="s">
        <v>1423</v>
      </c>
      <c r="H205" s="192"/>
      <c r="I205" s="210"/>
      <c r="J205" s="193" t="s">
        <v>1563</v>
      </c>
      <c r="K205" s="193" t="s">
        <v>39</v>
      </c>
      <c r="L205" s="190" t="s">
        <v>40</v>
      </c>
      <c r="M205" s="191" t="s">
        <v>1456</v>
      </c>
      <c r="N205" s="191" t="s">
        <v>1582</v>
      </c>
      <c r="O205" s="191" t="s">
        <v>1583</v>
      </c>
      <c r="P205" s="192"/>
      <c r="Q205" s="210" t="s">
        <v>2754</v>
      </c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spans="1:27" ht="18" customHeight="1">
      <c r="A206" s="188">
        <v>105</v>
      </c>
      <c r="B206" s="189" t="s">
        <v>1348</v>
      </c>
      <c r="C206" s="193" t="s">
        <v>39</v>
      </c>
      <c r="D206" s="190" t="s">
        <v>40</v>
      </c>
      <c r="E206" s="191" t="s">
        <v>1442</v>
      </c>
      <c r="F206" s="191" t="s">
        <v>1443</v>
      </c>
      <c r="G206" s="191" t="s">
        <v>1439</v>
      </c>
      <c r="H206" s="192"/>
      <c r="I206" s="210"/>
      <c r="J206" s="189" t="s">
        <v>1804</v>
      </c>
      <c r="K206" s="193" t="s">
        <v>39</v>
      </c>
      <c r="L206" s="190" t="s">
        <v>40</v>
      </c>
      <c r="M206" s="191" t="s">
        <v>1829</v>
      </c>
      <c r="N206" s="191" t="s">
        <v>1830</v>
      </c>
      <c r="O206" s="191" t="s">
        <v>1831</v>
      </c>
      <c r="P206" s="192"/>
      <c r="Q206" s="223" t="s">
        <v>2677</v>
      </c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spans="1:27" ht="18" customHeight="1">
      <c r="A207" s="188">
        <v>106</v>
      </c>
      <c r="B207" s="189" t="s">
        <v>1368</v>
      </c>
      <c r="C207" s="193" t="s">
        <v>39</v>
      </c>
      <c r="D207" s="190" t="s">
        <v>40</v>
      </c>
      <c r="E207" s="191" t="s">
        <v>1391</v>
      </c>
      <c r="F207" s="191" t="s">
        <v>1392</v>
      </c>
      <c r="G207" s="191" t="s">
        <v>1393</v>
      </c>
      <c r="H207" s="192"/>
      <c r="I207" s="210"/>
      <c r="J207" s="189" t="s">
        <v>1656</v>
      </c>
      <c r="K207" s="193" t="s">
        <v>39</v>
      </c>
      <c r="L207" s="190" t="s">
        <v>40</v>
      </c>
      <c r="M207" s="191" t="s">
        <v>1687</v>
      </c>
      <c r="N207" s="191" t="s">
        <v>1688</v>
      </c>
      <c r="O207" s="191" t="s">
        <v>1689</v>
      </c>
      <c r="P207" s="192"/>
      <c r="Q207" s="210" t="s">
        <v>2704</v>
      </c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spans="1:27" ht="18" customHeight="1">
      <c r="A208" s="188">
        <v>107</v>
      </c>
      <c r="B208" s="189" t="s">
        <v>919</v>
      </c>
      <c r="C208" s="193" t="s">
        <v>39</v>
      </c>
      <c r="D208" s="194" t="s">
        <v>40</v>
      </c>
      <c r="E208" s="204" t="s">
        <v>947</v>
      </c>
      <c r="F208" s="204" t="s">
        <v>948</v>
      </c>
      <c r="G208" s="204" t="s">
        <v>949</v>
      </c>
      <c r="H208" s="194"/>
      <c r="I208" s="228"/>
      <c r="J208" s="189" t="s">
        <v>90</v>
      </c>
      <c r="K208" s="189" t="s">
        <v>19</v>
      </c>
      <c r="L208" s="190" t="s">
        <v>40</v>
      </c>
      <c r="M208" s="191" t="s">
        <v>117</v>
      </c>
      <c r="N208" s="191" t="s">
        <v>118</v>
      </c>
      <c r="O208" s="191" t="s">
        <v>119</v>
      </c>
      <c r="P208" s="192" t="s">
        <v>268</v>
      </c>
      <c r="Q208" s="210" t="s">
        <v>2755</v>
      </c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spans="1:27" ht="18" customHeight="1">
      <c r="A209" s="188">
        <v>108</v>
      </c>
      <c r="B209" s="189" t="s">
        <v>1858</v>
      </c>
      <c r="C209" s="193" t="s">
        <v>39</v>
      </c>
      <c r="D209" s="190" t="s">
        <v>40</v>
      </c>
      <c r="E209" s="191" t="s">
        <v>1875</v>
      </c>
      <c r="F209" s="191" t="s">
        <v>1876</v>
      </c>
      <c r="G209" s="191" t="s">
        <v>1877</v>
      </c>
      <c r="H209" s="192"/>
      <c r="I209" s="210"/>
      <c r="J209" s="193" t="s">
        <v>1486</v>
      </c>
      <c r="K209" s="193" t="s">
        <v>19</v>
      </c>
      <c r="L209" s="190" t="s">
        <v>40</v>
      </c>
      <c r="M209" s="191" t="s">
        <v>1487</v>
      </c>
      <c r="N209" s="191" t="s">
        <v>553</v>
      </c>
      <c r="O209" s="191" t="s">
        <v>1488</v>
      </c>
      <c r="P209" s="192"/>
      <c r="Q209" s="228" t="s">
        <v>2679</v>
      </c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spans="1:27" ht="18" customHeight="1">
      <c r="A210" s="188">
        <v>109</v>
      </c>
      <c r="B210" s="189" t="s">
        <v>1765</v>
      </c>
      <c r="C210" s="193" t="s">
        <v>39</v>
      </c>
      <c r="D210" s="190" t="s">
        <v>40</v>
      </c>
      <c r="E210" s="191" t="s">
        <v>1781</v>
      </c>
      <c r="F210" s="191" t="s">
        <v>1782</v>
      </c>
      <c r="G210" s="191" t="s">
        <v>1783</v>
      </c>
      <c r="H210" s="192"/>
      <c r="I210" s="210"/>
      <c r="J210" s="193" t="s">
        <v>837</v>
      </c>
      <c r="K210" s="193" t="s">
        <v>39</v>
      </c>
      <c r="L210" s="190" t="s">
        <v>40</v>
      </c>
      <c r="M210" s="191" t="s">
        <v>879</v>
      </c>
      <c r="N210" s="191" t="s">
        <v>880</v>
      </c>
      <c r="O210" s="191" t="s">
        <v>881</v>
      </c>
      <c r="P210" s="192"/>
      <c r="Q210" s="210" t="s">
        <v>2716</v>
      </c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spans="1:27" ht="18" customHeight="1">
      <c r="A211" s="188">
        <v>110</v>
      </c>
      <c r="B211" s="189" t="s">
        <v>1858</v>
      </c>
      <c r="C211" s="193" t="s">
        <v>39</v>
      </c>
      <c r="D211" s="190" t="s">
        <v>40</v>
      </c>
      <c r="E211" s="191" t="s">
        <v>604</v>
      </c>
      <c r="F211" s="191" t="s">
        <v>1859</v>
      </c>
      <c r="G211" s="191" t="s">
        <v>916</v>
      </c>
      <c r="H211" s="192"/>
      <c r="I211" s="210"/>
      <c r="J211" s="189" t="s">
        <v>1451</v>
      </c>
      <c r="K211" s="193" t="s">
        <v>39</v>
      </c>
      <c r="L211" s="190" t="s">
        <v>40</v>
      </c>
      <c r="M211" s="191" t="s">
        <v>1463</v>
      </c>
      <c r="N211" s="191" t="s">
        <v>1464</v>
      </c>
      <c r="O211" s="191" t="s">
        <v>1024</v>
      </c>
      <c r="P211" s="192"/>
      <c r="Q211" s="210" t="s">
        <v>2756</v>
      </c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spans="1:27" ht="18" customHeight="1">
      <c r="A212" s="188">
        <v>111</v>
      </c>
      <c r="B212" s="193" t="s">
        <v>1788</v>
      </c>
      <c r="C212" s="193" t="s">
        <v>39</v>
      </c>
      <c r="D212" s="190" t="s">
        <v>40</v>
      </c>
      <c r="E212" s="191" t="s">
        <v>191</v>
      </c>
      <c r="F212" s="191" t="s">
        <v>1799</v>
      </c>
      <c r="G212" s="191" t="s">
        <v>146</v>
      </c>
      <c r="H212" s="192"/>
      <c r="I212" s="210"/>
      <c r="J212" s="189" t="s">
        <v>1804</v>
      </c>
      <c r="K212" s="193" t="s">
        <v>39</v>
      </c>
      <c r="L212" s="190" t="s">
        <v>40</v>
      </c>
      <c r="M212" s="191" t="s">
        <v>1832</v>
      </c>
      <c r="N212" s="191" t="s">
        <v>1833</v>
      </c>
      <c r="O212" s="191" t="s">
        <v>1834</v>
      </c>
      <c r="P212" s="192"/>
      <c r="Q212" s="210" t="s">
        <v>2757</v>
      </c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spans="1:27" ht="18" customHeight="1">
      <c r="A213" s="188">
        <v>112</v>
      </c>
      <c r="B213" s="189" t="s">
        <v>1723</v>
      </c>
      <c r="C213" s="193" t="s">
        <v>39</v>
      </c>
      <c r="D213" s="190" t="s">
        <v>40</v>
      </c>
      <c r="E213" s="191" t="s">
        <v>1187</v>
      </c>
      <c r="F213" s="191" t="s">
        <v>1737</v>
      </c>
      <c r="G213" s="191" t="s">
        <v>1589</v>
      </c>
      <c r="H213" s="192"/>
      <c r="I213" s="210"/>
      <c r="J213" s="189" t="s">
        <v>1656</v>
      </c>
      <c r="K213" s="193" t="s">
        <v>19</v>
      </c>
      <c r="L213" s="190" t="s">
        <v>40</v>
      </c>
      <c r="M213" s="191" t="s">
        <v>1690</v>
      </c>
      <c r="N213" s="191" t="s">
        <v>1691</v>
      </c>
      <c r="O213" s="191" t="s">
        <v>1692</v>
      </c>
      <c r="P213" s="192"/>
      <c r="Q213" s="228" t="s">
        <v>2758</v>
      </c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spans="1:27" ht="18" customHeight="1">
      <c r="A214" s="188">
        <v>113</v>
      </c>
      <c r="B214" s="193" t="s">
        <v>1890</v>
      </c>
      <c r="C214" s="193" t="s">
        <v>19</v>
      </c>
      <c r="D214" s="190" t="s">
        <v>40</v>
      </c>
      <c r="E214" s="191" t="s">
        <v>1187</v>
      </c>
      <c r="F214" s="191" t="s">
        <v>646</v>
      </c>
      <c r="G214" s="191" t="s">
        <v>1906</v>
      </c>
      <c r="H214" s="192"/>
      <c r="I214" s="210"/>
      <c r="J214" s="193" t="s">
        <v>1890</v>
      </c>
      <c r="K214" s="189" t="s">
        <v>19</v>
      </c>
      <c r="L214" s="190" t="s">
        <v>40</v>
      </c>
      <c r="M214" s="191" t="s">
        <v>1899</v>
      </c>
      <c r="N214" s="191" t="s">
        <v>1900</v>
      </c>
      <c r="O214" s="191" t="s">
        <v>1901</v>
      </c>
      <c r="P214" s="192"/>
      <c r="Q214" s="212" t="s">
        <v>2759</v>
      </c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spans="1:27" ht="18" customHeight="1">
      <c r="A215" s="188">
        <v>114</v>
      </c>
      <c r="B215" s="193" t="s">
        <v>837</v>
      </c>
      <c r="C215" s="193" t="s">
        <v>39</v>
      </c>
      <c r="D215" s="194" t="s">
        <v>40</v>
      </c>
      <c r="E215" s="204" t="s">
        <v>884</v>
      </c>
      <c r="F215" s="204" t="s">
        <v>885</v>
      </c>
      <c r="G215" s="204" t="s">
        <v>886</v>
      </c>
      <c r="H215" s="205"/>
      <c r="I215" s="212"/>
      <c r="J215" s="189" t="s">
        <v>1740</v>
      </c>
      <c r="K215" s="189" t="s">
        <v>19</v>
      </c>
      <c r="L215" s="190" t="s">
        <v>40</v>
      </c>
      <c r="M215" s="191" t="s">
        <v>1753</v>
      </c>
      <c r="N215" s="191" t="s">
        <v>1754</v>
      </c>
      <c r="O215" s="191" t="s">
        <v>759</v>
      </c>
      <c r="P215" s="192"/>
      <c r="Q215" s="228" t="s">
        <v>2679</v>
      </c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spans="1:27" ht="18" customHeight="1">
      <c r="A216" s="188">
        <v>115</v>
      </c>
      <c r="B216" s="193" t="s">
        <v>1588</v>
      </c>
      <c r="C216" s="193" t="s">
        <v>39</v>
      </c>
      <c r="D216" s="190" t="s">
        <v>40</v>
      </c>
      <c r="E216" s="191" t="s">
        <v>1614</v>
      </c>
      <c r="F216" s="191" t="s">
        <v>1615</v>
      </c>
      <c r="G216" s="191" t="s">
        <v>365</v>
      </c>
      <c r="H216" s="192"/>
      <c r="I216" s="228"/>
      <c r="J216" s="189" t="s">
        <v>1396</v>
      </c>
      <c r="K216" s="189" t="s">
        <v>19</v>
      </c>
      <c r="L216" s="190" t="s">
        <v>40</v>
      </c>
      <c r="M216" s="191" t="s">
        <v>1421</v>
      </c>
      <c r="N216" s="191" t="s">
        <v>1422</v>
      </c>
      <c r="O216" s="191" t="s">
        <v>1423</v>
      </c>
      <c r="P216" s="192"/>
      <c r="Q216" s="228" t="s">
        <v>2679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spans="1:27" ht="18" customHeight="1">
      <c r="A217" s="188">
        <v>116</v>
      </c>
      <c r="B217" s="189" t="s">
        <v>1844</v>
      </c>
      <c r="C217" s="193" t="s">
        <v>39</v>
      </c>
      <c r="D217" s="190" t="s">
        <v>40</v>
      </c>
      <c r="E217" s="191" t="s">
        <v>1855</v>
      </c>
      <c r="F217" s="191" t="s">
        <v>1856</v>
      </c>
      <c r="G217" s="191" t="s">
        <v>1857</v>
      </c>
      <c r="H217" s="192"/>
      <c r="I217" s="210"/>
      <c r="J217" s="265" t="s">
        <v>1229</v>
      </c>
      <c r="K217" s="265" t="s">
        <v>39</v>
      </c>
      <c r="L217" s="190" t="s">
        <v>40</v>
      </c>
      <c r="M217" s="191" t="s">
        <v>929</v>
      </c>
      <c r="N217" s="191" t="s">
        <v>1274</v>
      </c>
      <c r="O217" s="191" t="s">
        <v>206</v>
      </c>
      <c r="P217" s="192"/>
      <c r="Q217" s="212" t="s">
        <v>2760</v>
      </c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spans="1:27" ht="18" customHeight="1">
      <c r="A218" s="188">
        <v>117</v>
      </c>
      <c r="B218" s="189" t="s">
        <v>1368</v>
      </c>
      <c r="C218" s="193" t="s">
        <v>39</v>
      </c>
      <c r="D218" s="190" t="s">
        <v>40</v>
      </c>
      <c r="E218" s="191" t="s">
        <v>1369</v>
      </c>
      <c r="F218" s="191" t="s">
        <v>1370</v>
      </c>
      <c r="G218" s="191" t="s">
        <v>630</v>
      </c>
      <c r="H218" s="192"/>
      <c r="I218" s="210"/>
      <c r="J218" s="189" t="s">
        <v>1348</v>
      </c>
      <c r="K218" s="193" t="s">
        <v>39</v>
      </c>
      <c r="L218" s="190" t="s">
        <v>40</v>
      </c>
      <c r="M218" s="191" t="s">
        <v>1442</v>
      </c>
      <c r="N218" s="191" t="s">
        <v>1443</v>
      </c>
      <c r="O218" s="191" t="s">
        <v>1439</v>
      </c>
      <c r="P218" s="192"/>
      <c r="Q218" s="210" t="s">
        <v>2761</v>
      </c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spans="1:27" ht="18" customHeight="1">
      <c r="A219" s="188">
        <v>118</v>
      </c>
      <c r="B219" s="189" t="s">
        <v>1451</v>
      </c>
      <c r="C219" s="189" t="s">
        <v>19</v>
      </c>
      <c r="D219" s="190" t="s">
        <v>40</v>
      </c>
      <c r="E219" s="191" t="s">
        <v>1467</v>
      </c>
      <c r="F219" s="191" t="s">
        <v>1468</v>
      </c>
      <c r="G219" s="191" t="s">
        <v>1469</v>
      </c>
      <c r="H219" s="192"/>
      <c r="I219" s="229"/>
      <c r="J219" s="189" t="s">
        <v>1368</v>
      </c>
      <c r="K219" s="193" t="s">
        <v>39</v>
      </c>
      <c r="L219" s="190" t="s">
        <v>40</v>
      </c>
      <c r="M219" s="191" t="s">
        <v>1391</v>
      </c>
      <c r="N219" s="191" t="s">
        <v>1392</v>
      </c>
      <c r="O219" s="191" t="s">
        <v>1393</v>
      </c>
      <c r="P219" s="202"/>
      <c r="Q219" s="212" t="s">
        <v>2762</v>
      </c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spans="1:27" ht="18" customHeight="1">
      <c r="A220" s="188">
        <v>119</v>
      </c>
      <c r="B220" s="193" t="s">
        <v>1563</v>
      </c>
      <c r="C220" s="193" t="s">
        <v>19</v>
      </c>
      <c r="D220" s="190" t="s">
        <v>40</v>
      </c>
      <c r="E220" s="191" t="s">
        <v>151</v>
      </c>
      <c r="F220" s="191" t="s">
        <v>1586</v>
      </c>
      <c r="G220" s="191" t="s">
        <v>1587</v>
      </c>
      <c r="H220" s="192"/>
      <c r="I220" s="228"/>
      <c r="J220" s="189" t="s">
        <v>919</v>
      </c>
      <c r="K220" s="193" t="s">
        <v>39</v>
      </c>
      <c r="L220" s="194" t="s">
        <v>40</v>
      </c>
      <c r="M220" s="204" t="s">
        <v>947</v>
      </c>
      <c r="N220" s="204" t="s">
        <v>948</v>
      </c>
      <c r="O220" s="204" t="s">
        <v>949</v>
      </c>
      <c r="P220" s="192"/>
      <c r="Q220" s="210" t="s">
        <v>2763</v>
      </c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spans="1:27" ht="18" customHeight="1">
      <c r="A221" s="188">
        <v>120</v>
      </c>
      <c r="B221" s="193" t="s">
        <v>1588</v>
      </c>
      <c r="C221" s="193" t="s">
        <v>19</v>
      </c>
      <c r="D221" s="190" t="s">
        <v>40</v>
      </c>
      <c r="E221" s="191" t="s">
        <v>151</v>
      </c>
      <c r="F221" s="191" t="s">
        <v>1618</v>
      </c>
      <c r="G221" s="191" t="s">
        <v>1619</v>
      </c>
      <c r="H221" s="192"/>
      <c r="I221" s="228"/>
      <c r="J221" s="189" t="s">
        <v>1858</v>
      </c>
      <c r="K221" s="193" t="s">
        <v>39</v>
      </c>
      <c r="L221" s="190" t="s">
        <v>40</v>
      </c>
      <c r="M221" s="191" t="s">
        <v>1875</v>
      </c>
      <c r="N221" s="191" t="s">
        <v>1876</v>
      </c>
      <c r="O221" s="191" t="s">
        <v>1877</v>
      </c>
      <c r="P221" s="192"/>
      <c r="Q221" s="228" t="s">
        <v>2679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 spans="1:27" ht="18" customHeight="1">
      <c r="A222" s="188">
        <v>121</v>
      </c>
      <c r="B222" s="193" t="s">
        <v>1537</v>
      </c>
      <c r="C222" s="193" t="s">
        <v>39</v>
      </c>
      <c r="D222" s="190" t="s">
        <v>40</v>
      </c>
      <c r="E222" s="191" t="s">
        <v>151</v>
      </c>
      <c r="F222" s="191" t="s">
        <v>1549</v>
      </c>
      <c r="G222" s="191" t="s">
        <v>1550</v>
      </c>
      <c r="H222" s="192"/>
      <c r="I222" s="210"/>
      <c r="J222" s="189" t="s">
        <v>1765</v>
      </c>
      <c r="K222" s="193" t="s">
        <v>39</v>
      </c>
      <c r="L222" s="190" t="s">
        <v>40</v>
      </c>
      <c r="M222" s="191" t="s">
        <v>1781</v>
      </c>
      <c r="N222" s="191" t="s">
        <v>1782</v>
      </c>
      <c r="O222" s="191" t="s">
        <v>1783</v>
      </c>
      <c r="P222" s="192"/>
      <c r="Q222" s="210" t="s">
        <v>2682</v>
      </c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spans="1:27" ht="18" customHeight="1">
      <c r="A223" s="188">
        <v>122</v>
      </c>
      <c r="B223" s="189" t="s">
        <v>1858</v>
      </c>
      <c r="C223" s="189" t="s">
        <v>19</v>
      </c>
      <c r="D223" s="190" t="s">
        <v>40</v>
      </c>
      <c r="E223" s="191" t="s">
        <v>151</v>
      </c>
      <c r="F223" s="191" t="s">
        <v>1878</v>
      </c>
      <c r="G223" s="191" t="s">
        <v>971</v>
      </c>
      <c r="H223" s="192"/>
      <c r="I223" s="210"/>
      <c r="J223" s="189" t="s">
        <v>1858</v>
      </c>
      <c r="K223" s="193" t="s">
        <v>39</v>
      </c>
      <c r="L223" s="190" t="s">
        <v>40</v>
      </c>
      <c r="M223" s="191" t="s">
        <v>604</v>
      </c>
      <c r="N223" s="191" t="s">
        <v>1859</v>
      </c>
      <c r="O223" s="191" t="s">
        <v>916</v>
      </c>
      <c r="P223" s="192"/>
      <c r="Q223" s="228" t="s">
        <v>2679</v>
      </c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spans="1:27" ht="18" customHeight="1">
      <c r="A224" s="188">
        <v>123</v>
      </c>
      <c r="B224" s="189" t="s">
        <v>1296</v>
      </c>
      <c r="C224" s="193" t="s">
        <v>19</v>
      </c>
      <c r="D224" s="190" t="s">
        <v>40</v>
      </c>
      <c r="E224" s="191" t="s">
        <v>1297</v>
      </c>
      <c r="F224" s="191" t="s">
        <v>1298</v>
      </c>
      <c r="G224" s="191" t="s">
        <v>1299</v>
      </c>
      <c r="H224" s="192" t="s">
        <v>268</v>
      </c>
      <c r="I224" s="210"/>
      <c r="J224" s="193" t="s">
        <v>1788</v>
      </c>
      <c r="K224" s="193" t="s">
        <v>39</v>
      </c>
      <c r="L224" s="190" t="s">
        <v>40</v>
      </c>
      <c r="M224" s="191" t="s">
        <v>191</v>
      </c>
      <c r="N224" s="191" t="s">
        <v>1799</v>
      </c>
      <c r="O224" s="191" t="s">
        <v>146</v>
      </c>
      <c r="P224" s="192"/>
      <c r="Q224" s="210" t="s">
        <v>2764</v>
      </c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spans="1:27" ht="18" customHeight="1">
      <c r="A225" s="188">
        <v>124</v>
      </c>
      <c r="B225" s="189" t="s">
        <v>1804</v>
      </c>
      <c r="C225" s="189" t="s">
        <v>19</v>
      </c>
      <c r="D225" s="190" t="s">
        <v>40</v>
      </c>
      <c r="E225" s="191" t="s">
        <v>1835</v>
      </c>
      <c r="F225" s="191" t="s">
        <v>1836</v>
      </c>
      <c r="G225" s="191" t="s">
        <v>1837</v>
      </c>
      <c r="H225" s="202"/>
      <c r="I225" s="228"/>
      <c r="J225" s="189" t="s">
        <v>1723</v>
      </c>
      <c r="K225" s="193" t="s">
        <v>39</v>
      </c>
      <c r="L225" s="190" t="s">
        <v>40</v>
      </c>
      <c r="M225" s="191" t="s">
        <v>1187</v>
      </c>
      <c r="N225" s="191" t="s">
        <v>1737</v>
      </c>
      <c r="O225" s="191" t="s">
        <v>1589</v>
      </c>
      <c r="P225" s="192"/>
      <c r="Q225" s="210" t="s">
        <v>2765</v>
      </c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spans="1:27" ht="18" customHeight="1">
      <c r="A226" s="188">
        <v>125</v>
      </c>
      <c r="B226" s="189" t="s">
        <v>919</v>
      </c>
      <c r="C226" s="193" t="s">
        <v>39</v>
      </c>
      <c r="D226" s="190" t="s">
        <v>40</v>
      </c>
      <c r="E226" s="191" t="s">
        <v>950</v>
      </c>
      <c r="F226" s="191" t="s">
        <v>951</v>
      </c>
      <c r="G226" s="191" t="s">
        <v>952</v>
      </c>
      <c r="H226" s="192"/>
      <c r="I226" s="210"/>
      <c r="J226" s="193" t="s">
        <v>1890</v>
      </c>
      <c r="K226" s="193" t="s">
        <v>19</v>
      </c>
      <c r="L226" s="190" t="s">
        <v>40</v>
      </c>
      <c r="M226" s="191" t="s">
        <v>1187</v>
      </c>
      <c r="N226" s="191" t="s">
        <v>646</v>
      </c>
      <c r="O226" s="191" t="s">
        <v>1906</v>
      </c>
      <c r="P226" s="192"/>
      <c r="Q226" s="223" t="s">
        <v>2677</v>
      </c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spans="1:27" ht="18" customHeight="1">
      <c r="A227" s="188">
        <v>126</v>
      </c>
      <c r="B227" s="189" t="s">
        <v>1858</v>
      </c>
      <c r="C227" s="193" t="s">
        <v>39</v>
      </c>
      <c r="D227" s="190" t="s">
        <v>40</v>
      </c>
      <c r="E227" s="191" t="s">
        <v>1881</v>
      </c>
      <c r="F227" s="191" t="s">
        <v>1882</v>
      </c>
      <c r="G227" s="191" t="s">
        <v>1883</v>
      </c>
      <c r="H227" s="192"/>
      <c r="I227" s="210"/>
      <c r="J227" s="193" t="s">
        <v>837</v>
      </c>
      <c r="K227" s="193" t="s">
        <v>39</v>
      </c>
      <c r="L227" s="194" t="s">
        <v>40</v>
      </c>
      <c r="M227" s="204" t="s">
        <v>884</v>
      </c>
      <c r="N227" s="204" t="s">
        <v>885</v>
      </c>
      <c r="O227" s="204" t="s">
        <v>886</v>
      </c>
      <c r="P227" s="192"/>
      <c r="Q227" s="210" t="s">
        <v>2766</v>
      </c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spans="1:27" ht="18" customHeight="1">
      <c r="A228" s="188">
        <v>127</v>
      </c>
      <c r="B228" s="189" t="s">
        <v>1348</v>
      </c>
      <c r="C228" s="193" t="s">
        <v>39</v>
      </c>
      <c r="D228" s="190" t="s">
        <v>40</v>
      </c>
      <c r="E228" s="191" t="s">
        <v>1426</v>
      </c>
      <c r="F228" s="191" t="s">
        <v>1427</v>
      </c>
      <c r="G228" s="191" t="s">
        <v>1428</v>
      </c>
      <c r="H228" s="192"/>
      <c r="I228" s="210"/>
      <c r="J228" s="193" t="s">
        <v>1588</v>
      </c>
      <c r="K228" s="193" t="s">
        <v>39</v>
      </c>
      <c r="L228" s="190" t="s">
        <v>40</v>
      </c>
      <c r="M228" s="191" t="s">
        <v>1614</v>
      </c>
      <c r="N228" s="191" t="s">
        <v>1615</v>
      </c>
      <c r="O228" s="191" t="s">
        <v>365</v>
      </c>
      <c r="P228" s="192"/>
      <c r="Q228" s="210" t="s">
        <v>2767</v>
      </c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spans="1:27" ht="18" customHeight="1">
      <c r="A229" s="188">
        <v>128</v>
      </c>
      <c r="B229" s="193" t="s">
        <v>1588</v>
      </c>
      <c r="C229" s="193" t="s">
        <v>19</v>
      </c>
      <c r="D229" s="190" t="s">
        <v>40</v>
      </c>
      <c r="E229" s="191" t="s">
        <v>1622</v>
      </c>
      <c r="F229" s="191" t="s">
        <v>1623</v>
      </c>
      <c r="G229" s="191" t="s">
        <v>1624</v>
      </c>
      <c r="H229" s="192"/>
      <c r="I229" s="228"/>
      <c r="J229" s="189" t="s">
        <v>1844</v>
      </c>
      <c r="K229" s="193" t="s">
        <v>39</v>
      </c>
      <c r="L229" s="190" t="s">
        <v>40</v>
      </c>
      <c r="M229" s="191" t="s">
        <v>1855</v>
      </c>
      <c r="N229" s="191" t="s">
        <v>1856</v>
      </c>
      <c r="O229" s="191" t="s">
        <v>1857</v>
      </c>
      <c r="P229" s="194"/>
      <c r="Q229" s="228" t="s">
        <v>2768</v>
      </c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spans="1:27" ht="18" customHeight="1">
      <c r="A230" s="188">
        <v>129</v>
      </c>
      <c r="B230" s="193" t="s">
        <v>1537</v>
      </c>
      <c r="C230" s="193" t="s">
        <v>39</v>
      </c>
      <c r="D230" s="190" t="s">
        <v>40</v>
      </c>
      <c r="E230" s="191" t="s">
        <v>1553</v>
      </c>
      <c r="F230" s="191" t="s">
        <v>1554</v>
      </c>
      <c r="G230" s="191" t="s">
        <v>393</v>
      </c>
      <c r="H230" s="202"/>
      <c r="I230" s="210"/>
      <c r="J230" s="189" t="s">
        <v>1368</v>
      </c>
      <c r="K230" s="193" t="s">
        <v>39</v>
      </c>
      <c r="L230" s="190" t="s">
        <v>40</v>
      </c>
      <c r="M230" s="191" t="s">
        <v>1369</v>
      </c>
      <c r="N230" s="191" t="s">
        <v>1370</v>
      </c>
      <c r="O230" s="191" t="s">
        <v>630</v>
      </c>
      <c r="P230" s="192"/>
      <c r="Q230" s="210" t="s">
        <v>2720</v>
      </c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spans="1:27" ht="18" customHeight="1">
      <c r="A231" s="188">
        <v>130</v>
      </c>
      <c r="B231" s="193" t="s">
        <v>1588</v>
      </c>
      <c r="C231" s="193" t="s">
        <v>39</v>
      </c>
      <c r="D231" s="190" t="s">
        <v>40</v>
      </c>
      <c r="E231" s="191" t="s">
        <v>1627</v>
      </c>
      <c r="F231" s="191" t="s">
        <v>1628</v>
      </c>
      <c r="G231" s="191" t="s">
        <v>1629</v>
      </c>
      <c r="H231" s="192"/>
      <c r="I231" s="212"/>
      <c r="J231" s="189" t="s">
        <v>1451</v>
      </c>
      <c r="K231" s="189" t="s">
        <v>19</v>
      </c>
      <c r="L231" s="190" t="s">
        <v>40</v>
      </c>
      <c r="M231" s="191" t="s">
        <v>1467</v>
      </c>
      <c r="N231" s="191" t="s">
        <v>1468</v>
      </c>
      <c r="O231" s="191" t="s">
        <v>1469</v>
      </c>
      <c r="P231" s="192"/>
      <c r="Q231" s="210" t="s">
        <v>2724</v>
      </c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spans="1:27" ht="18" customHeight="1">
      <c r="A232" s="188">
        <v>131</v>
      </c>
      <c r="B232" s="189" t="s">
        <v>122</v>
      </c>
      <c r="C232" s="189" t="s">
        <v>19</v>
      </c>
      <c r="D232" s="190" t="s">
        <v>40</v>
      </c>
      <c r="E232" s="191" t="s">
        <v>133</v>
      </c>
      <c r="F232" s="191" t="s">
        <v>134</v>
      </c>
      <c r="G232" s="191" t="s">
        <v>135</v>
      </c>
      <c r="H232" s="192"/>
      <c r="I232" s="210"/>
      <c r="J232" s="66"/>
      <c r="K232" s="66"/>
      <c r="L232" s="66"/>
      <c r="M232" s="66"/>
      <c r="N232" s="66"/>
      <c r="O232" s="66"/>
      <c r="P232" s="192"/>
      <c r="Q232" s="210" t="s">
        <v>2769</v>
      </c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spans="1:27" ht="18" customHeight="1">
      <c r="A233" s="188">
        <v>132</v>
      </c>
      <c r="B233" s="189" t="s">
        <v>919</v>
      </c>
      <c r="C233" s="193" t="s">
        <v>39</v>
      </c>
      <c r="D233" s="190" t="s">
        <v>40</v>
      </c>
      <c r="E233" s="191" t="s">
        <v>955</v>
      </c>
      <c r="F233" s="191" t="s">
        <v>956</v>
      </c>
      <c r="G233" s="191" t="s">
        <v>957</v>
      </c>
      <c r="H233" s="192"/>
      <c r="I233" s="210"/>
      <c r="J233" s="66"/>
      <c r="K233" s="66"/>
      <c r="L233" s="66"/>
      <c r="M233" s="66"/>
      <c r="N233" s="66"/>
      <c r="O233" s="66"/>
      <c r="P233" s="192"/>
      <c r="Q233" s="210" t="s">
        <v>2770</v>
      </c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spans="1:27" ht="18" customHeight="1">
      <c r="A234" s="188">
        <v>133</v>
      </c>
      <c r="B234" s="189" t="s">
        <v>1348</v>
      </c>
      <c r="C234" s="193" t="s">
        <v>39</v>
      </c>
      <c r="D234" s="190" t="s">
        <v>40</v>
      </c>
      <c r="E234" s="191" t="s">
        <v>1358</v>
      </c>
      <c r="F234" s="191" t="s">
        <v>1359</v>
      </c>
      <c r="G234" s="191" t="s">
        <v>1360</v>
      </c>
      <c r="H234" s="192"/>
      <c r="I234" s="210"/>
      <c r="J234" s="66"/>
      <c r="K234" s="66"/>
      <c r="L234" s="66"/>
      <c r="M234" s="66"/>
      <c r="N234" s="66"/>
      <c r="O234" s="66"/>
      <c r="P234" s="192"/>
      <c r="Q234" s="210" t="s">
        <v>2771</v>
      </c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spans="1:27" ht="18" customHeight="1">
      <c r="A235" s="188">
        <v>134</v>
      </c>
      <c r="B235" s="193" t="s">
        <v>1788</v>
      </c>
      <c r="C235" s="189" t="s">
        <v>19</v>
      </c>
      <c r="D235" s="190" t="s">
        <v>40</v>
      </c>
      <c r="E235" s="191" t="s">
        <v>1801</v>
      </c>
      <c r="F235" s="191" t="s">
        <v>1802</v>
      </c>
      <c r="G235" s="191" t="s">
        <v>1803</v>
      </c>
      <c r="H235" s="192"/>
      <c r="I235" s="210"/>
      <c r="J235" s="66"/>
      <c r="K235" s="66"/>
      <c r="L235" s="66"/>
      <c r="M235" s="66"/>
      <c r="N235" s="66"/>
      <c r="O235" s="66"/>
      <c r="P235" s="192"/>
      <c r="Q235" s="210" t="s">
        <v>2722</v>
      </c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ht="18" customHeight="1">
      <c r="A236" s="188">
        <v>135</v>
      </c>
      <c r="B236" s="189" t="s">
        <v>1008</v>
      </c>
      <c r="C236" s="193" t="s">
        <v>39</v>
      </c>
      <c r="D236" s="190" t="s">
        <v>40</v>
      </c>
      <c r="E236" s="191" t="s">
        <v>1032</v>
      </c>
      <c r="F236" s="191" t="s">
        <v>1033</v>
      </c>
      <c r="G236" s="191" t="s">
        <v>1034</v>
      </c>
      <c r="H236" s="242"/>
      <c r="I236" s="212"/>
      <c r="J236" s="66"/>
      <c r="K236" s="66"/>
      <c r="L236" s="66"/>
      <c r="M236" s="66"/>
      <c r="N236" s="66"/>
      <c r="O236" s="66"/>
      <c r="P236" s="205"/>
      <c r="Q236" s="212" t="s">
        <v>2772</v>
      </c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spans="1:27" ht="18" customHeight="1">
      <c r="A237" s="188">
        <v>136</v>
      </c>
      <c r="B237" s="189" t="s">
        <v>1008</v>
      </c>
      <c r="C237" s="189" t="s">
        <v>19</v>
      </c>
      <c r="D237" s="190" t="s">
        <v>40</v>
      </c>
      <c r="E237" s="191" t="s">
        <v>636</v>
      </c>
      <c r="F237" s="191" t="s">
        <v>1028</v>
      </c>
      <c r="G237" s="191" t="s">
        <v>1029</v>
      </c>
      <c r="H237" s="202"/>
      <c r="I237" s="212"/>
      <c r="J237" s="66"/>
      <c r="K237" s="66"/>
      <c r="L237" s="66"/>
      <c r="M237" s="66"/>
      <c r="N237" s="66"/>
      <c r="O237" s="66"/>
      <c r="P237" s="192"/>
      <c r="Q237" s="228" t="s">
        <v>2679</v>
      </c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spans="1:27" ht="18" customHeight="1">
      <c r="A238" s="188">
        <v>137</v>
      </c>
      <c r="B238" s="189" t="s">
        <v>1638</v>
      </c>
      <c r="C238" s="193" t="s">
        <v>39</v>
      </c>
      <c r="D238" s="190" t="s">
        <v>40</v>
      </c>
      <c r="E238" s="191" t="s">
        <v>1649</v>
      </c>
      <c r="F238" s="191" t="s">
        <v>1650</v>
      </c>
      <c r="G238" s="191" t="s">
        <v>1651</v>
      </c>
      <c r="H238" s="192"/>
      <c r="I238" s="210"/>
      <c r="J238" s="66"/>
      <c r="K238" s="66"/>
      <c r="L238" s="66"/>
      <c r="M238" s="66"/>
      <c r="N238" s="66"/>
      <c r="O238" s="66"/>
      <c r="P238" s="192"/>
      <c r="Q238" s="210" t="s">
        <v>2773</v>
      </c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spans="1:27" ht="18" customHeight="1">
      <c r="A239" s="188">
        <v>138</v>
      </c>
      <c r="B239" s="189" t="s">
        <v>56</v>
      </c>
      <c r="C239" s="193" t="s">
        <v>39</v>
      </c>
      <c r="D239" s="190" t="s">
        <v>40</v>
      </c>
      <c r="E239" s="191" t="s">
        <v>68</v>
      </c>
      <c r="F239" s="191" t="s">
        <v>69</v>
      </c>
      <c r="G239" s="191" t="s">
        <v>70</v>
      </c>
      <c r="H239" s="192"/>
      <c r="I239" s="228"/>
      <c r="J239" s="66"/>
      <c r="K239" s="66"/>
      <c r="L239" s="66"/>
      <c r="M239" s="66"/>
      <c r="N239" s="66"/>
      <c r="O239" s="66"/>
      <c r="P239" s="192"/>
      <c r="Q239" s="210" t="s">
        <v>2774</v>
      </c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spans="1:27" ht="18" customHeight="1">
      <c r="A240" s="188">
        <v>139</v>
      </c>
      <c r="B240" s="189" t="s">
        <v>1656</v>
      </c>
      <c r="C240" s="193" t="s">
        <v>19</v>
      </c>
      <c r="D240" s="190" t="s">
        <v>40</v>
      </c>
      <c r="E240" s="191" t="s">
        <v>1695</v>
      </c>
      <c r="F240" s="191" t="s">
        <v>1696</v>
      </c>
      <c r="G240" s="191" t="s">
        <v>1697</v>
      </c>
      <c r="H240" s="192"/>
      <c r="I240" s="210"/>
      <c r="J240" s="66"/>
      <c r="K240" s="66"/>
      <c r="L240" s="66"/>
      <c r="M240" s="66"/>
      <c r="N240" s="66"/>
      <c r="O240" s="66"/>
      <c r="P240" s="192"/>
      <c r="Q240" s="229" t="s">
        <v>2775</v>
      </c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spans="1:27" ht="18" customHeight="1">
      <c r="A241" s="188">
        <v>140</v>
      </c>
      <c r="B241" s="189" t="s">
        <v>1348</v>
      </c>
      <c r="C241" s="193" t="s">
        <v>39</v>
      </c>
      <c r="D241" s="190" t="s">
        <v>40</v>
      </c>
      <c r="E241" s="191" t="s">
        <v>1363</v>
      </c>
      <c r="F241" s="191" t="s">
        <v>1364</v>
      </c>
      <c r="G241" s="191" t="s">
        <v>1365</v>
      </c>
      <c r="H241" s="192"/>
      <c r="I241" s="210"/>
      <c r="J241" s="193" t="s">
        <v>1563</v>
      </c>
      <c r="K241" s="193" t="s">
        <v>19</v>
      </c>
      <c r="L241" s="190" t="s">
        <v>40</v>
      </c>
      <c r="M241" s="191" t="s">
        <v>151</v>
      </c>
      <c r="N241" s="191" t="s">
        <v>1586</v>
      </c>
      <c r="O241" s="191" t="s">
        <v>1587</v>
      </c>
      <c r="P241" s="192"/>
      <c r="Q241" s="228" t="s">
        <v>2679</v>
      </c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spans="1:27" ht="18" customHeight="1">
      <c r="A242" s="188">
        <v>141</v>
      </c>
      <c r="B242" s="189" t="s">
        <v>1451</v>
      </c>
      <c r="C242" s="193" t="s">
        <v>39</v>
      </c>
      <c r="D242" s="190" t="s">
        <v>40</v>
      </c>
      <c r="E242" s="191" t="s">
        <v>1470</v>
      </c>
      <c r="F242" s="191" t="s">
        <v>1471</v>
      </c>
      <c r="G242" s="191" t="s">
        <v>1472</v>
      </c>
      <c r="H242" s="192"/>
      <c r="I242" s="210"/>
      <c r="J242" s="193" t="s">
        <v>1588</v>
      </c>
      <c r="K242" s="193" t="s">
        <v>19</v>
      </c>
      <c r="L242" s="190" t="s">
        <v>40</v>
      </c>
      <c r="M242" s="191" t="s">
        <v>151</v>
      </c>
      <c r="N242" s="191" t="s">
        <v>1618</v>
      </c>
      <c r="O242" s="191" t="s">
        <v>1619</v>
      </c>
      <c r="P242" s="192"/>
      <c r="Q242" s="228" t="s">
        <v>2679</v>
      </c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spans="1:27" ht="18" customHeight="1">
      <c r="A243" s="188">
        <v>142</v>
      </c>
      <c r="B243" s="189" t="s">
        <v>1698</v>
      </c>
      <c r="C243" s="189" t="s">
        <v>19</v>
      </c>
      <c r="D243" s="190" t="s">
        <v>40</v>
      </c>
      <c r="E243" s="191" t="s">
        <v>1701</v>
      </c>
      <c r="F243" s="191" t="s">
        <v>1702</v>
      </c>
      <c r="G243" s="191" t="s">
        <v>1703</v>
      </c>
      <c r="H243" s="192"/>
      <c r="I243" s="267"/>
      <c r="J243" s="193" t="s">
        <v>1537</v>
      </c>
      <c r="K243" s="193" t="s">
        <v>39</v>
      </c>
      <c r="L243" s="190" t="s">
        <v>40</v>
      </c>
      <c r="M243" s="191" t="s">
        <v>151</v>
      </c>
      <c r="N243" s="191" t="s">
        <v>1549</v>
      </c>
      <c r="O243" s="191" t="s">
        <v>1550</v>
      </c>
      <c r="P243" s="192"/>
      <c r="Q243" s="210" t="s">
        <v>2714</v>
      </c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spans="1:27" ht="18" customHeight="1">
      <c r="A244" s="188">
        <v>143</v>
      </c>
      <c r="B244" s="193" t="s">
        <v>837</v>
      </c>
      <c r="C244" s="193" t="s">
        <v>39</v>
      </c>
      <c r="D244" s="190" t="s">
        <v>40</v>
      </c>
      <c r="E244" s="191" t="s">
        <v>887</v>
      </c>
      <c r="F244" s="191" t="s">
        <v>888</v>
      </c>
      <c r="G244" s="191" t="s">
        <v>639</v>
      </c>
      <c r="H244" s="192"/>
      <c r="I244" s="212"/>
      <c r="J244" s="189" t="s">
        <v>1858</v>
      </c>
      <c r="K244" s="189" t="s">
        <v>19</v>
      </c>
      <c r="L244" s="190" t="s">
        <v>40</v>
      </c>
      <c r="M244" s="191" t="s">
        <v>151</v>
      </c>
      <c r="N244" s="191" t="s">
        <v>1878</v>
      </c>
      <c r="O244" s="191" t="s">
        <v>971</v>
      </c>
      <c r="P244" s="192"/>
      <c r="Q244" s="210" t="s">
        <v>2776</v>
      </c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spans="1:27" ht="18" customHeight="1">
      <c r="A245" s="188">
        <v>144</v>
      </c>
      <c r="B245" s="189" t="s">
        <v>919</v>
      </c>
      <c r="C245" s="193" t="s">
        <v>39</v>
      </c>
      <c r="D245" s="190" t="s">
        <v>40</v>
      </c>
      <c r="E245" s="191" t="s">
        <v>960</v>
      </c>
      <c r="F245" s="191" t="s">
        <v>961</v>
      </c>
      <c r="G245" s="191" t="s">
        <v>962</v>
      </c>
      <c r="H245" s="192"/>
      <c r="I245" s="210"/>
      <c r="J245" s="189" t="s">
        <v>1296</v>
      </c>
      <c r="K245" s="193" t="s">
        <v>19</v>
      </c>
      <c r="L245" s="190" t="s">
        <v>40</v>
      </c>
      <c r="M245" s="191" t="s">
        <v>1297</v>
      </c>
      <c r="N245" s="191" t="s">
        <v>1298</v>
      </c>
      <c r="O245" s="191" t="s">
        <v>1299</v>
      </c>
      <c r="P245" s="192" t="s">
        <v>268</v>
      </c>
      <c r="Q245" s="210" t="s">
        <v>2777</v>
      </c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spans="1:27" ht="18" customHeight="1">
      <c r="A246" s="188">
        <v>145</v>
      </c>
      <c r="B246" s="189" t="s">
        <v>138</v>
      </c>
      <c r="C246" s="193" t="s">
        <v>39</v>
      </c>
      <c r="D246" s="190" t="s">
        <v>40</v>
      </c>
      <c r="E246" s="191" t="s">
        <v>149</v>
      </c>
      <c r="F246" s="191" t="s">
        <v>150</v>
      </c>
      <c r="G246" s="191" t="s">
        <v>151</v>
      </c>
      <c r="H246" s="192"/>
      <c r="I246" s="210"/>
      <c r="J246" s="189" t="s">
        <v>1804</v>
      </c>
      <c r="K246" s="189" t="s">
        <v>19</v>
      </c>
      <c r="L246" s="190" t="s">
        <v>40</v>
      </c>
      <c r="M246" s="191" t="s">
        <v>1835</v>
      </c>
      <c r="N246" s="191" t="s">
        <v>1836</v>
      </c>
      <c r="O246" s="191" t="s">
        <v>1837</v>
      </c>
      <c r="P246" s="202"/>
      <c r="Q246" s="228" t="s">
        <v>2679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spans="1:27" ht="18" customHeight="1">
      <c r="A247" s="188">
        <v>146</v>
      </c>
      <c r="B247" s="189" t="s">
        <v>1451</v>
      </c>
      <c r="C247" s="189" t="s">
        <v>19</v>
      </c>
      <c r="D247" s="190" t="s">
        <v>40</v>
      </c>
      <c r="E247" s="191" t="s">
        <v>1475</v>
      </c>
      <c r="F247" s="191" t="s">
        <v>1476</v>
      </c>
      <c r="G247" s="191" t="s">
        <v>1477</v>
      </c>
      <c r="H247" s="192"/>
      <c r="I247" s="210"/>
      <c r="J247" s="189" t="s">
        <v>919</v>
      </c>
      <c r="K247" s="193" t="s">
        <v>39</v>
      </c>
      <c r="L247" s="190" t="s">
        <v>40</v>
      </c>
      <c r="M247" s="191" t="s">
        <v>950</v>
      </c>
      <c r="N247" s="191" t="s">
        <v>951</v>
      </c>
      <c r="O247" s="191" t="s">
        <v>952</v>
      </c>
      <c r="P247" s="192"/>
      <c r="Q247" s="210" t="s">
        <v>2778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spans="1:27" ht="18" customHeight="1">
      <c r="A248" s="188">
        <v>147</v>
      </c>
      <c r="B248" s="189" t="s">
        <v>1858</v>
      </c>
      <c r="C248" s="193" t="s">
        <v>39</v>
      </c>
      <c r="D248" s="190" t="s">
        <v>40</v>
      </c>
      <c r="E248" s="191" t="s">
        <v>1886</v>
      </c>
      <c r="F248" s="191" t="s">
        <v>1887</v>
      </c>
      <c r="G248" s="191" t="s">
        <v>1689</v>
      </c>
      <c r="H248" s="192"/>
      <c r="I248" s="210"/>
      <c r="J248" s="189" t="s">
        <v>1858</v>
      </c>
      <c r="K248" s="193" t="s">
        <v>39</v>
      </c>
      <c r="L248" s="190" t="s">
        <v>40</v>
      </c>
      <c r="M248" s="191" t="s">
        <v>1881</v>
      </c>
      <c r="N248" s="191" t="s">
        <v>1882</v>
      </c>
      <c r="O248" s="191" t="s">
        <v>1883</v>
      </c>
      <c r="P248" s="192"/>
      <c r="Q248" s="210" t="s">
        <v>2779</v>
      </c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spans="1:27" ht="18" customHeight="1">
      <c r="A249" s="188">
        <v>148</v>
      </c>
      <c r="B249" s="189" t="s">
        <v>1804</v>
      </c>
      <c r="C249" s="189" t="s">
        <v>19</v>
      </c>
      <c r="D249" s="190" t="s">
        <v>40</v>
      </c>
      <c r="E249" s="191" t="s">
        <v>1002</v>
      </c>
      <c r="F249" s="191" t="s">
        <v>1840</v>
      </c>
      <c r="G249" s="191" t="s">
        <v>1841</v>
      </c>
      <c r="H249" s="192"/>
      <c r="I249" s="228"/>
      <c r="J249" s="189" t="s">
        <v>1348</v>
      </c>
      <c r="K249" s="193" t="s">
        <v>39</v>
      </c>
      <c r="L249" s="190" t="s">
        <v>40</v>
      </c>
      <c r="M249" s="191" t="s">
        <v>1426</v>
      </c>
      <c r="N249" s="191" t="s">
        <v>1427</v>
      </c>
      <c r="O249" s="191" t="s">
        <v>1428</v>
      </c>
      <c r="P249" s="192"/>
      <c r="Q249" s="210" t="s">
        <v>2780</v>
      </c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spans="1:27" ht="18" customHeight="1">
      <c r="A250" s="188">
        <v>149</v>
      </c>
      <c r="B250" s="189" t="s">
        <v>1804</v>
      </c>
      <c r="C250" s="189" t="s">
        <v>19</v>
      </c>
      <c r="D250" s="190" t="s">
        <v>40</v>
      </c>
      <c r="E250" s="191" t="s">
        <v>1842</v>
      </c>
      <c r="F250" s="191" t="s">
        <v>1843</v>
      </c>
      <c r="G250" s="191" t="s">
        <v>920</v>
      </c>
      <c r="H250" s="192"/>
      <c r="I250" s="228"/>
      <c r="J250" s="193" t="s">
        <v>1588</v>
      </c>
      <c r="K250" s="193" t="s">
        <v>19</v>
      </c>
      <c r="L250" s="190" t="s">
        <v>40</v>
      </c>
      <c r="M250" s="191" t="s">
        <v>1622</v>
      </c>
      <c r="N250" s="191" t="s">
        <v>1623</v>
      </c>
      <c r="O250" s="191" t="s">
        <v>1624</v>
      </c>
      <c r="P250" s="192"/>
      <c r="Q250" s="228" t="s">
        <v>2679</v>
      </c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spans="1:27" ht="18" customHeight="1">
      <c r="A251" s="188">
        <v>150</v>
      </c>
      <c r="B251" s="189" t="s">
        <v>1704</v>
      </c>
      <c r="C251" s="193" t="s">
        <v>39</v>
      </c>
      <c r="D251" s="190" t="s">
        <v>40</v>
      </c>
      <c r="E251" s="191" t="s">
        <v>1705</v>
      </c>
      <c r="F251" s="191" t="s">
        <v>1706</v>
      </c>
      <c r="G251" s="191" t="s">
        <v>1224</v>
      </c>
      <c r="H251" s="192"/>
      <c r="I251" s="210"/>
      <c r="J251" s="265" t="s">
        <v>1229</v>
      </c>
      <c r="K251" s="189" t="s">
        <v>19</v>
      </c>
      <c r="L251" s="190" t="s">
        <v>40</v>
      </c>
      <c r="M251" s="191" t="s">
        <v>1275</v>
      </c>
      <c r="N251" s="191" t="s">
        <v>1276</v>
      </c>
      <c r="O251" s="191" t="s">
        <v>1277</v>
      </c>
      <c r="P251" s="192"/>
      <c r="Q251" s="210" t="s">
        <v>2781</v>
      </c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spans="1:27" ht="13.5" customHeight="1">
      <c r="A252" s="230"/>
      <c r="B252" s="268"/>
      <c r="C252" s="269"/>
      <c r="D252" s="3"/>
      <c r="E252" s="4"/>
      <c r="F252" s="4"/>
      <c r="G252" s="4"/>
      <c r="H252" s="270"/>
      <c r="I252" s="271"/>
      <c r="J252" s="193" t="s">
        <v>1537</v>
      </c>
      <c r="K252" s="193" t="s">
        <v>39</v>
      </c>
      <c r="L252" s="190" t="s">
        <v>40</v>
      </c>
      <c r="M252" s="191" t="s">
        <v>1553</v>
      </c>
      <c r="N252" s="191" t="s">
        <v>1554</v>
      </c>
      <c r="O252" s="191" t="s">
        <v>393</v>
      </c>
      <c r="P252" s="202"/>
      <c r="Q252" s="210" t="s">
        <v>2682</v>
      </c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spans="1:27" ht="9" customHeight="1">
      <c r="A253" s="3"/>
      <c r="B253" s="268"/>
      <c r="C253" s="268"/>
      <c r="D253" s="3"/>
      <c r="E253" s="185"/>
      <c r="F253" s="4"/>
      <c r="G253" s="4"/>
      <c r="H253" s="3"/>
      <c r="I253" s="271"/>
      <c r="J253" s="193" t="s">
        <v>1788</v>
      </c>
      <c r="K253" s="189" t="s">
        <v>19</v>
      </c>
      <c r="L253" s="190" t="s">
        <v>40</v>
      </c>
      <c r="M253" s="191" t="s">
        <v>1801</v>
      </c>
      <c r="N253" s="191" t="s">
        <v>1802</v>
      </c>
      <c r="O253" s="191" t="s">
        <v>1803</v>
      </c>
      <c r="P253" s="192"/>
      <c r="Q253" s="210" t="s">
        <v>2782</v>
      </c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spans="1:27" ht="13.5" customHeight="1">
      <c r="A254" s="272" t="s">
        <v>1907</v>
      </c>
      <c r="B254" s="268"/>
      <c r="C254" s="268"/>
      <c r="D254" s="3"/>
      <c r="E254" s="66"/>
      <c r="F254" s="185"/>
      <c r="G254" s="185"/>
      <c r="H254" s="3"/>
      <c r="I254" s="271"/>
      <c r="J254" s="189" t="s">
        <v>1008</v>
      </c>
      <c r="K254" s="193" t="s">
        <v>39</v>
      </c>
      <c r="L254" s="190" t="s">
        <v>40</v>
      </c>
      <c r="M254" s="191" t="s">
        <v>1032</v>
      </c>
      <c r="N254" s="191" t="s">
        <v>1033</v>
      </c>
      <c r="O254" s="191" t="s">
        <v>1034</v>
      </c>
      <c r="P254" s="242"/>
      <c r="Q254" s="212" t="s">
        <v>2711</v>
      </c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spans="1:27" ht="42" customHeight="1">
      <c r="A255" s="377" t="s">
        <v>9</v>
      </c>
      <c r="B255" s="371"/>
      <c r="C255" s="273"/>
      <c r="D255" s="378" t="s">
        <v>1908</v>
      </c>
      <c r="E255" s="371"/>
      <c r="F255" s="44" t="s">
        <v>2666</v>
      </c>
      <c r="G255" s="378" t="s">
        <v>1911</v>
      </c>
      <c r="H255" s="371"/>
      <c r="I255" s="187" t="s">
        <v>1912</v>
      </c>
      <c r="J255" s="189" t="s">
        <v>1008</v>
      </c>
      <c r="K255" s="189" t="s">
        <v>19</v>
      </c>
      <c r="L255" s="190" t="s">
        <v>40</v>
      </c>
      <c r="M255" s="191" t="s">
        <v>636</v>
      </c>
      <c r="N255" s="191" t="s">
        <v>1028</v>
      </c>
      <c r="O255" s="191" t="s">
        <v>1029</v>
      </c>
      <c r="P255" s="202"/>
      <c r="Q255" s="212" t="s">
        <v>2783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spans="1:27" ht="23.25" customHeight="1">
      <c r="A256" s="373" t="s">
        <v>1913</v>
      </c>
      <c r="B256" s="371"/>
      <c r="C256" s="274"/>
      <c r="D256" s="373">
        <v>35</v>
      </c>
      <c r="E256" s="371"/>
      <c r="F256" s="275">
        <v>145</v>
      </c>
      <c r="G256" s="374">
        <v>1</v>
      </c>
      <c r="H256" s="371"/>
      <c r="I256" s="276">
        <f t="shared" ref="I256:I258" si="0">SUM(D256:H256)</f>
        <v>181</v>
      </c>
      <c r="J256" s="265" t="s">
        <v>719</v>
      </c>
      <c r="K256" s="265" t="s">
        <v>19</v>
      </c>
      <c r="L256" s="190" t="s">
        <v>40</v>
      </c>
      <c r="M256" s="191" t="s">
        <v>636</v>
      </c>
      <c r="N256" s="191" t="s">
        <v>725</v>
      </c>
      <c r="O256" s="191" t="s">
        <v>726</v>
      </c>
      <c r="P256" s="192"/>
      <c r="Q256" s="210" t="s">
        <v>2784</v>
      </c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spans="1:27" ht="23.25" customHeight="1">
      <c r="A257" s="373" t="s">
        <v>1914</v>
      </c>
      <c r="B257" s="371"/>
      <c r="C257" s="274"/>
      <c r="D257" s="373">
        <v>54</v>
      </c>
      <c r="E257" s="371"/>
      <c r="F257" s="275">
        <v>150</v>
      </c>
      <c r="G257" s="374">
        <v>4</v>
      </c>
      <c r="H257" s="371"/>
      <c r="I257" s="276">
        <f t="shared" si="0"/>
        <v>208</v>
      </c>
      <c r="J257" s="189" t="s">
        <v>1638</v>
      </c>
      <c r="K257" s="193" t="s">
        <v>39</v>
      </c>
      <c r="L257" s="190" t="s">
        <v>40</v>
      </c>
      <c r="M257" s="191" t="s">
        <v>1649</v>
      </c>
      <c r="N257" s="191" t="s">
        <v>1650</v>
      </c>
      <c r="O257" s="191" t="s">
        <v>1651</v>
      </c>
      <c r="P257" s="192"/>
      <c r="Q257" s="210" t="s">
        <v>2682</v>
      </c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 spans="1:27" ht="23.25" customHeight="1">
      <c r="A258" s="373" t="s">
        <v>1915</v>
      </c>
      <c r="B258" s="371"/>
      <c r="C258" s="274"/>
      <c r="D258" s="373">
        <v>150</v>
      </c>
      <c r="E258" s="371"/>
      <c r="F258" s="275">
        <v>27</v>
      </c>
      <c r="G258" s="374">
        <v>0</v>
      </c>
      <c r="H258" s="371"/>
      <c r="I258" s="276">
        <f t="shared" si="0"/>
        <v>177</v>
      </c>
      <c r="J258" s="189" t="s">
        <v>56</v>
      </c>
      <c r="K258" s="193" t="s">
        <v>39</v>
      </c>
      <c r="L258" s="190" t="s">
        <v>40</v>
      </c>
      <c r="M258" s="191" t="s">
        <v>68</v>
      </c>
      <c r="N258" s="191" t="s">
        <v>69</v>
      </c>
      <c r="O258" s="191" t="s">
        <v>70</v>
      </c>
      <c r="P258" s="192"/>
      <c r="Q258" s="228" t="s">
        <v>2785</v>
      </c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 spans="1:27" ht="23.25" customHeight="1">
      <c r="A259" s="373" t="s">
        <v>1916</v>
      </c>
      <c r="B259" s="371"/>
      <c r="C259" s="274"/>
      <c r="D259" s="373">
        <f>SUM(D256:D258)</f>
        <v>239</v>
      </c>
      <c r="E259" s="371"/>
      <c r="F259" s="31">
        <f t="shared" ref="F259:G259" si="1">SUM(F256:F258)</f>
        <v>322</v>
      </c>
      <c r="G259" s="373">
        <f t="shared" si="1"/>
        <v>5</v>
      </c>
      <c r="H259" s="371"/>
      <c r="I259" s="31">
        <f>SUM(I256:I258)</f>
        <v>566</v>
      </c>
      <c r="J259" s="189" t="s">
        <v>1656</v>
      </c>
      <c r="K259" s="193" t="s">
        <v>19</v>
      </c>
      <c r="L259" s="190" t="s">
        <v>40</v>
      </c>
      <c r="M259" s="191" t="s">
        <v>1695</v>
      </c>
      <c r="N259" s="191" t="s">
        <v>1696</v>
      </c>
      <c r="O259" s="191" t="s">
        <v>1697</v>
      </c>
      <c r="P259" s="192"/>
      <c r="Q259" s="210" t="s">
        <v>2714</v>
      </c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 spans="1:27" ht="23.25" customHeight="1">
      <c r="A260" s="53"/>
      <c r="B260" s="53"/>
      <c r="C260" s="53"/>
      <c r="D260" s="54"/>
      <c r="E260" s="66"/>
      <c r="F260" s="54"/>
      <c r="G260" s="54"/>
      <c r="H260" s="54"/>
      <c r="I260" s="54"/>
      <c r="J260" s="189" t="s">
        <v>1348</v>
      </c>
      <c r="K260" s="193" t="s">
        <v>39</v>
      </c>
      <c r="L260" s="190" t="s">
        <v>40</v>
      </c>
      <c r="M260" s="191" t="s">
        <v>1363</v>
      </c>
      <c r="N260" s="191" t="s">
        <v>1364</v>
      </c>
      <c r="O260" s="191" t="s">
        <v>1365</v>
      </c>
      <c r="P260" s="192"/>
      <c r="Q260" s="210" t="s">
        <v>2786</v>
      </c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 spans="1:27" ht="13.5" customHeight="1">
      <c r="A261" s="185"/>
      <c r="B261" s="65" t="s">
        <v>1917</v>
      </c>
      <c r="C261" s="65"/>
      <c r="D261" s="65"/>
      <c r="E261" s="164" t="s">
        <v>1918</v>
      </c>
      <c r="F261" s="164"/>
      <c r="G261" s="164"/>
      <c r="H261" s="164" t="s">
        <v>1919</v>
      </c>
      <c r="I261" s="166"/>
      <c r="J261" s="189" t="s">
        <v>1451</v>
      </c>
      <c r="K261" s="193" t="s">
        <v>39</v>
      </c>
      <c r="L261" s="190" t="s">
        <v>40</v>
      </c>
      <c r="M261" s="191" t="s">
        <v>1470</v>
      </c>
      <c r="N261" s="191" t="s">
        <v>1471</v>
      </c>
      <c r="O261" s="191" t="s">
        <v>1472</v>
      </c>
      <c r="P261" s="192"/>
      <c r="Q261" s="210" t="s">
        <v>2787</v>
      </c>
      <c r="R261" s="366"/>
      <c r="S261" s="364"/>
      <c r="T261" s="364"/>
      <c r="U261" s="364"/>
      <c r="V261" s="364"/>
      <c r="W261" s="367"/>
      <c r="X261" s="363"/>
      <c r="Y261" s="364"/>
      <c r="Z261" s="363"/>
      <c r="AA261" s="363"/>
    </row>
    <row r="262" spans="1:27" ht="22.5" customHeight="1">
      <c r="A262" s="185"/>
      <c r="B262" s="65"/>
      <c r="C262" s="65"/>
      <c r="D262" s="65"/>
      <c r="E262" s="66"/>
      <c r="F262" s="66"/>
      <c r="G262" s="66"/>
      <c r="H262" s="66"/>
      <c r="I262" s="166"/>
      <c r="J262" s="265" t="s">
        <v>352</v>
      </c>
      <c r="K262" s="193" t="s">
        <v>19</v>
      </c>
      <c r="L262" s="190" t="s">
        <v>40</v>
      </c>
      <c r="M262" s="191" t="s">
        <v>387</v>
      </c>
      <c r="N262" s="191" t="s">
        <v>388</v>
      </c>
      <c r="O262" s="191" t="s">
        <v>389</v>
      </c>
      <c r="P262" s="192"/>
      <c r="Q262" s="210" t="s">
        <v>2788</v>
      </c>
      <c r="R262" s="277"/>
      <c r="S262" s="277"/>
      <c r="T262" s="277"/>
      <c r="U262" s="366"/>
      <c r="V262" s="364"/>
      <c r="W262" s="364"/>
      <c r="X262" s="364"/>
      <c r="Y262" s="364"/>
      <c r="Z262" s="364"/>
      <c r="AA262" s="364"/>
    </row>
    <row r="263" spans="1:27" ht="13.5" customHeight="1">
      <c r="A263" s="185"/>
      <c r="B263" s="65"/>
      <c r="C263" s="65"/>
      <c r="D263" s="65"/>
      <c r="E263" s="66"/>
      <c r="F263" s="66"/>
      <c r="G263" s="66"/>
      <c r="H263" s="66"/>
      <c r="I263" s="166"/>
      <c r="J263" s="265" t="s">
        <v>1229</v>
      </c>
      <c r="K263" s="265" t="s">
        <v>39</v>
      </c>
      <c r="L263" s="190" t="s">
        <v>40</v>
      </c>
      <c r="M263" s="191" t="s">
        <v>423</v>
      </c>
      <c r="N263" s="191" t="s">
        <v>1280</v>
      </c>
      <c r="O263" s="191" t="s">
        <v>1281</v>
      </c>
      <c r="P263" s="192"/>
      <c r="Q263" s="210" t="s">
        <v>2789</v>
      </c>
      <c r="R263" s="36"/>
      <c r="S263" s="36"/>
      <c r="T263" s="36"/>
      <c r="U263" s="368"/>
      <c r="V263" s="364"/>
      <c r="W263" s="278"/>
      <c r="X263" s="369"/>
      <c r="Y263" s="364"/>
      <c r="Z263" s="62"/>
      <c r="AA263" s="62"/>
    </row>
    <row r="264" spans="1:27" ht="12" customHeight="1">
      <c r="A264" s="185"/>
      <c r="B264" s="39" t="s">
        <v>1920</v>
      </c>
      <c r="C264" s="67"/>
      <c r="D264" s="65"/>
      <c r="E264" s="167" t="s">
        <v>1921</v>
      </c>
      <c r="F264" s="167"/>
      <c r="G264" s="167"/>
      <c r="H264" s="167" t="s">
        <v>1922</v>
      </c>
      <c r="I264" s="166"/>
      <c r="J264" s="265" t="s">
        <v>411</v>
      </c>
      <c r="K264" s="265" t="s">
        <v>39</v>
      </c>
      <c r="L264" s="190" t="s">
        <v>40</v>
      </c>
      <c r="M264" s="191" t="s">
        <v>426</v>
      </c>
      <c r="N264" s="191" t="s">
        <v>427</v>
      </c>
      <c r="O264" s="191" t="s">
        <v>423</v>
      </c>
      <c r="P264" s="192"/>
      <c r="Q264" s="210" t="s">
        <v>2716</v>
      </c>
      <c r="R264" s="36"/>
      <c r="S264" s="36"/>
      <c r="T264" s="36"/>
      <c r="U264" s="368"/>
      <c r="V264" s="364"/>
      <c r="W264" s="278"/>
      <c r="X264" s="369"/>
      <c r="Y264" s="364"/>
      <c r="Z264" s="62"/>
      <c r="AA264" s="62"/>
    </row>
    <row r="265" spans="1:27" ht="12" customHeight="1">
      <c r="A265" s="185"/>
      <c r="B265" s="72" t="s">
        <v>1923</v>
      </c>
      <c r="C265" s="72"/>
      <c r="D265" s="168"/>
      <c r="E265" s="168" t="s">
        <v>1924</v>
      </c>
      <c r="F265" s="168"/>
      <c r="G265" s="168"/>
      <c r="H265" s="168" t="s">
        <v>1925</v>
      </c>
      <c r="I265" s="166"/>
      <c r="J265" s="189" t="s">
        <v>1698</v>
      </c>
      <c r="K265" s="189" t="s">
        <v>19</v>
      </c>
      <c r="L265" s="190" t="s">
        <v>40</v>
      </c>
      <c r="M265" s="191" t="s">
        <v>1701</v>
      </c>
      <c r="N265" s="191" t="s">
        <v>1702</v>
      </c>
      <c r="O265" s="191" t="s">
        <v>1703</v>
      </c>
      <c r="P265" s="192"/>
      <c r="Q265" s="267" t="s">
        <v>2790</v>
      </c>
      <c r="R265" s="36"/>
      <c r="S265" s="36"/>
      <c r="T265" s="36"/>
      <c r="U265" s="368"/>
      <c r="V265" s="364"/>
      <c r="W265" s="278"/>
      <c r="X265" s="369"/>
      <c r="Y265" s="364"/>
      <c r="Z265" s="62"/>
      <c r="AA265" s="62"/>
    </row>
    <row r="266" spans="1:27" ht="12" customHeight="1">
      <c r="A266" s="185"/>
      <c r="B266" s="72" t="s">
        <v>1926</v>
      </c>
      <c r="C266" s="72"/>
      <c r="D266" s="168"/>
      <c r="E266" s="168" t="s">
        <v>1927</v>
      </c>
      <c r="F266" s="168"/>
      <c r="G266" s="168"/>
      <c r="H266" s="168" t="s">
        <v>1928</v>
      </c>
      <c r="I266" s="166"/>
      <c r="J266" s="193" t="s">
        <v>837</v>
      </c>
      <c r="K266" s="193" t="s">
        <v>39</v>
      </c>
      <c r="L266" s="190" t="s">
        <v>40</v>
      </c>
      <c r="M266" s="191" t="s">
        <v>887</v>
      </c>
      <c r="N266" s="191" t="s">
        <v>888</v>
      </c>
      <c r="O266" s="191" t="s">
        <v>639</v>
      </c>
      <c r="P266" s="192"/>
      <c r="Q266" s="212" t="s">
        <v>2791</v>
      </c>
      <c r="R266" s="36"/>
      <c r="S266" s="36"/>
      <c r="T266" s="36"/>
      <c r="U266" s="368"/>
      <c r="V266" s="364"/>
      <c r="W266" s="278"/>
      <c r="X266" s="369"/>
      <c r="Y266" s="364"/>
      <c r="Z266" s="34"/>
      <c r="AA266" s="62"/>
    </row>
    <row r="267" spans="1:27" ht="13.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265" t="s">
        <v>301</v>
      </c>
      <c r="K267" s="265" t="s">
        <v>39</v>
      </c>
      <c r="L267" s="190" t="s">
        <v>40</v>
      </c>
      <c r="M267" s="191" t="s">
        <v>331</v>
      </c>
      <c r="N267" s="191" t="s">
        <v>186</v>
      </c>
      <c r="O267" s="191" t="s">
        <v>332</v>
      </c>
      <c r="P267" s="192"/>
      <c r="Q267" s="210" t="s">
        <v>2716</v>
      </c>
      <c r="R267" s="41"/>
      <c r="S267" s="36"/>
      <c r="T267" s="41"/>
      <c r="U267" s="41"/>
      <c r="V267" s="41"/>
      <c r="W267" s="41"/>
      <c r="X267" s="41"/>
      <c r="Y267" s="40"/>
      <c r="Z267" s="40"/>
      <c r="AA267" s="40"/>
    </row>
    <row r="268" spans="1:27" ht="13.5" customHeight="1">
      <c r="A268" s="66"/>
      <c r="B268" s="66"/>
      <c r="C268" s="66"/>
      <c r="D268" s="66"/>
      <c r="E268" s="69"/>
      <c r="F268" s="66"/>
      <c r="G268" s="66"/>
      <c r="H268" s="66"/>
      <c r="I268" s="66"/>
      <c r="J268" s="189" t="s">
        <v>919</v>
      </c>
      <c r="K268" s="193" t="s">
        <v>39</v>
      </c>
      <c r="L268" s="190" t="s">
        <v>40</v>
      </c>
      <c r="M268" s="191" t="s">
        <v>960</v>
      </c>
      <c r="N268" s="191" t="s">
        <v>961</v>
      </c>
      <c r="O268" s="191" t="s">
        <v>962</v>
      </c>
      <c r="P268" s="192"/>
      <c r="Q268" s="210" t="s">
        <v>2792</v>
      </c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ht="13.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265" t="s">
        <v>1065</v>
      </c>
      <c r="K269" s="265" t="s">
        <v>39</v>
      </c>
      <c r="L269" s="190" t="s">
        <v>40</v>
      </c>
      <c r="M269" s="191" t="s">
        <v>1224</v>
      </c>
      <c r="N269" s="191" t="s">
        <v>1225</v>
      </c>
      <c r="O269" s="191" t="s">
        <v>1226</v>
      </c>
      <c r="P269" s="192"/>
      <c r="Q269" s="210" t="s">
        <v>2793</v>
      </c>
      <c r="R269" s="370" t="s">
        <v>1930</v>
      </c>
      <c r="S269" s="371"/>
      <c r="T269" s="206" t="s">
        <v>1931</v>
      </c>
      <c r="U269" s="370" t="s">
        <v>1932</v>
      </c>
      <c r="V269" s="372"/>
      <c r="W269" s="372"/>
      <c r="X269" s="372"/>
      <c r="Y269" s="371"/>
      <c r="Z269" s="206" t="s">
        <v>1933</v>
      </c>
      <c r="AA269" s="206" t="s">
        <v>1934</v>
      </c>
    </row>
    <row r="270" spans="1:27" ht="13.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189" t="s">
        <v>138</v>
      </c>
      <c r="K270" s="193" t="s">
        <v>39</v>
      </c>
      <c r="L270" s="190" t="s">
        <v>40</v>
      </c>
      <c r="M270" s="191" t="s">
        <v>149</v>
      </c>
      <c r="N270" s="191" t="s">
        <v>150</v>
      </c>
      <c r="O270" s="191" t="s">
        <v>151</v>
      </c>
      <c r="P270" s="192"/>
      <c r="Q270" s="210" t="s">
        <v>2714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spans="1:27" ht="13.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189" t="s">
        <v>1451</v>
      </c>
      <c r="K271" s="189" t="s">
        <v>19</v>
      </c>
      <c r="L271" s="190" t="s">
        <v>40</v>
      </c>
      <c r="M271" s="191" t="s">
        <v>1475</v>
      </c>
      <c r="N271" s="191" t="s">
        <v>1476</v>
      </c>
      <c r="O271" s="191" t="s">
        <v>1477</v>
      </c>
      <c r="P271" s="192"/>
      <c r="Q271" s="210" t="s">
        <v>2674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spans="1:27" ht="13.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189" t="s">
        <v>1858</v>
      </c>
      <c r="K272" s="193" t="s">
        <v>39</v>
      </c>
      <c r="L272" s="190" t="s">
        <v>40</v>
      </c>
      <c r="M272" s="191" t="s">
        <v>1886</v>
      </c>
      <c r="N272" s="191" t="s">
        <v>1887</v>
      </c>
      <c r="O272" s="191" t="s">
        <v>1689</v>
      </c>
      <c r="P272" s="192"/>
      <c r="Q272" s="210" t="s">
        <v>2794</v>
      </c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spans="1:27" ht="13.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189" t="s">
        <v>1804</v>
      </c>
      <c r="K273" s="189" t="s">
        <v>19</v>
      </c>
      <c r="L273" s="190" t="s">
        <v>40</v>
      </c>
      <c r="M273" s="191" t="s">
        <v>1002</v>
      </c>
      <c r="N273" s="191" t="s">
        <v>1840</v>
      </c>
      <c r="O273" s="191" t="s">
        <v>1841</v>
      </c>
      <c r="P273" s="192"/>
      <c r="Q273" s="228" t="s">
        <v>2679</v>
      </c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spans="1:27" ht="13.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189" t="s">
        <v>1804</v>
      </c>
      <c r="K274" s="189" t="s">
        <v>19</v>
      </c>
      <c r="L274" s="190" t="s">
        <v>40</v>
      </c>
      <c r="M274" s="191" t="s">
        <v>1842</v>
      </c>
      <c r="N274" s="191" t="s">
        <v>1843</v>
      </c>
      <c r="O274" s="191" t="s">
        <v>920</v>
      </c>
      <c r="P274" s="192"/>
      <c r="Q274" s="228" t="s">
        <v>2679</v>
      </c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spans="1:27" ht="13.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189" t="s">
        <v>1704</v>
      </c>
      <c r="K275" s="193" t="s">
        <v>39</v>
      </c>
      <c r="L275" s="190" t="s">
        <v>40</v>
      </c>
      <c r="M275" s="191" t="s">
        <v>1705</v>
      </c>
      <c r="N275" s="191" t="s">
        <v>1706</v>
      </c>
      <c r="O275" s="191" t="s">
        <v>1224</v>
      </c>
      <c r="P275" s="192"/>
      <c r="Q275" s="210" t="s">
        <v>2795</v>
      </c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spans="1:27" ht="13.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248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spans="1:27" ht="13.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248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spans="1:27" ht="13.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248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spans="1:27" ht="13.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248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spans="1:27" ht="13.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248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spans="1:27" ht="13.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248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spans="1:27" ht="13.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248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spans="1:27" ht="13.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248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spans="1:27" ht="13.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248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spans="1:27" ht="13.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248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spans="1:27" ht="13.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248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spans="1:27" ht="13.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248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spans="1:27" ht="13.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248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spans="1:27" ht="13.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248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spans="1:27" ht="13.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248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spans="1:27" ht="13.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248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spans="1:27" ht="13.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248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spans="1:27" ht="13.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248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spans="1:27" ht="13.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248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spans="1:27" ht="13.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248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spans="1:27" ht="13.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248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spans="1:27" ht="13.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248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ht="13.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248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spans="1:27" ht="13.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248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spans="1:27" ht="13.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248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spans="1:27" ht="13.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248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spans="1:27" ht="13.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248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spans="1:27" ht="13.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248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spans="1:27" ht="13.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248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spans="1:27" ht="13.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248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spans="1:27" ht="13.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248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spans="1:27" ht="13.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248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spans="1:27" ht="13.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248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spans="1:27" ht="13.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248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spans="1:27" ht="13.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248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spans="1:27" ht="13.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248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spans="1:27" ht="13.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248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spans="1:27" ht="13.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248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spans="1:27" ht="13.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248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spans="1:27" ht="13.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248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spans="1:27" ht="13.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248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spans="1:27" ht="13.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248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spans="1:27" ht="13.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248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spans="1:27" ht="13.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248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spans="1:27" ht="13.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248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spans="1:27" ht="13.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248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spans="1:27" ht="13.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248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spans="1:27" ht="13.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248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spans="1:27" ht="13.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248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spans="1:27" ht="13.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248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spans="1:27" ht="13.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248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spans="1:27" ht="13.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248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spans="1:27" ht="13.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248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spans="1:27" ht="13.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248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spans="1:27" ht="13.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248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ht="13.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248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ht="13.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248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ht="13.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248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ht="13.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248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ht="13.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248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ht="13.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248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ht="13.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248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ht="13.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248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ht="13.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248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spans="1:27" ht="13.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248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spans="1:27" ht="13.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248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spans="1:27" ht="13.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248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spans="1:27" ht="13.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248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spans="1:27" ht="13.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248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spans="1:27" ht="13.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248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spans="1:27" ht="13.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248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spans="1:27" ht="13.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248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spans="1:27" ht="13.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248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spans="1:27" ht="13.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248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spans="1:27" ht="13.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248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spans="1:27" ht="13.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248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spans="1:27" ht="13.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248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spans="1:27" ht="13.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248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spans="1:27" ht="13.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248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spans="1:27" ht="13.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248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spans="1:27" ht="13.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248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spans="1:27" ht="13.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248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spans="1:27" ht="13.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248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spans="1:27" ht="13.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248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spans="1:27" ht="13.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248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spans="1:27" ht="13.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248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spans="1:27" ht="13.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248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spans="1:27" ht="13.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248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spans="1:27" ht="13.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248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spans="1:27" ht="13.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248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spans="1:27" ht="13.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248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spans="1:27" ht="13.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248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spans="1:27" ht="13.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248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spans="1:27" ht="13.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248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spans="1:27" ht="13.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248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spans="1:27" ht="13.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248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spans="1:27" ht="13.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248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spans="1:27" ht="13.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248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spans="1:27" ht="13.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248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spans="1:27" ht="13.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248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spans="1:27" ht="13.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248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spans="1:27" ht="13.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248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spans="1:27" ht="13.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248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spans="1:27" ht="13.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248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spans="1:27" ht="13.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248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spans="1:27" ht="13.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248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spans="1:27" ht="13.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248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spans="1:27" ht="13.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248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spans="1:27" ht="13.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248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spans="1:27" ht="13.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248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spans="1:27" ht="13.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248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spans="1:27" ht="13.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248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spans="1:27" ht="13.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248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spans="1:27" ht="13.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248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spans="1:27" ht="13.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248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spans="1:27" ht="13.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248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spans="1:27" ht="13.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248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spans="1:27" ht="13.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248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spans="1:27" ht="13.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248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spans="1:27" ht="13.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248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spans="1:27" ht="13.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248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spans="1:27" ht="13.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248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spans="1:27" ht="13.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248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spans="1:27" ht="13.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248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spans="1:27" ht="13.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248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spans="1:27" ht="13.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248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spans="1:27" ht="13.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248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spans="1:27" ht="13.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248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spans="1:27" ht="13.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248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spans="1:27" ht="13.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248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spans="1:27" ht="13.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248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spans="1:27" ht="13.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248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spans="1:27" ht="13.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248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spans="1:27" ht="13.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248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spans="1:27" ht="13.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248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spans="1:27" ht="13.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248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spans="1:27" ht="13.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248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spans="1:27" ht="13.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248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spans="1:27" ht="13.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248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spans="1:27" ht="13.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248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spans="1:27" ht="13.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248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spans="1:27" ht="13.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248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spans="1:27" ht="13.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248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spans="1:27" ht="13.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248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spans="1:27" ht="13.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248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spans="1:27" ht="13.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248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spans="1:27" ht="13.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248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spans="1:27" ht="13.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248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spans="1:27" ht="13.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248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spans="1:27" ht="13.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248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spans="1:27" ht="13.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248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spans="1:27" ht="13.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248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spans="1:27" ht="13.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248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spans="1:27" ht="13.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248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spans="1:27" ht="13.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248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spans="1:27" ht="13.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248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spans="1:27" ht="13.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248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spans="1:27" ht="13.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248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spans="1:27" ht="13.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248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spans="1:27" ht="13.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248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spans="1:27" ht="13.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248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spans="1:27" ht="13.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248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spans="1:27" ht="13.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248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spans="1:27" ht="13.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248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spans="1:27" ht="13.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248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spans="1:27" ht="13.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248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spans="1:27" ht="13.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248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spans="1:27" ht="13.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248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spans="1:27" ht="13.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248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spans="1:27" ht="13.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248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spans="1:27" ht="13.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248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spans="1:27" ht="13.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248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spans="1:27" ht="13.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248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spans="1:27" ht="13.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248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spans="1:27" ht="13.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248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spans="1:27" ht="13.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248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spans="1:27" ht="13.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248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spans="1:27" ht="13.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248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spans="1:27" ht="13.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248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spans="1:27" ht="13.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248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spans="1:27" ht="13.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248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spans="1:27" ht="13.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248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spans="1:27" ht="13.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248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spans="1:27" ht="13.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248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spans="1:27" ht="13.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248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spans="1:27" ht="13.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248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spans="1:27" ht="13.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248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ht="13.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248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spans="1:27" ht="13.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248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spans="1:27" ht="13.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248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spans="1:27" ht="13.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248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spans="1:27" ht="13.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248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spans="1:27" ht="13.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248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spans="1:27" ht="13.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248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spans="1:27" ht="13.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248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spans="1:27" ht="13.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248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spans="1:27" ht="13.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248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spans="1:27" ht="13.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248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spans="1:27" ht="13.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248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spans="1:27" ht="13.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248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spans="1:27" ht="13.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248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spans="1:27" ht="13.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248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spans="1:27" ht="13.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248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spans="1:27" ht="13.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248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spans="1:27" ht="13.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248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spans="1:27" ht="13.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248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spans="1:27" ht="13.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248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spans="1:27" ht="13.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248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spans="1:27" ht="13.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248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spans="1:27" ht="13.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248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spans="1:27" ht="13.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248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spans="1:27" ht="13.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248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spans="1:27" ht="13.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248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spans="1:27" ht="13.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248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spans="1:27" ht="13.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248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spans="1:27" ht="13.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248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spans="1:27" ht="13.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248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spans="1:27" ht="13.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248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ht="13.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248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ht="13.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248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spans="1:27" ht="13.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248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spans="1:27" ht="13.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248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spans="1:27" ht="13.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248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spans="1:27" ht="13.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248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spans="1:27" ht="13.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248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spans="1:27" ht="13.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248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 spans="1:27" ht="13.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248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 spans="1:27" ht="13.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248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 spans="1:27" ht="13.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248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 spans="1:27" ht="13.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248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 spans="1:27" ht="13.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248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 spans="1:27" ht="13.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248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 spans="1:27" ht="13.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248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 spans="1:27" ht="13.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248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 spans="1:27" ht="13.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248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 spans="1:27" ht="13.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248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 spans="1:27" ht="13.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248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 spans="1:27" ht="13.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248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 spans="1:27" ht="13.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248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 spans="1:27" ht="13.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248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 spans="1:27" ht="13.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248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 spans="1:27" ht="13.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248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 spans="1:27" ht="13.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248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 spans="1:27" ht="13.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248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 spans="1:27" ht="13.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248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 spans="1:27" ht="13.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248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 spans="1:27" ht="13.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248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 spans="1:27" ht="13.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248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 spans="1:27" ht="13.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248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 spans="1:27" ht="13.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248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 spans="1:27" ht="13.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248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 spans="1:27" ht="13.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248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 spans="1:27" ht="13.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248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 spans="1:27" ht="13.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248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 spans="1:27" ht="13.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248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 spans="1:27" ht="13.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248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 spans="1:27" ht="13.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248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 spans="1:27" ht="13.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248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 spans="1:27" ht="13.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248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 spans="1:27" ht="13.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248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 spans="1:27" ht="13.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248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 spans="1:27" ht="13.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248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 spans="1:27" ht="13.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248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 spans="1:27" ht="13.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248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 spans="1:27" ht="13.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248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 spans="1:27" ht="13.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248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 spans="1:27" ht="13.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248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 spans="1:27" ht="13.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248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 spans="1:27" ht="13.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248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 spans="1:27" ht="13.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248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 spans="1:27" ht="13.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248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 spans="1:27" ht="13.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248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 spans="1:27" ht="13.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248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 spans="1:27" ht="13.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248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 spans="1:27" ht="13.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248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 spans="1:27" ht="13.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248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 spans="1:27" ht="13.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248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 spans="1:27" ht="13.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248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spans="1:27" ht="13.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248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 spans="1:27" ht="13.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248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spans="1:27" ht="13.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248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 spans="1:27" ht="13.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248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spans="1:27" ht="13.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248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 spans="1:27" ht="13.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248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spans="1:27" ht="13.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248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 spans="1:27" ht="13.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248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 spans="1:27" ht="13.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248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 spans="1:27" ht="13.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248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spans="1:27" ht="13.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248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 spans="1:27" ht="13.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248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spans="1:27" ht="13.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248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 spans="1:27" ht="13.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248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spans="1:27" ht="13.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248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 spans="1:27" ht="13.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248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spans="1:27" ht="13.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248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 spans="1:27" ht="13.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248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spans="1:27" ht="13.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248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 spans="1:27" ht="13.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248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spans="1:27" ht="13.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248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 spans="1:27" ht="13.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248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spans="1:27" ht="13.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248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 spans="1:27" ht="13.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248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spans="1:27" ht="13.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248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 spans="1:27" ht="13.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248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spans="1:27" ht="13.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248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 spans="1:27" ht="13.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248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spans="1:27" ht="13.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248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 spans="1:27" ht="13.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248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spans="1:27" ht="13.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248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 spans="1:27" ht="13.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248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spans="1:27" ht="13.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248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 spans="1:27" ht="13.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248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spans="1:27" ht="13.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248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 spans="1:27" ht="13.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248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spans="1:27" ht="13.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248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 spans="1:27" ht="13.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248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spans="1:27" ht="13.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248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 spans="1:27" ht="13.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248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spans="1:27" ht="13.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248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 spans="1:27" ht="13.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248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spans="1:27" ht="13.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248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 spans="1:27" ht="13.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248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spans="1:27" ht="13.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248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 spans="1:27" ht="13.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248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spans="1:27" ht="13.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248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 spans="1:27" ht="13.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248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spans="1:27" ht="13.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248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spans="1:27" ht="13.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248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 spans="1:27" ht="13.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248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spans="1:27" ht="13.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248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 spans="1:27" ht="13.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248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spans="1:27" ht="13.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248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 spans="1:27" ht="13.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248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spans="1:27" ht="13.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248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 spans="1:27" ht="13.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248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spans="1:27" ht="13.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248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spans="1:27" ht="13.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248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 spans="1:27" ht="13.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248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spans="1:27" ht="13.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248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 spans="1:27" ht="13.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248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spans="1:27" ht="13.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248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 spans="1:27" ht="13.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248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spans="1:27" ht="13.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248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 spans="1:27" ht="13.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248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spans="1:27" ht="13.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248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 spans="1:27" ht="13.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248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spans="1:27" ht="13.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248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 spans="1:27" ht="13.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248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spans="1:27" ht="13.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248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 spans="1:27" ht="13.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248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spans="1:27" ht="13.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248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 spans="1:27" ht="13.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248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spans="1:27" ht="13.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248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 spans="1:27" ht="13.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248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spans="1:27" ht="13.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248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 spans="1:27" ht="13.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248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spans="1:27" ht="13.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248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 spans="1:27" ht="13.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248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spans="1:27" ht="13.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248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 spans="1:27" ht="13.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248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spans="1:27" ht="13.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248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 spans="1:27" ht="13.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248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spans="1:27" ht="13.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248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 spans="1:27" ht="13.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248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spans="1:27" ht="13.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248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 spans="1:27" ht="13.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248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spans="1:27" ht="13.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248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 spans="1:27" ht="13.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248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spans="1:27" ht="13.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248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 spans="1:27" ht="13.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248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spans="1:27" ht="13.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248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 spans="1:27" ht="13.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248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spans="1:27" ht="13.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248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 spans="1:27" ht="13.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248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spans="1:27" ht="13.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248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 spans="1:27" ht="13.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248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spans="1:27" ht="13.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248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 spans="1:27" ht="13.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248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spans="1:27" ht="13.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248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 spans="1:27" ht="13.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248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spans="1:27" ht="13.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248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 spans="1:27" ht="13.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248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spans="1:27" ht="13.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248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 spans="1:27" ht="13.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248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spans="1:27" ht="13.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248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 spans="1:27" ht="13.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248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spans="1:27" ht="13.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248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 spans="1:27" ht="13.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248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spans="1:27" ht="13.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248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 spans="1:27" ht="13.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248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spans="1:27" ht="13.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248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 spans="1:27" ht="13.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248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spans="1:27" ht="13.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248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 spans="1:27" ht="13.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248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spans="1:27" ht="13.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248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 spans="1:27" ht="13.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248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spans="1:27" ht="13.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248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 spans="1:27" ht="13.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248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spans="1:27" ht="13.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248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 spans="1:27" ht="13.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248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spans="1:27" ht="13.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248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 spans="1:27" ht="13.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248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spans="1:27" ht="13.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248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 spans="1:27" ht="13.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248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spans="1:27" ht="13.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248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 spans="1:27" ht="13.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248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spans="1:27" ht="13.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248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 spans="1:27" ht="13.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248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spans="1:27" ht="13.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248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 spans="1:27" ht="13.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248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spans="1:27" ht="13.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248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 spans="1:27" ht="13.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248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spans="1:27" ht="13.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248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 spans="1:27" ht="13.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248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spans="1:27" ht="13.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248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 spans="1:27" ht="13.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248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spans="1:27" ht="13.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248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 spans="1:27" ht="13.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248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spans="1:27" ht="13.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248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 spans="1:27" ht="13.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248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spans="1:27" ht="13.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248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 spans="1:27" ht="13.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248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spans="1:27" ht="13.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248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 spans="1:27" ht="13.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248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spans="1:27" ht="13.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248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 spans="1:27" ht="13.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248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spans="1:27" ht="13.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248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 spans="1:27" ht="13.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248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spans="1:27" ht="13.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248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 spans="1:27" ht="13.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248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spans="1:27" ht="13.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248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 spans="1:27" ht="13.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248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spans="1:27" ht="13.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248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 spans="1:27" ht="13.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248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spans="1:27" ht="13.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248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 spans="1:27" ht="13.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248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spans="1:27" ht="13.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248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 spans="1:27" ht="13.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248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spans="1:27" ht="13.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248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 spans="1:27" ht="13.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248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spans="1:27" ht="13.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248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 spans="1:27" ht="13.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248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spans="1:27" ht="13.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248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 spans="1:27" ht="13.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248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spans="1:27" ht="13.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248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 spans="1:27" ht="13.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248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spans="1:27" ht="13.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248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 spans="1:27" ht="13.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248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spans="1:27" ht="13.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248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 spans="1:27" ht="13.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248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spans="1:27" ht="13.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248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 spans="1:27" ht="13.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248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spans="1:27" ht="13.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248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 spans="1:27" ht="13.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248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spans="1:27" ht="13.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248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 spans="1:27" ht="13.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248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spans="1:27" ht="13.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248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 spans="1:27" ht="13.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248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spans="1:27" ht="13.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248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 spans="1:27" ht="13.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248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spans="1:27" ht="13.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248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 spans="1:27" ht="13.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248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spans="1:27" ht="13.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248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 spans="1:27" ht="13.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248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spans="1:27" ht="13.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248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 spans="1:27" ht="13.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248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spans="1:27" ht="13.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248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 spans="1:27" ht="13.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248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spans="1:27" ht="13.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248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 spans="1:27" ht="13.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248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spans="1:27" ht="13.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248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 spans="1:27" ht="13.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248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spans="1:27" ht="13.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248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 spans="1:27" ht="13.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248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spans="1:27" ht="13.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248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 spans="1:27" ht="13.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248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spans="1:27" ht="13.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248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 spans="1:27" ht="13.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248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spans="1:27" ht="13.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248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 spans="1:27" ht="13.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248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spans="1:27" ht="13.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248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 spans="1:27" ht="13.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248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spans="1:27" ht="13.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248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 spans="1:27" ht="13.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248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spans="1:27" ht="13.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248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 spans="1:27" ht="13.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248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spans="1:27" ht="13.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248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 spans="1:27" ht="13.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248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spans="1:27" ht="13.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248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 spans="1:27" ht="13.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248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spans="1:27" ht="13.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248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 spans="1:27" ht="13.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248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spans="1:27" ht="13.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248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 spans="1:27" ht="13.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248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spans="1:27" ht="13.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248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 spans="1:27" ht="13.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248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spans="1:27" ht="13.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248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 spans="1:27" ht="13.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248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spans="1:27" ht="13.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248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 spans="1:27" ht="13.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248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spans="1:27" ht="13.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248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 spans="1:27" ht="13.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248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spans="1:27" ht="13.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248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 spans="1:27" ht="13.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248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spans="1:27" ht="13.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248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 spans="1:27" ht="13.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248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spans="1:27" ht="13.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248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 spans="1:27" ht="13.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248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spans="1:27" ht="13.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248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 spans="1:27" ht="13.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248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spans="1:27" ht="13.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248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 spans="1:27" ht="13.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248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spans="1:27" ht="13.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248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 spans="1:27" ht="13.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248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spans="1:27" ht="13.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248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 spans="1:27" ht="13.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248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spans="1:27" ht="13.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248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 spans="1:27" ht="13.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248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spans="1:27" ht="13.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248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 spans="1:27" ht="13.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248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spans="1:27" ht="13.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248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 spans="1:27" ht="13.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248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spans="1:27" ht="13.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248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 spans="1:27" ht="13.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248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spans="1:27" ht="13.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248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 spans="1:27" ht="13.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248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spans="1:27" ht="13.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248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 spans="1:27" ht="13.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248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spans="1:27" ht="13.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248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 spans="1:27" ht="13.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248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spans="1:27" ht="13.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248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 spans="1:27" ht="13.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248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spans="1:27" ht="13.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248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 spans="1:27" ht="13.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248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spans="1:27" ht="13.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248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 spans="1:27" ht="13.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248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 spans="1:27" ht="13.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248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 spans="1:27" ht="13.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248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 spans="1:27" ht="13.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248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 spans="1:27" ht="13.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248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 spans="1:27" ht="13.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248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 spans="1:27" ht="13.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248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 spans="1:27" ht="13.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248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 spans="1:27" ht="13.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248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 spans="1:27" ht="13.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248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 spans="1:27" ht="13.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248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 spans="1:27" ht="13.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248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 spans="1:27" ht="13.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248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 spans="1:27" ht="13.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248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 spans="1:27" ht="13.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248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 spans="1:27" ht="13.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248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 spans="1:27" ht="13.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248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 spans="1:27" ht="13.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248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 spans="1:27" ht="13.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248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 spans="1:27" ht="13.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248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 spans="1:27" ht="13.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248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 spans="1:27" ht="13.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248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 spans="1:27" ht="13.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248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 spans="1:27" ht="13.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248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 spans="1:27" ht="13.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248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 spans="1:27" ht="13.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248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 spans="1:27" ht="13.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248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 spans="1:27" ht="13.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248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 spans="1:27" ht="13.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248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 spans="1:27" ht="13.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248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 spans="1:27" ht="13.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248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 spans="1:27" ht="13.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248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 spans="1:27" ht="13.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248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 spans="1:27" ht="13.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248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 spans="1:27" ht="13.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248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 spans="1:27" ht="13.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248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 spans="1:27" ht="13.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248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 spans="1:27" ht="13.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248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 spans="1:27" ht="13.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248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 spans="1:27" ht="13.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248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 spans="1:27" ht="13.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248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 spans="1:27" ht="13.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248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 spans="1:27" ht="13.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248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 spans="1:27" ht="13.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248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 spans="1:27" ht="13.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248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 spans="1:27" ht="13.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248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 spans="1:27" ht="13.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248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 spans="1:27" ht="13.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248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 spans="1:27" ht="13.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248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 spans="1:27" ht="13.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248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 spans="1:27" ht="13.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248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 spans="1:27" ht="13.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248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 spans="1:27" ht="13.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248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 spans="1:27" ht="13.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248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 spans="1:27" ht="13.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248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 spans="1:27" ht="13.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248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 spans="1:27" ht="13.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248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 spans="1:27" ht="13.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248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 spans="1:27" ht="13.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248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 spans="1:27" ht="13.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248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 spans="1:27" ht="13.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248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 spans="1:27" ht="13.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248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 spans="1:27" ht="13.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248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 spans="1:27" ht="13.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248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 spans="1:27" ht="13.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248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 spans="1:27" ht="13.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248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 spans="1:27" ht="13.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248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 spans="1:27" ht="13.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248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 spans="1:27" ht="13.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248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 spans="1:27" ht="13.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248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 spans="1:27" ht="13.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248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 spans="1:27" ht="13.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248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 spans="1:27" ht="13.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248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 spans="1:27" ht="13.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248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 spans="1:27" ht="13.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248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 spans="1:27" ht="13.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248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 spans="1:27" ht="13.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248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 spans="1:27" ht="13.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248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 spans="1:27" ht="13.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248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 spans="1:27" ht="13.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248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 spans="1:27" ht="13.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248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 spans="1:27" ht="13.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248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 spans="1:27" ht="13.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248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 spans="1:27" ht="13.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248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 spans="1:27" ht="13.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248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 spans="1:27" ht="13.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248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 spans="1:27" ht="13.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248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 spans="1:27" ht="13.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248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 spans="1:27" ht="13.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248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 spans="1:27" ht="13.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248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 spans="1:27" ht="13.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248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 spans="1:27" ht="13.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248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 spans="1:27" ht="13.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248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 spans="1:27" ht="13.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248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 spans="1:27" ht="13.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248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 spans="1:27" ht="13.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248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 spans="1:27" ht="13.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248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 spans="1:27" ht="13.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248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 spans="1:27" ht="13.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248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 spans="1:27" ht="13.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248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 spans="1:27" ht="13.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248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 spans="1:27" ht="13.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248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 spans="1:27" ht="13.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248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 spans="1:27" ht="13.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248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 spans="1:27" ht="13.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248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 spans="1:27" ht="13.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248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 spans="1:27" ht="13.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248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 spans="1:27" ht="13.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248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 spans="1:27" ht="13.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248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 spans="1:27" ht="13.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248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 spans="1:27" ht="13.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248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 spans="1:27" ht="13.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248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 spans="1:27" ht="13.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248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 spans="1:27" ht="13.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248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 spans="1:27" ht="13.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248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 spans="1:27" ht="13.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248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 spans="1:27" ht="13.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248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 spans="1:27" ht="13.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248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 spans="1:27" ht="13.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248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 spans="1:27" ht="13.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248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 spans="1:27" ht="13.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248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 spans="1:27" ht="13.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248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 spans="1:27" ht="13.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248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 spans="1:27" ht="13.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248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 spans="1:27" ht="13.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248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 spans="1:27" ht="13.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248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 spans="1:27" ht="13.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248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 spans="1:27" ht="13.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248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 spans="1:27" ht="13.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248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 spans="1:27" ht="13.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248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 spans="1:27" ht="13.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248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 spans="1:27" ht="13.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248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 spans="1:27" ht="13.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248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 spans="1:27" ht="13.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248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 spans="1:27" ht="13.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248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 spans="1:27" ht="13.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248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 spans="1:27" ht="13.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248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 spans="1:27" ht="13.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248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 spans="1:27" ht="13.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248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 spans="1:27" ht="13.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248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 spans="1:27" ht="13.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248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 spans="1:27" ht="13.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248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 spans="1:27" ht="13.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248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 spans="1:27" ht="13.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248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 spans="1:27" ht="13.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248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 spans="1:27" ht="13.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248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 spans="1:27" ht="13.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248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 spans="1:27" ht="13.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248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 spans="1:27" ht="13.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248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 spans="1:27" ht="13.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248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 spans="1:27" ht="13.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248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 spans="1:27" ht="13.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248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 spans="1:27" ht="13.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248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 spans="1:27" ht="13.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248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 spans="1:27" ht="13.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248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 spans="1:27" ht="13.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248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 spans="1:27" ht="13.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248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 spans="1:27" ht="13.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248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 spans="1:27" ht="13.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248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 spans="1:27" ht="13.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248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 spans="1:27" ht="13.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248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 spans="1:27" ht="13.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248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 spans="1:27" ht="13.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248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 spans="1:27" ht="13.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248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 spans="1:27" ht="13.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248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 spans="1:27" ht="13.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248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 spans="1:27" ht="13.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248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 spans="1:27" ht="13.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248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 spans="1:27" ht="13.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248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 spans="1:27" ht="13.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248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 spans="1:27" ht="13.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248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 spans="1:27" ht="13.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248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 spans="1:27" ht="13.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248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 spans="1:27" ht="13.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248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 spans="1:27" ht="13.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248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 spans="1:27" ht="13.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248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 spans="1:27" ht="13.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248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  <row r="988" spans="1:27" ht="13.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248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</row>
    <row r="989" spans="1:27" ht="13.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248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</row>
    <row r="990" spans="1:27" ht="13.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248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</row>
    <row r="991" spans="1:27" ht="13.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248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</row>
    <row r="992" spans="1:27" ht="13.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248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</row>
    <row r="993" spans="1:27" ht="13.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248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</row>
    <row r="994" spans="1:27" ht="13.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248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</row>
    <row r="995" spans="1:27" ht="13.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248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</row>
    <row r="996" spans="1:27" ht="13.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248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</row>
    <row r="997" spans="1:27" ht="13.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248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</row>
    <row r="998" spans="1:27" ht="13.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248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</row>
    <row r="999" spans="1:27" ht="13.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248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</row>
    <row r="1000" spans="1:27" ht="13.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248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</row>
  </sheetData>
  <mergeCells count="41">
    <mergeCell ref="A1:I1"/>
    <mergeCell ref="A2:I2"/>
    <mergeCell ref="A3:I3"/>
    <mergeCell ref="A4:I4"/>
    <mergeCell ref="A5:I5"/>
    <mergeCell ref="A6:I6"/>
    <mergeCell ref="A7:I7"/>
    <mergeCell ref="A10:I10"/>
    <mergeCell ref="A46:I46"/>
    <mergeCell ref="A101:I101"/>
    <mergeCell ref="A255:B255"/>
    <mergeCell ref="D255:E255"/>
    <mergeCell ref="G255:H255"/>
    <mergeCell ref="A256:B256"/>
    <mergeCell ref="D256:E256"/>
    <mergeCell ref="G256:H256"/>
    <mergeCell ref="A257:B257"/>
    <mergeCell ref="D257:E257"/>
    <mergeCell ref="G257:H257"/>
    <mergeCell ref="A258:B258"/>
    <mergeCell ref="D258:E258"/>
    <mergeCell ref="G258:H258"/>
    <mergeCell ref="A259:B259"/>
    <mergeCell ref="D259:E259"/>
    <mergeCell ref="G259:H259"/>
    <mergeCell ref="R261:V261"/>
    <mergeCell ref="U262:V262"/>
    <mergeCell ref="R269:S269"/>
    <mergeCell ref="U269:Y269"/>
    <mergeCell ref="W261:W262"/>
    <mergeCell ref="U263:V263"/>
    <mergeCell ref="X263:Y263"/>
    <mergeCell ref="U264:V264"/>
    <mergeCell ref="X264:Y264"/>
    <mergeCell ref="U265:V265"/>
    <mergeCell ref="X265:Y265"/>
    <mergeCell ref="Z261:Z262"/>
    <mergeCell ref="AA261:AA262"/>
    <mergeCell ref="X261:Y262"/>
    <mergeCell ref="U266:V266"/>
    <mergeCell ref="X266:Y266"/>
  </mergeCells>
  <pageMargins left="0.118110236220472" right="0.118110236220472" top="0.55118110236220497" bottom="0.35433070866141703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998"/>
  <sheetViews>
    <sheetView view="pageBreakPreview" zoomScale="90" zoomScaleNormal="100" zoomScaleSheetLayoutView="90" workbookViewId="0">
      <selection activeCell="F18" sqref="F18"/>
    </sheetView>
  </sheetViews>
  <sheetFormatPr defaultColWidth="12.5703125" defaultRowHeight="15" customHeight="1"/>
  <cols>
    <col min="1" max="1" width="5" style="316" customWidth="1"/>
    <col min="2" max="2" width="25.7109375" style="316" customWidth="1"/>
    <col min="3" max="3" width="10.140625" style="316" customWidth="1"/>
    <col min="4" max="4" width="12" style="316" customWidth="1"/>
    <col min="5" max="5" width="19.5703125" style="316" customWidth="1"/>
    <col min="6" max="6" width="20.42578125" style="316" customWidth="1"/>
    <col min="7" max="7" width="16.85546875" style="316" customWidth="1"/>
    <col min="8" max="8" width="6.28515625" style="316" customWidth="1"/>
    <col min="9" max="9" width="36.140625" style="316" customWidth="1"/>
    <col min="10" max="10" width="77.85546875" style="316" hidden="1" customWidth="1"/>
    <col min="11" max="11" width="14" style="316" hidden="1" customWidth="1"/>
    <col min="12" max="15" width="9.140625" style="316" hidden="1" customWidth="1"/>
    <col min="16" max="16" width="47.28515625" style="316" hidden="1" customWidth="1"/>
    <col min="17" max="27" width="9.140625" style="316" hidden="1" customWidth="1"/>
    <col min="28" max="16384" width="12.5703125" style="316"/>
  </cols>
  <sheetData>
    <row r="1" spans="1:27" ht="15.75" customHeight="1">
      <c r="A1" s="392" t="s">
        <v>2796</v>
      </c>
      <c r="B1" s="380"/>
      <c r="C1" s="380"/>
      <c r="D1" s="380"/>
      <c r="E1" s="380"/>
      <c r="F1" s="380"/>
      <c r="G1" s="380"/>
      <c r="H1" s="380"/>
      <c r="I1" s="380"/>
      <c r="J1" s="2"/>
      <c r="K1" s="31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1.25" customHeight="1">
      <c r="A2" s="392" t="s">
        <v>1</v>
      </c>
      <c r="B2" s="380"/>
      <c r="C2" s="380"/>
      <c r="D2" s="380"/>
      <c r="E2" s="380"/>
      <c r="F2" s="380"/>
      <c r="G2" s="380"/>
      <c r="H2" s="380"/>
      <c r="I2" s="380"/>
      <c r="J2" s="2"/>
      <c r="K2" s="31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1.25" customHeight="1">
      <c r="A3" s="392" t="s">
        <v>2</v>
      </c>
      <c r="B3" s="380"/>
      <c r="C3" s="380"/>
      <c r="D3" s="380"/>
      <c r="E3" s="380"/>
      <c r="F3" s="380"/>
      <c r="G3" s="380"/>
      <c r="H3" s="380"/>
      <c r="I3" s="380"/>
      <c r="J3" s="2"/>
      <c r="K3" s="3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>
      <c r="A4" s="392" t="s">
        <v>3</v>
      </c>
      <c r="B4" s="380"/>
      <c r="C4" s="380"/>
      <c r="D4" s="380"/>
      <c r="E4" s="380"/>
      <c r="F4" s="380"/>
      <c r="G4" s="380"/>
      <c r="H4" s="380"/>
      <c r="I4" s="380"/>
      <c r="J4" s="2"/>
      <c r="K4" s="3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>
      <c r="A5" s="376"/>
      <c r="B5" s="380"/>
      <c r="C5" s="380"/>
      <c r="D5" s="380"/>
      <c r="E5" s="380"/>
      <c r="F5" s="380"/>
      <c r="G5" s="380"/>
      <c r="H5" s="380"/>
      <c r="I5" s="380"/>
      <c r="J5" s="2"/>
      <c r="K5" s="31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5" customHeight="1">
      <c r="A6" s="392" t="s">
        <v>1935</v>
      </c>
      <c r="B6" s="380"/>
      <c r="C6" s="380"/>
      <c r="D6" s="380"/>
      <c r="E6" s="380"/>
      <c r="F6" s="380"/>
      <c r="G6" s="380"/>
      <c r="H6" s="380"/>
      <c r="I6" s="380"/>
      <c r="J6" s="2"/>
      <c r="K6" s="31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>
      <c r="A7" s="392" t="s">
        <v>3662</v>
      </c>
      <c r="B7" s="380"/>
      <c r="C7" s="380"/>
      <c r="D7" s="380"/>
      <c r="E7" s="380"/>
      <c r="F7" s="380"/>
      <c r="G7" s="380"/>
      <c r="H7" s="380"/>
      <c r="I7" s="380"/>
      <c r="J7" s="315">
        <f>SUM(9+0+1)</f>
        <v>10</v>
      </c>
      <c r="K7" s="3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3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customHeight="1">
      <c r="A9" s="318" t="s">
        <v>6</v>
      </c>
      <c r="B9" s="319" t="s">
        <v>7</v>
      </c>
      <c r="C9" s="320" t="s">
        <v>8</v>
      </c>
      <c r="D9" s="321" t="s">
        <v>9</v>
      </c>
      <c r="E9" s="321" t="s">
        <v>10</v>
      </c>
      <c r="F9" s="321" t="s">
        <v>11</v>
      </c>
      <c r="G9" s="321" t="s">
        <v>12</v>
      </c>
      <c r="H9" s="321" t="s">
        <v>13</v>
      </c>
      <c r="I9" s="322" t="s">
        <v>2797</v>
      </c>
      <c r="J9" s="323" t="s">
        <v>15</v>
      </c>
      <c r="K9" s="324" t="s">
        <v>16</v>
      </c>
      <c r="L9" s="2"/>
      <c r="M9" s="2"/>
      <c r="N9" s="2"/>
      <c r="O9" s="2"/>
      <c r="P9" s="325" t="s">
        <v>17</v>
      </c>
      <c r="Q9" s="325" t="s">
        <v>15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5" customHeight="1">
      <c r="A10" s="326">
        <v>1</v>
      </c>
      <c r="B10" s="327" t="s">
        <v>18</v>
      </c>
      <c r="C10" s="327" t="s">
        <v>19</v>
      </c>
      <c r="D10" s="326" t="s">
        <v>2798</v>
      </c>
      <c r="E10" s="328" t="s">
        <v>21</v>
      </c>
      <c r="F10" s="328" t="s">
        <v>22</v>
      </c>
      <c r="G10" s="328" t="s">
        <v>23</v>
      </c>
      <c r="H10" s="314"/>
      <c r="I10" s="328" t="s">
        <v>2799</v>
      </c>
      <c r="J10" s="329" t="s">
        <v>2800</v>
      </c>
      <c r="K10" s="330" t="s">
        <v>2801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5" customHeight="1">
      <c r="A11" s="326">
        <v>2</v>
      </c>
      <c r="B11" s="327" t="s">
        <v>18</v>
      </c>
      <c r="C11" s="327" t="s">
        <v>19</v>
      </c>
      <c r="D11" s="326" t="s">
        <v>24</v>
      </c>
      <c r="E11" s="328" t="s">
        <v>25</v>
      </c>
      <c r="F11" s="328" t="s">
        <v>26</v>
      </c>
      <c r="G11" s="328" t="s">
        <v>27</v>
      </c>
      <c r="H11" s="314"/>
      <c r="I11" s="328" t="s">
        <v>2802</v>
      </c>
      <c r="J11" s="329" t="s">
        <v>2803</v>
      </c>
      <c r="K11" s="330" t="s">
        <v>2804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5" customHeight="1">
      <c r="A12" s="326">
        <v>3</v>
      </c>
      <c r="B12" s="327" t="s">
        <v>18</v>
      </c>
      <c r="C12" s="327" t="s">
        <v>19</v>
      </c>
      <c r="D12" s="326" t="s">
        <v>28</v>
      </c>
      <c r="E12" s="328" t="s">
        <v>29</v>
      </c>
      <c r="F12" s="328" t="s">
        <v>30</v>
      </c>
      <c r="G12" s="328" t="s">
        <v>31</v>
      </c>
      <c r="H12" s="314"/>
      <c r="I12" s="328" t="s">
        <v>2802</v>
      </c>
      <c r="J12" s="329" t="s">
        <v>32</v>
      </c>
      <c r="K12" s="331" t="s">
        <v>33</v>
      </c>
      <c r="L12" s="2"/>
      <c r="M12" s="2"/>
      <c r="N12" s="2"/>
      <c r="O12" s="2"/>
      <c r="P12" s="325" t="str">
        <f t="shared" ref="P12:P16" si="0">CONCATENATE(E12," ",F12," ",G12)</f>
        <v>BEJARIN GERALD DADIRO</v>
      </c>
      <c r="Q12" s="332" t="str">
        <f>IFERROR(VLOOKUP(P12,[1]Disposition!$AB$9:$AC$495,2,0),"NO RECORD YET")</f>
        <v>NO RECORD YET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5" customHeight="1">
      <c r="A13" s="326">
        <v>4</v>
      </c>
      <c r="B13" s="327" t="s">
        <v>18</v>
      </c>
      <c r="C13" s="327" t="s">
        <v>19</v>
      </c>
      <c r="D13" s="326" t="s">
        <v>28</v>
      </c>
      <c r="E13" s="328" t="s">
        <v>34</v>
      </c>
      <c r="F13" s="328" t="s">
        <v>35</v>
      </c>
      <c r="G13" s="328" t="s">
        <v>36</v>
      </c>
      <c r="H13" s="314"/>
      <c r="I13" s="328" t="s">
        <v>2802</v>
      </c>
      <c r="J13" s="329" t="s">
        <v>37</v>
      </c>
      <c r="K13" s="331" t="s">
        <v>38</v>
      </c>
      <c r="L13" s="2"/>
      <c r="M13" s="2"/>
      <c r="N13" s="2"/>
      <c r="O13" s="2"/>
      <c r="P13" s="325" t="str">
        <f t="shared" si="0"/>
        <v>MORI LYNDON ACOSTA</v>
      </c>
      <c r="Q13" s="332" t="str">
        <f>IFERROR(VLOOKUP(P13,[1]Disposition!$AB$9:$AC$495,2,0),"NO RECORD YET")</f>
        <v>NO RECORD YET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5" customHeight="1">
      <c r="A14" s="326">
        <v>5</v>
      </c>
      <c r="B14" s="327" t="s">
        <v>18</v>
      </c>
      <c r="C14" s="327" t="s">
        <v>39</v>
      </c>
      <c r="D14" s="326" t="s">
        <v>40</v>
      </c>
      <c r="E14" s="328" t="s">
        <v>41</v>
      </c>
      <c r="F14" s="328" t="s">
        <v>42</v>
      </c>
      <c r="G14" s="328" t="s">
        <v>43</v>
      </c>
      <c r="H14" s="314"/>
      <c r="I14" s="328" t="s">
        <v>2692</v>
      </c>
      <c r="J14" s="329" t="s">
        <v>44</v>
      </c>
      <c r="K14" s="331" t="s">
        <v>45</v>
      </c>
      <c r="L14" s="2"/>
      <c r="M14" s="2"/>
      <c r="N14" s="2"/>
      <c r="O14" s="2"/>
      <c r="P14" s="325" t="str">
        <f t="shared" si="0"/>
        <v>AVENDAÑO MA. FRELIE JOY (no middle name)</v>
      </c>
      <c r="Q14" s="332" t="str">
        <f>IFERROR(VLOOKUP(P14,[1]Disposition!$AB$9:$AC$495,2,0),"NO RECORD YET")</f>
        <v>#92 F Estrella St., San Juan, Malolos City, Bulacan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.5" customHeight="1">
      <c r="A15" s="326">
        <v>6</v>
      </c>
      <c r="B15" s="327" t="s">
        <v>18</v>
      </c>
      <c r="C15" s="327" t="s">
        <v>39</v>
      </c>
      <c r="D15" s="326" t="s">
        <v>40</v>
      </c>
      <c r="E15" s="328" t="s">
        <v>2805</v>
      </c>
      <c r="F15" s="328" t="s">
        <v>2806</v>
      </c>
      <c r="G15" s="328" t="s">
        <v>1792</v>
      </c>
      <c r="H15" s="314"/>
      <c r="I15" s="328" t="s">
        <v>2807</v>
      </c>
      <c r="J15" s="329" t="s">
        <v>2808</v>
      </c>
      <c r="K15" s="331" t="s">
        <v>2809</v>
      </c>
      <c r="L15" s="2"/>
      <c r="M15" s="2"/>
      <c r="N15" s="2"/>
      <c r="O15" s="2"/>
      <c r="P15" s="325" t="str">
        <f t="shared" si="0"/>
        <v>DALLEGO RHIZA ARROYO</v>
      </c>
      <c r="Q15" s="332" t="str">
        <f>IFERROR(VLOOKUP(P15,[1]Disposition!$AB$9:$AC$495,2,0),"NO RECORD YET")</f>
        <v>MB26 U109 Pamayanang Diego Silang, Brgy. Ususan, Taguig City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5" customHeight="1">
      <c r="A16" s="326">
        <v>7</v>
      </c>
      <c r="B16" s="327" t="s">
        <v>18</v>
      </c>
      <c r="C16" s="327" t="s">
        <v>39</v>
      </c>
      <c r="D16" s="326" t="s">
        <v>40</v>
      </c>
      <c r="E16" s="328" t="s">
        <v>46</v>
      </c>
      <c r="F16" s="328" t="s">
        <v>47</v>
      </c>
      <c r="G16" s="328" t="s">
        <v>48</v>
      </c>
      <c r="H16" s="314"/>
      <c r="I16" s="328" t="s">
        <v>2810</v>
      </c>
      <c r="J16" s="329" t="s">
        <v>49</v>
      </c>
      <c r="K16" s="331" t="s">
        <v>50</v>
      </c>
      <c r="L16" s="2"/>
      <c r="M16" s="2"/>
      <c r="N16" s="2"/>
      <c r="O16" s="2"/>
      <c r="P16" s="325" t="str">
        <f t="shared" si="0"/>
        <v>LUZARA JEAN GRATUITO</v>
      </c>
      <c r="Q16" s="332" t="str">
        <f>IFERROR(VLOOKUP(P16,[1]Disposition!$AB$9:$AC$495,2,0),"NO RECORD YET")</f>
        <v>Blk 5 Lot 1 Orchid Extension, Capitol Park Homes II, Brgy 179 Zone 16, Caloocan City.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5" customHeight="1">
      <c r="A17" s="326">
        <v>8</v>
      </c>
      <c r="B17" s="327" t="s">
        <v>56</v>
      </c>
      <c r="C17" s="327" t="s">
        <v>19</v>
      </c>
      <c r="D17" s="326" t="s">
        <v>20</v>
      </c>
      <c r="E17" s="328" t="s">
        <v>2811</v>
      </c>
      <c r="F17" s="328" t="s">
        <v>2069</v>
      </c>
      <c r="G17" s="328" t="s">
        <v>2593</v>
      </c>
      <c r="H17" s="314"/>
      <c r="I17" s="328" t="s">
        <v>2812</v>
      </c>
      <c r="J17" s="312"/>
      <c r="K17" s="33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5" customHeight="1">
      <c r="A18" s="326">
        <v>9</v>
      </c>
      <c r="B18" s="327" t="s">
        <v>2813</v>
      </c>
      <c r="C18" s="327" t="s">
        <v>19</v>
      </c>
      <c r="D18" s="326" t="s">
        <v>160</v>
      </c>
      <c r="E18" s="328" t="s">
        <v>1811</v>
      </c>
      <c r="F18" s="328" t="s">
        <v>400</v>
      </c>
      <c r="G18" s="328" t="s">
        <v>1812</v>
      </c>
      <c r="H18" s="314"/>
      <c r="I18" s="328" t="s">
        <v>2814</v>
      </c>
      <c r="J18" s="329" t="s">
        <v>1813</v>
      </c>
      <c r="K18" s="331" t="s">
        <v>1814</v>
      </c>
      <c r="L18" s="2"/>
      <c r="M18" s="2"/>
      <c r="N18" s="2"/>
      <c r="O18" s="2"/>
      <c r="P18" s="325" t="str">
        <f t="shared" ref="P18:P42" si="1">CONCATENATE(E18," ",F18," ",G18)</f>
        <v>TARUN CHRISTIAN BELTRAN</v>
      </c>
      <c r="Q18" s="332" t="str">
        <f>IFERROR(VLOOKUP(P18,[1]Disposition!$AB$9:$AC$495,2,0),"NO RECORD YET")</f>
        <v>110B. Harrison Street, Vermont Park, Mayamot, Antipolo City, Rizal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5" customHeight="1">
      <c r="A19" s="326">
        <v>10</v>
      </c>
      <c r="B19" s="327" t="s">
        <v>56</v>
      </c>
      <c r="C19" s="327" t="s">
        <v>19</v>
      </c>
      <c r="D19" s="326" t="s">
        <v>644</v>
      </c>
      <c r="E19" s="328" t="s">
        <v>1431</v>
      </c>
      <c r="F19" s="328" t="s">
        <v>1432</v>
      </c>
      <c r="G19" s="328" t="s">
        <v>1433</v>
      </c>
      <c r="H19" s="314"/>
      <c r="I19" s="328" t="s">
        <v>2802</v>
      </c>
      <c r="J19" s="312"/>
      <c r="K19" s="333"/>
      <c r="L19" s="2"/>
      <c r="M19" s="2"/>
      <c r="N19" s="2"/>
      <c r="O19" s="2"/>
      <c r="P19" s="325" t="str">
        <f t="shared" si="1"/>
        <v>CHAN HAROLD JAY  AMAZONA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5" customHeight="1">
      <c r="A20" s="326">
        <v>11</v>
      </c>
      <c r="B20" s="327" t="s">
        <v>56</v>
      </c>
      <c r="C20" s="327" t="s">
        <v>39</v>
      </c>
      <c r="D20" s="326" t="s">
        <v>40</v>
      </c>
      <c r="E20" s="328" t="s">
        <v>63</v>
      </c>
      <c r="F20" s="328" t="s">
        <v>64</v>
      </c>
      <c r="G20" s="328" t="s">
        <v>65</v>
      </c>
      <c r="H20" s="314"/>
      <c r="I20" s="328" t="s">
        <v>2815</v>
      </c>
      <c r="J20" s="329" t="s">
        <v>66</v>
      </c>
      <c r="K20" s="331" t="s">
        <v>67</v>
      </c>
      <c r="L20" s="2"/>
      <c r="M20" s="2"/>
      <c r="N20" s="2"/>
      <c r="O20" s="2"/>
      <c r="P20" s="325" t="str">
        <f t="shared" si="1"/>
        <v>ERIBAL JOZEL JOY FALAGNE</v>
      </c>
      <c r="Q20" s="332" t="str">
        <f>IFERROR(VLOOKUP(P20,[1]Disposition!$AB$9:$AC$495,2,0),"NO RECORD YET")</f>
        <v>5A Diamond St., JRA Subd., Rosario, Pasug City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customHeight="1">
      <c r="A21" s="326">
        <v>12</v>
      </c>
      <c r="B21" s="327" t="s">
        <v>56</v>
      </c>
      <c r="C21" s="327" t="s">
        <v>39</v>
      </c>
      <c r="D21" s="326" t="s">
        <v>40</v>
      </c>
      <c r="E21" s="328" t="s">
        <v>68</v>
      </c>
      <c r="F21" s="328" t="s">
        <v>69</v>
      </c>
      <c r="G21" s="328" t="s">
        <v>70</v>
      </c>
      <c r="H21" s="314"/>
      <c r="I21" s="328" t="s">
        <v>2785</v>
      </c>
      <c r="J21" s="329" t="s">
        <v>71</v>
      </c>
      <c r="K21" s="331" t="s">
        <v>72</v>
      </c>
      <c r="L21" s="2"/>
      <c r="M21" s="2"/>
      <c r="N21" s="2"/>
      <c r="O21" s="2"/>
      <c r="P21" s="325" t="str">
        <f t="shared" si="1"/>
        <v>SEMILLA FLORITES SARIO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5" customHeight="1">
      <c r="A22" s="326">
        <v>13</v>
      </c>
      <c r="B22" s="327" t="s">
        <v>73</v>
      </c>
      <c r="C22" s="327" t="s">
        <v>39</v>
      </c>
      <c r="D22" s="326" t="s">
        <v>40</v>
      </c>
      <c r="E22" s="328" t="s">
        <v>74</v>
      </c>
      <c r="F22" s="328" t="s">
        <v>75</v>
      </c>
      <c r="G22" s="328" t="s">
        <v>76</v>
      </c>
      <c r="H22" s="314"/>
      <c r="I22" s="328" t="s">
        <v>2754</v>
      </c>
      <c r="J22" s="329" t="s">
        <v>77</v>
      </c>
      <c r="K22" s="331" t="s">
        <v>78</v>
      </c>
      <c r="L22" s="2"/>
      <c r="M22" s="2"/>
      <c r="N22" s="2"/>
      <c r="O22" s="2"/>
      <c r="P22" s="325" t="str">
        <f t="shared" si="1"/>
        <v>MATILLANO MINA HAYDEE BECERA</v>
      </c>
      <c r="Q22" s="332" t="str">
        <f>IFERROR(VLOOKUP(P22,[1]Disposition!$AB$9:$AC$495,2,0),"NO RECORD YET")</f>
        <v>B2 L17 Rose St., Venice Homes Subd., Cainta, Rizal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5" customHeight="1">
      <c r="A23" s="326">
        <v>14</v>
      </c>
      <c r="B23" s="327" t="s">
        <v>79</v>
      </c>
      <c r="C23" s="327" t="s">
        <v>39</v>
      </c>
      <c r="D23" s="326" t="s">
        <v>40</v>
      </c>
      <c r="E23" s="328" t="s">
        <v>85</v>
      </c>
      <c r="F23" s="328" t="s">
        <v>86</v>
      </c>
      <c r="G23" s="328" t="s">
        <v>87</v>
      </c>
      <c r="H23" s="314"/>
      <c r="I23" s="328" t="s">
        <v>2695</v>
      </c>
      <c r="J23" s="329" t="s">
        <v>88</v>
      </c>
      <c r="K23" s="331" t="s">
        <v>89</v>
      </c>
      <c r="L23" s="2"/>
      <c r="M23" s="2"/>
      <c r="N23" s="2"/>
      <c r="O23" s="2"/>
      <c r="P23" s="325" t="str">
        <f t="shared" si="1"/>
        <v>BAGO REBECCA LLANEZA</v>
      </c>
      <c r="Q23" s="332" t="str">
        <f>IFERROR(VLOOKUP(P23,[1]Disposition!$AB$9:$AC$495,2,0),"NO RECORD YET")</f>
        <v>196 Guyam Malaki, Indang, Cavite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5" customHeight="1">
      <c r="A24" s="326">
        <v>15</v>
      </c>
      <c r="B24" s="327" t="s">
        <v>79</v>
      </c>
      <c r="C24" s="327" t="s">
        <v>39</v>
      </c>
      <c r="D24" s="326" t="s">
        <v>40</v>
      </c>
      <c r="E24" s="328" t="s">
        <v>2911</v>
      </c>
      <c r="F24" s="328" t="s">
        <v>2912</v>
      </c>
      <c r="G24" s="328" t="s">
        <v>2913</v>
      </c>
      <c r="H24" s="314"/>
      <c r="I24" s="328" t="s">
        <v>2679</v>
      </c>
      <c r="J24" s="329" t="s">
        <v>2914</v>
      </c>
      <c r="K24" s="334">
        <v>9294573659</v>
      </c>
      <c r="L24" s="2"/>
      <c r="M24" s="2"/>
      <c r="N24" s="2"/>
      <c r="O24" s="2"/>
      <c r="P24" s="325"/>
      <c r="Q24" s="33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5" customHeight="1">
      <c r="A25" s="326">
        <v>16</v>
      </c>
      <c r="B25" s="327" t="s">
        <v>90</v>
      </c>
      <c r="C25" s="327" t="s">
        <v>19</v>
      </c>
      <c r="D25" s="326" t="s">
        <v>20</v>
      </c>
      <c r="E25" s="328" t="s">
        <v>91</v>
      </c>
      <c r="F25" s="328" t="s">
        <v>92</v>
      </c>
      <c r="G25" s="328" t="s">
        <v>93</v>
      </c>
      <c r="H25" s="314"/>
      <c r="I25" s="328" t="s">
        <v>2816</v>
      </c>
      <c r="J25" s="329" t="s">
        <v>94</v>
      </c>
      <c r="K25" s="331" t="s">
        <v>95</v>
      </c>
      <c r="L25" s="2"/>
      <c r="M25" s="2"/>
      <c r="N25" s="2"/>
      <c r="O25" s="2"/>
      <c r="P25" s="325" t="str">
        <f t="shared" si="1"/>
        <v>PATIÑO RANDI MANZANO</v>
      </c>
      <c r="Q25" s="332" t="str">
        <f>IFERROR(VLOOKUP(P25,[1]Disposition!$AB$9:$AC$495,2,0),"NO RECORD YET")</f>
        <v>Mddle Nivel Hills, Brgy Apas, Cebu City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5" customHeight="1">
      <c r="A26" s="326">
        <v>17</v>
      </c>
      <c r="B26" s="327" t="s">
        <v>90</v>
      </c>
      <c r="C26" s="327" t="s">
        <v>19</v>
      </c>
      <c r="D26" s="326" t="s">
        <v>96</v>
      </c>
      <c r="E26" s="328" t="s">
        <v>97</v>
      </c>
      <c r="F26" s="328" t="s">
        <v>98</v>
      </c>
      <c r="G26" s="328" t="s">
        <v>99</v>
      </c>
      <c r="H26" s="314"/>
      <c r="I26" s="328" t="s">
        <v>2817</v>
      </c>
      <c r="J26" s="329" t="s">
        <v>100</v>
      </c>
      <c r="K26" s="331" t="s">
        <v>101</v>
      </c>
      <c r="L26" s="2"/>
      <c r="M26" s="2"/>
      <c r="N26" s="2"/>
      <c r="O26" s="2"/>
      <c r="P26" s="325" t="str">
        <f t="shared" si="1"/>
        <v>KARIM BENSAR ALI ABDULGANI</v>
      </c>
      <c r="Q26" s="332" t="str">
        <f>IFERROR(VLOOKUP(P26,[1]Disposition!$AB$9:$AC$495,2,0),"NO RECORD YET")</f>
        <v>21-B Maguindanao St, Culiat, Quezon City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5" customHeight="1">
      <c r="A27" s="326">
        <v>18</v>
      </c>
      <c r="B27" s="327" t="s">
        <v>90</v>
      </c>
      <c r="C27" s="327" t="s">
        <v>19</v>
      </c>
      <c r="D27" s="326" t="s">
        <v>24</v>
      </c>
      <c r="E27" s="328" t="s">
        <v>102</v>
      </c>
      <c r="F27" s="328" t="s">
        <v>103</v>
      </c>
      <c r="G27" s="328" t="s">
        <v>104</v>
      </c>
      <c r="H27" s="314"/>
      <c r="I27" s="328" t="s">
        <v>2818</v>
      </c>
      <c r="J27" s="329" t="s">
        <v>105</v>
      </c>
      <c r="K27" s="331" t="s">
        <v>106</v>
      </c>
      <c r="L27" s="2"/>
      <c r="M27" s="2"/>
      <c r="N27" s="2"/>
      <c r="O27" s="2"/>
      <c r="P27" s="325" t="str">
        <f t="shared" si="1"/>
        <v>AGGARAO ALBERTO CALLANGAN</v>
      </c>
      <c r="Q27" s="332" t="str">
        <f>IFERROR(VLOOKUP(P27,[1]Disposition!$AB$9:$AC$495,2,0),"NO RECORD YET")</f>
        <v>215 D Guiho St., Cembo, Makati City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5" customHeight="1">
      <c r="A28" s="326">
        <v>19</v>
      </c>
      <c r="B28" s="327" t="s">
        <v>90</v>
      </c>
      <c r="C28" s="327" t="s">
        <v>39</v>
      </c>
      <c r="D28" s="326" t="s">
        <v>24</v>
      </c>
      <c r="E28" s="328" t="s">
        <v>107</v>
      </c>
      <c r="F28" s="328" t="s">
        <v>108</v>
      </c>
      <c r="G28" s="328" t="s">
        <v>109</v>
      </c>
      <c r="H28" s="314"/>
      <c r="I28" s="328" t="s">
        <v>2819</v>
      </c>
      <c r="J28" s="329" t="s">
        <v>110</v>
      </c>
      <c r="K28" s="331" t="s">
        <v>111</v>
      </c>
      <c r="L28" s="2"/>
      <c r="M28" s="2"/>
      <c r="N28" s="2"/>
      <c r="O28" s="2"/>
      <c r="P28" s="325" t="str">
        <f t="shared" si="1"/>
        <v>SANG-AN CATHERINE VALDESTAMON</v>
      </c>
      <c r="Q28" s="332" t="str">
        <f>IFERROR(VLOOKUP(P28,[1]Disposition!$AB$9:$AC$495,2,0),"NO RECORD YET")</f>
        <v>NO RECORD YET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5" customHeight="1">
      <c r="A29" s="326">
        <v>20</v>
      </c>
      <c r="B29" s="327" t="s">
        <v>90</v>
      </c>
      <c r="C29" s="327" t="s">
        <v>39</v>
      </c>
      <c r="D29" s="326" t="s">
        <v>40</v>
      </c>
      <c r="E29" s="328" t="s">
        <v>112</v>
      </c>
      <c r="F29" s="328" t="s">
        <v>113</v>
      </c>
      <c r="G29" s="328" t="s">
        <v>114</v>
      </c>
      <c r="H29" s="314"/>
      <c r="I29" s="328" t="s">
        <v>2728</v>
      </c>
      <c r="J29" s="329" t="s">
        <v>115</v>
      </c>
      <c r="K29" s="331" t="s">
        <v>116</v>
      </c>
      <c r="L29" s="2"/>
      <c r="M29" s="2"/>
      <c r="N29" s="2"/>
      <c r="O29" s="2"/>
      <c r="P29" s="325" t="str">
        <f t="shared" si="1"/>
        <v>ESTEVES MARICEL  FRESNOZA</v>
      </c>
      <c r="Q29" s="332" t="str">
        <f>IFERROR(VLOOKUP(P29,[1]Disposition!$AB$9:$AC$495,2,0),"NO RECORD YET")</f>
        <v>3310 Bataan St., Bacood, Sta.Mesa, Manila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5" customHeight="1">
      <c r="A30" s="326">
        <v>21</v>
      </c>
      <c r="B30" s="327" t="s">
        <v>122</v>
      </c>
      <c r="C30" s="327" t="s">
        <v>19</v>
      </c>
      <c r="D30" s="326" t="s">
        <v>28</v>
      </c>
      <c r="E30" s="328" t="s">
        <v>123</v>
      </c>
      <c r="F30" s="328" t="s">
        <v>124</v>
      </c>
      <c r="G30" s="328" t="s">
        <v>125</v>
      </c>
      <c r="H30" s="314"/>
      <c r="I30" s="328" t="s">
        <v>2820</v>
      </c>
      <c r="J30" s="329" t="s">
        <v>126</v>
      </c>
      <c r="K30" s="331" t="s">
        <v>127</v>
      </c>
      <c r="L30" s="2"/>
      <c r="M30" s="2"/>
      <c r="N30" s="2"/>
      <c r="O30" s="2"/>
      <c r="P30" s="325" t="str">
        <f t="shared" si="1"/>
        <v>PEÑON JAYSON CABRAL</v>
      </c>
      <c r="Q30" s="332" t="str">
        <f>IFERROR(VLOOKUP(P30,[1]Disposition!$AB$9:$AC$495,2,0),"NO RECORD YET")</f>
        <v>NO RECORD YET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5" customHeight="1">
      <c r="A31" s="326">
        <v>22</v>
      </c>
      <c r="B31" s="327" t="s">
        <v>122</v>
      </c>
      <c r="C31" s="327" t="s">
        <v>39</v>
      </c>
      <c r="D31" s="326" t="s">
        <v>40</v>
      </c>
      <c r="E31" s="328" t="s">
        <v>128</v>
      </c>
      <c r="F31" s="328" t="s">
        <v>129</v>
      </c>
      <c r="G31" s="328" t="s">
        <v>130</v>
      </c>
      <c r="H31" s="314"/>
      <c r="I31" s="328" t="s">
        <v>2686</v>
      </c>
      <c r="J31" s="329" t="s">
        <v>131</v>
      </c>
      <c r="K31" s="331" t="s">
        <v>132</v>
      </c>
      <c r="L31" s="2"/>
      <c r="M31" s="2"/>
      <c r="N31" s="2"/>
      <c r="O31" s="2"/>
      <c r="P31" s="325" t="str">
        <f t="shared" si="1"/>
        <v>ALVAREZ PAMELA CEREZO</v>
      </c>
      <c r="Q31" s="332" t="str">
        <f>IFERROR(VLOOKUP(P31,[1]Disposition!$AB$9:$AC$495,2,0),"NO RECORD YET")</f>
        <v>Pao, Manaoag, Pangasinan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5" customHeight="1">
      <c r="A32" s="326">
        <v>23</v>
      </c>
      <c r="B32" s="327" t="s">
        <v>122</v>
      </c>
      <c r="C32" s="327" t="s">
        <v>19</v>
      </c>
      <c r="D32" s="326" t="s">
        <v>40</v>
      </c>
      <c r="E32" s="328" t="s">
        <v>133</v>
      </c>
      <c r="F32" s="328" t="s">
        <v>134</v>
      </c>
      <c r="G32" s="328" t="s">
        <v>135</v>
      </c>
      <c r="H32" s="314"/>
      <c r="I32" s="328" t="s">
        <v>2821</v>
      </c>
      <c r="J32" s="329" t="s">
        <v>136</v>
      </c>
      <c r="K32" s="331" t="s">
        <v>137</v>
      </c>
      <c r="L32" s="2"/>
      <c r="M32" s="2"/>
      <c r="N32" s="2"/>
      <c r="O32" s="2"/>
      <c r="P32" s="325" t="str">
        <f t="shared" si="1"/>
        <v>RUIVIVAR JOSE SALVADOR DEL ROSARIO</v>
      </c>
      <c r="Q32" s="332" t="str">
        <f>IFERROR(VLOOKUP(P32,[1]Disposition!$AB$9:$AC$495,2,0),"NO RECORD YET")</f>
        <v>13 St. Joseph St., Milton Hills Subd, Diliman, Quezon City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5" customHeight="1">
      <c r="A33" s="326">
        <v>24</v>
      </c>
      <c r="B33" s="327" t="s">
        <v>138</v>
      </c>
      <c r="C33" s="327" t="s">
        <v>39</v>
      </c>
      <c r="D33" s="326" t="s">
        <v>253</v>
      </c>
      <c r="E33" s="328" t="s">
        <v>960</v>
      </c>
      <c r="F33" s="328" t="s">
        <v>1892</v>
      </c>
      <c r="G33" s="328" t="s">
        <v>636</v>
      </c>
      <c r="H33" s="326" t="s">
        <v>55</v>
      </c>
      <c r="I33" s="328" t="s">
        <v>2822</v>
      </c>
      <c r="J33" s="329" t="s">
        <v>2823</v>
      </c>
      <c r="K33" s="330" t="s">
        <v>2824</v>
      </c>
      <c r="L33" s="2"/>
      <c r="M33" s="2"/>
      <c r="N33" s="2"/>
      <c r="O33" s="2"/>
      <c r="P33" s="325" t="str">
        <f t="shared" si="1"/>
        <v>UNTALAN EDUARDO  SANTOS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5" customHeight="1">
      <c r="A34" s="326">
        <v>25</v>
      </c>
      <c r="B34" s="327" t="s">
        <v>817</v>
      </c>
      <c r="C34" s="327" t="s">
        <v>19</v>
      </c>
      <c r="D34" s="326" t="s">
        <v>57</v>
      </c>
      <c r="E34" s="328" t="s">
        <v>818</v>
      </c>
      <c r="F34" s="328" t="s">
        <v>432</v>
      </c>
      <c r="G34" s="328" t="s">
        <v>819</v>
      </c>
      <c r="H34" s="326" t="s">
        <v>268</v>
      </c>
      <c r="I34" s="328" t="s">
        <v>2825</v>
      </c>
      <c r="J34" s="329" t="s">
        <v>820</v>
      </c>
      <c r="K34" s="331" t="s">
        <v>821</v>
      </c>
      <c r="L34" s="2"/>
      <c r="M34" s="2"/>
      <c r="N34" s="2"/>
      <c r="O34" s="2"/>
      <c r="P34" s="325" t="str">
        <f t="shared" si="1"/>
        <v>CANJA ROBERTO GINETA</v>
      </c>
      <c r="Q34" s="332" t="str">
        <f>IFERROR(VLOOKUP(P34,[1]Disposition!$AB$9:$AC$495,2,0),"NO RECORD YET")</f>
        <v>Brgy. Mambabanga, Luna, Isabela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5" customHeight="1">
      <c r="A35" s="326">
        <v>26</v>
      </c>
      <c r="B35" s="327" t="s">
        <v>138</v>
      </c>
      <c r="C35" s="327" t="s">
        <v>39</v>
      </c>
      <c r="D35" s="326" t="s">
        <v>24</v>
      </c>
      <c r="E35" s="328" t="s">
        <v>139</v>
      </c>
      <c r="F35" s="328" t="s">
        <v>140</v>
      </c>
      <c r="G35" s="328" t="s">
        <v>141</v>
      </c>
      <c r="H35" s="314"/>
      <c r="I35" s="328" t="s">
        <v>2802</v>
      </c>
      <c r="J35" s="329" t="s">
        <v>142</v>
      </c>
      <c r="K35" s="331" t="s">
        <v>143</v>
      </c>
      <c r="L35" s="2"/>
      <c r="M35" s="2"/>
      <c r="N35" s="2"/>
      <c r="O35" s="2"/>
      <c r="P35" s="325" t="str">
        <f t="shared" si="1"/>
        <v>CUASAY ZAYRA JANE CEDENO</v>
      </c>
      <c r="Q35" s="332" t="str">
        <f>IFERROR(VLOOKUP(P35,[1]Disposition!$AB$9:$AC$495,2,0),"NO RECORD YET")</f>
        <v>NO RECORD YET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5" customHeight="1">
      <c r="A36" s="326">
        <v>27</v>
      </c>
      <c r="B36" s="327" t="s">
        <v>138</v>
      </c>
      <c r="C36" s="327" t="s">
        <v>39</v>
      </c>
      <c r="D36" s="326" t="s">
        <v>40</v>
      </c>
      <c r="E36" s="328" t="s">
        <v>144</v>
      </c>
      <c r="F36" s="328" t="s">
        <v>145</v>
      </c>
      <c r="G36" s="328" t="s">
        <v>146</v>
      </c>
      <c r="H36" s="314"/>
      <c r="I36" s="328" t="s">
        <v>2713</v>
      </c>
      <c r="J36" s="329" t="s">
        <v>147</v>
      </c>
      <c r="K36" s="331" t="s">
        <v>148</v>
      </c>
      <c r="L36" s="2"/>
      <c r="M36" s="2"/>
      <c r="N36" s="2"/>
      <c r="O36" s="2"/>
      <c r="P36" s="325" t="str">
        <f t="shared" si="1"/>
        <v>COSTALES MARY GRACE RODRIGUEZ</v>
      </c>
      <c r="Q36" s="332" t="str">
        <f>IFERROR(VLOOKUP(P36,[1]Disposition!$AB$9:$AC$495,2,0),"NO RECORD YET")</f>
        <v>NO RECORD YET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5" customHeight="1">
      <c r="A37" s="326">
        <v>28</v>
      </c>
      <c r="B37" s="327" t="s">
        <v>138</v>
      </c>
      <c r="C37" s="327" t="s">
        <v>39</v>
      </c>
      <c r="D37" s="326" t="s">
        <v>40</v>
      </c>
      <c r="E37" s="328" t="s">
        <v>149</v>
      </c>
      <c r="F37" s="328" t="s">
        <v>150</v>
      </c>
      <c r="G37" s="328" t="s">
        <v>151</v>
      </c>
      <c r="H37" s="314"/>
      <c r="I37" s="328" t="s">
        <v>2714</v>
      </c>
      <c r="J37" s="329" t="s">
        <v>152</v>
      </c>
      <c r="K37" s="331" t="s">
        <v>153</v>
      </c>
      <c r="L37" s="2"/>
      <c r="M37" s="2"/>
      <c r="N37" s="2"/>
      <c r="O37" s="2"/>
      <c r="P37" s="325" t="str">
        <f t="shared" si="1"/>
        <v>VER MARIE LOUISE ROVIAN RAMOS</v>
      </c>
      <c r="Q37" s="332" t="str">
        <f>IFERROR(VLOOKUP(P37,[1]Disposition!$AB$9:$AC$495,2,0),"NO RECORD YET")</f>
        <v>Blk 43 Lot 16, Phase 7, Eastwood Residences, Brgy San Isidro, Montalban, Rizal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5" customHeight="1">
      <c r="A38" s="326">
        <v>29</v>
      </c>
      <c r="B38" s="327" t="s">
        <v>2826</v>
      </c>
      <c r="C38" s="327" t="s">
        <v>39</v>
      </c>
      <c r="D38" s="326" t="s">
        <v>28</v>
      </c>
      <c r="E38" s="328" t="s">
        <v>175</v>
      </c>
      <c r="F38" s="328" t="s">
        <v>176</v>
      </c>
      <c r="G38" s="328" t="s">
        <v>177</v>
      </c>
      <c r="H38" s="314"/>
      <c r="I38" s="328" t="s">
        <v>2827</v>
      </c>
      <c r="J38" s="329" t="s">
        <v>178</v>
      </c>
      <c r="K38" s="331" t="s">
        <v>179</v>
      </c>
      <c r="L38" s="2"/>
      <c r="M38" s="2"/>
      <c r="N38" s="2"/>
      <c r="O38" s="2"/>
      <c r="P38" s="325" t="str">
        <f t="shared" si="1"/>
        <v>CELARIO RUBY ROSE BUEZA</v>
      </c>
      <c r="Q38" s="332" t="str">
        <f>IFERROR(VLOOKUP(P38,[1]Disposition!$AB$9:$AC$495,2,0),"NO RECORD YET")</f>
        <v>NO RECORD YET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5" customHeight="1">
      <c r="A39" s="326">
        <v>30</v>
      </c>
      <c r="B39" s="327" t="s">
        <v>2826</v>
      </c>
      <c r="C39" s="327" t="s">
        <v>39</v>
      </c>
      <c r="D39" s="326" t="s">
        <v>40</v>
      </c>
      <c r="E39" s="328" t="s">
        <v>2828</v>
      </c>
      <c r="F39" s="328" t="s">
        <v>2829</v>
      </c>
      <c r="G39" s="328" t="s">
        <v>182</v>
      </c>
      <c r="H39" s="314"/>
      <c r="I39" s="328" t="s">
        <v>2830</v>
      </c>
      <c r="J39" s="312"/>
      <c r="K39" s="333"/>
      <c r="L39" s="2"/>
      <c r="M39" s="2"/>
      <c r="N39" s="2"/>
      <c r="O39" s="2"/>
      <c r="P39" s="325" t="str">
        <f t="shared" si="1"/>
        <v>DAGUPLO ROSETTE CASTILLO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5" customHeight="1">
      <c r="A40" s="326">
        <v>31</v>
      </c>
      <c r="B40" s="327" t="s">
        <v>2826</v>
      </c>
      <c r="C40" s="327" t="s">
        <v>39</v>
      </c>
      <c r="D40" s="326" t="s">
        <v>40</v>
      </c>
      <c r="E40" s="328" t="s">
        <v>2831</v>
      </c>
      <c r="F40" s="328" t="s">
        <v>2832</v>
      </c>
      <c r="G40" s="328" t="s">
        <v>2833</v>
      </c>
      <c r="H40" s="314"/>
      <c r="I40" s="328" t="s">
        <v>2830</v>
      </c>
      <c r="J40" s="312"/>
      <c r="K40" s="333"/>
      <c r="L40" s="2"/>
      <c r="M40" s="2"/>
      <c r="N40" s="2"/>
      <c r="O40" s="2"/>
      <c r="P40" s="325" t="str">
        <f t="shared" si="1"/>
        <v>FRANDO DANICA DATO-ON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5" customHeight="1">
      <c r="A41" s="326">
        <v>32</v>
      </c>
      <c r="B41" s="327" t="s">
        <v>2826</v>
      </c>
      <c r="C41" s="327" t="s">
        <v>39</v>
      </c>
      <c r="D41" s="326" t="s">
        <v>40</v>
      </c>
      <c r="E41" s="328" t="s">
        <v>1687</v>
      </c>
      <c r="F41" s="328" t="s">
        <v>1688</v>
      </c>
      <c r="G41" s="328" t="s">
        <v>1689</v>
      </c>
      <c r="H41" s="314"/>
      <c r="I41" s="328" t="s">
        <v>3646</v>
      </c>
      <c r="J41" s="312"/>
      <c r="K41" s="333"/>
      <c r="L41" s="2"/>
      <c r="M41" s="2"/>
      <c r="N41" s="2"/>
      <c r="O41" s="2"/>
      <c r="P41" s="325" t="str">
        <f t="shared" si="1"/>
        <v>NABONG WENDA GREEN LINDON TOMAS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5" customHeight="1">
      <c r="A42" s="326">
        <v>33</v>
      </c>
      <c r="B42" s="327" t="s">
        <v>2826</v>
      </c>
      <c r="C42" s="327" t="s">
        <v>39</v>
      </c>
      <c r="D42" s="326" t="s">
        <v>40</v>
      </c>
      <c r="E42" s="328" t="s">
        <v>2835</v>
      </c>
      <c r="F42" s="328" t="s">
        <v>2836</v>
      </c>
      <c r="G42" s="328" t="s">
        <v>2837</v>
      </c>
      <c r="H42" s="314"/>
      <c r="I42" s="328" t="s">
        <v>2830</v>
      </c>
      <c r="J42" s="312"/>
      <c r="K42" s="333"/>
      <c r="L42" s="2"/>
      <c r="M42" s="2"/>
      <c r="N42" s="2"/>
      <c r="O42" s="2"/>
      <c r="P42" s="325" t="str">
        <f t="shared" si="1"/>
        <v>QUIJANO SHEILA MARIE VELARDE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5" customHeight="1">
      <c r="A43" s="326">
        <v>34</v>
      </c>
      <c r="B43" s="327" t="s">
        <v>154</v>
      </c>
      <c r="C43" s="327" t="s">
        <v>39</v>
      </c>
      <c r="D43" s="326" t="s">
        <v>160</v>
      </c>
      <c r="E43" s="328" t="s">
        <v>161</v>
      </c>
      <c r="F43" s="328" t="s">
        <v>2839</v>
      </c>
      <c r="G43" s="328" t="s">
        <v>163</v>
      </c>
      <c r="H43" s="314"/>
      <c r="I43" s="328" t="s">
        <v>2840</v>
      </c>
      <c r="J43" s="329" t="s">
        <v>2823</v>
      </c>
      <c r="K43" s="330" t="s">
        <v>2824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5" customHeight="1">
      <c r="A44" s="326">
        <v>35</v>
      </c>
      <c r="B44" s="327" t="s">
        <v>154</v>
      </c>
      <c r="C44" s="327" t="s">
        <v>19</v>
      </c>
      <c r="D44" s="326" t="s">
        <v>57</v>
      </c>
      <c r="E44" s="328" t="s">
        <v>191</v>
      </c>
      <c r="F44" s="328" t="s">
        <v>192</v>
      </c>
      <c r="G44" s="328" t="s">
        <v>146</v>
      </c>
      <c r="H44" s="314"/>
      <c r="I44" s="328" t="s">
        <v>2841</v>
      </c>
      <c r="J44" s="329" t="s">
        <v>193</v>
      </c>
      <c r="K44" s="331" t="s">
        <v>194</v>
      </c>
      <c r="L44" s="2"/>
      <c r="M44" s="2"/>
      <c r="N44" s="2"/>
      <c r="O44" s="2"/>
      <c r="P44" s="325" t="str">
        <f t="shared" ref="P44:P45" si="2">CONCATENATE(E44," ",F44," ",G44)</f>
        <v>PEÑAVERDE PHILIP JAMES RODRIGUEZ</v>
      </c>
      <c r="Q44" s="332" t="str">
        <f>IFERROR(VLOOKUP(P44,[1]Disposition!$AB$9:$AC$495,2,0),"NO RECORD YET")</f>
        <v>Blk 1 Lot 128 P1-F Sub-Urban Village, Saan Jose, Rodriguez, Rizal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5" customHeight="1">
      <c r="A45" s="326">
        <v>36</v>
      </c>
      <c r="B45" s="327" t="s">
        <v>154</v>
      </c>
      <c r="C45" s="327" t="s">
        <v>39</v>
      </c>
      <c r="D45" s="326" t="s">
        <v>28</v>
      </c>
      <c r="E45" s="328" t="s">
        <v>2343</v>
      </c>
      <c r="F45" s="328" t="s">
        <v>2344</v>
      </c>
      <c r="G45" s="328" t="s">
        <v>2345</v>
      </c>
      <c r="H45" s="314"/>
      <c r="I45" s="328" t="s">
        <v>2802</v>
      </c>
      <c r="J45" s="329" t="s">
        <v>2346</v>
      </c>
      <c r="K45" s="331" t="s">
        <v>2347</v>
      </c>
      <c r="L45" s="2"/>
      <c r="M45" s="2"/>
      <c r="N45" s="2"/>
      <c r="O45" s="2"/>
      <c r="P45" s="325" t="str">
        <f t="shared" si="2"/>
        <v>PACIENCIA METALLICA LYH OCTAVIANO</v>
      </c>
      <c r="Q45" s="332" t="str">
        <f>IFERROR(VLOOKUP(P45,[1]Disposition!$AB$9:$AC$495,2,0),"NO RECORD YET")</f>
        <v>NO RECORD YET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5" customHeight="1">
      <c r="A46" s="326">
        <v>37</v>
      </c>
      <c r="B46" s="327" t="s">
        <v>154</v>
      </c>
      <c r="C46" s="327" t="s">
        <v>39</v>
      </c>
      <c r="D46" s="326" t="s">
        <v>40</v>
      </c>
      <c r="E46" s="328" t="s">
        <v>200</v>
      </c>
      <c r="F46" s="328" t="s">
        <v>201</v>
      </c>
      <c r="G46" s="328" t="s">
        <v>202</v>
      </c>
      <c r="H46" s="314"/>
      <c r="I46" s="328" t="s">
        <v>2700</v>
      </c>
      <c r="J46" s="329" t="s">
        <v>203</v>
      </c>
      <c r="K46" s="331" t="s">
        <v>204</v>
      </c>
      <c r="L46" s="2"/>
      <c r="M46" s="2"/>
      <c r="N46" s="2"/>
      <c r="O46" s="2"/>
      <c r="P46" s="325" t="str">
        <f>CONCATENATE(E592," ",F592," ",G592)</f>
        <v>RAMOS WENCESLAO AGUILAR</v>
      </c>
      <c r="Q46" s="332" t="str">
        <f>IFERROR(VLOOKUP(P46,[1]Disposition!$AB$9:$AC$495,2,0),"NO RECORD YET")</f>
        <v>5-A St.Paul St., Remerville Subd. Baesa, Quezon City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5" customHeight="1">
      <c r="A47" s="326">
        <v>38</v>
      </c>
      <c r="B47" s="327" t="s">
        <v>154</v>
      </c>
      <c r="C47" s="327" t="s">
        <v>19</v>
      </c>
      <c r="D47" s="326" t="s">
        <v>40</v>
      </c>
      <c r="E47" s="328" t="s">
        <v>185</v>
      </c>
      <c r="F47" s="328" t="s">
        <v>186</v>
      </c>
      <c r="G47" s="328" t="s">
        <v>2842</v>
      </c>
      <c r="H47" s="314"/>
      <c r="I47" s="328" t="s">
        <v>2715</v>
      </c>
      <c r="J47" s="329" t="s">
        <v>188</v>
      </c>
      <c r="K47" s="331" t="s">
        <v>189</v>
      </c>
      <c r="L47" s="2"/>
      <c r="M47" s="2"/>
      <c r="N47" s="2"/>
      <c r="O47" s="2"/>
      <c r="P47" s="325" t="str">
        <f>CONCATENATE(E47," ",F47," ",G47)</f>
        <v>DAGTA MARY ANN Yap</v>
      </c>
      <c r="Q47" s="332" t="str">
        <f>IFERROR(VLOOKUP(P47,[1]Disposition!$AB$9:$AC$495,2,0),"NO RECORD YET")</f>
        <v>Blk 3, Lot 20, Amber St., Summit Viwe Subd., Brgy. San Rafael, Rodriguez, Rizal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5" customHeight="1">
      <c r="A48" s="326">
        <v>39</v>
      </c>
      <c r="B48" s="327" t="s">
        <v>2843</v>
      </c>
      <c r="C48" s="327" t="s">
        <v>39</v>
      </c>
      <c r="D48" s="326" t="s">
        <v>40</v>
      </c>
      <c r="E48" s="328" t="s">
        <v>164</v>
      </c>
      <c r="F48" s="328" t="s">
        <v>165</v>
      </c>
      <c r="G48" s="328" t="s">
        <v>166</v>
      </c>
      <c r="H48" s="314"/>
      <c r="I48" s="328" t="s">
        <v>2844</v>
      </c>
      <c r="J48" s="329" t="s">
        <v>167</v>
      </c>
      <c r="K48" s="331" t="s">
        <v>168</v>
      </c>
      <c r="L48" s="2"/>
      <c r="M48" s="2"/>
      <c r="N48" s="2"/>
      <c r="O48" s="2"/>
      <c r="P48" s="325" t="str">
        <f>CONCATENATE(E337," ",F337," ",G337)</f>
        <v>BATICADOS IVY ELEGARLE</v>
      </c>
      <c r="Q48" s="332" t="str">
        <f>IFERROR(VLOOKUP(P48,[1]Disposition!$AB$9:$AC$495,2,0),"NO RECORD YET")</f>
        <v>EL Dorado Dulo, Brgy. Don Bosco, Better Living Subd., Parañaque City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5" customHeight="1">
      <c r="A49" s="326">
        <v>40</v>
      </c>
      <c r="B49" s="327" t="s">
        <v>169</v>
      </c>
      <c r="C49" s="327" t="s">
        <v>39</v>
      </c>
      <c r="D49" s="326" t="s">
        <v>96</v>
      </c>
      <c r="E49" s="328" t="s">
        <v>170</v>
      </c>
      <c r="F49" s="328" t="s">
        <v>171</v>
      </c>
      <c r="G49" s="328" t="s">
        <v>172</v>
      </c>
      <c r="H49" s="314"/>
      <c r="I49" s="328" t="s">
        <v>2845</v>
      </c>
      <c r="J49" s="329" t="s">
        <v>173</v>
      </c>
      <c r="K49" s="331" t="s">
        <v>174</v>
      </c>
      <c r="L49" s="2"/>
      <c r="M49" s="2"/>
      <c r="N49" s="2"/>
      <c r="O49" s="2"/>
      <c r="P49" s="325" t="str">
        <f t="shared" ref="P49:P70" si="3">CONCATENATE(E49," ",F49," ",G49)</f>
        <v>QUINTOS ANGELICA AGOR</v>
      </c>
      <c r="Q49" s="332" t="str">
        <f>IFERROR(VLOOKUP(P432,[1]Disposition!$AB$9:$AC$495,2,0),"NO RECORD YET")</f>
        <v>NO RECORD YET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5" customHeight="1">
      <c r="A50" s="326">
        <v>41</v>
      </c>
      <c r="B50" s="327" t="s">
        <v>169</v>
      </c>
      <c r="C50" s="327" t="s">
        <v>19</v>
      </c>
      <c r="D50" s="326" t="s">
        <v>28</v>
      </c>
      <c r="E50" s="328" t="s">
        <v>180</v>
      </c>
      <c r="F50" s="328" t="s">
        <v>181</v>
      </c>
      <c r="G50" s="328" t="s">
        <v>182</v>
      </c>
      <c r="H50" s="314"/>
      <c r="I50" s="328" t="s">
        <v>2802</v>
      </c>
      <c r="J50" s="329" t="s">
        <v>183</v>
      </c>
      <c r="K50" s="331" t="s">
        <v>184</v>
      </c>
      <c r="L50" s="2"/>
      <c r="M50" s="2"/>
      <c r="N50" s="335">
        <v>3</v>
      </c>
      <c r="O50" s="2"/>
      <c r="P50" s="325" t="str">
        <f t="shared" si="3"/>
        <v>MANAOG RODNIE CASTILLO</v>
      </c>
      <c r="Q50" s="332" t="str">
        <f>IFERROR(VLOOKUP(P49,[1]Disposition!$AB$9:$AC$495,2,0),"NO RECORD YET")</f>
        <v>B1 L128 Phase 1F, Sub Urban Village, San Jose, Montalban, Rizal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5" customHeight="1">
      <c r="A51" s="326">
        <v>42</v>
      </c>
      <c r="B51" s="327" t="s">
        <v>169</v>
      </c>
      <c r="C51" s="327" t="s">
        <v>19</v>
      </c>
      <c r="D51" s="326" t="s">
        <v>28</v>
      </c>
      <c r="E51" s="328" t="s">
        <v>195</v>
      </c>
      <c r="F51" s="328" t="s">
        <v>196</v>
      </c>
      <c r="G51" s="328" t="s">
        <v>197</v>
      </c>
      <c r="H51" s="314"/>
      <c r="I51" s="328" t="s">
        <v>2802</v>
      </c>
      <c r="J51" s="329" t="s">
        <v>198</v>
      </c>
      <c r="K51" s="331" t="s">
        <v>199</v>
      </c>
      <c r="L51" s="2"/>
      <c r="M51" s="2"/>
      <c r="N51" s="335">
        <v>4</v>
      </c>
      <c r="O51" s="2"/>
      <c r="P51" s="325" t="str">
        <f t="shared" si="3"/>
        <v>MORTEL ALWYN ALBUFERA</v>
      </c>
      <c r="Q51" s="332" t="str">
        <f>IFERROR(VLOOKUP(P50,[1]Disposition!$AB$9:$AC$495,2,0),"NO RECORD YET")</f>
        <v>NO RECORD YET</v>
      </c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5" customHeight="1">
      <c r="A52" s="326">
        <v>43</v>
      </c>
      <c r="B52" s="327" t="s">
        <v>190</v>
      </c>
      <c r="C52" s="327" t="s">
        <v>39</v>
      </c>
      <c r="D52" s="326" t="s">
        <v>1043</v>
      </c>
      <c r="E52" s="328" t="s">
        <v>1044</v>
      </c>
      <c r="F52" s="328" t="s">
        <v>1045</v>
      </c>
      <c r="G52" s="328" t="s">
        <v>1046</v>
      </c>
      <c r="H52" s="314"/>
      <c r="I52" s="328" t="s">
        <v>2841</v>
      </c>
      <c r="J52" s="329" t="s">
        <v>1048</v>
      </c>
      <c r="K52" s="331" t="s">
        <v>1049</v>
      </c>
      <c r="L52" s="2"/>
      <c r="M52" s="2"/>
      <c r="N52" s="2"/>
      <c r="O52" s="2"/>
      <c r="P52" s="325" t="str">
        <f t="shared" si="3"/>
        <v>GASCON MARIA LUZ BUMAGAT</v>
      </c>
      <c r="Q52" s="332" t="str">
        <f>IFERROR(VLOOKUP(P51,[1]Disposition!$AB$9:$AC$495,2,0),"NO RECORD YET")</f>
        <v>NO RECORD YET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5" customHeight="1">
      <c r="A53" s="326">
        <v>44</v>
      </c>
      <c r="B53" s="327" t="s">
        <v>190</v>
      </c>
      <c r="C53" s="327" t="s">
        <v>39</v>
      </c>
      <c r="D53" s="326" t="s">
        <v>40</v>
      </c>
      <c r="E53" s="328" t="s">
        <v>2846</v>
      </c>
      <c r="F53" s="328" t="s">
        <v>2847</v>
      </c>
      <c r="G53" s="328" t="s">
        <v>668</v>
      </c>
      <c r="H53" s="314"/>
      <c r="I53" s="328" t="s">
        <v>2699</v>
      </c>
      <c r="J53" s="312"/>
      <c r="K53" s="333"/>
      <c r="L53" s="2"/>
      <c r="M53" s="2"/>
      <c r="N53" s="2"/>
      <c r="O53" s="2"/>
      <c r="P53" s="325" t="str">
        <f t="shared" si="3"/>
        <v>IRASUSTA JOANA MARIE NATIVIDAD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5" customHeight="1">
      <c r="A54" s="326">
        <v>45</v>
      </c>
      <c r="B54" s="327" t="s">
        <v>205</v>
      </c>
      <c r="C54" s="327" t="s">
        <v>19</v>
      </c>
      <c r="D54" s="326" t="s">
        <v>96</v>
      </c>
      <c r="E54" s="328" t="s">
        <v>206</v>
      </c>
      <c r="F54" s="328" t="s">
        <v>207</v>
      </c>
      <c r="G54" s="328" t="s">
        <v>208</v>
      </c>
      <c r="H54" s="314"/>
      <c r="I54" s="328" t="s">
        <v>2848</v>
      </c>
      <c r="J54" s="329" t="s">
        <v>209</v>
      </c>
      <c r="K54" s="331" t="s">
        <v>210</v>
      </c>
      <c r="L54" s="2"/>
      <c r="M54" s="2"/>
      <c r="N54" s="2"/>
      <c r="O54" s="2"/>
      <c r="P54" s="325" t="str">
        <f t="shared" si="3"/>
        <v>SOSA GIBSON JOHN ARAOS</v>
      </c>
      <c r="Q54" s="332" t="str">
        <f>IFERROR(VLOOKUP(P53,[1]Disposition!$AB$9:$AC$495,2,0),"NO RECORD YET")</f>
        <v>NO RECORD YET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5" customHeight="1">
      <c r="A55" s="326">
        <v>46</v>
      </c>
      <c r="B55" s="327" t="s">
        <v>205</v>
      </c>
      <c r="C55" s="327" t="s">
        <v>19</v>
      </c>
      <c r="D55" s="326" t="s">
        <v>253</v>
      </c>
      <c r="E55" s="328" t="s">
        <v>211</v>
      </c>
      <c r="F55" s="328" t="s">
        <v>212</v>
      </c>
      <c r="G55" s="328" t="s">
        <v>213</v>
      </c>
      <c r="H55" s="314"/>
      <c r="I55" s="328" t="s">
        <v>2848</v>
      </c>
      <c r="J55" s="329" t="s">
        <v>214</v>
      </c>
      <c r="K55" s="331" t="s">
        <v>215</v>
      </c>
      <c r="L55" s="2"/>
      <c r="M55" s="2"/>
      <c r="N55" s="2"/>
      <c r="O55" s="2"/>
      <c r="P55" s="325" t="str">
        <f t="shared" si="3"/>
        <v>TAN ACHILES YABUT</v>
      </c>
      <c r="Q55" s="332" t="str">
        <f>IFERROR(VLOOKUP(P54,[1]Disposition!$AB$9:$AC$495,2,0),"NO RECORD YET")</f>
        <v>#10 Singapore, Bastulde, Fil-Inves, Cainta, Rizal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5" customHeight="1">
      <c r="A56" s="326">
        <v>47</v>
      </c>
      <c r="B56" s="327" t="s">
        <v>205</v>
      </c>
      <c r="C56" s="327" t="s">
        <v>39</v>
      </c>
      <c r="D56" s="326" t="s">
        <v>24</v>
      </c>
      <c r="E56" s="328" t="s">
        <v>216</v>
      </c>
      <c r="F56" s="328" t="s">
        <v>217</v>
      </c>
      <c r="G56" s="328" t="s">
        <v>218</v>
      </c>
      <c r="H56" s="314"/>
      <c r="I56" s="328" t="s">
        <v>2849</v>
      </c>
      <c r="J56" s="329" t="s">
        <v>219</v>
      </c>
      <c r="K56" s="331" t="s">
        <v>220</v>
      </c>
      <c r="L56" s="2"/>
      <c r="M56" s="2"/>
      <c r="N56" s="2"/>
      <c r="O56" s="2"/>
      <c r="P56" s="325" t="str">
        <f t="shared" si="3"/>
        <v>CLAOR MICHELLE DUGAM</v>
      </c>
      <c r="Q56" s="332" t="str">
        <f>IFERROR(VLOOKUP(P55,[1]Disposition!$AB$9:$AC$495,2,0),"NO RECORD YET")</f>
        <v>Blk 1 Lot 33, Maunlad Homes Subd., Caingin, Malolos, Bulacan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5" customHeight="1">
      <c r="A57" s="326">
        <v>48</v>
      </c>
      <c r="B57" s="327" t="s">
        <v>2850</v>
      </c>
      <c r="C57" s="327" t="s">
        <v>19</v>
      </c>
      <c r="D57" s="326" t="s">
        <v>40</v>
      </c>
      <c r="E57" s="328" t="s">
        <v>971</v>
      </c>
      <c r="F57" s="328" t="s">
        <v>1388</v>
      </c>
      <c r="G57" s="328" t="s">
        <v>636</v>
      </c>
      <c r="H57" s="314"/>
      <c r="I57" s="328" t="s">
        <v>2716</v>
      </c>
      <c r="J57" s="329" t="s">
        <v>1820</v>
      </c>
      <c r="K57" s="331" t="s">
        <v>1821</v>
      </c>
      <c r="L57" s="2"/>
      <c r="M57" s="2"/>
      <c r="N57" s="2"/>
      <c r="O57" s="2"/>
      <c r="P57" s="325" t="str">
        <f t="shared" si="3"/>
        <v>AGUILAR BERNARDINO SANTOS</v>
      </c>
      <c r="Q57" s="332" t="str">
        <f>IFERROR(VLOOKUP(P56,[1]Disposition!$AB$9:$AC$495,2,0),"NO RECORD YET")</f>
        <v>Toon, La Paz, Abra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 customHeight="1">
      <c r="A58" s="326">
        <v>49</v>
      </c>
      <c r="B58" s="327" t="s">
        <v>221</v>
      </c>
      <c r="C58" s="327" t="s">
        <v>19</v>
      </c>
      <c r="D58" s="326" t="s">
        <v>96</v>
      </c>
      <c r="E58" s="328" t="s">
        <v>222</v>
      </c>
      <c r="F58" s="328" t="s">
        <v>223</v>
      </c>
      <c r="G58" s="328" t="s">
        <v>224</v>
      </c>
      <c r="H58" s="314"/>
      <c r="I58" s="328" t="s">
        <v>2848</v>
      </c>
      <c r="J58" s="329" t="s">
        <v>225</v>
      </c>
      <c r="K58" s="331" t="s">
        <v>226</v>
      </c>
      <c r="L58" s="2"/>
      <c r="M58" s="2"/>
      <c r="N58" s="2"/>
      <c r="O58" s="2"/>
      <c r="P58" s="325" t="str">
        <f t="shared" si="3"/>
        <v>ALIMAMBO JICK BONUAN</v>
      </c>
      <c r="Q58" s="332" t="str">
        <f>IFERROR(VLOOKUP(P127,[1]Disposition!$AB$9:$AC$495,2,0),"NO RECORD YET")</f>
        <v>NO RECORD YET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5" customHeight="1">
      <c r="A59" s="326">
        <v>50</v>
      </c>
      <c r="B59" s="327" t="s">
        <v>227</v>
      </c>
      <c r="C59" s="327" t="s">
        <v>19</v>
      </c>
      <c r="D59" s="326" t="s">
        <v>24</v>
      </c>
      <c r="E59" s="328" t="s">
        <v>234</v>
      </c>
      <c r="F59" s="328" t="s">
        <v>235</v>
      </c>
      <c r="G59" s="328" t="s">
        <v>236</v>
      </c>
      <c r="H59" s="314"/>
      <c r="I59" s="328" t="s">
        <v>2849</v>
      </c>
      <c r="J59" s="329" t="s">
        <v>237</v>
      </c>
      <c r="K59" s="331" t="s">
        <v>238</v>
      </c>
      <c r="L59" s="2"/>
      <c r="M59" s="2"/>
      <c r="N59" s="2"/>
      <c r="O59" s="2"/>
      <c r="P59" s="325" t="str">
        <f t="shared" si="3"/>
        <v>LUALHATI PAULO ANDREW PUNZALAN</v>
      </c>
      <c r="Q59" s="332" t="str">
        <f>IFERROR(VLOOKUP(P58,[1]Disposition!$AB$9:$AC$495,2,0),"NO RECORD YET")</f>
        <v>72  Pucay Village, Purok I, Bakakeng Norte, Baguio City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5" customHeight="1">
      <c r="A60" s="326">
        <v>51</v>
      </c>
      <c r="B60" s="327" t="s">
        <v>227</v>
      </c>
      <c r="C60" s="327" t="s">
        <v>19</v>
      </c>
      <c r="D60" s="326" t="s">
        <v>28</v>
      </c>
      <c r="E60" s="328" t="s">
        <v>228</v>
      </c>
      <c r="F60" s="328" t="s">
        <v>229</v>
      </c>
      <c r="G60" s="328" t="s">
        <v>230</v>
      </c>
      <c r="H60" s="314"/>
      <c r="I60" s="328" t="s">
        <v>2849</v>
      </c>
      <c r="J60" s="329" t="s">
        <v>231</v>
      </c>
      <c r="K60" s="331" t="s">
        <v>232</v>
      </c>
      <c r="L60" s="2"/>
      <c r="M60" s="2"/>
      <c r="N60" s="2"/>
      <c r="O60" s="2"/>
      <c r="P60" s="325" t="str">
        <f t="shared" si="3"/>
        <v>TUBELLEZA JOHN CARLO VILLARINO</v>
      </c>
      <c r="Q60" s="332" t="str">
        <f>IFERROR(VLOOKUP(P59,[1]Disposition!$AB$9:$AC$495,2,0),"NO RECORD YET")</f>
        <v>33 JW Diokno St., Poblacion 13, Taal, Batangas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5" customHeight="1">
      <c r="A61" s="326">
        <v>52</v>
      </c>
      <c r="B61" s="327" t="s">
        <v>245</v>
      </c>
      <c r="C61" s="327" t="s">
        <v>39</v>
      </c>
      <c r="D61" s="326" t="s">
        <v>96</v>
      </c>
      <c r="E61" s="328" t="s">
        <v>490</v>
      </c>
      <c r="F61" s="328" t="s">
        <v>491</v>
      </c>
      <c r="G61" s="328" t="s">
        <v>492</v>
      </c>
      <c r="H61" s="314"/>
      <c r="I61" s="328" t="s">
        <v>2848</v>
      </c>
      <c r="J61" s="329" t="s">
        <v>493</v>
      </c>
      <c r="K61" s="331" t="s">
        <v>494</v>
      </c>
      <c r="L61" s="2"/>
      <c r="M61" s="2"/>
      <c r="N61" s="2"/>
      <c r="O61" s="2"/>
      <c r="P61" s="325" t="str">
        <f t="shared" si="3"/>
        <v>ESTRADA MICAELLA ALLYSSA MONTES</v>
      </c>
      <c r="Q61" s="332" t="str">
        <f>IFERROR(VLOOKUP(P60,[1]Disposition!$AB$9:$AC$495,2,0),"NO RECORD YET")</f>
        <v>NO RECORD YET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5" customHeight="1">
      <c r="A62" s="326">
        <v>53</v>
      </c>
      <c r="B62" s="327" t="s">
        <v>245</v>
      </c>
      <c r="C62" s="327" t="s">
        <v>19</v>
      </c>
      <c r="D62" s="326" t="s">
        <v>246</v>
      </c>
      <c r="E62" s="328" t="s">
        <v>247</v>
      </c>
      <c r="F62" s="328" t="s">
        <v>248</v>
      </c>
      <c r="G62" s="328" t="s">
        <v>249</v>
      </c>
      <c r="H62" s="314"/>
      <c r="I62" s="328" t="s">
        <v>2848</v>
      </c>
      <c r="J62" s="329" t="s">
        <v>250</v>
      </c>
      <c r="K62" s="331" t="s">
        <v>251</v>
      </c>
      <c r="L62" s="2"/>
      <c r="M62" s="2"/>
      <c r="N62" s="2"/>
      <c r="O62" s="2"/>
      <c r="P62" s="325" t="str">
        <f t="shared" si="3"/>
        <v>ECHANO KERWIN RUFON</v>
      </c>
      <c r="Q62" s="332" t="str">
        <f>IFERROR(VLOOKUP(P61,[1]Disposition!$AB$9:$AC$495,2,0),"NO RECORD YET")</f>
        <v>15 Jonathan St., Brgy. 55, Tondo, Manila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5" customHeight="1">
      <c r="A63" s="326">
        <v>54</v>
      </c>
      <c r="B63" s="327" t="s">
        <v>239</v>
      </c>
      <c r="C63" s="327" t="s">
        <v>39</v>
      </c>
      <c r="D63" s="326" t="s">
        <v>96</v>
      </c>
      <c r="E63" s="328" t="s">
        <v>240</v>
      </c>
      <c r="F63" s="328" t="s">
        <v>241</v>
      </c>
      <c r="G63" s="328" t="s">
        <v>242</v>
      </c>
      <c r="H63" s="314"/>
      <c r="I63" s="328" t="s">
        <v>2848</v>
      </c>
      <c r="J63" s="329" t="s">
        <v>243</v>
      </c>
      <c r="K63" s="331" t="s">
        <v>244</v>
      </c>
      <c r="L63" s="2"/>
      <c r="M63" s="2"/>
      <c r="N63" s="2"/>
      <c r="O63" s="2"/>
      <c r="P63" s="325" t="str">
        <f t="shared" si="3"/>
        <v>SALAS EUNILAINE SALVADOR</v>
      </c>
      <c r="Q63" s="332" t="str">
        <f>IFERROR(VLOOKUP(P62,[1]Disposition!$AB$9:$AC$495,2,0),"NO RECORD YET")</f>
        <v>Lot 37-38 BLK.5 Catanauan ST., Vanessa Homes, Bucal, Calamba, Laguna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5" customHeight="1">
      <c r="A64" s="326">
        <v>55</v>
      </c>
      <c r="B64" s="327" t="s">
        <v>264</v>
      </c>
      <c r="C64" s="327" t="s">
        <v>19</v>
      </c>
      <c r="D64" s="326" t="s">
        <v>96</v>
      </c>
      <c r="E64" s="328" t="s">
        <v>272</v>
      </c>
      <c r="F64" s="328" t="s">
        <v>273</v>
      </c>
      <c r="G64" s="328" t="s">
        <v>274</v>
      </c>
      <c r="H64" s="314"/>
      <c r="I64" s="328" t="s">
        <v>2848</v>
      </c>
      <c r="J64" s="329" t="s">
        <v>275</v>
      </c>
      <c r="K64" s="331" t="s">
        <v>276</v>
      </c>
      <c r="L64" s="2"/>
      <c r="M64" s="2"/>
      <c r="N64" s="2"/>
      <c r="O64" s="2"/>
      <c r="P64" s="325" t="str">
        <f t="shared" si="3"/>
        <v>MUÑOZ RANZ NIKKO BIEN</v>
      </c>
      <c r="Q64" s="332" t="str">
        <f>IFERROR(VLOOKUP(P63,[1]Disposition!$AB$9:$AC$495,2,0),"NO RECORD YET")</f>
        <v>131 Wwest Drive St., Narikina Heights, Marikina City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5" customHeight="1">
      <c r="A65" s="326">
        <v>56</v>
      </c>
      <c r="B65" s="327" t="s">
        <v>264</v>
      </c>
      <c r="C65" s="327" t="s">
        <v>19</v>
      </c>
      <c r="D65" s="326" t="s">
        <v>28</v>
      </c>
      <c r="E65" s="336" t="s">
        <v>265</v>
      </c>
      <c r="F65" s="328" t="s">
        <v>266</v>
      </c>
      <c r="G65" s="328" t="s">
        <v>267</v>
      </c>
      <c r="H65" s="326" t="s">
        <v>268</v>
      </c>
      <c r="I65" s="328" t="s">
        <v>2849</v>
      </c>
      <c r="J65" s="329" t="s">
        <v>269</v>
      </c>
      <c r="K65" s="331" t="s">
        <v>270</v>
      </c>
      <c r="L65" s="2"/>
      <c r="M65" s="2"/>
      <c r="N65" s="2"/>
      <c r="O65" s="2"/>
      <c r="P65" s="325" t="str">
        <f t="shared" si="3"/>
        <v>BACATAN FERDINAND JALOVA</v>
      </c>
      <c r="Q65" s="332" t="str">
        <f>IFERROR(VLOOKUP(P64,[1]Disposition!$AB$9:$AC$495,2,0),"NO RECORD YET")</f>
        <v>Blk. 15 Lot 22, Viola St., Camella Sorrento, P.F. Espiritu IV, Bacoor, Cavite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5" customHeight="1">
      <c r="A66" s="326">
        <v>57</v>
      </c>
      <c r="B66" s="327" t="s">
        <v>271</v>
      </c>
      <c r="C66" s="327" t="s">
        <v>19</v>
      </c>
      <c r="D66" s="326" t="s">
        <v>277</v>
      </c>
      <c r="E66" s="328" t="s">
        <v>278</v>
      </c>
      <c r="F66" s="328" t="s">
        <v>279</v>
      </c>
      <c r="G66" s="328" t="s">
        <v>280</v>
      </c>
      <c r="H66" s="314"/>
      <c r="I66" s="328" t="s">
        <v>2849</v>
      </c>
      <c r="J66" s="329" t="s">
        <v>281</v>
      </c>
      <c r="K66" s="331" t="s">
        <v>282</v>
      </c>
      <c r="L66" s="2"/>
      <c r="M66" s="2"/>
      <c r="N66" s="2"/>
      <c r="O66" s="2"/>
      <c r="P66" s="325" t="str">
        <f t="shared" si="3"/>
        <v>MARAÑON CHRIS JOHN CATALOGO</v>
      </c>
      <c r="Q66" s="332" t="str">
        <f>IFERROR(VLOOKUP(P65,[1]Disposition!$AB$9:$AC$495,2,0),"NO RECORD YET")</f>
        <v>NO RECORD YET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5" customHeight="1">
      <c r="A67" s="326">
        <v>58</v>
      </c>
      <c r="B67" s="327" t="s">
        <v>283</v>
      </c>
      <c r="C67" s="327" t="s">
        <v>19</v>
      </c>
      <c r="D67" s="326" t="s">
        <v>253</v>
      </c>
      <c r="E67" s="328" t="s">
        <v>284</v>
      </c>
      <c r="F67" s="328" t="s">
        <v>285</v>
      </c>
      <c r="G67" s="328" t="s">
        <v>286</v>
      </c>
      <c r="H67" s="314"/>
      <c r="I67" s="328" t="s">
        <v>2848</v>
      </c>
      <c r="J67" s="329" t="s">
        <v>287</v>
      </c>
      <c r="K67" s="331" t="s">
        <v>288</v>
      </c>
      <c r="L67" s="2"/>
      <c r="M67" s="2"/>
      <c r="N67" s="2"/>
      <c r="O67" s="2"/>
      <c r="P67" s="325" t="str">
        <f t="shared" si="3"/>
        <v>AMIT ARIEL DE GUZMAN</v>
      </c>
      <c r="Q67" s="332" t="str">
        <f>IFERROR(VLOOKUP(P66,[1]Disposition!$AB$9:$AC$495,2,0),"NO RECORD YET")</f>
        <v>B18 L1 P-J Francisco Homes, SJDM, Bulacan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5" customHeight="1">
      <c r="A68" s="326">
        <v>59</v>
      </c>
      <c r="B68" s="327" t="s">
        <v>283</v>
      </c>
      <c r="C68" s="327" t="s">
        <v>19</v>
      </c>
      <c r="D68" s="326" t="s">
        <v>246</v>
      </c>
      <c r="E68" s="328" t="s">
        <v>289</v>
      </c>
      <c r="F68" s="328" t="s">
        <v>290</v>
      </c>
      <c r="G68" s="328" t="s">
        <v>291</v>
      </c>
      <c r="H68" s="314"/>
      <c r="I68" s="328" t="s">
        <v>2848</v>
      </c>
      <c r="J68" s="329" t="s">
        <v>2851</v>
      </c>
      <c r="K68" s="330" t="s">
        <v>2852</v>
      </c>
      <c r="L68" s="2"/>
      <c r="M68" s="2"/>
      <c r="N68" s="2"/>
      <c r="O68" s="2"/>
      <c r="P68" s="325" t="str">
        <f t="shared" si="3"/>
        <v>ILACAD DIONELL TUGADE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5" customHeight="1">
      <c r="A69" s="326">
        <v>60</v>
      </c>
      <c r="B69" s="327" t="s">
        <v>283</v>
      </c>
      <c r="C69" s="327" t="s">
        <v>19</v>
      </c>
      <c r="D69" s="326" t="s">
        <v>57</v>
      </c>
      <c r="E69" s="328" t="s">
        <v>292</v>
      </c>
      <c r="F69" s="328" t="s">
        <v>293</v>
      </c>
      <c r="G69" s="328" t="s">
        <v>294</v>
      </c>
      <c r="H69" s="314"/>
      <c r="I69" s="328" t="s">
        <v>2849</v>
      </c>
      <c r="J69" s="329" t="s">
        <v>295</v>
      </c>
      <c r="K69" s="331" t="s">
        <v>296</v>
      </c>
      <c r="L69" s="2"/>
      <c r="M69" s="2"/>
      <c r="N69" s="2"/>
      <c r="O69" s="2"/>
      <c r="P69" s="325" t="str">
        <f t="shared" si="3"/>
        <v>DULIN JOEY BINARAO</v>
      </c>
      <c r="Q69" s="332" t="str">
        <f>IFERROR(VLOOKUP(P68,[1]Disposition!$AB$9:$AC$495,2,0),"NO RECORD YET")</f>
        <v>NO RECORD YET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5" customHeight="1">
      <c r="A70" s="326">
        <v>61</v>
      </c>
      <c r="B70" s="327" t="s">
        <v>283</v>
      </c>
      <c r="C70" s="327" t="s">
        <v>19</v>
      </c>
      <c r="D70" s="326" t="s">
        <v>24</v>
      </c>
      <c r="E70" s="328" t="s">
        <v>297</v>
      </c>
      <c r="F70" s="328" t="s">
        <v>298</v>
      </c>
      <c r="G70" s="328" t="s">
        <v>286</v>
      </c>
      <c r="H70" s="314"/>
      <c r="I70" s="328" t="s">
        <v>2849</v>
      </c>
      <c r="J70" s="329" t="s">
        <v>299</v>
      </c>
      <c r="K70" s="331" t="s">
        <v>300</v>
      </c>
      <c r="L70" s="2"/>
      <c r="M70" s="2"/>
      <c r="N70" s="2"/>
      <c r="O70" s="2"/>
      <c r="P70" s="325" t="str">
        <f t="shared" si="3"/>
        <v>DOCTOLERO JOHN NICK DE GUZMAN</v>
      </c>
      <c r="Q70" s="332" t="str">
        <f>IFERROR(VLOOKUP(P69,[1]Disposition!$AB$9:$AC$495,2,0),"NO RECORD YET")</f>
        <v>155 19th Avenue, East Pembo, Makati City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5" customHeight="1">
      <c r="A71" s="326">
        <v>62</v>
      </c>
      <c r="B71" s="327" t="s">
        <v>2853</v>
      </c>
      <c r="C71" s="327" t="s">
        <v>19</v>
      </c>
      <c r="D71" s="326" t="s">
        <v>40</v>
      </c>
      <c r="E71" s="328" t="s">
        <v>1544</v>
      </c>
      <c r="F71" s="328" t="s">
        <v>1870</v>
      </c>
      <c r="G71" s="328" t="s">
        <v>618</v>
      </c>
      <c r="H71" s="314"/>
      <c r="I71" s="328" t="s">
        <v>2720</v>
      </c>
      <c r="J71" s="312"/>
      <c r="K71" s="333"/>
      <c r="L71" s="2"/>
      <c r="M71" s="2"/>
      <c r="N71" s="2"/>
      <c r="O71" s="2"/>
      <c r="P71" s="325" t="str">
        <f>CONCATENATE(E596," ",F596," ",G596)</f>
        <v>BALUCANAG GRACE EBARSABAL</v>
      </c>
      <c r="Q71" s="332" t="str">
        <f>IFERROR(VLOOKUP(P70,[1]Disposition!$AB$9:$AC$495,2,0),"NO RECORD YET")</f>
        <v>B25 L5 PH. J, Brgy. Guijo, Francisco Homes, SJDM, Bulacan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5" customHeight="1">
      <c r="A72" s="326">
        <v>63</v>
      </c>
      <c r="B72" s="327" t="s">
        <v>2853</v>
      </c>
      <c r="C72" s="327" t="s">
        <v>39</v>
      </c>
      <c r="D72" s="326" t="s">
        <v>40</v>
      </c>
      <c r="E72" s="328" t="s">
        <v>1220</v>
      </c>
      <c r="F72" s="328" t="s">
        <v>1221</v>
      </c>
      <c r="G72" s="328" t="s">
        <v>836</v>
      </c>
      <c r="H72" s="314"/>
      <c r="I72" s="328" t="s">
        <v>2716</v>
      </c>
      <c r="J72" s="329" t="s">
        <v>1222</v>
      </c>
      <c r="K72" s="331" t="s">
        <v>1223</v>
      </c>
      <c r="L72" s="2"/>
      <c r="M72" s="2"/>
      <c r="N72" s="2"/>
      <c r="O72" s="2"/>
      <c r="P72" s="332" t="str">
        <f>CONCATENATE([2]Disposition!D387," ",[2]Disposition!E387," ",[2]Disposition!F387)</f>
        <v>NUP MEJIA GIRLIE</v>
      </c>
      <c r="Q72" s="332" t="str">
        <f>IFERROR(VLOOKUP(P71,[1]Disposition!$AB$9:$AC$495,2,0),"NO RECORD YET")</f>
        <v>2333 Mangga Extn., Velasco Ave., Napico, Manggahan, Pasig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5" customHeight="1">
      <c r="A73" s="326">
        <v>64</v>
      </c>
      <c r="B73" s="327" t="s">
        <v>2853</v>
      </c>
      <c r="C73" s="327" t="s">
        <v>39</v>
      </c>
      <c r="D73" s="326" t="s">
        <v>40</v>
      </c>
      <c r="E73" s="328" t="s">
        <v>1855</v>
      </c>
      <c r="F73" s="328" t="s">
        <v>1856</v>
      </c>
      <c r="G73" s="328" t="s">
        <v>1857</v>
      </c>
      <c r="H73" s="314"/>
      <c r="I73" s="328" t="s">
        <v>2773</v>
      </c>
      <c r="J73" s="312"/>
      <c r="K73" s="333"/>
      <c r="L73" s="2"/>
      <c r="M73" s="2"/>
      <c r="N73" s="2"/>
      <c r="O73" s="2"/>
      <c r="P73" s="325" t="str">
        <f>CONCATENATE(E585," ",F585," ",G585)</f>
        <v>HUERNO CLARISS ANN VALLESFINO</v>
      </c>
      <c r="Q73" s="332" t="str">
        <f>IFERROR(VLOOKUP(P72,[1]Disposition!$AB$9:$AC$495,2,0),"NO RECORD YET")</f>
        <v>NO RECORD YET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5" customHeight="1">
      <c r="A74" s="326">
        <v>65</v>
      </c>
      <c r="B74" s="327" t="s">
        <v>301</v>
      </c>
      <c r="C74" s="327" t="s">
        <v>19</v>
      </c>
      <c r="D74" s="326" t="s">
        <v>253</v>
      </c>
      <c r="E74" s="328" t="s">
        <v>256</v>
      </c>
      <c r="F74" s="328" t="s">
        <v>302</v>
      </c>
      <c r="G74" s="328" t="s">
        <v>303</v>
      </c>
      <c r="H74" s="314"/>
      <c r="I74" s="328" t="s">
        <v>2848</v>
      </c>
      <c r="J74" s="329" t="s">
        <v>304</v>
      </c>
      <c r="K74" s="331" t="s">
        <v>305</v>
      </c>
      <c r="L74" s="2"/>
      <c r="M74" s="2"/>
      <c r="N74" s="2"/>
      <c r="O74" s="2"/>
      <c r="P74" s="325" t="str">
        <f t="shared" ref="P74:P79" si="4">CONCATENATE(E74," ",F74," ",G74)</f>
        <v>DELA CRUZ ALVIN ORUA</v>
      </c>
      <c r="Q74" s="332" t="str">
        <f>IFERROR(VLOOKUP(P73,[1]Disposition!$AB$9:$AC$495,2,0),"NO RECORD YET")</f>
        <v>NO RECORD YET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5" customHeight="1">
      <c r="A75" s="326">
        <v>66</v>
      </c>
      <c r="B75" s="327" t="s">
        <v>301</v>
      </c>
      <c r="C75" s="327" t="s">
        <v>19</v>
      </c>
      <c r="D75" s="326" t="s">
        <v>253</v>
      </c>
      <c r="E75" s="328" t="s">
        <v>306</v>
      </c>
      <c r="F75" s="328" t="s">
        <v>307</v>
      </c>
      <c r="G75" s="328" t="s">
        <v>308</v>
      </c>
      <c r="H75" s="314"/>
      <c r="I75" s="328" t="s">
        <v>2848</v>
      </c>
      <c r="J75" s="329" t="s">
        <v>309</v>
      </c>
      <c r="K75" s="331" t="s">
        <v>310</v>
      </c>
      <c r="L75" s="2"/>
      <c r="M75" s="2"/>
      <c r="N75" s="2"/>
      <c r="O75" s="2"/>
      <c r="P75" s="325" t="str">
        <f t="shared" si="4"/>
        <v>DESEO REYNANTE NUYDA</v>
      </c>
      <c r="Q75" s="332" t="str">
        <f>IFERROR(VLOOKUP(P74,[1]Disposition!$AB$9:$AC$495,2,0),"NO RECORD YET")</f>
        <v>#6087 Sto. Rosario St., Mapulang Lupa, Valenzuela City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5" customHeight="1">
      <c r="A76" s="326">
        <v>67</v>
      </c>
      <c r="B76" s="327" t="s">
        <v>301</v>
      </c>
      <c r="C76" s="327" t="s">
        <v>39</v>
      </c>
      <c r="D76" s="326" t="s">
        <v>24</v>
      </c>
      <c r="E76" s="328" t="s">
        <v>311</v>
      </c>
      <c r="F76" s="328" t="s">
        <v>312</v>
      </c>
      <c r="G76" s="328" t="s">
        <v>313</v>
      </c>
      <c r="H76" s="314"/>
      <c r="I76" s="328" t="s">
        <v>2854</v>
      </c>
      <c r="J76" s="329" t="s">
        <v>314</v>
      </c>
      <c r="K76" s="331" t="s">
        <v>315</v>
      </c>
      <c r="L76" s="2"/>
      <c r="M76" s="2"/>
      <c r="N76" s="2"/>
      <c r="O76" s="2"/>
      <c r="P76" s="325" t="str">
        <f t="shared" si="4"/>
        <v>CASTRO MARYJANE DIZON</v>
      </c>
      <c r="Q76" s="332" t="str">
        <f>IFERROR(VLOOKUP(P75,[1]Disposition!$AB$9:$AC$495,2,0),"NO RECORD YET")</f>
        <v>Blk 4  L17 Arty in Subdivision, Karuhatan, Valenzueal City</v>
      </c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5" customHeight="1">
      <c r="A77" s="326">
        <v>68</v>
      </c>
      <c r="B77" s="327" t="s">
        <v>301</v>
      </c>
      <c r="C77" s="327" t="s">
        <v>39</v>
      </c>
      <c r="D77" s="326" t="s">
        <v>40</v>
      </c>
      <c r="E77" s="328" t="s">
        <v>326</v>
      </c>
      <c r="F77" s="328" t="s">
        <v>327</v>
      </c>
      <c r="G77" s="328" t="s">
        <v>328</v>
      </c>
      <c r="H77" s="314"/>
      <c r="I77" s="328" t="s">
        <v>2716</v>
      </c>
      <c r="J77" s="329" t="s">
        <v>329</v>
      </c>
      <c r="K77" s="331" t="s">
        <v>330</v>
      </c>
      <c r="L77" s="2"/>
      <c r="M77" s="2"/>
      <c r="N77" s="2"/>
      <c r="O77" s="2"/>
      <c r="P77" s="325" t="str">
        <f t="shared" si="4"/>
        <v>LUMABI GINA TINGALA</v>
      </c>
      <c r="Q77" s="332" t="str">
        <f>IFERROR(VLOOKUP(P76,[1]Disposition!$AB$9:$AC$495,2,0),"NO RECORD YET")</f>
        <v>Phase 1, Purok 5, Taugtog, Botolan, Zambales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5" customHeight="1">
      <c r="A78" s="326">
        <v>69</v>
      </c>
      <c r="B78" s="327" t="s">
        <v>301</v>
      </c>
      <c r="C78" s="327" t="s">
        <v>39</v>
      </c>
      <c r="D78" s="326" t="s">
        <v>40</v>
      </c>
      <c r="E78" s="328" t="s">
        <v>331</v>
      </c>
      <c r="F78" s="328" t="s">
        <v>186</v>
      </c>
      <c r="G78" s="328" t="s">
        <v>332</v>
      </c>
      <c r="H78" s="314"/>
      <c r="I78" s="328" t="s">
        <v>2716</v>
      </c>
      <c r="J78" s="329" t="s">
        <v>333</v>
      </c>
      <c r="K78" s="331" t="s">
        <v>334</v>
      </c>
      <c r="L78" s="2"/>
      <c r="M78" s="2"/>
      <c r="N78" s="2"/>
      <c r="O78" s="2"/>
      <c r="P78" s="325" t="str">
        <f t="shared" si="4"/>
        <v>UBANDO MARY ANN OBENA</v>
      </c>
      <c r="Q78" s="332" t="str">
        <f>IFERROR(VLOOKUP(P77,[1]Disposition!$AB$9:$AC$495,2,0),"NO RECORD YET")</f>
        <v>MB 15 RM 109,  Diego Silang Village, Brgy Ususan, Taguig City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5" customHeight="1">
      <c r="A79" s="326">
        <v>70</v>
      </c>
      <c r="B79" s="327" t="s">
        <v>346</v>
      </c>
      <c r="C79" s="327" t="s">
        <v>19</v>
      </c>
      <c r="D79" s="326" t="s">
        <v>253</v>
      </c>
      <c r="E79" s="328" t="s">
        <v>254</v>
      </c>
      <c r="F79" s="328" t="s">
        <v>255</v>
      </c>
      <c r="G79" s="328" t="s">
        <v>256</v>
      </c>
      <c r="H79" s="326" t="s">
        <v>55</v>
      </c>
      <c r="I79" s="328" t="s">
        <v>2848</v>
      </c>
      <c r="J79" s="329" t="s">
        <v>257</v>
      </c>
      <c r="K79" s="331" t="s">
        <v>258</v>
      </c>
      <c r="L79" s="2"/>
      <c r="M79" s="2"/>
      <c r="N79" s="2"/>
      <c r="O79" s="2"/>
      <c r="P79" s="325" t="str">
        <f t="shared" si="4"/>
        <v>LAXAMANA JOSE DELA CRUZ</v>
      </c>
      <c r="Q79" s="332" t="str">
        <f>IFERROR(VLOOKUP(P78,[1]Disposition!$AB$9:$AC$495,2,0),"NO RECORD YET")</f>
        <v>Blk 13 Lot 14 Phase M,  Francisco Homes, Brgy. Guijo, SJDM, Bulacan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5" customHeight="1">
      <c r="A80" s="326">
        <v>71</v>
      </c>
      <c r="B80" s="327" t="s">
        <v>346</v>
      </c>
      <c r="C80" s="327" t="s">
        <v>19</v>
      </c>
      <c r="D80" s="326" t="s">
        <v>40</v>
      </c>
      <c r="E80" s="328" t="s">
        <v>2855</v>
      </c>
      <c r="F80" s="328" t="s">
        <v>2174</v>
      </c>
      <c r="G80" s="328" t="s">
        <v>997</v>
      </c>
      <c r="H80" s="314"/>
      <c r="I80" s="328" t="s">
        <v>2704</v>
      </c>
      <c r="J80" s="312"/>
      <c r="K80" s="33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5" customHeight="1">
      <c r="A81" s="326">
        <v>72</v>
      </c>
      <c r="B81" s="327" t="s">
        <v>352</v>
      </c>
      <c r="C81" s="327" t="s">
        <v>19</v>
      </c>
      <c r="D81" s="326" t="s">
        <v>253</v>
      </c>
      <c r="E81" s="328" t="s">
        <v>353</v>
      </c>
      <c r="F81" s="328" t="s">
        <v>354</v>
      </c>
      <c r="G81" s="328" t="s">
        <v>355</v>
      </c>
      <c r="H81" s="314"/>
      <c r="I81" s="328" t="s">
        <v>2848</v>
      </c>
      <c r="J81" s="329" t="s">
        <v>356</v>
      </c>
      <c r="K81" s="331" t="s">
        <v>357</v>
      </c>
      <c r="L81" s="2"/>
      <c r="M81" s="2"/>
      <c r="N81" s="2"/>
      <c r="O81" s="2"/>
      <c r="P81" s="325" t="str">
        <f t="shared" ref="P81:P114" si="5">CONCATENATE(E81," ",F81," ",G81)</f>
        <v>NOBRES ROY DANGSI</v>
      </c>
      <c r="Q81" s="332" t="str">
        <f>IFERROR(VLOOKUP(P80,[1]Disposition!$AB$9:$AC$495,2,0),"NO RECORD YET")</f>
        <v>NO RECORD YET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5" customHeight="1">
      <c r="A82" s="326">
        <v>73</v>
      </c>
      <c r="B82" s="327" t="s">
        <v>352</v>
      </c>
      <c r="C82" s="327" t="s">
        <v>19</v>
      </c>
      <c r="D82" s="326" t="s">
        <v>96</v>
      </c>
      <c r="E82" s="328" t="s">
        <v>358</v>
      </c>
      <c r="F82" s="328" t="s">
        <v>359</v>
      </c>
      <c r="G82" s="328" t="s">
        <v>360</v>
      </c>
      <c r="H82" s="314"/>
      <c r="I82" s="328" t="s">
        <v>2848</v>
      </c>
      <c r="J82" s="329" t="s">
        <v>361</v>
      </c>
      <c r="K82" s="331" t="s">
        <v>362</v>
      </c>
      <c r="L82" s="2"/>
      <c r="M82" s="2"/>
      <c r="N82" s="2"/>
      <c r="O82" s="2"/>
      <c r="P82" s="325" t="str">
        <f t="shared" si="5"/>
        <v>ABO MARK JESSIE MELITANTE</v>
      </c>
      <c r="Q82" s="332" t="str">
        <f>IFERROR(VLOOKUP(P81,[1]Disposition!$AB$9:$AC$495,2,0),"NO RECORD YET")</f>
        <v>Lot 4-Lot 5 Metro Royale Homes Burgos, Montalban, Rizal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5" customHeight="1">
      <c r="A83" s="326">
        <v>74</v>
      </c>
      <c r="B83" s="327" t="s">
        <v>352</v>
      </c>
      <c r="C83" s="327" t="s">
        <v>19</v>
      </c>
      <c r="D83" s="326" t="s">
        <v>246</v>
      </c>
      <c r="E83" s="328" t="s">
        <v>363</v>
      </c>
      <c r="F83" s="328" t="s">
        <v>364</v>
      </c>
      <c r="G83" s="328" t="s">
        <v>365</v>
      </c>
      <c r="H83" s="326" t="s">
        <v>268</v>
      </c>
      <c r="I83" s="328" t="s">
        <v>2848</v>
      </c>
      <c r="J83" s="329" t="s">
        <v>2856</v>
      </c>
      <c r="K83" s="330" t="s">
        <v>510</v>
      </c>
      <c r="L83" s="2"/>
      <c r="M83" s="2"/>
      <c r="N83" s="2"/>
      <c r="O83" s="2"/>
      <c r="P83" s="325" t="str">
        <f t="shared" si="5"/>
        <v>GALAMGAM RAMON DIAZ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5" customHeight="1">
      <c r="A84" s="326">
        <v>75</v>
      </c>
      <c r="B84" s="327" t="s">
        <v>352</v>
      </c>
      <c r="C84" s="327" t="s">
        <v>39</v>
      </c>
      <c r="D84" s="326" t="s">
        <v>28</v>
      </c>
      <c r="E84" s="328" t="s">
        <v>372</v>
      </c>
      <c r="F84" s="328" t="s">
        <v>373</v>
      </c>
      <c r="G84" s="328" t="s">
        <v>374</v>
      </c>
      <c r="H84" s="314"/>
      <c r="I84" s="328" t="s">
        <v>2849</v>
      </c>
      <c r="J84" s="329" t="s">
        <v>375</v>
      </c>
      <c r="K84" s="331" t="s">
        <v>376</v>
      </c>
      <c r="L84" s="2"/>
      <c r="M84" s="2"/>
      <c r="N84" s="2"/>
      <c r="O84" s="2"/>
      <c r="P84" s="325" t="str">
        <f t="shared" si="5"/>
        <v>ABRIAM ANNETH VALERIE MALNAT</v>
      </c>
      <c r="Q84" s="332" t="str">
        <f>IFERROR(VLOOKUP(P83,[1]Disposition!$AB$9:$AC$495,2,0),"NO RECORD YET")</f>
        <v>38 Agno, Tayug, Pangasinan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5" customHeight="1">
      <c r="A85" s="326">
        <v>76</v>
      </c>
      <c r="B85" s="327" t="s">
        <v>352</v>
      </c>
      <c r="C85" s="327" t="s">
        <v>39</v>
      </c>
      <c r="D85" s="326" t="s">
        <v>28</v>
      </c>
      <c r="E85" s="328" t="s">
        <v>377</v>
      </c>
      <c r="F85" s="328" t="s">
        <v>378</v>
      </c>
      <c r="G85" s="328" t="s">
        <v>379</v>
      </c>
      <c r="H85" s="314"/>
      <c r="I85" s="328" t="s">
        <v>2849</v>
      </c>
      <c r="J85" s="329" t="s">
        <v>380</v>
      </c>
      <c r="K85" s="331" t="s">
        <v>381</v>
      </c>
      <c r="L85" s="2"/>
      <c r="M85" s="2"/>
      <c r="N85" s="2"/>
      <c r="O85" s="2"/>
      <c r="P85" s="325" t="str">
        <f t="shared" si="5"/>
        <v>SAET MITZI ANNE BESA</v>
      </c>
      <c r="Q85" s="332" t="str">
        <f>IFERROR(VLOOKUP(P84,[1]Disposition!$AB$9:$AC$495,2,0),"NO RECORD YET")</f>
        <v>NO RECORD YET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5" customHeight="1">
      <c r="A86" s="326">
        <v>77</v>
      </c>
      <c r="B86" s="327" t="s">
        <v>352</v>
      </c>
      <c r="C86" s="327" t="s">
        <v>19</v>
      </c>
      <c r="D86" s="326" t="s">
        <v>28</v>
      </c>
      <c r="E86" s="328" t="s">
        <v>382</v>
      </c>
      <c r="F86" s="328" t="s">
        <v>383</v>
      </c>
      <c r="G86" s="328" t="s">
        <v>384</v>
      </c>
      <c r="H86" s="314"/>
      <c r="I86" s="328" t="s">
        <v>2849</v>
      </c>
      <c r="J86" s="329" t="s">
        <v>385</v>
      </c>
      <c r="K86" s="331" t="s">
        <v>386</v>
      </c>
      <c r="L86" s="2"/>
      <c r="M86" s="2"/>
      <c r="N86" s="2"/>
      <c r="O86" s="2"/>
      <c r="P86" s="325" t="str">
        <f t="shared" si="5"/>
        <v>SALES JAFET ANINAO</v>
      </c>
      <c r="Q86" s="332" t="str">
        <f>IFERROR(VLOOKUP(P85,[1]Disposition!$AB$9:$AC$495,2,0),"NO RECORD YET")</f>
        <v>NO RECORD YET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5" customHeight="1">
      <c r="A87" s="326">
        <v>78</v>
      </c>
      <c r="B87" s="327" t="s">
        <v>352</v>
      </c>
      <c r="C87" s="327" t="s">
        <v>39</v>
      </c>
      <c r="D87" s="326" t="s">
        <v>40</v>
      </c>
      <c r="E87" s="328" t="s">
        <v>2857</v>
      </c>
      <c r="F87" s="328" t="s">
        <v>2858</v>
      </c>
      <c r="G87" s="328" t="s">
        <v>2859</v>
      </c>
      <c r="H87" s="314"/>
      <c r="I87" s="328" t="s">
        <v>2860</v>
      </c>
      <c r="J87" s="312"/>
      <c r="K87" s="333"/>
      <c r="L87" s="2"/>
      <c r="M87" s="2"/>
      <c r="N87" s="2"/>
      <c r="O87" s="2"/>
      <c r="P87" s="325" t="str">
        <f t="shared" si="5"/>
        <v>BUTLIG MARIE FE TUANDA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5" customHeight="1">
      <c r="A88" s="326">
        <v>79</v>
      </c>
      <c r="B88" s="327" t="s">
        <v>392</v>
      </c>
      <c r="C88" s="327" t="s">
        <v>19</v>
      </c>
      <c r="D88" s="326" t="s">
        <v>253</v>
      </c>
      <c r="E88" s="328" t="s">
        <v>393</v>
      </c>
      <c r="F88" s="328" t="s">
        <v>394</v>
      </c>
      <c r="G88" s="328" t="s">
        <v>395</v>
      </c>
      <c r="H88" s="314"/>
      <c r="I88" s="328" t="s">
        <v>2848</v>
      </c>
      <c r="J88" s="329" t="s">
        <v>396</v>
      </c>
      <c r="K88" s="331" t="s">
        <v>397</v>
      </c>
      <c r="L88" s="2"/>
      <c r="M88" s="2"/>
      <c r="N88" s="2"/>
      <c r="O88" s="2"/>
      <c r="P88" s="325" t="str">
        <f t="shared" si="5"/>
        <v>NICOLAS JAY-R TADEO</v>
      </c>
      <c r="Q88" s="332" t="str">
        <f>IFERROR(VLOOKUP(P431,[1]Disposition!$AB$9:$AC$495,2,0),"NO RECORD YET")</f>
        <v>2315 T2 Amaia Skies, Cubao, 5the Ave. cor P Tuazon Ave., Brgy. Socorro, Quezon City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5" customHeight="1">
      <c r="A89" s="326">
        <v>80</v>
      </c>
      <c r="B89" s="327" t="s">
        <v>398</v>
      </c>
      <c r="C89" s="327" t="s">
        <v>19</v>
      </c>
      <c r="D89" s="326" t="s">
        <v>253</v>
      </c>
      <c r="E89" s="328" t="s">
        <v>399</v>
      </c>
      <c r="F89" s="328" t="s">
        <v>400</v>
      </c>
      <c r="G89" s="328" t="s">
        <v>401</v>
      </c>
      <c r="H89" s="314"/>
      <c r="I89" s="328" t="s">
        <v>2848</v>
      </c>
      <c r="J89" s="329">
        <v>4</v>
      </c>
      <c r="K89" s="331" t="s">
        <v>402</v>
      </c>
      <c r="L89" s="2"/>
      <c r="M89" s="2"/>
      <c r="N89" s="2"/>
      <c r="O89" s="2"/>
      <c r="P89" s="325" t="str">
        <f t="shared" si="5"/>
        <v>SY CHRISTIAN ONG</v>
      </c>
      <c r="Q89" s="332" t="str">
        <f>IFERROR(VLOOKUP(P88,[1]Disposition!$AB$9:$AC$495,2,0),"NO RECORD YET")</f>
        <v>#143 Asin West., Malasigue, Pangasinan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5" customHeight="1">
      <c r="A90" s="326">
        <v>81</v>
      </c>
      <c r="B90" s="327" t="s">
        <v>398</v>
      </c>
      <c r="C90" s="327" t="s">
        <v>19</v>
      </c>
      <c r="D90" s="326" t="s">
        <v>246</v>
      </c>
      <c r="E90" s="328" t="s">
        <v>1494</v>
      </c>
      <c r="F90" s="328" t="s">
        <v>690</v>
      </c>
      <c r="G90" s="328" t="s">
        <v>1495</v>
      </c>
      <c r="H90" s="326" t="s">
        <v>268</v>
      </c>
      <c r="I90" s="328" t="s">
        <v>2848</v>
      </c>
      <c r="J90" s="312"/>
      <c r="K90" s="333"/>
      <c r="L90" s="2"/>
      <c r="M90" s="2"/>
      <c r="N90" s="2"/>
      <c r="O90" s="2"/>
      <c r="P90" s="325" t="str">
        <f t="shared" si="5"/>
        <v>GUIFAYA GILBERT ULIDAN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5" customHeight="1">
      <c r="A91" s="326">
        <v>82</v>
      </c>
      <c r="B91" s="327" t="s">
        <v>398</v>
      </c>
      <c r="C91" s="327" t="s">
        <v>19</v>
      </c>
      <c r="D91" s="326" t="s">
        <v>28</v>
      </c>
      <c r="E91" s="328" t="s">
        <v>1667</v>
      </c>
      <c r="F91" s="328" t="s">
        <v>1668</v>
      </c>
      <c r="G91" s="328" t="s">
        <v>1669</v>
      </c>
      <c r="H91" s="314"/>
      <c r="I91" s="328" t="s">
        <v>2849</v>
      </c>
      <c r="J91" s="329" t="s">
        <v>1561</v>
      </c>
      <c r="K91" s="331" t="s">
        <v>1670</v>
      </c>
      <c r="L91" s="2"/>
      <c r="M91" s="2"/>
      <c r="N91" s="2"/>
      <c r="O91" s="2"/>
      <c r="P91" s="325" t="str">
        <f t="shared" si="5"/>
        <v>BILLOSO AL ANTHONY CONSOLACION</v>
      </c>
      <c r="Q91" s="332" t="str">
        <f>IFERROR(VLOOKUP(P90,[1]Disposition!$AB$9:$AC$495,2,0),"NO RECORD YET")</f>
        <v>Purok 3, Mninallo, Naguilian, Isabela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5" customHeight="1">
      <c r="A92" s="326">
        <v>83</v>
      </c>
      <c r="B92" s="327" t="s">
        <v>398</v>
      </c>
      <c r="C92" s="327" t="s">
        <v>19</v>
      </c>
      <c r="D92" s="326" t="s">
        <v>28</v>
      </c>
      <c r="E92" s="328" t="s">
        <v>1564</v>
      </c>
      <c r="F92" s="328" t="s">
        <v>1565</v>
      </c>
      <c r="G92" s="328" t="s">
        <v>1566</v>
      </c>
      <c r="H92" s="314"/>
      <c r="I92" s="328" t="s">
        <v>2849</v>
      </c>
      <c r="J92" s="329" t="s">
        <v>1567</v>
      </c>
      <c r="K92" s="331" t="s">
        <v>1568</v>
      </c>
      <c r="L92" s="2"/>
      <c r="M92" s="2"/>
      <c r="N92" s="2"/>
      <c r="O92" s="2"/>
      <c r="P92" s="325" t="str">
        <f t="shared" si="5"/>
        <v>DIONEDA KARL JOHN QUIRANTE</v>
      </c>
      <c r="Q92" s="332" t="str">
        <f>IFERROR(VLOOKUP(P91,[1]Disposition!$AB$9:$AC$495,2,0),"NO RECORD YET")</f>
        <v>NO RECORD YET</v>
      </c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5" customHeight="1">
      <c r="A93" s="326">
        <v>84</v>
      </c>
      <c r="B93" s="327" t="s">
        <v>398</v>
      </c>
      <c r="C93" s="327" t="s">
        <v>19</v>
      </c>
      <c r="D93" s="326" t="s">
        <v>28</v>
      </c>
      <c r="E93" s="328" t="s">
        <v>403</v>
      </c>
      <c r="F93" s="328" t="s">
        <v>404</v>
      </c>
      <c r="G93" s="328" t="s">
        <v>405</v>
      </c>
      <c r="H93" s="314"/>
      <c r="I93" s="328" t="s">
        <v>2849</v>
      </c>
      <c r="J93" s="329" t="s">
        <v>406</v>
      </c>
      <c r="K93" s="331" t="s">
        <v>407</v>
      </c>
      <c r="L93" s="2"/>
      <c r="M93" s="2"/>
      <c r="N93" s="2"/>
      <c r="O93" s="2"/>
      <c r="P93" s="325" t="str">
        <f t="shared" si="5"/>
        <v>OBOG JOHN  MARLO MAGRAMO</v>
      </c>
      <c r="Q93" s="332" t="str">
        <f>IFERROR(VLOOKUP(P92,[1]Disposition!$AB$9:$AC$495,2,0),"NO RECORD YET")</f>
        <v>NO RECORD YET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5" customHeight="1">
      <c r="A94" s="326">
        <v>85</v>
      </c>
      <c r="B94" s="327" t="s">
        <v>398</v>
      </c>
      <c r="C94" s="327" t="s">
        <v>19</v>
      </c>
      <c r="D94" s="326" t="s">
        <v>40</v>
      </c>
      <c r="E94" s="328" t="s">
        <v>408</v>
      </c>
      <c r="F94" s="328" t="s">
        <v>409</v>
      </c>
      <c r="G94" s="328" t="s">
        <v>410</v>
      </c>
      <c r="H94" s="314"/>
      <c r="I94" s="328" t="s">
        <v>2716</v>
      </c>
      <c r="J94" s="329" t="s">
        <v>2861</v>
      </c>
      <c r="K94" s="330" t="s">
        <v>2862</v>
      </c>
      <c r="L94" s="2"/>
      <c r="M94" s="2"/>
      <c r="N94" s="2"/>
      <c r="O94" s="2"/>
      <c r="P94" s="325" t="str">
        <f t="shared" si="5"/>
        <v>BUENSUCESO NEIL PAUL BAUTISTA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5" customHeight="1">
      <c r="A95" s="326">
        <v>86</v>
      </c>
      <c r="B95" s="327" t="s">
        <v>411</v>
      </c>
      <c r="C95" s="327" t="s">
        <v>39</v>
      </c>
      <c r="D95" s="326" t="s">
        <v>96</v>
      </c>
      <c r="E95" s="328" t="s">
        <v>417</v>
      </c>
      <c r="F95" s="328" t="s">
        <v>418</v>
      </c>
      <c r="G95" s="328" t="s">
        <v>419</v>
      </c>
      <c r="H95" s="314"/>
      <c r="I95" s="328" t="s">
        <v>2848</v>
      </c>
      <c r="J95" s="329" t="s">
        <v>420</v>
      </c>
      <c r="K95" s="333"/>
      <c r="L95" s="2"/>
      <c r="M95" s="2"/>
      <c r="N95" s="2"/>
      <c r="O95" s="2"/>
      <c r="P95" s="325" t="str">
        <f t="shared" si="5"/>
        <v>DIMASANGKAY SORAIYA MUSAID</v>
      </c>
      <c r="Q95" s="332" t="str">
        <f>IFERROR(VLOOKUP(P94,[1]Disposition!$AB$9:$AC$495,2,0),"NO RECORD YET")</f>
        <v>NO RECORD YET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5" customHeight="1">
      <c r="A96" s="326">
        <v>87</v>
      </c>
      <c r="B96" s="327" t="s">
        <v>430</v>
      </c>
      <c r="C96" s="327" t="s">
        <v>19</v>
      </c>
      <c r="D96" s="326" t="s">
        <v>96</v>
      </c>
      <c r="E96" s="328" t="s">
        <v>431</v>
      </c>
      <c r="F96" s="328" t="s">
        <v>432</v>
      </c>
      <c r="G96" s="328" t="s">
        <v>433</v>
      </c>
      <c r="H96" s="326" t="s">
        <v>268</v>
      </c>
      <c r="I96" s="328" t="s">
        <v>2848</v>
      </c>
      <c r="J96" s="329" t="s">
        <v>434</v>
      </c>
      <c r="K96" s="331" t="s">
        <v>435</v>
      </c>
      <c r="L96" s="2"/>
      <c r="M96" s="2"/>
      <c r="N96" s="2"/>
      <c r="O96" s="2"/>
      <c r="P96" s="325" t="str">
        <f t="shared" si="5"/>
        <v>BALLENAS ROBERTO ALPAS</v>
      </c>
      <c r="Q96" s="332" t="str">
        <f>IFERROR(VLOOKUP(P276,[1]Disposition!$AB$9:$AC$495,2,0),"NO RECORD YET")</f>
        <v>Pacifico, San isidro, Surigao Del Norte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5" customHeight="1">
      <c r="A97" s="326">
        <v>88</v>
      </c>
      <c r="B97" s="327" t="s">
        <v>446</v>
      </c>
      <c r="C97" s="327" t="s">
        <v>39</v>
      </c>
      <c r="D97" s="326" t="s">
        <v>96</v>
      </c>
      <c r="E97" s="328" t="s">
        <v>447</v>
      </c>
      <c r="F97" s="328" t="s">
        <v>448</v>
      </c>
      <c r="G97" s="328" t="s">
        <v>449</v>
      </c>
      <c r="H97" s="314"/>
      <c r="I97" s="328" t="s">
        <v>2848</v>
      </c>
      <c r="J97" s="329" t="s">
        <v>450</v>
      </c>
      <c r="K97" s="331" t="s">
        <v>451</v>
      </c>
      <c r="L97" s="2"/>
      <c r="M97" s="2"/>
      <c r="N97" s="2"/>
      <c r="O97" s="2"/>
      <c r="P97" s="325" t="str">
        <f t="shared" si="5"/>
        <v>BUHAIN DOROTHY VILLALOBOS</v>
      </c>
      <c r="Q97" s="332" t="str">
        <f>IFERROR(VLOOKUP(P96,[1]Disposition!$AB$9:$AC$495,2,0),"NO RECORD YET")</f>
        <v>Purok Masipag, Buayan, M'lang, Cotabato, North Cotabato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5" customHeight="1">
      <c r="A98" s="326">
        <v>89</v>
      </c>
      <c r="B98" s="327" t="s">
        <v>446</v>
      </c>
      <c r="C98" s="327" t="s">
        <v>19</v>
      </c>
      <c r="D98" s="326" t="s">
        <v>366</v>
      </c>
      <c r="E98" s="328" t="s">
        <v>452</v>
      </c>
      <c r="F98" s="328" t="s">
        <v>453</v>
      </c>
      <c r="G98" s="328" t="s">
        <v>454</v>
      </c>
      <c r="H98" s="314"/>
      <c r="I98" s="328" t="s">
        <v>2849</v>
      </c>
      <c r="J98" s="329" t="s">
        <v>455</v>
      </c>
      <c r="K98" s="331" t="s">
        <v>456</v>
      </c>
      <c r="L98" s="2"/>
      <c r="M98" s="2"/>
      <c r="N98" s="2"/>
      <c r="O98" s="2"/>
      <c r="P98" s="325" t="str">
        <f t="shared" si="5"/>
        <v>SIBAYAN REYGIE PIAGAN</v>
      </c>
      <c r="Q98" s="332" t="str">
        <f>IFERROR(VLOOKUP(P97,[1]Disposition!$AB$9:$AC$495,2,0),"NO RECORD YET")</f>
        <v>301 Masagana Subd., Gumamela St., San Francisco, Bulacan</v>
      </c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5" customHeight="1">
      <c r="A99" s="326">
        <v>90</v>
      </c>
      <c r="B99" s="327" t="s">
        <v>446</v>
      </c>
      <c r="C99" s="327" t="s">
        <v>19</v>
      </c>
      <c r="D99" s="326" t="s">
        <v>28</v>
      </c>
      <c r="E99" s="328" t="s">
        <v>457</v>
      </c>
      <c r="F99" s="328" t="s">
        <v>458</v>
      </c>
      <c r="G99" s="328" t="s">
        <v>459</v>
      </c>
      <c r="H99" s="314"/>
      <c r="I99" s="328" t="s">
        <v>2849</v>
      </c>
      <c r="J99" s="329" t="s">
        <v>460</v>
      </c>
      <c r="K99" s="331" t="s">
        <v>461</v>
      </c>
      <c r="L99" s="2"/>
      <c r="M99" s="2"/>
      <c r="N99" s="2"/>
      <c r="O99" s="2"/>
      <c r="P99" s="325" t="str">
        <f t="shared" si="5"/>
        <v>CORDERO EARLBON JIMENEZ</v>
      </c>
      <c r="Q99" s="332" t="str">
        <f>IFERROR(VLOOKUP(P98,[1]Disposition!$AB$9:$AC$495,2,0),"NO RECORD YET")</f>
        <v>Giron St., BRGY NO. 2, Santa Joaquina, Laoag City, Ilocos Norte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5" customHeight="1">
      <c r="A100" s="326">
        <v>91</v>
      </c>
      <c r="B100" s="327" t="s">
        <v>446</v>
      </c>
      <c r="C100" s="327" t="s">
        <v>19</v>
      </c>
      <c r="D100" s="326" t="s">
        <v>28</v>
      </c>
      <c r="E100" s="328" t="s">
        <v>462</v>
      </c>
      <c r="F100" s="328" t="s">
        <v>463</v>
      </c>
      <c r="G100" s="328" t="s">
        <v>464</v>
      </c>
      <c r="H100" s="326" t="s">
        <v>268</v>
      </c>
      <c r="I100" s="328" t="s">
        <v>2849</v>
      </c>
      <c r="J100" s="329" t="s">
        <v>465</v>
      </c>
      <c r="K100" s="331" t="s">
        <v>466</v>
      </c>
      <c r="L100" s="2"/>
      <c r="M100" s="2"/>
      <c r="N100" s="2"/>
      <c r="O100" s="2"/>
      <c r="P100" s="325" t="str">
        <f t="shared" si="5"/>
        <v>ORLANDA BERNABE MACADANGDANG</v>
      </c>
      <c r="Q100" s="332" t="str">
        <f>IFERROR(VLOOKUP(P99,[1]Disposition!$AB$9:$AC$495,2,0),"NO RECORD YET")</f>
        <v>NO RECORD YET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5" customHeight="1">
      <c r="A101" s="326">
        <v>92</v>
      </c>
      <c r="B101" s="327" t="s">
        <v>2863</v>
      </c>
      <c r="C101" s="327" t="s">
        <v>39</v>
      </c>
      <c r="D101" s="326" t="s">
        <v>96</v>
      </c>
      <c r="E101" s="328" t="s">
        <v>2864</v>
      </c>
      <c r="F101" s="328" t="s">
        <v>475</v>
      </c>
      <c r="G101" s="328" t="s">
        <v>476</v>
      </c>
      <c r="H101" s="314"/>
      <c r="I101" s="328" t="s">
        <v>2848</v>
      </c>
      <c r="J101" s="329" t="s">
        <v>477</v>
      </c>
      <c r="K101" s="331" t="s">
        <v>478</v>
      </c>
      <c r="L101" s="2"/>
      <c r="M101" s="2"/>
      <c r="N101" s="2"/>
      <c r="O101" s="2"/>
      <c r="P101" s="325" t="str">
        <f t="shared" si="5"/>
        <v>NAGESNES -SUAYA RAFFY JANE ALIDAO</v>
      </c>
      <c r="Q101" s="332" t="str">
        <f>IFERROR(VLOOKUP(P100,[1]Disposition!$AB$9:$AC$495,2,0),"NO RECORD YET")</f>
        <v>NO RECORD YET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5" customHeight="1">
      <c r="A102" s="326">
        <v>93</v>
      </c>
      <c r="B102" s="327" t="s">
        <v>2863</v>
      </c>
      <c r="C102" s="327" t="s">
        <v>19</v>
      </c>
      <c r="D102" s="326" t="s">
        <v>246</v>
      </c>
      <c r="E102" s="328" t="s">
        <v>1491</v>
      </c>
      <c r="F102" s="328" t="s">
        <v>1492</v>
      </c>
      <c r="G102" s="328" t="s">
        <v>1493</v>
      </c>
      <c r="H102" s="314"/>
      <c r="I102" s="328" t="s">
        <v>2848</v>
      </c>
      <c r="J102" s="312"/>
      <c r="K102" s="333"/>
      <c r="L102" s="2"/>
      <c r="M102" s="2"/>
      <c r="N102" s="2"/>
      <c r="O102" s="2"/>
      <c r="P102" s="325" t="str">
        <f t="shared" si="5"/>
        <v>BANTIYAN JEFTER PAKID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5" customHeight="1">
      <c r="A103" s="326">
        <v>94</v>
      </c>
      <c r="B103" s="327" t="s">
        <v>479</v>
      </c>
      <c r="C103" s="327" t="s">
        <v>19</v>
      </c>
      <c r="D103" s="326" t="s">
        <v>96</v>
      </c>
      <c r="E103" s="328" t="s">
        <v>2349</v>
      </c>
      <c r="F103" s="328" t="s">
        <v>2350</v>
      </c>
      <c r="G103" s="328" t="s">
        <v>2351</v>
      </c>
      <c r="H103" s="314"/>
      <c r="I103" s="328" t="s">
        <v>2848</v>
      </c>
      <c r="J103" s="329" t="s">
        <v>2352</v>
      </c>
      <c r="K103" s="331" t="s">
        <v>2353</v>
      </c>
      <c r="L103" s="2"/>
      <c r="M103" s="2"/>
      <c r="N103" s="2"/>
      <c r="O103" s="2"/>
      <c r="P103" s="325" t="str">
        <f t="shared" si="5"/>
        <v>PONTANAR MARK ALLAN TUALA</v>
      </c>
      <c r="Q103" s="332" t="str">
        <f>IFERROR(VLOOKUP(P102,[1]Disposition!$AB$9:$AC$495,2,0),"NO RECORD YET")</f>
        <v>#026 Purok 8, Irisan, Baguio City, Irisan, Baguio City, Benguet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5" customHeight="1">
      <c r="A104" s="326">
        <v>95</v>
      </c>
      <c r="B104" s="327" t="s">
        <v>479</v>
      </c>
      <c r="C104" s="327" t="s">
        <v>39</v>
      </c>
      <c r="D104" s="326" t="s">
        <v>96</v>
      </c>
      <c r="E104" s="328" t="s">
        <v>480</v>
      </c>
      <c r="F104" s="328" t="s">
        <v>481</v>
      </c>
      <c r="G104" s="328" t="s">
        <v>482</v>
      </c>
      <c r="H104" s="314"/>
      <c r="I104" s="328" t="s">
        <v>2848</v>
      </c>
      <c r="J104" s="329" t="s">
        <v>483</v>
      </c>
      <c r="K104" s="331" t="s">
        <v>484</v>
      </c>
      <c r="L104" s="2"/>
      <c r="M104" s="2"/>
      <c r="N104" s="2"/>
      <c r="O104" s="2"/>
      <c r="P104" s="325" t="str">
        <f>CONCATENATE(E104," ",F104," ",G104)</f>
        <v>REVALE EDELLENE BABAGAY</v>
      </c>
      <c r="Q104" s="332" t="str">
        <f>IFERROR(VLOOKUP(P354,[1]Disposition!$AB$9:$AC$495,2,0),"NO RECORD YET")</f>
        <v>NO RECORD YET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5" customHeight="1">
      <c r="A105" s="326">
        <v>96</v>
      </c>
      <c r="B105" s="327" t="s">
        <v>479</v>
      </c>
      <c r="C105" s="327" t="s">
        <v>19</v>
      </c>
      <c r="D105" s="326" t="s">
        <v>96</v>
      </c>
      <c r="E105" s="328" t="s">
        <v>485</v>
      </c>
      <c r="F105" s="328" t="s">
        <v>486</v>
      </c>
      <c r="G105" s="328" t="s">
        <v>487</v>
      </c>
      <c r="H105" s="314"/>
      <c r="I105" s="328" t="s">
        <v>2848</v>
      </c>
      <c r="J105" s="329" t="s">
        <v>488</v>
      </c>
      <c r="K105" s="331" t="s">
        <v>489</v>
      </c>
      <c r="L105" s="2"/>
      <c r="M105" s="2"/>
      <c r="N105" s="2"/>
      <c r="O105" s="2"/>
      <c r="P105" s="325" t="str">
        <f>CONCATENATE(E105," ",F105," ",G105)</f>
        <v>SOBREVILLA RAYMUND CHRISTOPHER DECIPULO</v>
      </c>
      <c r="Q105" s="332" t="str">
        <f>IFERROR(VLOOKUP(P355,[1]Disposition!$AB$9:$AC$495,2,0),"NO RECORD YET")</f>
        <v>NO RECORD YET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5" customHeight="1">
      <c r="A106" s="326">
        <v>97</v>
      </c>
      <c r="B106" s="327" t="s">
        <v>479</v>
      </c>
      <c r="C106" s="327" t="s">
        <v>19</v>
      </c>
      <c r="D106" s="326" t="s">
        <v>96</v>
      </c>
      <c r="E106" s="328" t="s">
        <v>1316</v>
      </c>
      <c r="F106" s="328" t="s">
        <v>1317</v>
      </c>
      <c r="G106" s="328" t="s">
        <v>1318</v>
      </c>
      <c r="H106" s="314"/>
      <c r="I106" s="328" t="s">
        <v>2848</v>
      </c>
      <c r="J106" s="329" t="s">
        <v>1319</v>
      </c>
      <c r="K106" s="331" t="s">
        <v>1320</v>
      </c>
      <c r="L106" s="2"/>
      <c r="M106" s="2"/>
      <c r="N106" s="2"/>
      <c r="O106" s="2"/>
      <c r="P106" s="325" t="str">
        <f t="shared" si="5"/>
        <v>ULPINDO KRISANTO TAPIA</v>
      </c>
      <c r="Q106" s="332" t="str">
        <f>IFERROR(VLOOKUP(P428,[1]Disposition!$AB$9:$AC$495,2,0),"NO RECORD YET")</f>
        <v>61 F. Manalo St., Calzada Tipas, Taguig City\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5" customHeight="1">
      <c r="A107" s="326">
        <v>98</v>
      </c>
      <c r="B107" s="327" t="s">
        <v>479</v>
      </c>
      <c r="C107" s="327" t="s">
        <v>19</v>
      </c>
      <c r="D107" s="326" t="s">
        <v>28</v>
      </c>
      <c r="E107" s="328" t="s">
        <v>495</v>
      </c>
      <c r="F107" s="328" t="s">
        <v>496</v>
      </c>
      <c r="G107" s="328" t="s">
        <v>497</v>
      </c>
      <c r="H107" s="314"/>
      <c r="I107" s="328" t="s">
        <v>2849</v>
      </c>
      <c r="J107" s="329" t="s">
        <v>498</v>
      </c>
      <c r="K107" s="331" t="s">
        <v>499</v>
      </c>
      <c r="L107" s="2"/>
      <c r="M107" s="2"/>
      <c r="N107" s="2"/>
      <c r="O107" s="2"/>
      <c r="P107" s="325" t="str">
        <f t="shared" si="5"/>
        <v>CODIMO SOLOMON MADLAENG</v>
      </c>
      <c r="Q107" s="332" t="str">
        <f>IFERROR(VLOOKUP(P103,[1]Disposition!$AB$9:$AC$495,2,0),"NO RECORD YET")</f>
        <v>MabiniI, Villa Calixto, Sudiacal, Liloy, Zamboanga del Norte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5" customHeight="1">
      <c r="A108" s="326">
        <v>99</v>
      </c>
      <c r="B108" s="327" t="s">
        <v>479</v>
      </c>
      <c r="C108" s="327" t="s">
        <v>19</v>
      </c>
      <c r="D108" s="326" t="s">
        <v>28</v>
      </c>
      <c r="E108" s="328" t="s">
        <v>500</v>
      </c>
      <c r="F108" s="328" t="s">
        <v>501</v>
      </c>
      <c r="G108" s="328" t="s">
        <v>502</v>
      </c>
      <c r="H108" s="314"/>
      <c r="I108" s="328" t="s">
        <v>2849</v>
      </c>
      <c r="J108" s="329" t="s">
        <v>503</v>
      </c>
      <c r="K108" s="331" t="s">
        <v>504</v>
      </c>
      <c r="L108" s="2"/>
      <c r="M108" s="2"/>
      <c r="N108" s="2"/>
      <c r="O108" s="2"/>
      <c r="P108" s="325" t="str">
        <f t="shared" si="5"/>
        <v>MANGOBA ROMMEL JAZMIN</v>
      </c>
      <c r="Q108" s="332" t="str">
        <f>IFERROR(VLOOKUP(P106,[1]Disposition!$AB$9:$AC$495,2,0),"NO RECORD YET")</f>
        <v>Block 12 Lot 33 Hamburg St., Mercedes Executive Village, San Andres (Pob.), Cainta, Rizal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5" customHeight="1">
      <c r="A109" s="326">
        <v>100</v>
      </c>
      <c r="B109" s="327" t="s">
        <v>479</v>
      </c>
      <c r="C109" s="327" t="s">
        <v>39</v>
      </c>
      <c r="D109" s="326" t="s">
        <v>24</v>
      </c>
      <c r="E109" s="328" t="s">
        <v>511</v>
      </c>
      <c r="F109" s="328" t="s">
        <v>512</v>
      </c>
      <c r="G109" s="328" t="s">
        <v>513</v>
      </c>
      <c r="H109" s="314"/>
      <c r="I109" s="328" t="s">
        <v>2849</v>
      </c>
      <c r="J109" s="329" t="s">
        <v>514</v>
      </c>
      <c r="K109" s="331" t="s">
        <v>515</v>
      </c>
      <c r="L109" s="2"/>
      <c r="M109" s="2"/>
      <c r="N109" s="2"/>
      <c r="O109" s="2"/>
      <c r="P109" s="325" t="str">
        <f t="shared" si="5"/>
        <v>RADA KRIZTELA FEY LIM</v>
      </c>
      <c r="Q109" s="332" t="str">
        <f>IFERROR(VLOOKUP(P107,[1]Disposition!$AB$9:$AC$495,2,0),"NO RECORD YET")</f>
        <v>NO RECORD YET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5" customHeight="1">
      <c r="A110" s="326">
        <v>101</v>
      </c>
      <c r="B110" s="327" t="s">
        <v>479</v>
      </c>
      <c r="C110" s="327" t="s">
        <v>19</v>
      </c>
      <c r="D110" s="326" t="s">
        <v>28</v>
      </c>
      <c r="E110" s="328" t="s">
        <v>516</v>
      </c>
      <c r="F110" s="328" t="s">
        <v>517</v>
      </c>
      <c r="G110" s="328" t="s">
        <v>518</v>
      </c>
      <c r="H110" s="314"/>
      <c r="I110" s="328" t="s">
        <v>2849</v>
      </c>
      <c r="J110" s="329" t="s">
        <v>519</v>
      </c>
      <c r="K110" s="331" t="s">
        <v>520</v>
      </c>
      <c r="L110" s="2"/>
      <c r="M110" s="2"/>
      <c r="N110" s="2"/>
      <c r="O110" s="2"/>
      <c r="P110" s="325" t="str">
        <f t="shared" si="5"/>
        <v>VILLABRIGA TIMOTHY HORNOZ</v>
      </c>
      <c r="Q110" s="332" t="str">
        <f>IFERROR(VLOOKUP(P108,[1]Disposition!$AB$9:$AC$495,2,0),"NO RECORD YET")</f>
        <v>NO RECORD YET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5" customHeight="1">
      <c r="A111" s="326">
        <v>102</v>
      </c>
      <c r="B111" s="327" t="s">
        <v>479</v>
      </c>
      <c r="C111" s="327" t="s">
        <v>39</v>
      </c>
      <c r="D111" s="326" t="s">
        <v>40</v>
      </c>
      <c r="E111" s="328" t="s">
        <v>521</v>
      </c>
      <c r="F111" s="328" t="s">
        <v>522</v>
      </c>
      <c r="G111" s="328" t="s">
        <v>523</v>
      </c>
      <c r="H111" s="314"/>
      <c r="I111" s="328" t="s">
        <v>2704</v>
      </c>
      <c r="J111" s="329" t="s">
        <v>524</v>
      </c>
      <c r="K111" s="331" t="s">
        <v>525</v>
      </c>
      <c r="L111" s="2"/>
      <c r="M111" s="2"/>
      <c r="N111" s="2"/>
      <c r="O111" s="2"/>
      <c r="P111" s="325" t="str">
        <f t="shared" si="5"/>
        <v>MAISO PRISCILLA DAMO</v>
      </c>
      <c r="Q111" s="332" t="str">
        <f>IFERROR(VLOOKUP(P109,[1]Disposition!$AB$9:$AC$495,2,0),"NO RECORD YET")</f>
        <v>Pili, San Fernando, Romblon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5" customHeight="1">
      <c r="A112" s="326">
        <v>103</v>
      </c>
      <c r="B112" s="327" t="s">
        <v>479</v>
      </c>
      <c r="C112" s="327" t="s">
        <v>19</v>
      </c>
      <c r="D112" s="326" t="s">
        <v>40</v>
      </c>
      <c r="E112" s="328" t="s">
        <v>526</v>
      </c>
      <c r="F112" s="328" t="s">
        <v>527</v>
      </c>
      <c r="G112" s="328" t="s">
        <v>528</v>
      </c>
      <c r="H112" s="314"/>
      <c r="I112" s="328" t="s">
        <v>2704</v>
      </c>
      <c r="J112" s="329" t="s">
        <v>529</v>
      </c>
      <c r="K112" s="331" t="s">
        <v>530</v>
      </c>
      <c r="L112" s="2"/>
      <c r="M112" s="2"/>
      <c r="N112" s="2"/>
      <c r="O112" s="2"/>
      <c r="P112" s="325" t="str">
        <f t="shared" si="5"/>
        <v>MENDOZA GENESIS TEODORO</v>
      </c>
      <c r="Q112" s="332" t="str">
        <f>IFERROR(VLOOKUP(P110,[1]Disposition!$AB$9:$AC$495,2,0),"NO RECORD YET")</f>
        <v>NO RECORD YET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5" customHeight="1">
      <c r="A113" s="326">
        <v>104</v>
      </c>
      <c r="B113" s="327" t="s">
        <v>2865</v>
      </c>
      <c r="C113" s="327" t="s">
        <v>19</v>
      </c>
      <c r="D113" s="326" t="s">
        <v>160</v>
      </c>
      <c r="E113" s="328" t="s">
        <v>683</v>
      </c>
      <c r="F113" s="328" t="s">
        <v>684</v>
      </c>
      <c r="G113" s="328" t="s">
        <v>685</v>
      </c>
      <c r="H113" s="314"/>
      <c r="I113" s="328" t="s">
        <v>2848</v>
      </c>
      <c r="J113" s="329" t="s">
        <v>686</v>
      </c>
      <c r="K113" s="331" t="s">
        <v>687</v>
      </c>
      <c r="L113" s="2"/>
      <c r="M113" s="2"/>
      <c r="N113" s="2"/>
      <c r="O113" s="2"/>
      <c r="P113" s="325" t="str">
        <f t="shared" si="5"/>
        <v>IGNACIO MICHAEL TINTE</v>
      </c>
      <c r="Q113" s="332" t="str">
        <f>IFERROR(VLOOKUP(P111,[1]Disposition!$AB$9:$AC$495,2,0),"NO RECORD YET")</f>
        <v>116-15th  Avenue, San Roque, Murphy Cubao, Quezon City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5" customHeight="1">
      <c r="A114" s="326">
        <v>105</v>
      </c>
      <c r="B114" s="327" t="s">
        <v>531</v>
      </c>
      <c r="C114" s="327" t="s">
        <v>19</v>
      </c>
      <c r="D114" s="326" t="s">
        <v>96</v>
      </c>
      <c r="E114" s="328" t="s">
        <v>532</v>
      </c>
      <c r="F114" s="328" t="s">
        <v>533</v>
      </c>
      <c r="G114" s="328" t="s">
        <v>534</v>
      </c>
      <c r="H114" s="314"/>
      <c r="I114" s="328" t="s">
        <v>2848</v>
      </c>
      <c r="J114" s="329" t="s">
        <v>535</v>
      </c>
      <c r="K114" s="331" t="s">
        <v>536</v>
      </c>
      <c r="L114" s="2"/>
      <c r="M114" s="2"/>
      <c r="N114" s="2"/>
      <c r="O114" s="2"/>
      <c r="P114" s="325" t="str">
        <f t="shared" si="5"/>
        <v>GOZE JONATHAN SISON</v>
      </c>
      <c r="Q114" s="332" t="str">
        <f>IFERROR(VLOOKUP(P112,[1]Disposition!$AB$9:$AC$495,2,0),"NO RECORD YET")</f>
        <v>13 A-Col. Salgado St, Kamias, Quezon City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5" customHeight="1">
      <c r="A115" s="326">
        <v>106</v>
      </c>
      <c r="B115" s="327" t="s">
        <v>531</v>
      </c>
      <c r="C115" s="327" t="s">
        <v>39</v>
      </c>
      <c r="D115" s="326" t="s">
        <v>96</v>
      </c>
      <c r="E115" s="328" t="s">
        <v>1234</v>
      </c>
      <c r="F115" s="328" t="s">
        <v>2099</v>
      </c>
      <c r="G115" s="328" t="s">
        <v>2098</v>
      </c>
      <c r="H115" s="314"/>
      <c r="I115" s="328" t="s">
        <v>2848</v>
      </c>
      <c r="J115" s="329" t="s">
        <v>2101</v>
      </c>
      <c r="K115" s="331" t="s">
        <v>2102</v>
      </c>
      <c r="L115" s="2"/>
      <c r="M115" s="2"/>
      <c r="N115" s="2"/>
      <c r="O115" s="2"/>
      <c r="P115" s="332" t="e">
        <f>CONCATENATE(G115," ",F115," ",#REF!)</f>
        <v>#REF!</v>
      </c>
      <c r="Q115" s="332" t="str">
        <f>IFERROR(VLOOKUP(P113,[1]Disposition!$AB$9:$AC$495,2,0),"NO RECORD YET")</f>
        <v>38 Aganan St., Zone 6, NIA Village, Quezon City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5" customHeight="1">
      <c r="A116" s="326">
        <v>107</v>
      </c>
      <c r="B116" s="327" t="s">
        <v>531</v>
      </c>
      <c r="C116" s="327" t="s">
        <v>39</v>
      </c>
      <c r="D116" s="326" t="s">
        <v>57</v>
      </c>
      <c r="E116" s="328" t="s">
        <v>543</v>
      </c>
      <c r="F116" s="328" t="s">
        <v>544</v>
      </c>
      <c r="G116" s="328" t="s">
        <v>545</v>
      </c>
      <c r="H116" s="314"/>
      <c r="I116" s="328" t="s">
        <v>2849</v>
      </c>
      <c r="J116" s="329" t="s">
        <v>546</v>
      </c>
      <c r="K116" s="331" t="s">
        <v>547</v>
      </c>
      <c r="L116" s="2"/>
      <c r="M116" s="2"/>
      <c r="N116" s="2"/>
      <c r="O116" s="2"/>
      <c r="P116" s="325" t="str">
        <f t="shared" ref="P116:P173" si="6">CONCATENATE(E116," ",F116," ",G116)</f>
        <v>INFANTE BEVERLY PASAMBA</v>
      </c>
      <c r="Q116" s="332" t="str">
        <f>IFERROR(VLOOKUP(P114,[1]Disposition!$AB$9:$AC$495,2,0),"NO RECORD YET")</f>
        <v>207 B Purok 1,  Luzon Avenue, Culiat, Quezon City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5" customHeight="1">
      <c r="A117" s="326">
        <v>108</v>
      </c>
      <c r="B117" s="327" t="s">
        <v>531</v>
      </c>
      <c r="C117" s="327" t="s">
        <v>19</v>
      </c>
      <c r="D117" s="326" t="s">
        <v>24</v>
      </c>
      <c r="E117" s="328" t="s">
        <v>365</v>
      </c>
      <c r="F117" s="328" t="s">
        <v>548</v>
      </c>
      <c r="G117" s="328" t="s">
        <v>549</v>
      </c>
      <c r="H117" s="314"/>
      <c r="I117" s="328" t="s">
        <v>2849</v>
      </c>
      <c r="J117" s="329" t="s">
        <v>550</v>
      </c>
      <c r="K117" s="331" t="s">
        <v>551</v>
      </c>
      <c r="L117" s="2"/>
      <c r="M117" s="2"/>
      <c r="N117" s="2"/>
      <c r="O117" s="2"/>
      <c r="P117" s="325" t="str">
        <f t="shared" si="6"/>
        <v>DIAZ STEPHEN PAUL BAUZON</v>
      </c>
      <c r="Q117" s="332" t="str">
        <f>IFERROR(VLOOKUP(P115,[1]Disposition!$AB$9:$AC$495,2,0),"NO RECORD YET")</f>
        <v>NO RECORD YET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5" customHeight="1">
      <c r="A118" s="326">
        <v>109</v>
      </c>
      <c r="B118" s="327" t="s">
        <v>531</v>
      </c>
      <c r="C118" s="327" t="s">
        <v>19</v>
      </c>
      <c r="D118" s="326" t="s">
        <v>24</v>
      </c>
      <c r="E118" s="328" t="s">
        <v>552</v>
      </c>
      <c r="F118" s="328" t="s">
        <v>553</v>
      </c>
      <c r="G118" s="328" t="s">
        <v>554</v>
      </c>
      <c r="H118" s="314"/>
      <c r="I118" s="328" t="s">
        <v>2849</v>
      </c>
      <c r="J118" s="329" t="s">
        <v>555</v>
      </c>
      <c r="K118" s="331" t="s">
        <v>556</v>
      </c>
      <c r="L118" s="2"/>
      <c r="M118" s="2"/>
      <c r="N118" s="2"/>
      <c r="O118" s="2"/>
      <c r="P118" s="325" t="str">
        <f t="shared" si="6"/>
        <v>SARMIENTO ERIC BUDY</v>
      </c>
      <c r="Q118" s="332" t="str">
        <f>IFERROR(VLOOKUP(P116,[1]Disposition!$AB$9:$AC$495,2,0),"NO RECORD YET")</f>
        <v>333 Verdar St., Sampaloc, Manila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5" customHeight="1">
      <c r="A119" s="326">
        <v>110</v>
      </c>
      <c r="B119" s="327" t="s">
        <v>531</v>
      </c>
      <c r="C119" s="327" t="s">
        <v>19</v>
      </c>
      <c r="D119" s="326" t="s">
        <v>28</v>
      </c>
      <c r="E119" s="328" t="s">
        <v>557</v>
      </c>
      <c r="F119" s="328" t="s">
        <v>558</v>
      </c>
      <c r="G119" s="328" t="s">
        <v>559</v>
      </c>
      <c r="H119" s="314"/>
      <c r="I119" s="328" t="s">
        <v>2849</v>
      </c>
      <c r="J119" s="329" t="s">
        <v>560</v>
      </c>
      <c r="K119" s="331" t="s">
        <v>561</v>
      </c>
      <c r="L119" s="2"/>
      <c r="M119" s="2"/>
      <c r="N119" s="2"/>
      <c r="O119" s="2"/>
      <c r="P119" s="325" t="str">
        <f t="shared" si="6"/>
        <v>ARGAWANON JUNREY BOOC</v>
      </c>
      <c r="Q119" s="332" t="str">
        <f>IFERROR(VLOOKUP(P117,[1]Disposition!$AB$9:$AC$495,2,0),"NO RECORD YET")</f>
        <v>Conrazon, Bansud, Oriental Mindoro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5" customHeight="1">
      <c r="A120" s="326">
        <v>111</v>
      </c>
      <c r="B120" s="327" t="s">
        <v>531</v>
      </c>
      <c r="C120" s="327" t="s">
        <v>19</v>
      </c>
      <c r="D120" s="326" t="s">
        <v>28</v>
      </c>
      <c r="E120" s="328" t="s">
        <v>562</v>
      </c>
      <c r="F120" s="328" t="s">
        <v>22</v>
      </c>
      <c r="G120" s="328" t="s">
        <v>563</v>
      </c>
      <c r="H120" s="326" t="s">
        <v>268</v>
      </c>
      <c r="I120" s="328" t="s">
        <v>2849</v>
      </c>
      <c r="J120" s="329" t="s">
        <v>564</v>
      </c>
      <c r="K120" s="331" t="s">
        <v>565</v>
      </c>
      <c r="L120" s="2"/>
      <c r="M120" s="2"/>
      <c r="N120" s="2"/>
      <c r="O120" s="2"/>
      <c r="P120" s="325" t="str">
        <f t="shared" si="6"/>
        <v>MACAWILE ROMY INCISO</v>
      </c>
      <c r="Q120" s="332" t="str">
        <f>IFERROR(VLOOKUP(P118,[1]Disposition!$AB$9:$AC$495,2,0),"NO RECORD YET")</f>
        <v>067, Constantino (Pob), Virac, Catanduanes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5" customHeight="1">
      <c r="A121" s="326">
        <v>112</v>
      </c>
      <c r="B121" s="327" t="s">
        <v>531</v>
      </c>
      <c r="C121" s="327" t="s">
        <v>19</v>
      </c>
      <c r="D121" s="326" t="s">
        <v>28</v>
      </c>
      <c r="E121" s="328" t="s">
        <v>566</v>
      </c>
      <c r="F121" s="328" t="s">
        <v>567</v>
      </c>
      <c r="G121" s="328" t="s">
        <v>568</v>
      </c>
      <c r="H121" s="314"/>
      <c r="I121" s="328" t="s">
        <v>2849</v>
      </c>
      <c r="J121" s="329" t="s">
        <v>569</v>
      </c>
      <c r="K121" s="331" t="s">
        <v>570</v>
      </c>
      <c r="L121" s="2"/>
      <c r="M121" s="2"/>
      <c r="N121" s="2"/>
      <c r="O121" s="2"/>
      <c r="P121" s="325" t="str">
        <f t="shared" si="6"/>
        <v>PAISTE MARL JAYSON JOVES</v>
      </c>
      <c r="Q121" s="332" t="str">
        <f>IFERROR(VLOOKUP(P119,[1]Disposition!$AB$9:$AC$495,2,0),"NO RECORD YET")</f>
        <v>NO RECORD YET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5" customHeight="1">
      <c r="A122" s="326">
        <v>113</v>
      </c>
      <c r="B122" s="327" t="s">
        <v>531</v>
      </c>
      <c r="C122" s="327" t="s">
        <v>19</v>
      </c>
      <c r="D122" s="326" t="s">
        <v>28</v>
      </c>
      <c r="E122" s="328" t="s">
        <v>571</v>
      </c>
      <c r="F122" s="328" t="s">
        <v>572</v>
      </c>
      <c r="G122" s="328" t="s">
        <v>573</v>
      </c>
      <c r="H122" s="314"/>
      <c r="I122" s="328" t="s">
        <v>2849</v>
      </c>
      <c r="J122" s="329" t="s">
        <v>574</v>
      </c>
      <c r="K122" s="331" t="s">
        <v>575</v>
      </c>
      <c r="L122" s="2"/>
      <c r="M122" s="2"/>
      <c r="N122" s="2"/>
      <c r="O122" s="2"/>
      <c r="P122" s="325" t="str">
        <f t="shared" si="6"/>
        <v>PARALLAG MAX CASSANDER SINIGUIAN</v>
      </c>
      <c r="Q122" s="332" t="str">
        <f>IFERROR(VLOOKUP(P120,[1]Disposition!$AB$9:$AC$495,2,0),"NO RECORD YET")</f>
        <v>NO RECORD YET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5" customHeight="1">
      <c r="A123" s="326">
        <v>114</v>
      </c>
      <c r="B123" s="327" t="s">
        <v>531</v>
      </c>
      <c r="C123" s="327" t="s">
        <v>19</v>
      </c>
      <c r="D123" s="326" t="s">
        <v>40</v>
      </c>
      <c r="E123" s="328" t="s">
        <v>256</v>
      </c>
      <c r="F123" s="328" t="s">
        <v>598</v>
      </c>
      <c r="G123" s="328" t="s">
        <v>256</v>
      </c>
      <c r="H123" s="314"/>
      <c r="I123" s="328" t="s">
        <v>2716</v>
      </c>
      <c r="J123" s="329" t="s">
        <v>599</v>
      </c>
      <c r="K123" s="331" t="s">
        <v>600</v>
      </c>
      <c r="L123" s="2"/>
      <c r="M123" s="2"/>
      <c r="N123" s="2"/>
      <c r="O123" s="2"/>
      <c r="P123" s="325" t="str">
        <f t="shared" si="6"/>
        <v>DELA CRUZ CHARLES ISAAK DELA CRUZ</v>
      </c>
      <c r="Q123" s="332" t="str">
        <f>IFERROR(VLOOKUP(P126,[1]Disposition!$AB$9:$AC$495,2,0),"NO RECORD YET")</f>
        <v>NO RECORD YET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5" customHeight="1">
      <c r="A124" s="326">
        <v>115</v>
      </c>
      <c r="B124" s="327" t="s">
        <v>580</v>
      </c>
      <c r="C124" s="327" t="s">
        <v>19</v>
      </c>
      <c r="D124" s="326" t="s">
        <v>96</v>
      </c>
      <c r="E124" s="328" t="s">
        <v>538</v>
      </c>
      <c r="F124" s="328" t="s">
        <v>539</v>
      </c>
      <c r="G124" s="328" t="s">
        <v>540</v>
      </c>
      <c r="H124" s="314"/>
      <c r="I124" s="328" t="s">
        <v>2848</v>
      </c>
      <c r="J124" s="329" t="s">
        <v>541</v>
      </c>
      <c r="K124" s="331" t="s">
        <v>542</v>
      </c>
      <c r="L124" s="2"/>
      <c r="M124" s="2"/>
      <c r="N124" s="2"/>
      <c r="O124" s="2"/>
      <c r="P124" s="325" t="str">
        <f>CONCATENATE(E124," ",F124," ",G124)</f>
        <v>MALAKI ROFEL GEN TIMBAL</v>
      </c>
      <c r="Q124" s="332" t="str">
        <f>IFERROR(VLOOKUP(P352,[1]Disposition!$AB$9:$AC$495,2,0),"NO RECORD YET")</f>
        <v>NO RECORD YET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5" customHeight="1">
      <c r="A125" s="326">
        <v>116</v>
      </c>
      <c r="B125" s="327" t="s">
        <v>580</v>
      </c>
      <c r="C125" s="327" t="s">
        <v>19</v>
      </c>
      <c r="D125" s="326" t="s">
        <v>28</v>
      </c>
      <c r="E125" s="328" t="s">
        <v>588</v>
      </c>
      <c r="F125" s="328" t="s">
        <v>589</v>
      </c>
      <c r="G125" s="328" t="s">
        <v>590</v>
      </c>
      <c r="H125" s="314"/>
      <c r="I125" s="328" t="s">
        <v>2849</v>
      </c>
      <c r="J125" s="329" t="s">
        <v>591</v>
      </c>
      <c r="K125" s="331" t="s">
        <v>592</v>
      </c>
      <c r="L125" s="2"/>
      <c r="M125" s="2"/>
      <c r="N125" s="2"/>
      <c r="O125" s="2"/>
      <c r="P125" s="325" t="str">
        <f t="shared" si="6"/>
        <v>CABADING ELIJAH VINCENT SERANDON</v>
      </c>
      <c r="Q125" s="332" t="str">
        <f>IFERROR(VLOOKUP(P121,[1]Disposition!$AB$9:$AC$495,2,0),"NO RECORD YET")</f>
        <v>NO RECORD YET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5" customHeight="1">
      <c r="A126" s="326">
        <v>117</v>
      </c>
      <c r="B126" s="327" t="s">
        <v>580</v>
      </c>
      <c r="C126" s="327" t="s">
        <v>19</v>
      </c>
      <c r="D126" s="326" t="s">
        <v>28</v>
      </c>
      <c r="E126" s="328" t="s">
        <v>593</v>
      </c>
      <c r="F126" s="328" t="s">
        <v>594</v>
      </c>
      <c r="G126" s="328" t="s">
        <v>595</v>
      </c>
      <c r="H126" s="314"/>
      <c r="I126" s="328" t="s">
        <v>2849</v>
      </c>
      <c r="J126" s="329" t="s">
        <v>596</v>
      </c>
      <c r="K126" s="331" t="s">
        <v>597</v>
      </c>
      <c r="L126" s="2"/>
      <c r="M126" s="2"/>
      <c r="N126" s="2"/>
      <c r="O126" s="2"/>
      <c r="P126" s="325" t="str">
        <f t="shared" si="6"/>
        <v>PADILLA KEM EDNYLL MACARINE</v>
      </c>
      <c r="Q126" s="332" t="str">
        <f>IFERROR(VLOOKUP(P123,[1]Disposition!$AB$9:$AC$495,2,0),"NO RECORD YET")</f>
        <v>Blk 3 Lot 13,  Carnation St., Brgy. Graceville II, CSJDM, Bulacan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5" customHeight="1">
      <c r="A127" s="326">
        <v>118</v>
      </c>
      <c r="B127" s="327" t="s">
        <v>580</v>
      </c>
      <c r="C127" s="327" t="s">
        <v>19</v>
      </c>
      <c r="D127" s="326" t="s">
        <v>28</v>
      </c>
      <c r="E127" s="328" t="s">
        <v>347</v>
      </c>
      <c r="F127" s="328" t="s">
        <v>348</v>
      </c>
      <c r="G127" s="328" t="s">
        <v>349</v>
      </c>
      <c r="H127" s="314"/>
      <c r="I127" s="328" t="s">
        <v>2849</v>
      </c>
      <c r="J127" s="329" t="s">
        <v>350</v>
      </c>
      <c r="K127" s="331" t="s">
        <v>351</v>
      </c>
      <c r="L127" s="2"/>
      <c r="M127" s="2"/>
      <c r="N127" s="2"/>
      <c r="O127" s="2"/>
      <c r="P127" s="325" t="str">
        <f t="shared" si="6"/>
        <v>VILLEGAS NAIF STA ANA</v>
      </c>
      <c r="Q127" s="332" t="str">
        <f>IFERROR(VLOOKUP(P125,[1]Disposition!$AB$9:$AC$495,2,0),"NO RECORD YET")</f>
        <v>NO RECORD YET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5" customHeight="1">
      <c r="A128" s="326">
        <v>119</v>
      </c>
      <c r="B128" s="327" t="s">
        <v>252</v>
      </c>
      <c r="C128" s="327" t="s">
        <v>19</v>
      </c>
      <c r="D128" s="326" t="s">
        <v>28</v>
      </c>
      <c r="E128" s="328" t="s">
        <v>259</v>
      </c>
      <c r="F128" s="328" t="s">
        <v>260</v>
      </c>
      <c r="G128" s="328" t="s">
        <v>261</v>
      </c>
      <c r="H128" s="314"/>
      <c r="I128" s="328" t="s">
        <v>2849</v>
      </c>
      <c r="J128" s="329" t="s">
        <v>262</v>
      </c>
      <c r="K128" s="331" t="s">
        <v>263</v>
      </c>
      <c r="L128" s="2"/>
      <c r="M128" s="2"/>
      <c r="N128" s="2"/>
      <c r="O128" s="2"/>
      <c r="P128" s="325" t="str">
        <f t="shared" si="6"/>
        <v>AGUILANDO ADAMSON BANDONG</v>
      </c>
      <c r="Q128" s="332" t="str">
        <f>IFERROR(VLOOKUP(P122,[1]Disposition!$AB$9:$AC$495,2,0),"NO RECORD YET")</f>
        <v>NO RECORD YET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5" customHeight="1">
      <c r="A129" s="326">
        <v>120</v>
      </c>
      <c r="B129" s="327" t="s">
        <v>601</v>
      </c>
      <c r="C129" s="327" t="s">
        <v>19</v>
      </c>
      <c r="D129" s="326" t="s">
        <v>160</v>
      </c>
      <c r="E129" s="328" t="s">
        <v>602</v>
      </c>
      <c r="F129" s="328" t="s">
        <v>603</v>
      </c>
      <c r="G129" s="328" t="s">
        <v>604</v>
      </c>
      <c r="H129" s="314"/>
      <c r="I129" s="328" t="s">
        <v>2848</v>
      </c>
      <c r="J129" s="329" t="s">
        <v>605</v>
      </c>
      <c r="K129" s="331" t="s">
        <v>606</v>
      </c>
      <c r="L129" s="2"/>
      <c r="M129" s="2"/>
      <c r="N129" s="2"/>
      <c r="O129" s="2"/>
      <c r="P129" s="325" t="str">
        <f t="shared" si="6"/>
        <v>FERRANCULLO JOHN PAUL PAZ</v>
      </c>
      <c r="Q129" s="332" t="str">
        <f>IFERROR(VLOOKUP(P57,[1]Disposition!$AB$9:$AC$495,2,0),"NO RECORD YET")</f>
        <v>194 Capt. I. Abella St., Poblacion 4-C, Imus City, Cavite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5" customHeight="1">
      <c r="A130" s="326">
        <v>121</v>
      </c>
      <c r="B130" s="327" t="s">
        <v>2866</v>
      </c>
      <c r="C130" s="327" t="s">
        <v>19</v>
      </c>
      <c r="D130" s="326" t="s">
        <v>253</v>
      </c>
      <c r="E130" s="328" t="s">
        <v>412</v>
      </c>
      <c r="F130" s="328" t="s">
        <v>413</v>
      </c>
      <c r="G130" s="328" t="s">
        <v>414</v>
      </c>
      <c r="H130" s="314"/>
      <c r="I130" s="328" t="s">
        <v>2848</v>
      </c>
      <c r="J130" s="329" t="s">
        <v>415</v>
      </c>
      <c r="K130" s="331" t="s">
        <v>416</v>
      </c>
      <c r="L130" s="2"/>
      <c r="M130" s="2"/>
      <c r="N130" s="2"/>
      <c r="O130" s="2"/>
      <c r="P130" s="325" t="str">
        <f t="shared" si="6"/>
        <v>DULA JOEL MANALANSAN</v>
      </c>
      <c r="Q130" s="332" t="str">
        <f>IFERROR(VLOOKUP(P128,[1]Disposition!$AB$9:$AC$495,2,0),"NO RECORD YET")</f>
        <v>NO RECORD YET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5" customHeight="1">
      <c r="A131" s="326">
        <v>122</v>
      </c>
      <c r="B131" s="327" t="s">
        <v>607</v>
      </c>
      <c r="C131" s="327" t="s">
        <v>39</v>
      </c>
      <c r="D131" s="326" t="s">
        <v>96</v>
      </c>
      <c r="E131" s="328" t="s">
        <v>1121</v>
      </c>
      <c r="F131" s="328" t="s">
        <v>1122</v>
      </c>
      <c r="G131" s="328" t="s">
        <v>1123</v>
      </c>
      <c r="H131" s="314"/>
      <c r="I131" s="328" t="s">
        <v>2848</v>
      </c>
      <c r="J131" s="329" t="s">
        <v>1124</v>
      </c>
      <c r="K131" s="331" t="s">
        <v>1125</v>
      </c>
      <c r="L131" s="2"/>
      <c r="M131" s="2"/>
      <c r="N131" s="2"/>
      <c r="O131" s="2"/>
      <c r="P131" s="332" t="str">
        <f>CONCATENATE([2]Disposition!D366," ",[2]Disposition!E366," ",[2]Disposition!F366)</f>
        <v>PCPT JAVIER ROGINA</v>
      </c>
      <c r="Q131" s="332" t="str">
        <f>IFERROR(VLOOKUP(P371,[1]Disposition!$AB$9:$AC$495,2,0),"NO RECORD YET")</f>
        <v>Unit 203 MB21, Diego Silang Vill, Ususa, Taguig City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5" customHeight="1">
      <c r="A132" s="326">
        <v>123</v>
      </c>
      <c r="B132" s="327" t="s">
        <v>607</v>
      </c>
      <c r="C132" s="327" t="s">
        <v>19</v>
      </c>
      <c r="D132" s="326" t="s">
        <v>28</v>
      </c>
      <c r="E132" s="328" t="s">
        <v>608</v>
      </c>
      <c r="F132" s="328" t="s">
        <v>609</v>
      </c>
      <c r="G132" s="328" t="s">
        <v>610</v>
      </c>
      <c r="H132" s="326" t="s">
        <v>268</v>
      </c>
      <c r="I132" s="328" t="s">
        <v>2849</v>
      </c>
      <c r="J132" s="329" t="s">
        <v>611</v>
      </c>
      <c r="K132" s="331" t="s">
        <v>612</v>
      </c>
      <c r="L132" s="2"/>
      <c r="M132" s="2"/>
      <c r="N132" s="2"/>
      <c r="O132" s="2"/>
      <c r="P132" s="325" t="str">
        <f t="shared" si="6"/>
        <v>GILL AJIT MENOR</v>
      </c>
      <c r="Q132" s="332" t="str">
        <f>IFERROR(VLOOKUP(P129,[1]Disposition!$AB$9:$AC$495,2,0),"NO RECORD YET")</f>
        <v>103 Hernandez St., Old Zaniga, Mandaluyong CityN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5" customHeight="1">
      <c r="A133" s="326">
        <v>124</v>
      </c>
      <c r="B133" s="327" t="s">
        <v>3654</v>
      </c>
      <c r="C133" s="327" t="s">
        <v>19</v>
      </c>
      <c r="D133" s="326" t="s">
        <v>96</v>
      </c>
      <c r="E133" s="328" t="s">
        <v>618</v>
      </c>
      <c r="F133" s="328" t="s">
        <v>619</v>
      </c>
      <c r="G133" s="328" t="s">
        <v>620</v>
      </c>
      <c r="H133" s="314"/>
      <c r="I133" s="328" t="s">
        <v>2848</v>
      </c>
      <c r="J133" s="329" t="s">
        <v>621</v>
      </c>
      <c r="K133" s="331" t="s">
        <v>622</v>
      </c>
      <c r="L133" s="2"/>
      <c r="M133" s="2"/>
      <c r="N133" s="2"/>
      <c r="O133" s="2"/>
      <c r="P133" s="325" t="str">
        <f t="shared" si="6"/>
        <v>VENTURA JOSEPH SAMONTE</v>
      </c>
      <c r="Q133" s="332" t="str">
        <f>IFERROR(VLOOKUP(P130,[1]Disposition!$AB$9:$AC$495,2,0),"NO RECORD YET")</f>
        <v>407 Purok 7, New San Juan, Dinalupihan, Bataan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5" customHeight="1">
      <c r="A134" s="326">
        <v>125</v>
      </c>
      <c r="B134" s="327" t="s">
        <v>623</v>
      </c>
      <c r="C134" s="327" t="s">
        <v>19</v>
      </c>
      <c r="D134" s="326" t="s">
        <v>96</v>
      </c>
      <c r="E134" s="328" t="s">
        <v>624</v>
      </c>
      <c r="F134" s="328" t="s">
        <v>255</v>
      </c>
      <c r="G134" s="328" t="s">
        <v>625</v>
      </c>
      <c r="H134" s="326" t="s">
        <v>268</v>
      </c>
      <c r="I134" s="328" t="s">
        <v>2848</v>
      </c>
      <c r="J134" s="329" t="s">
        <v>626</v>
      </c>
      <c r="K134" s="331" t="s">
        <v>627</v>
      </c>
      <c r="L134" s="2"/>
      <c r="M134" s="2"/>
      <c r="N134" s="2"/>
      <c r="O134" s="2"/>
      <c r="P134" s="325" t="str">
        <f t="shared" si="6"/>
        <v>BALICAG JOSE DAKETAN</v>
      </c>
      <c r="Q134" s="332" t="str">
        <f>IFERROR(VLOOKUP(P132,[1]Disposition!$AB$9:$AC$495,2,0),"NO RECORD YET")</f>
        <v>Phase 1 Blk 12 Lot 14 LOT 7, San Isidro, Rodriguez, Rizal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5" customHeight="1">
      <c r="A135" s="326">
        <v>126</v>
      </c>
      <c r="B135" s="327" t="s">
        <v>2868</v>
      </c>
      <c r="C135" s="327" t="s">
        <v>39</v>
      </c>
      <c r="D135" s="326" t="s">
        <v>96</v>
      </c>
      <c r="E135" s="328" t="s">
        <v>634</v>
      </c>
      <c r="F135" s="328" t="s">
        <v>635</v>
      </c>
      <c r="G135" s="328" t="s">
        <v>636</v>
      </c>
      <c r="H135" s="314"/>
      <c r="I135" s="328" t="s">
        <v>2848</v>
      </c>
      <c r="J135" s="329" t="s">
        <v>637</v>
      </c>
      <c r="K135" s="331" t="s">
        <v>638</v>
      </c>
      <c r="L135" s="2"/>
      <c r="M135" s="2"/>
      <c r="N135" s="2"/>
      <c r="O135" s="2"/>
      <c r="P135" s="325" t="str">
        <f t="shared" si="6"/>
        <v>GUSTILO THOBORNE THER SANTOS</v>
      </c>
      <c r="Q135" s="332" t="str">
        <f>IFERROR(VLOOKUP(P133,[1]Disposition!$AB$9:$AC$495,2,0),"NO RECORD YET")</f>
        <v>04 Angoluan, Atulayan Norte, Tuguegarao City, Cagayan Valley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5" customHeight="1">
      <c r="A136" s="326">
        <v>127</v>
      </c>
      <c r="B136" s="327" t="s">
        <v>633</v>
      </c>
      <c r="C136" s="327" t="s">
        <v>19</v>
      </c>
      <c r="D136" s="326" t="s">
        <v>28</v>
      </c>
      <c r="E136" s="328" t="s">
        <v>639</v>
      </c>
      <c r="F136" s="328" t="s">
        <v>640</v>
      </c>
      <c r="G136" s="328" t="s">
        <v>256</v>
      </c>
      <c r="H136" s="314"/>
      <c r="I136" s="328" t="s">
        <v>2849</v>
      </c>
      <c r="J136" s="329" t="s">
        <v>641</v>
      </c>
      <c r="K136" s="331" t="s">
        <v>642</v>
      </c>
      <c r="L136" s="2"/>
      <c r="M136" s="2"/>
      <c r="N136" s="2"/>
      <c r="O136" s="2"/>
      <c r="P136" s="325" t="str">
        <f t="shared" si="6"/>
        <v>FONTANILLA JASON PATRICK DELA CRUZ</v>
      </c>
      <c r="Q136" s="332" t="str">
        <f>IFERROR(VLOOKUP(P134,[1]Disposition!$AB$9:$AC$495,2,0),"NO RECORD YET")</f>
        <v>Block 3, D Molintas, Bulanao, Tabuk City Kalinga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5" customHeight="1">
      <c r="A137" s="326">
        <v>128</v>
      </c>
      <c r="B137" s="327" t="s">
        <v>643</v>
      </c>
      <c r="C137" s="327" t="s">
        <v>19</v>
      </c>
      <c r="D137" s="326" t="s">
        <v>644</v>
      </c>
      <c r="E137" s="328" t="s">
        <v>645</v>
      </c>
      <c r="F137" s="328" t="s">
        <v>646</v>
      </c>
      <c r="G137" s="328" t="s">
        <v>647</v>
      </c>
      <c r="H137" s="314"/>
      <c r="I137" s="328" t="s">
        <v>2849</v>
      </c>
      <c r="J137" s="329" t="s">
        <v>648</v>
      </c>
      <c r="K137" s="331" t="s">
        <v>649</v>
      </c>
      <c r="L137" s="2"/>
      <c r="M137" s="2"/>
      <c r="N137" s="2"/>
      <c r="O137" s="2"/>
      <c r="P137" s="325" t="str">
        <f t="shared" si="6"/>
        <v>ZAMORA MELVIN PANGANIBAN</v>
      </c>
      <c r="Q137" s="332" t="str">
        <f>IFERROR(VLOOKUP(P135,[1]Disposition!$AB$9:$AC$495,2,0),"NO RECORD YET")</f>
        <v>Blk 5 Lot 4 Phase-M, Francisco Homes- Guijo, SJDM, Bulacan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5" customHeight="1">
      <c r="A138" s="326">
        <v>129</v>
      </c>
      <c r="B138" s="327" t="s">
        <v>650</v>
      </c>
      <c r="C138" s="327" t="s">
        <v>19</v>
      </c>
      <c r="D138" s="326" t="s">
        <v>253</v>
      </c>
      <c r="E138" s="328" t="s">
        <v>651</v>
      </c>
      <c r="F138" s="328" t="s">
        <v>652</v>
      </c>
      <c r="G138" s="328" t="s">
        <v>653</v>
      </c>
      <c r="H138" s="326" t="s">
        <v>268</v>
      </c>
      <c r="I138" s="328" t="s">
        <v>2848</v>
      </c>
      <c r="J138" s="329" t="s">
        <v>654</v>
      </c>
      <c r="K138" s="331" t="s">
        <v>655</v>
      </c>
      <c r="L138" s="2"/>
      <c r="M138" s="2"/>
      <c r="N138" s="2"/>
      <c r="O138" s="2"/>
      <c r="P138" s="325" t="str">
        <f t="shared" si="6"/>
        <v>OCAMPO AMADO BISCAYDA</v>
      </c>
      <c r="Q138" s="332" t="str">
        <f>IFERROR(VLOOKUP(P136,[1]Disposition!$AB$9:$AC$495,2,0),"NO RECORD YET")</f>
        <v>NO RECORD YET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5" customHeight="1">
      <c r="A139" s="326">
        <v>130</v>
      </c>
      <c r="B139" s="327" t="s">
        <v>650</v>
      </c>
      <c r="C139" s="327" t="s">
        <v>19</v>
      </c>
      <c r="D139" s="326" t="s">
        <v>24</v>
      </c>
      <c r="E139" s="328" t="s">
        <v>656</v>
      </c>
      <c r="F139" s="328" t="s">
        <v>657</v>
      </c>
      <c r="G139" s="328" t="s">
        <v>658</v>
      </c>
      <c r="H139" s="314"/>
      <c r="I139" s="328" t="s">
        <v>2849</v>
      </c>
      <c r="J139" s="329" t="s">
        <v>659</v>
      </c>
      <c r="K139" s="330" t="s">
        <v>2869</v>
      </c>
      <c r="L139" s="2"/>
      <c r="M139" s="2"/>
      <c r="N139" s="2"/>
      <c r="O139" s="2"/>
      <c r="P139" s="325" t="str">
        <f t="shared" si="6"/>
        <v>BUENO CHIER BRYAN MARCOS</v>
      </c>
      <c r="Q139" s="332" t="str">
        <f>IFERROR(VLOOKUP(P137,[1]Disposition!$AB$9:$AC$495,2,0),"NO RECORD YET")</f>
        <v>Light Residences, Mandaluyong City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5" customHeight="1">
      <c r="A140" s="326">
        <v>131</v>
      </c>
      <c r="B140" s="327" t="s">
        <v>2870</v>
      </c>
      <c r="C140" s="327" t="s">
        <v>19</v>
      </c>
      <c r="D140" s="326" t="s">
        <v>96</v>
      </c>
      <c r="E140" s="328" t="s">
        <v>2201</v>
      </c>
      <c r="F140" s="328" t="s">
        <v>2202</v>
      </c>
      <c r="G140" s="328" t="s">
        <v>2203</v>
      </c>
      <c r="H140" s="314"/>
      <c r="I140" s="328" t="s">
        <v>2848</v>
      </c>
      <c r="J140" s="329" t="s">
        <v>2204</v>
      </c>
      <c r="K140" s="331" t="s">
        <v>2205</v>
      </c>
      <c r="L140" s="2"/>
      <c r="M140" s="2"/>
      <c r="N140" s="2"/>
      <c r="O140" s="2"/>
      <c r="P140" s="325" t="str">
        <f t="shared" si="6"/>
        <v>HADJI OSOPH SOLAIMAN   MONESIT</v>
      </c>
      <c r="Q140" s="332" t="str">
        <f>IFERROR(VLOOKUP(P138,[1]Disposition!$AB$9:$AC$495,2,0),"NO RECORD YET")</f>
        <v>39 Constabulary St., Vet Village, Quezon City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5" customHeight="1">
      <c r="A141" s="326">
        <v>132</v>
      </c>
      <c r="B141" s="327" t="s">
        <v>2870</v>
      </c>
      <c r="C141" s="327" t="s">
        <v>39</v>
      </c>
      <c r="D141" s="326" t="s">
        <v>96</v>
      </c>
      <c r="E141" s="328" t="s">
        <v>661</v>
      </c>
      <c r="F141" s="328" t="s">
        <v>662</v>
      </c>
      <c r="G141" s="328" t="s">
        <v>663</v>
      </c>
      <c r="H141" s="314"/>
      <c r="I141" s="328" t="s">
        <v>2848</v>
      </c>
      <c r="J141" s="329" t="s">
        <v>664</v>
      </c>
      <c r="K141" s="330" t="s">
        <v>2871</v>
      </c>
      <c r="L141" s="2"/>
      <c r="M141" s="2"/>
      <c r="N141" s="2"/>
      <c r="O141" s="2"/>
      <c r="P141" s="325" t="str">
        <f t="shared" si="6"/>
        <v>ESPEDIDO IBON GAY DACUMOS</v>
      </c>
      <c r="Q141" s="332">
        <f>IFERROR(VLOOKUP(P139,[1]Disposition!$AB$9:$AC$495,2,0),"NO RECORD YET")</f>
        <v>0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5" customHeight="1">
      <c r="A142" s="326">
        <v>133</v>
      </c>
      <c r="B142" s="327" t="s">
        <v>2872</v>
      </c>
      <c r="C142" s="327" t="s">
        <v>19</v>
      </c>
      <c r="D142" s="326" t="s">
        <v>160</v>
      </c>
      <c r="E142" s="328" t="s">
        <v>468</v>
      </c>
      <c r="F142" s="328" t="s">
        <v>469</v>
      </c>
      <c r="G142" s="328" t="s">
        <v>470</v>
      </c>
      <c r="H142" s="314"/>
      <c r="I142" s="328" t="s">
        <v>2848</v>
      </c>
      <c r="J142" s="329" t="s">
        <v>471</v>
      </c>
      <c r="K142" s="331" t="s">
        <v>472</v>
      </c>
      <c r="L142" s="2"/>
      <c r="M142" s="2"/>
      <c r="N142" s="2"/>
      <c r="O142" s="2"/>
      <c r="P142" s="325" t="str">
        <f t="shared" si="6"/>
        <v>SEVILLA JERALD MANUZON</v>
      </c>
      <c r="Q142" s="332" t="str">
        <f>IFERROR(VLOOKUP(P140,[1]Disposition!$AB$9:$AC$495,2,0),"NO RECORD YET")</f>
        <v>27 Libyan Street Muslim Compound, Culiat, Quezon City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5" customHeight="1">
      <c r="A143" s="326">
        <v>134</v>
      </c>
      <c r="B143" s="327" t="s">
        <v>665</v>
      </c>
      <c r="C143" s="327" t="s">
        <v>19</v>
      </c>
      <c r="D143" s="326" t="s">
        <v>28</v>
      </c>
      <c r="E143" s="328" t="s">
        <v>671</v>
      </c>
      <c r="F143" s="328" t="s">
        <v>672</v>
      </c>
      <c r="G143" s="328" t="s">
        <v>673</v>
      </c>
      <c r="H143" s="326" t="s">
        <v>268</v>
      </c>
      <c r="I143" s="328" t="s">
        <v>2848</v>
      </c>
      <c r="J143" s="329" t="s">
        <v>674</v>
      </c>
      <c r="K143" s="331" t="s">
        <v>675</v>
      </c>
      <c r="L143" s="2"/>
      <c r="M143" s="2"/>
      <c r="N143" s="2"/>
      <c r="O143" s="2"/>
      <c r="P143" s="325" t="str">
        <f t="shared" si="6"/>
        <v>BOLISLIS JIMMY BANG-AS</v>
      </c>
      <c r="Q143" s="332" t="str">
        <f>IFERROR(VLOOKUP(P141,[1]Disposition!$AB$9:$AC$495,2,0),"NO RECORD YET")</f>
        <v>NO RECORD YET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5" customHeight="1">
      <c r="A144" s="326">
        <v>135</v>
      </c>
      <c r="B144" s="327" t="s">
        <v>2873</v>
      </c>
      <c r="C144" s="327" t="s">
        <v>19</v>
      </c>
      <c r="D144" s="326" t="s">
        <v>96</v>
      </c>
      <c r="E144" s="328" t="s">
        <v>1302</v>
      </c>
      <c r="F144" s="328" t="s">
        <v>1303</v>
      </c>
      <c r="G144" s="328" t="s">
        <v>1304</v>
      </c>
      <c r="H144" s="314"/>
      <c r="I144" s="328" t="s">
        <v>2848</v>
      </c>
      <c r="J144" s="329" t="s">
        <v>1305</v>
      </c>
      <c r="K144" s="331" t="s">
        <v>1306</v>
      </c>
      <c r="L144" s="2"/>
      <c r="M144" s="2"/>
      <c r="N144" s="2"/>
      <c r="O144" s="2"/>
      <c r="P144" s="325" t="str">
        <f t="shared" si="6"/>
        <v>ANISCO ARCHIE STO.DOMINGO</v>
      </c>
      <c r="Q144" s="332" t="str">
        <f>IFERROR(VLOOKUP(P142,[1]Disposition!$AB$9:$AC$495,2,0),"NO RECORD YET")</f>
        <v>B-38 L-20 Violeta St., Pembo, Makati City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5" customHeight="1">
      <c r="A145" s="326">
        <v>136</v>
      </c>
      <c r="B145" s="327" t="s">
        <v>676</v>
      </c>
      <c r="C145" s="327" t="s">
        <v>19</v>
      </c>
      <c r="D145" s="326" t="s">
        <v>96</v>
      </c>
      <c r="E145" s="328" t="s">
        <v>677</v>
      </c>
      <c r="F145" s="328" t="s">
        <v>678</v>
      </c>
      <c r="G145" s="328" t="s">
        <v>679</v>
      </c>
      <c r="H145" s="314"/>
      <c r="I145" s="328" t="s">
        <v>2848</v>
      </c>
      <c r="J145" s="329" t="s">
        <v>680</v>
      </c>
      <c r="K145" s="331" t="s">
        <v>681</v>
      </c>
      <c r="L145" s="2"/>
      <c r="M145" s="2"/>
      <c r="N145" s="2"/>
      <c r="O145" s="2"/>
      <c r="P145" s="325" t="str">
        <f t="shared" si="6"/>
        <v>ABUAN DICKSON CLEMENTE</v>
      </c>
      <c r="Q145" s="332" t="str">
        <f>IFERROR(VLOOKUP(P143,[1]Disposition!$AB$9:$AC$495,2,0),"NO RECORD YET")</f>
        <v>NO RECORD YET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5" customHeight="1">
      <c r="A146" s="326">
        <v>137</v>
      </c>
      <c r="B146" s="327" t="s">
        <v>688</v>
      </c>
      <c r="C146" s="327" t="s">
        <v>19</v>
      </c>
      <c r="D146" s="326" t="s">
        <v>96</v>
      </c>
      <c r="E146" s="328" t="s">
        <v>689</v>
      </c>
      <c r="F146" s="328" t="s">
        <v>690</v>
      </c>
      <c r="G146" s="328" t="s">
        <v>691</v>
      </c>
      <c r="H146" s="314"/>
      <c r="I146" s="328" t="s">
        <v>2848</v>
      </c>
      <c r="J146" s="329" t="s">
        <v>692</v>
      </c>
      <c r="K146" s="331" t="s">
        <v>693</v>
      </c>
      <c r="L146" s="2"/>
      <c r="M146" s="2"/>
      <c r="N146" s="2"/>
      <c r="O146" s="2"/>
      <c r="P146" s="325" t="str">
        <f t="shared" si="6"/>
        <v>NAPOD GILBERT OLIQUINO</v>
      </c>
      <c r="Q146" s="332" t="str">
        <f>IFERROR(VLOOKUP(P144,[1]Disposition!$AB$9:$AC$495,2,0),"NO RECORD YET")</f>
        <v>103 Lacson Street, Tondo, Manila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5" customHeight="1">
      <c r="A147" s="326">
        <v>138</v>
      </c>
      <c r="B147" s="327" t="s">
        <v>694</v>
      </c>
      <c r="C147" s="327" t="s">
        <v>19</v>
      </c>
      <c r="D147" s="326" t="s">
        <v>96</v>
      </c>
      <c r="E147" s="328" t="s">
        <v>695</v>
      </c>
      <c r="F147" s="328" t="s">
        <v>364</v>
      </c>
      <c r="G147" s="328" t="s">
        <v>696</v>
      </c>
      <c r="H147" s="326" t="s">
        <v>268</v>
      </c>
      <c r="I147" s="328" t="s">
        <v>2848</v>
      </c>
      <c r="J147" s="329" t="s">
        <v>697</v>
      </c>
      <c r="K147" s="330" t="s">
        <v>2376</v>
      </c>
      <c r="L147" s="2"/>
      <c r="M147" s="2"/>
      <c r="N147" s="2"/>
      <c r="O147" s="2"/>
      <c r="P147" s="325" t="str">
        <f t="shared" si="6"/>
        <v>DULNUAN RAMON CUYANGCO</v>
      </c>
      <c r="Q147" s="332" t="str">
        <f>IFERROR(VLOOKUP(P145,[1]Disposition!$AB$9:$AC$495,2,0),"NO RECORD YET")</f>
        <v>735 Purok 4B, Lucnab Baguio City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5" customHeight="1">
      <c r="A148" s="326">
        <v>139</v>
      </c>
      <c r="B148" s="327" t="s">
        <v>694</v>
      </c>
      <c r="C148" s="327" t="s">
        <v>19</v>
      </c>
      <c r="D148" s="326" t="s">
        <v>28</v>
      </c>
      <c r="E148" s="328" t="s">
        <v>698</v>
      </c>
      <c r="F148" s="328" t="s">
        <v>699</v>
      </c>
      <c r="G148" s="328" t="s">
        <v>700</v>
      </c>
      <c r="H148" s="314"/>
      <c r="I148" s="328" t="s">
        <v>2849</v>
      </c>
      <c r="J148" s="329" t="s">
        <v>701</v>
      </c>
      <c r="K148" s="331" t="s">
        <v>702</v>
      </c>
      <c r="L148" s="2"/>
      <c r="M148" s="2"/>
      <c r="N148" s="2"/>
      <c r="O148" s="2"/>
      <c r="P148" s="325" t="str">
        <f t="shared" si="6"/>
        <v>GALLARDE SUNNY BOY GALUYO</v>
      </c>
      <c r="Q148" s="332" t="str">
        <f>IFERROR(VLOOKUP(P146,[1]Disposition!$AB$9:$AC$495,2,0),"NO RECORD YET")</f>
        <v>Lot 39 Blk 9 Purok 3, Deano St., Central Bicutan, Taguig City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5" customHeight="1">
      <c r="A149" s="326">
        <v>140</v>
      </c>
      <c r="B149" s="327" t="s">
        <v>1936</v>
      </c>
      <c r="C149" s="327" t="s">
        <v>19</v>
      </c>
      <c r="D149" s="326" t="s">
        <v>96</v>
      </c>
      <c r="E149" s="328" t="s">
        <v>1937</v>
      </c>
      <c r="F149" s="328" t="s">
        <v>1938</v>
      </c>
      <c r="G149" s="328" t="s">
        <v>410</v>
      </c>
      <c r="H149" s="314"/>
      <c r="I149" s="328" t="s">
        <v>2848</v>
      </c>
      <c r="J149" s="329" t="s">
        <v>1939</v>
      </c>
      <c r="K149" s="331" t="s">
        <v>1940</v>
      </c>
      <c r="L149" s="2"/>
      <c r="M149" s="2"/>
      <c r="N149" s="2"/>
      <c r="O149" s="2"/>
      <c r="P149" s="325" t="str">
        <f t="shared" si="6"/>
        <v>ABANILLA FREDDIE BAUTISTA</v>
      </c>
      <c r="Q149" s="332" t="str">
        <f>IFERROR(VLOOKUP(P147,[1]Disposition!$AB$9:$AC$495,2,0),"NO RECORD YET")</f>
        <v>NO RECORD YET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5" customHeight="1">
      <c r="A150" s="326">
        <v>141</v>
      </c>
      <c r="B150" s="327" t="s">
        <v>1941</v>
      </c>
      <c r="C150" s="327" t="s">
        <v>19</v>
      </c>
      <c r="D150" s="326" t="s">
        <v>96</v>
      </c>
      <c r="E150" s="328" t="s">
        <v>1942</v>
      </c>
      <c r="F150" s="328" t="s">
        <v>1943</v>
      </c>
      <c r="G150" s="328" t="s">
        <v>760</v>
      </c>
      <c r="H150" s="314"/>
      <c r="I150" s="328" t="s">
        <v>2848</v>
      </c>
      <c r="J150" s="329" t="s">
        <v>1944</v>
      </c>
      <c r="K150" s="331" t="s">
        <v>1945</v>
      </c>
      <c r="L150" s="2"/>
      <c r="M150" s="2"/>
      <c r="N150" s="2"/>
      <c r="O150" s="2"/>
      <c r="P150" s="325" t="str">
        <f t="shared" si="6"/>
        <v>VELASCO EDGAR SEBASTIAN GALANG</v>
      </c>
      <c r="Q150" s="332" t="str">
        <f>IFERROR(VLOOKUP(P148,[1]Disposition!$AB$9:$AC$495,2,0),"NO RECORD YET")</f>
        <v>NO RECORD YET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5" customHeight="1">
      <c r="A151" s="326">
        <v>142</v>
      </c>
      <c r="B151" s="327" t="s">
        <v>703</v>
      </c>
      <c r="C151" s="327" t="s">
        <v>39</v>
      </c>
      <c r="D151" s="326" t="s">
        <v>96</v>
      </c>
      <c r="E151" s="328" t="s">
        <v>704</v>
      </c>
      <c r="F151" s="328" t="s">
        <v>705</v>
      </c>
      <c r="G151" s="328" t="s">
        <v>706</v>
      </c>
      <c r="H151" s="314"/>
      <c r="I151" s="328" t="s">
        <v>2848</v>
      </c>
      <c r="J151" s="329" t="s">
        <v>707</v>
      </c>
      <c r="K151" s="331" t="s">
        <v>708</v>
      </c>
      <c r="L151" s="2"/>
      <c r="M151" s="2"/>
      <c r="N151" s="2"/>
      <c r="O151" s="2"/>
      <c r="P151" s="325" t="str">
        <f t="shared" si="6"/>
        <v>EVANGELISTA RHEA TADURAN</v>
      </c>
      <c r="Q151" s="332" t="str">
        <f>IFERROR(VLOOKUP(P149,[1]Disposition!$AB$9:$AC$495,2,0),"NO RECORD YET")</f>
        <v>FB-016 Tabangaoen Balili La Trinidad Benguet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5" customHeight="1">
      <c r="A152" s="326">
        <v>143</v>
      </c>
      <c r="B152" s="327" t="s">
        <v>703</v>
      </c>
      <c r="C152" s="327" t="s">
        <v>19</v>
      </c>
      <c r="D152" s="326" t="s">
        <v>28</v>
      </c>
      <c r="E152" s="328" t="s">
        <v>709</v>
      </c>
      <c r="F152" s="328" t="s">
        <v>710</v>
      </c>
      <c r="G152" s="328" t="s">
        <v>711</v>
      </c>
      <c r="H152" s="314"/>
      <c r="I152" s="328" t="s">
        <v>2849</v>
      </c>
      <c r="J152" s="329" t="s">
        <v>712</v>
      </c>
      <c r="K152" s="331" t="s">
        <v>713</v>
      </c>
      <c r="L152" s="2"/>
      <c r="M152" s="2"/>
      <c r="N152" s="2"/>
      <c r="O152" s="2"/>
      <c r="P152" s="325" t="str">
        <f t="shared" si="6"/>
        <v>BERMUDEZ PAUL ARNIE VIC DINEROS</v>
      </c>
      <c r="Q152" s="332" t="str">
        <f>IFERROR(VLOOKUP(P150,[1]Disposition!$AB$9:$AC$495,2,0),"NO RECORD YET")</f>
        <v>1688-E Antonio Rivera St., Brgy 237, Tondo, Manila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5" customHeight="1">
      <c r="A153" s="326">
        <v>144</v>
      </c>
      <c r="B153" s="327" t="s">
        <v>714</v>
      </c>
      <c r="C153" s="327" t="s">
        <v>19</v>
      </c>
      <c r="D153" s="326" t="s">
        <v>96</v>
      </c>
      <c r="E153" s="328" t="s">
        <v>1952</v>
      </c>
      <c r="F153" s="328" t="s">
        <v>1953</v>
      </c>
      <c r="G153" s="328" t="s">
        <v>1954</v>
      </c>
      <c r="H153" s="314"/>
      <c r="I153" s="328" t="s">
        <v>2848</v>
      </c>
      <c r="J153" s="329" t="s">
        <v>1955</v>
      </c>
      <c r="K153" s="331" t="s">
        <v>1956</v>
      </c>
      <c r="L153" s="2"/>
      <c r="M153" s="2"/>
      <c r="N153" s="2"/>
      <c r="O153" s="2"/>
      <c r="P153" s="325" t="str">
        <f t="shared" si="6"/>
        <v>BALON PHIL JEURGEN ILAN</v>
      </c>
      <c r="Q153" s="332" t="str">
        <f>IFERROR(VLOOKUP(P151,[1]Disposition!$AB$9:$AC$495,2,0),"NO RECORD YET")</f>
        <v>39 Col. Bonny Serrano Ave, Bagong Lipunan Ng Crame, Quezon City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5" customHeight="1">
      <c r="A154" s="326">
        <v>145</v>
      </c>
      <c r="B154" s="327" t="s">
        <v>714</v>
      </c>
      <c r="C154" s="327" t="s">
        <v>19</v>
      </c>
      <c r="D154" s="326" t="s">
        <v>28</v>
      </c>
      <c r="E154" s="328" t="s">
        <v>526</v>
      </c>
      <c r="F154" s="328" t="s">
        <v>1957</v>
      </c>
      <c r="G154" s="328" t="s">
        <v>1958</v>
      </c>
      <c r="H154" s="314"/>
      <c r="I154" s="328" t="s">
        <v>2849</v>
      </c>
      <c r="J154" s="329" t="s">
        <v>1959</v>
      </c>
      <c r="K154" s="331" t="s">
        <v>1960</v>
      </c>
      <c r="L154" s="2"/>
      <c r="M154" s="2"/>
      <c r="N154" s="2"/>
      <c r="O154" s="2"/>
      <c r="P154" s="325" t="str">
        <f t="shared" si="6"/>
        <v>MENDOZA FLOMARIE JOHN GAVERIA</v>
      </c>
      <c r="Q154" s="332" t="str">
        <f>IFERROR(VLOOKUP(P152,[1]Disposition!$AB$9:$AC$495,2,0),"NO RECORD YET")</f>
        <v>NO RECORD YET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5" customHeight="1">
      <c r="A155" s="326">
        <v>146</v>
      </c>
      <c r="B155" s="327" t="s">
        <v>719</v>
      </c>
      <c r="C155" s="327" t="s">
        <v>19</v>
      </c>
      <c r="D155" s="326" t="s">
        <v>96</v>
      </c>
      <c r="E155" s="328" t="s">
        <v>720</v>
      </c>
      <c r="F155" s="328" t="s">
        <v>721</v>
      </c>
      <c r="G155" s="328" t="s">
        <v>722</v>
      </c>
      <c r="H155" s="314"/>
      <c r="I155" s="328" t="s">
        <v>2848</v>
      </c>
      <c r="J155" s="329" t="s">
        <v>723</v>
      </c>
      <c r="K155" s="331" t="s">
        <v>724</v>
      </c>
      <c r="L155" s="2"/>
      <c r="M155" s="2"/>
      <c r="N155" s="2"/>
      <c r="O155" s="2"/>
      <c r="P155" s="325" t="str">
        <f t="shared" si="6"/>
        <v>TAEZA ERIKSON TE</v>
      </c>
      <c r="Q155" s="332" t="str">
        <f>IFERROR(VLOOKUP(P153,[1]Disposition!$AB$9:$AC$495,2,0),"NO RECORD YET")</f>
        <v>NO RECORD YET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5" customHeight="1">
      <c r="A156" s="326">
        <v>147</v>
      </c>
      <c r="B156" s="327" t="s">
        <v>729</v>
      </c>
      <c r="C156" s="327" t="s">
        <v>19</v>
      </c>
      <c r="D156" s="326" t="s">
        <v>253</v>
      </c>
      <c r="E156" s="328" t="s">
        <v>730</v>
      </c>
      <c r="F156" s="328" t="s">
        <v>731</v>
      </c>
      <c r="G156" s="328" t="s">
        <v>732</v>
      </c>
      <c r="H156" s="314"/>
      <c r="I156" s="328" t="s">
        <v>2848</v>
      </c>
      <c r="J156" s="329" t="s">
        <v>733</v>
      </c>
      <c r="K156" s="331" t="s">
        <v>734</v>
      </c>
      <c r="L156" s="2"/>
      <c r="M156" s="2"/>
      <c r="N156" s="2"/>
      <c r="O156" s="2"/>
      <c r="P156" s="325" t="str">
        <f t="shared" si="6"/>
        <v>ESCABOSA GEROGIL SALAZAR</v>
      </c>
      <c r="Q156" s="332" t="str">
        <f>IFERROR(VLOOKUP(P215,[1]Disposition!$AB$9:$AC$495,2,0),"NO RECORD YET")</f>
        <v>NO RECORD YET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5" customHeight="1">
      <c r="A157" s="326">
        <v>148</v>
      </c>
      <c r="B157" s="327" t="s">
        <v>729</v>
      </c>
      <c r="C157" s="327" t="s">
        <v>19</v>
      </c>
      <c r="D157" s="326" t="s">
        <v>28</v>
      </c>
      <c r="E157" s="328" t="s">
        <v>735</v>
      </c>
      <c r="F157" s="328" t="s">
        <v>736</v>
      </c>
      <c r="G157" s="328" t="s">
        <v>737</v>
      </c>
      <c r="H157" s="314"/>
      <c r="I157" s="328" t="s">
        <v>2849</v>
      </c>
      <c r="J157" s="329" t="s">
        <v>738</v>
      </c>
      <c r="K157" s="331" t="s">
        <v>739</v>
      </c>
      <c r="L157" s="2"/>
      <c r="M157" s="2"/>
      <c r="N157" s="2"/>
      <c r="O157" s="2"/>
      <c r="P157" s="325" t="str">
        <f t="shared" si="6"/>
        <v>ANABON LEVI ABAGGUE</v>
      </c>
      <c r="Q157" s="332" t="str">
        <f>IFERROR(VLOOKUP(P155,[1]Disposition!$AB$9:$AC$495,2,0),"NO RECORD YET")</f>
        <v>20 Alley 1,  Project 6, Quezon City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5" customHeight="1">
      <c r="A158" s="326">
        <v>149</v>
      </c>
      <c r="B158" s="327" t="s">
        <v>746</v>
      </c>
      <c r="C158" s="327" t="s">
        <v>19</v>
      </c>
      <c r="D158" s="326" t="s">
        <v>96</v>
      </c>
      <c r="E158" s="328" t="s">
        <v>747</v>
      </c>
      <c r="F158" s="328" t="s">
        <v>748</v>
      </c>
      <c r="G158" s="328" t="s">
        <v>749</v>
      </c>
      <c r="H158" s="314"/>
      <c r="I158" s="328" t="s">
        <v>2848</v>
      </c>
      <c r="J158" s="329" t="s">
        <v>750</v>
      </c>
      <c r="K158" s="331" t="s">
        <v>751</v>
      </c>
      <c r="L158" s="2"/>
      <c r="M158" s="2"/>
      <c r="N158" s="2"/>
      <c r="O158" s="2"/>
      <c r="P158" s="325" t="str">
        <f t="shared" si="6"/>
        <v>OBORDO JOEDHEL LLOYD EYAO</v>
      </c>
      <c r="Q158" s="332" t="str">
        <f>IFERROR(VLOOKUP(P156,[1]Disposition!$AB$9:$AC$495,2,0),"NO RECORD YET")</f>
        <v>Blk 110 Lot 17 K-57 Kalinisan ST., Karangalan V illage, San Isidro Village, Cainta, Rizal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5" customHeight="1">
      <c r="A159" s="326">
        <v>150</v>
      </c>
      <c r="B159" s="327" t="s">
        <v>752</v>
      </c>
      <c r="C159" s="327" t="s">
        <v>19</v>
      </c>
      <c r="D159" s="326" t="s">
        <v>96</v>
      </c>
      <c r="E159" s="328" t="s">
        <v>753</v>
      </c>
      <c r="F159" s="328" t="s">
        <v>754</v>
      </c>
      <c r="G159" s="328" t="s">
        <v>755</v>
      </c>
      <c r="H159" s="314"/>
      <c r="I159" s="328" t="s">
        <v>2848</v>
      </c>
      <c r="J159" s="329" t="s">
        <v>756</v>
      </c>
      <c r="K159" s="331" t="s">
        <v>757</v>
      </c>
      <c r="L159" s="2"/>
      <c r="M159" s="2"/>
      <c r="N159" s="2"/>
      <c r="O159" s="2"/>
      <c r="P159" s="325" t="str">
        <f t="shared" si="6"/>
        <v>VILLAGONZALO RYAN VILLARIN</v>
      </c>
      <c r="Q159" s="332" t="str">
        <f>IFERROR(VLOOKUP(P157,[1]Disposition!$AB$9:$AC$495,2,0),"NO RECORD YET")</f>
        <v>NO RECORD YET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5" customHeight="1">
      <c r="A160" s="326">
        <v>151</v>
      </c>
      <c r="B160" s="327" t="s">
        <v>2874</v>
      </c>
      <c r="C160" s="327" t="s">
        <v>19</v>
      </c>
      <c r="D160" s="326" t="s">
        <v>96</v>
      </c>
      <c r="E160" s="328" t="s">
        <v>759</v>
      </c>
      <c r="F160" s="328" t="s">
        <v>124</v>
      </c>
      <c r="G160" s="328" t="s">
        <v>760</v>
      </c>
      <c r="H160" s="314"/>
      <c r="I160" s="328" t="s">
        <v>2848</v>
      </c>
      <c r="J160" s="329" t="s">
        <v>761</v>
      </c>
      <c r="K160" s="331" t="s">
        <v>762</v>
      </c>
      <c r="L160" s="2"/>
      <c r="M160" s="2"/>
      <c r="N160" s="2"/>
      <c r="O160" s="2"/>
      <c r="P160" s="325" t="str">
        <f t="shared" si="6"/>
        <v>GUEVARRA JAYSON GALANG</v>
      </c>
      <c r="Q160" s="332" t="str">
        <f>IFERROR(VLOOKUP(P158,[1]Disposition!$AB$9:$AC$495,2,0),"NO RECORD YET")</f>
        <v>Maninang, SAPI-AN, Capiz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5" customHeight="1">
      <c r="A161" s="326">
        <v>152</v>
      </c>
      <c r="B161" s="327" t="s">
        <v>2609</v>
      </c>
      <c r="C161" s="327" t="s">
        <v>19</v>
      </c>
      <c r="D161" s="326" t="s">
        <v>160</v>
      </c>
      <c r="E161" s="328" t="s">
        <v>636</v>
      </c>
      <c r="F161" s="328" t="s">
        <v>2610</v>
      </c>
      <c r="G161" s="328" t="s">
        <v>2611</v>
      </c>
      <c r="H161" s="314"/>
      <c r="I161" s="328" t="s">
        <v>2875</v>
      </c>
      <c r="J161" s="329" t="s">
        <v>2612</v>
      </c>
      <c r="K161" s="331" t="s">
        <v>2613</v>
      </c>
      <c r="L161" s="2"/>
      <c r="M161" s="2"/>
      <c r="N161" s="2"/>
      <c r="O161" s="2"/>
      <c r="P161" s="325" t="str">
        <f t="shared" si="6"/>
        <v>SANTOS JAY WALTER SANTIAGO</v>
      </c>
      <c r="Q161" s="332" t="str">
        <f>IFERROR(VLOOKUP(P414,[1]Disposition!$AB$9:$AC$495,2,0),"NO RECORD YET")</f>
        <v>Legaspi, Albay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5" customHeight="1">
      <c r="A162" s="326">
        <v>153</v>
      </c>
      <c r="B162" s="327" t="s">
        <v>763</v>
      </c>
      <c r="C162" s="327" t="s">
        <v>19</v>
      </c>
      <c r="D162" s="326" t="s">
        <v>57</v>
      </c>
      <c r="E162" s="328" t="s">
        <v>764</v>
      </c>
      <c r="F162" s="328" t="s">
        <v>765</v>
      </c>
      <c r="G162" s="328" t="s">
        <v>766</v>
      </c>
      <c r="H162" s="326" t="s">
        <v>55</v>
      </c>
      <c r="I162" s="328" t="s">
        <v>2849</v>
      </c>
      <c r="J162" s="329" t="s">
        <v>767</v>
      </c>
      <c r="K162" s="331" t="s">
        <v>768</v>
      </c>
      <c r="L162" s="2"/>
      <c r="M162" s="2"/>
      <c r="N162" s="2"/>
      <c r="O162" s="2"/>
      <c r="P162" s="325" t="str">
        <f t="shared" si="6"/>
        <v>BALINGIT JOSE JEFFERSON LACSAM</v>
      </c>
      <c r="Q162" s="332" t="str">
        <f>IFERROR(VLOOKUP(P159,[1]Disposition!$AB$9:$AC$495,2,0),"NO RECORD YET")</f>
        <v>NO RECORD YET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5" customHeight="1">
      <c r="A163" s="326">
        <v>154</v>
      </c>
      <c r="B163" s="327" t="s">
        <v>763</v>
      </c>
      <c r="C163" s="327" t="s">
        <v>19</v>
      </c>
      <c r="D163" s="326" t="s">
        <v>28</v>
      </c>
      <c r="E163" s="328" t="s">
        <v>769</v>
      </c>
      <c r="F163" s="328" t="s">
        <v>770</v>
      </c>
      <c r="G163" s="328" t="s">
        <v>771</v>
      </c>
      <c r="H163" s="314"/>
      <c r="I163" s="328" t="s">
        <v>2849</v>
      </c>
      <c r="J163" s="329" t="s">
        <v>772</v>
      </c>
      <c r="K163" s="331" t="s">
        <v>773</v>
      </c>
      <c r="L163" s="2"/>
      <c r="M163" s="2"/>
      <c r="N163" s="2"/>
      <c r="O163" s="2"/>
      <c r="P163" s="325" t="str">
        <f t="shared" si="6"/>
        <v>BALDOS MARK ANTHONY BUNGAG</v>
      </c>
      <c r="Q163" s="332" t="str">
        <f>IFERROR(VLOOKUP(P160,[1]Disposition!$AB$9:$AC$495,2,0),"NO RECORD YET")</f>
        <v>240 ZONE-2, Mangga-Cacutud, Arayat, Pampanga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5" customHeight="1">
      <c r="A164" s="326">
        <v>155</v>
      </c>
      <c r="B164" s="327" t="s">
        <v>2876</v>
      </c>
      <c r="C164" s="327" t="s">
        <v>19</v>
      </c>
      <c r="D164" s="326" t="s">
        <v>253</v>
      </c>
      <c r="E164" s="328" t="s">
        <v>780</v>
      </c>
      <c r="F164" s="328" t="s">
        <v>781</v>
      </c>
      <c r="G164" s="328" t="s">
        <v>782</v>
      </c>
      <c r="H164" s="314"/>
      <c r="I164" s="328" t="s">
        <v>2877</v>
      </c>
      <c r="J164" s="329" t="s">
        <v>783</v>
      </c>
      <c r="K164" s="331" t="s">
        <v>784</v>
      </c>
      <c r="L164" s="2"/>
      <c r="M164" s="2"/>
      <c r="N164" s="2"/>
      <c r="O164" s="2"/>
      <c r="P164" s="325" t="str">
        <f t="shared" si="6"/>
        <v>ANDANAR JON JASON GORGOLON</v>
      </c>
      <c r="Q164" s="332" t="str">
        <f>IFERROR(VLOOKUP(P163,[1]Disposition!$AB$9:$AC$495,2,0),"NO RECORD YET")</f>
        <v>NO RECORD YET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5" customHeight="1">
      <c r="A165" s="326">
        <v>156</v>
      </c>
      <c r="B165" s="327" t="s">
        <v>785</v>
      </c>
      <c r="C165" s="327" t="s">
        <v>19</v>
      </c>
      <c r="D165" s="326" t="s">
        <v>96</v>
      </c>
      <c r="E165" s="328" t="s">
        <v>256</v>
      </c>
      <c r="F165" s="328" t="s">
        <v>786</v>
      </c>
      <c r="G165" s="328" t="s">
        <v>787</v>
      </c>
      <c r="H165" s="314"/>
      <c r="I165" s="328" t="s">
        <v>2848</v>
      </c>
      <c r="J165" s="329" t="s">
        <v>788</v>
      </c>
      <c r="K165" s="331" t="s">
        <v>789</v>
      </c>
      <c r="L165" s="2"/>
      <c r="M165" s="2"/>
      <c r="N165" s="2"/>
      <c r="O165" s="2"/>
      <c r="P165" s="325" t="str">
        <f t="shared" si="6"/>
        <v>DELA CRUZ ASHTER TIBURCIO</v>
      </c>
      <c r="Q165" s="332" t="str">
        <f>IFERROR(VLOOKUP(P528,[1]Disposition!$AB$9:$AC$495,2,0),"NO RECORD YET")</f>
        <v>10 Longhorn St., Rancho 4 East, Brgy Concepcion Dos, Marikina City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5" customHeight="1">
      <c r="A166" s="326">
        <v>157</v>
      </c>
      <c r="B166" s="327" t="s">
        <v>790</v>
      </c>
      <c r="C166" s="327" t="s">
        <v>19</v>
      </c>
      <c r="D166" s="326" t="s">
        <v>96</v>
      </c>
      <c r="E166" s="328" t="s">
        <v>791</v>
      </c>
      <c r="F166" s="328" t="s">
        <v>792</v>
      </c>
      <c r="G166" s="328" t="s">
        <v>793</v>
      </c>
      <c r="H166" s="314"/>
      <c r="I166" s="328" t="s">
        <v>2848</v>
      </c>
      <c r="J166" s="329" t="s">
        <v>794</v>
      </c>
      <c r="K166" s="330" t="s">
        <v>2878</v>
      </c>
      <c r="L166" s="2"/>
      <c r="M166" s="2"/>
      <c r="N166" s="2"/>
      <c r="O166" s="2"/>
      <c r="P166" s="325" t="str">
        <f t="shared" si="6"/>
        <v>ORTIZ JULIUS SEMITARA</v>
      </c>
      <c r="Q166" s="332" t="str">
        <f>IFERROR(VLOOKUP(P164,[1]Disposition!$AB$9:$AC$495,2,0),"NO RECORD YET")</f>
        <v>B6, L2, Kingstown Subd., Brgy. 171, Caloocan City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5" customHeight="1">
      <c r="A167" s="326">
        <v>158</v>
      </c>
      <c r="B167" s="327" t="s">
        <v>795</v>
      </c>
      <c r="C167" s="327" t="s">
        <v>39</v>
      </c>
      <c r="D167" s="326" t="s">
        <v>96</v>
      </c>
      <c r="E167" s="328" t="s">
        <v>796</v>
      </c>
      <c r="F167" s="328" t="s">
        <v>797</v>
      </c>
      <c r="G167" s="328" t="s">
        <v>798</v>
      </c>
      <c r="H167" s="314"/>
      <c r="I167" s="328" t="s">
        <v>2848</v>
      </c>
      <c r="J167" s="329" t="s">
        <v>799</v>
      </c>
      <c r="K167" s="331" t="s">
        <v>800</v>
      </c>
      <c r="L167" s="2"/>
      <c r="M167" s="2"/>
      <c r="N167" s="2"/>
      <c r="O167" s="2"/>
      <c r="P167" s="325" t="str">
        <f t="shared" si="6"/>
        <v>LACSON VINEAH DIMO</v>
      </c>
      <c r="Q167" s="332" t="str">
        <f>IFERROR(VLOOKUP(P165,[1]Disposition!$AB$9:$AC$495,2,0),"NO RECORD YET")</f>
        <v>227 Sta, Cruz, Zaragisa, Nueva Ecija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5" customHeight="1">
      <c r="A168" s="326">
        <v>159</v>
      </c>
      <c r="B168" s="327" t="s">
        <v>2879</v>
      </c>
      <c r="C168" s="327" t="s">
        <v>19</v>
      </c>
      <c r="D168" s="326" t="s">
        <v>96</v>
      </c>
      <c r="E168" s="328" t="s">
        <v>1986</v>
      </c>
      <c r="F168" s="328" t="s">
        <v>1987</v>
      </c>
      <c r="G168" s="328" t="s">
        <v>1988</v>
      </c>
      <c r="H168" s="314"/>
      <c r="I168" s="328" t="s">
        <v>2848</v>
      </c>
      <c r="J168" s="329" t="s">
        <v>1989</v>
      </c>
      <c r="K168" s="331" t="s">
        <v>1990</v>
      </c>
      <c r="L168" s="2"/>
      <c r="M168" s="2"/>
      <c r="N168" s="2"/>
      <c r="O168" s="2"/>
      <c r="P168" s="325" t="str">
        <f t="shared" si="6"/>
        <v>ORNIDO JAN MICHAEL PONTILA</v>
      </c>
      <c r="Q168" s="332" t="str">
        <f>IFERROR(VLOOKUP(P166,[1]Disposition!$AB$9:$AC$495,2,0),"NO RECORD YET")</f>
        <v>NO RECORD YET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5" customHeight="1">
      <c r="A169" s="326">
        <v>160</v>
      </c>
      <c r="B169" s="327" t="s">
        <v>2880</v>
      </c>
      <c r="C169" s="327" t="s">
        <v>19</v>
      </c>
      <c r="D169" s="326" t="s">
        <v>160</v>
      </c>
      <c r="E169" s="328" t="s">
        <v>1980</v>
      </c>
      <c r="F169" s="328" t="s">
        <v>1981</v>
      </c>
      <c r="G169" s="328" t="s">
        <v>1982</v>
      </c>
      <c r="H169" s="326" t="s">
        <v>268</v>
      </c>
      <c r="I169" s="328" t="s">
        <v>2881</v>
      </c>
      <c r="J169" s="329" t="s">
        <v>1983</v>
      </c>
      <c r="K169" s="331" t="s">
        <v>1984</v>
      </c>
      <c r="L169" s="2"/>
      <c r="M169" s="2"/>
      <c r="N169" s="2"/>
      <c r="O169" s="2"/>
      <c r="P169" s="325" t="str">
        <f t="shared" si="6"/>
        <v>AGUS CARCIOLO CAJANDAB</v>
      </c>
      <c r="Q169" s="332" t="str">
        <f>IFERROR(VLOOKUP(P167,[1]Disposition!$AB$9:$AC$495,2,0),"NO RECORD YET")</f>
        <v>50 Goldrock ST., San Roque, Navotas City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5" customHeight="1">
      <c r="A170" s="326">
        <v>161</v>
      </c>
      <c r="B170" s="327" t="s">
        <v>1979</v>
      </c>
      <c r="C170" s="327" t="s">
        <v>19</v>
      </c>
      <c r="D170" s="326" t="s">
        <v>644</v>
      </c>
      <c r="E170" s="328" t="s">
        <v>1991</v>
      </c>
      <c r="F170" s="328" t="s">
        <v>1992</v>
      </c>
      <c r="G170" s="328" t="s">
        <v>1993</v>
      </c>
      <c r="H170" s="314"/>
      <c r="I170" s="328" t="s">
        <v>2849</v>
      </c>
      <c r="J170" s="329" t="s">
        <v>1994</v>
      </c>
      <c r="K170" s="331" t="s">
        <v>1995</v>
      </c>
      <c r="L170" s="2"/>
      <c r="M170" s="2"/>
      <c r="N170" s="2"/>
      <c r="O170" s="2"/>
      <c r="P170" s="325" t="str">
        <f t="shared" si="6"/>
        <v>RANCE LEONARDO ESPINOSA</v>
      </c>
      <c r="Q170" s="332" t="str">
        <f>IFERROR(VLOOKUP(P168,[1]Disposition!$AB$9:$AC$495,2,0),"NO RECORD YET")</f>
        <v>Lot #19, Carigma Ext. Road 2, Brgy. San Jose (Pob.), City of Antipolo, Rizal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5" customHeight="1">
      <c r="A171" s="326">
        <v>162</v>
      </c>
      <c r="B171" s="327" t="s">
        <v>1979</v>
      </c>
      <c r="C171" s="327" t="s">
        <v>19</v>
      </c>
      <c r="D171" s="326" t="s">
        <v>28</v>
      </c>
      <c r="E171" s="328" t="s">
        <v>1996</v>
      </c>
      <c r="F171" s="328" t="s">
        <v>1997</v>
      </c>
      <c r="G171" s="328" t="s">
        <v>1998</v>
      </c>
      <c r="H171" s="314"/>
      <c r="I171" s="328" t="s">
        <v>2849</v>
      </c>
      <c r="J171" s="329" t="s">
        <v>1999</v>
      </c>
      <c r="K171" s="331" t="s">
        <v>2000</v>
      </c>
      <c r="L171" s="2"/>
      <c r="M171" s="2"/>
      <c r="N171" s="2"/>
      <c r="O171" s="2"/>
      <c r="P171" s="325" t="str">
        <f t="shared" si="6"/>
        <v>CARBONELL JAKE GASPAR</v>
      </c>
      <c r="Q171" s="332" t="str">
        <f>IFERROR(VLOOKUP(P169,[1]Disposition!$AB$9:$AC$495,2,0),"NO RECORD YET")</f>
        <v>Cainta, Rizal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5" customHeight="1">
      <c r="A172" s="326">
        <v>163</v>
      </c>
      <c r="B172" s="327" t="s">
        <v>1979</v>
      </c>
      <c r="C172" s="327" t="s">
        <v>19</v>
      </c>
      <c r="D172" s="326" t="s">
        <v>28</v>
      </c>
      <c r="E172" s="328" t="s">
        <v>2001</v>
      </c>
      <c r="F172" s="328" t="s">
        <v>1440</v>
      </c>
      <c r="G172" s="328" t="s">
        <v>2002</v>
      </c>
      <c r="H172" s="314"/>
      <c r="I172" s="328" t="s">
        <v>2849</v>
      </c>
      <c r="J172" s="329" t="s">
        <v>2003</v>
      </c>
      <c r="K172" s="331" t="s">
        <v>2004</v>
      </c>
      <c r="L172" s="2"/>
      <c r="M172" s="2"/>
      <c r="N172" s="2"/>
      <c r="O172" s="2"/>
      <c r="P172" s="325" t="str">
        <f t="shared" si="6"/>
        <v>MANCERA JOSHUA ARMENTA</v>
      </c>
      <c r="Q172" s="332" t="str">
        <f>IFERROR(VLOOKUP(P170,[1]Disposition!$AB$9:$AC$495,2,0),"NO RECORD YET")</f>
        <v>11-B Saint Andrew St/. Don Bosco Vill, Paranaque City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5" customHeight="1">
      <c r="A173" s="326">
        <v>164</v>
      </c>
      <c r="B173" s="327" t="s">
        <v>2005</v>
      </c>
      <c r="C173" s="327" t="s">
        <v>19</v>
      </c>
      <c r="D173" s="326" t="s">
        <v>96</v>
      </c>
      <c r="E173" s="328" t="s">
        <v>2006</v>
      </c>
      <c r="F173" s="328" t="s">
        <v>2007</v>
      </c>
      <c r="G173" s="328" t="s">
        <v>2008</v>
      </c>
      <c r="H173" s="314"/>
      <c r="I173" s="328" t="s">
        <v>2848</v>
      </c>
      <c r="J173" s="329" t="s">
        <v>2009</v>
      </c>
      <c r="K173" s="331" t="s">
        <v>2010</v>
      </c>
      <c r="L173" s="2"/>
      <c r="M173" s="2"/>
      <c r="N173" s="2"/>
      <c r="O173" s="2"/>
      <c r="P173" s="325" t="str">
        <f t="shared" si="6"/>
        <v>DOMINGUIANO JAY  ESTOYA</v>
      </c>
      <c r="Q173" s="332" t="str">
        <f>IFERROR(VLOOKUP(P171,[1]Disposition!$AB$9:$AC$495,2,0),"NO RECORD YET")</f>
        <v>NO RECORD YET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5" customHeight="1">
      <c r="A174" s="326">
        <v>165</v>
      </c>
      <c r="B174" s="327" t="s">
        <v>2005</v>
      </c>
      <c r="C174" s="327" t="s">
        <v>39</v>
      </c>
      <c r="D174" s="326" t="s">
        <v>96</v>
      </c>
      <c r="E174" s="328" t="s">
        <v>2011</v>
      </c>
      <c r="F174" s="328" t="s">
        <v>2012</v>
      </c>
      <c r="G174" s="328" t="s">
        <v>2013</v>
      </c>
      <c r="H174" s="314"/>
      <c r="I174" s="328" t="s">
        <v>2848</v>
      </c>
      <c r="J174" s="329" t="s">
        <v>2014</v>
      </c>
      <c r="K174" s="331" t="s">
        <v>2015</v>
      </c>
      <c r="L174" s="2" t="s">
        <v>2016</v>
      </c>
      <c r="M174" s="2"/>
      <c r="N174" s="2"/>
      <c r="O174" s="2"/>
      <c r="P174" s="325" t="str">
        <f>CONCATENATE(E548," ",F548," ",G548)</f>
        <v>PEREZ FATHIMA ALI</v>
      </c>
      <c r="Q174" s="332" t="str">
        <f>IFERROR(VLOOKUP(P172,[1]Disposition!$AB$9:$AC$495,2,0),"NO RECORD YET")</f>
        <v>NO RECORD YET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5" customHeight="1">
      <c r="A175" s="326">
        <v>166</v>
      </c>
      <c r="B175" s="327" t="s">
        <v>2005</v>
      </c>
      <c r="C175" s="327" t="s">
        <v>39</v>
      </c>
      <c r="D175" s="326" t="s">
        <v>24</v>
      </c>
      <c r="E175" s="328" t="s">
        <v>2017</v>
      </c>
      <c r="F175" s="328" t="s">
        <v>2018</v>
      </c>
      <c r="G175" s="328" t="s">
        <v>2019</v>
      </c>
      <c r="H175" s="314"/>
      <c r="I175" s="328" t="s">
        <v>2849</v>
      </c>
      <c r="J175" s="329" t="s">
        <v>2020</v>
      </c>
      <c r="K175" s="331" t="s">
        <v>2021</v>
      </c>
      <c r="L175" s="2"/>
      <c r="M175" s="2"/>
      <c r="N175" s="2"/>
      <c r="O175" s="2"/>
      <c r="P175" s="325" t="str">
        <f t="shared" ref="P175:P200" si="7">CONCATENATE(E175," ",F175," ",G175)</f>
        <v>NAZA CLAUDINE PALATTAO</v>
      </c>
      <c r="Q175" s="332" t="str">
        <f>IFERROR(VLOOKUP(P173,[1]Disposition!$AB$9:$AC$495,2,0),"NO RECORD YET")</f>
        <v>Blk 35, #25 Sitio Maligaya, San isidro, Antipolo City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5" customHeight="1">
      <c r="A176" s="326">
        <v>167</v>
      </c>
      <c r="B176" s="327" t="s">
        <v>2022</v>
      </c>
      <c r="C176" s="327" t="s">
        <v>19</v>
      </c>
      <c r="D176" s="326" t="s">
        <v>96</v>
      </c>
      <c r="E176" s="328" t="s">
        <v>2023</v>
      </c>
      <c r="F176" s="328" t="s">
        <v>393</v>
      </c>
      <c r="G176" s="328" t="s">
        <v>2024</v>
      </c>
      <c r="H176" s="314"/>
      <c r="I176" s="328" t="s">
        <v>2848</v>
      </c>
      <c r="J176" s="329" t="s">
        <v>2025</v>
      </c>
      <c r="K176" s="331" t="s">
        <v>2026</v>
      </c>
      <c r="L176" s="2"/>
      <c r="M176" s="2"/>
      <c r="N176" s="2"/>
      <c r="O176" s="2"/>
      <c r="P176" s="325" t="str">
        <f t="shared" si="7"/>
        <v>GALPO NICOLAS BERMUDO</v>
      </c>
      <c r="Q176" s="332" t="str">
        <f>IFERROR(VLOOKUP(P174,[1]Disposition!$AB$9:$AC$495,2,0),"NO RECORD YET")</f>
        <v>#251 Telbang, Bayambang, Pangasinan/10H 4TH Avenue, Cubao, Quezon City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5" customHeight="1">
      <c r="A177" s="326">
        <v>168</v>
      </c>
      <c r="B177" s="327" t="s">
        <v>2022</v>
      </c>
      <c r="C177" s="327" t="s">
        <v>19</v>
      </c>
      <c r="D177" s="326" t="s">
        <v>644</v>
      </c>
      <c r="E177" s="328" t="s">
        <v>2027</v>
      </c>
      <c r="F177" s="328" t="s">
        <v>2028</v>
      </c>
      <c r="G177" s="328" t="s">
        <v>2029</v>
      </c>
      <c r="H177" s="314"/>
      <c r="I177" s="328" t="s">
        <v>2849</v>
      </c>
      <c r="J177" s="329" t="s">
        <v>2030</v>
      </c>
      <c r="K177" s="331" t="s">
        <v>2031</v>
      </c>
      <c r="L177" s="2"/>
      <c r="M177" s="2"/>
      <c r="N177" s="2"/>
      <c r="O177" s="2"/>
      <c r="P177" s="325" t="str">
        <f t="shared" si="7"/>
        <v>ELECCION CHRISTOFFERSON CURAMING</v>
      </c>
      <c r="Q177" s="332" t="str">
        <f>IFERROR(VLOOKUP(P175,[1]Disposition!$AB$9:$AC$495,2,0),"NO RECORD YET")</f>
        <v>08 Francisco St., Krus na Ligas, Quezon City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5" customHeight="1">
      <c r="A178" s="326">
        <v>169</v>
      </c>
      <c r="B178" s="327" t="s">
        <v>2032</v>
      </c>
      <c r="C178" s="327" t="s">
        <v>39</v>
      </c>
      <c r="D178" s="326" t="s">
        <v>96</v>
      </c>
      <c r="E178" s="328" t="s">
        <v>2033</v>
      </c>
      <c r="F178" s="328" t="s">
        <v>2034</v>
      </c>
      <c r="G178" s="328" t="s">
        <v>2035</v>
      </c>
      <c r="H178" s="314"/>
      <c r="I178" s="328" t="s">
        <v>2848</v>
      </c>
      <c r="J178" s="329" t="s">
        <v>2036</v>
      </c>
      <c r="K178" s="331" t="s">
        <v>2037</v>
      </c>
      <c r="L178" s="2"/>
      <c r="M178" s="2"/>
      <c r="N178" s="2"/>
      <c r="O178" s="2"/>
      <c r="P178" s="325" t="str">
        <f t="shared" si="7"/>
        <v>CANAPI RODALYN ARGUELLES</v>
      </c>
      <c r="Q178" s="332" t="str">
        <f>IFERROR(VLOOKUP(P176,[1]Disposition!$AB$9:$AC$495,2,0),"NO RECORD YET")</f>
        <v>1283 Int 26, Tambunting St.. Sta. Cruz, Manila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5" customHeight="1">
      <c r="A179" s="326">
        <v>170</v>
      </c>
      <c r="B179" s="327" t="s">
        <v>2038</v>
      </c>
      <c r="C179" s="327" t="s">
        <v>19</v>
      </c>
      <c r="D179" s="326" t="s">
        <v>253</v>
      </c>
      <c r="E179" s="328" t="s">
        <v>2039</v>
      </c>
      <c r="F179" s="328" t="s">
        <v>2040</v>
      </c>
      <c r="G179" s="328" t="s">
        <v>2041</v>
      </c>
      <c r="H179" s="314"/>
      <c r="I179" s="328" t="s">
        <v>2848</v>
      </c>
      <c r="J179" s="329" t="s">
        <v>2042</v>
      </c>
      <c r="K179" s="331" t="s">
        <v>2043</v>
      </c>
      <c r="L179" s="2"/>
      <c r="M179" s="2"/>
      <c r="N179" s="2"/>
      <c r="O179" s="2"/>
      <c r="P179" s="325" t="str">
        <f t="shared" si="7"/>
        <v>PANAGA MOHAMED TALAUE</v>
      </c>
      <c r="Q179" s="332" t="str">
        <f>IFERROR(VLOOKUP(P349,[1]Disposition!$AB$9:$AC$495,2,0),"NO RECORD YET")</f>
        <v>Rd 25 B36 L49 Brgy. Bagong Nayon, Cogeo Vill., Antipolo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5" customHeight="1">
      <c r="A180" s="326">
        <v>171</v>
      </c>
      <c r="B180" s="327" t="s">
        <v>2038</v>
      </c>
      <c r="C180" s="327" t="s">
        <v>19</v>
      </c>
      <c r="D180" s="326" t="s">
        <v>246</v>
      </c>
      <c r="E180" s="328" t="s">
        <v>1481</v>
      </c>
      <c r="F180" s="328" t="s">
        <v>1665</v>
      </c>
      <c r="G180" s="328" t="s">
        <v>1666</v>
      </c>
      <c r="H180" s="314"/>
      <c r="I180" s="328" t="s">
        <v>2848</v>
      </c>
      <c r="J180" s="312"/>
      <c r="K180" s="333"/>
      <c r="L180" s="2"/>
      <c r="M180" s="2"/>
      <c r="N180" s="2"/>
      <c r="O180" s="2"/>
      <c r="P180" s="325" t="str">
        <f>CONCATENATE(E180," ",F180," ",G180)</f>
        <v>CORPUZ ALEX ACE CABAUATAN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5" customHeight="1">
      <c r="A181" s="326">
        <v>172</v>
      </c>
      <c r="B181" s="327" t="s">
        <v>2046</v>
      </c>
      <c r="C181" s="327" t="s">
        <v>19</v>
      </c>
      <c r="D181" s="326" t="s">
        <v>277</v>
      </c>
      <c r="E181" s="328" t="s">
        <v>2047</v>
      </c>
      <c r="F181" s="328" t="s">
        <v>1186</v>
      </c>
      <c r="G181" s="328" t="s">
        <v>2048</v>
      </c>
      <c r="H181" s="314"/>
      <c r="I181" s="328" t="s">
        <v>2849</v>
      </c>
      <c r="J181" s="329" t="s">
        <v>2049</v>
      </c>
      <c r="K181" s="331" t="s">
        <v>2050</v>
      </c>
      <c r="L181" s="2"/>
      <c r="M181" s="2"/>
      <c r="N181" s="2"/>
      <c r="O181" s="2"/>
      <c r="P181" s="325" t="str">
        <f t="shared" si="7"/>
        <v>CABELIS CHRISTOPHER ADENA</v>
      </c>
      <c r="Q181" s="332" t="str">
        <f>IFERROR(VLOOKUP(P179,[1]Disposition!$AB$9:$AC$495,2,0),"NO RECORD YET")</f>
        <v>Phae 1  Blk 12 Lot 29,  E.R. San Isidro, Rodriguez, Rizal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5" customHeight="1">
      <c r="A182" s="326">
        <v>173</v>
      </c>
      <c r="B182" s="327" t="s">
        <v>2051</v>
      </c>
      <c r="C182" s="327" t="s">
        <v>19</v>
      </c>
      <c r="D182" s="326" t="s">
        <v>96</v>
      </c>
      <c r="E182" s="328" t="s">
        <v>2052</v>
      </c>
      <c r="F182" s="328" t="s">
        <v>1292</v>
      </c>
      <c r="G182" s="328" t="s">
        <v>2053</v>
      </c>
      <c r="H182" s="314"/>
      <c r="I182" s="328" t="s">
        <v>2848</v>
      </c>
      <c r="J182" s="329" t="s">
        <v>2054</v>
      </c>
      <c r="K182" s="331" t="s">
        <v>2055</v>
      </c>
      <c r="L182" s="2"/>
      <c r="M182" s="2"/>
      <c r="N182" s="2"/>
      <c r="O182" s="2"/>
      <c r="P182" s="325" t="str">
        <f t="shared" si="7"/>
        <v>BANTIC JUVENAL PULINNEK</v>
      </c>
      <c r="Q182" s="332" t="str">
        <f>IFERROR(VLOOKUP(P527,[1]Disposition!$AB$9:$AC$495,2,0),"NO RECORD YET")</f>
        <v>NO RECORD YET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5" customHeight="1">
      <c r="A183" s="326">
        <v>174</v>
      </c>
      <c r="B183" s="327" t="s">
        <v>2051</v>
      </c>
      <c r="C183" s="327" t="s">
        <v>19</v>
      </c>
      <c r="D183" s="326" t="s">
        <v>246</v>
      </c>
      <c r="E183" s="328" t="s">
        <v>2056</v>
      </c>
      <c r="F183" s="328" t="s">
        <v>2057</v>
      </c>
      <c r="G183" s="328" t="s">
        <v>2058</v>
      </c>
      <c r="H183" s="314"/>
      <c r="I183" s="328" t="s">
        <v>2848</v>
      </c>
      <c r="J183" s="312"/>
      <c r="K183" s="330" t="s">
        <v>2059</v>
      </c>
      <c r="L183" s="2"/>
      <c r="M183" s="2"/>
      <c r="N183" s="2"/>
      <c r="O183" s="2"/>
      <c r="P183" s="325" t="str">
        <f t="shared" si="7"/>
        <v>LAZO JANUS CESAR RUIZAN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5" customHeight="1">
      <c r="A184" s="326">
        <v>175</v>
      </c>
      <c r="B184" s="327" t="s">
        <v>2051</v>
      </c>
      <c r="C184" s="327" t="s">
        <v>19</v>
      </c>
      <c r="D184" s="326" t="s">
        <v>366</v>
      </c>
      <c r="E184" s="328" t="s">
        <v>2060</v>
      </c>
      <c r="F184" s="328" t="s">
        <v>770</v>
      </c>
      <c r="G184" s="328" t="s">
        <v>2061</v>
      </c>
      <c r="H184" s="314"/>
      <c r="I184" s="328" t="s">
        <v>2849</v>
      </c>
      <c r="J184" s="329" t="s">
        <v>2062</v>
      </c>
      <c r="K184" s="331" t="s">
        <v>2063</v>
      </c>
      <c r="L184" s="2"/>
      <c r="M184" s="2"/>
      <c r="N184" s="2"/>
      <c r="O184" s="2"/>
      <c r="P184" s="325" t="str">
        <f t="shared" si="7"/>
        <v>PACULAN MARK ANTHONY NIDUAZA</v>
      </c>
      <c r="Q184" s="332" t="str">
        <f>IFERROR(VLOOKUP(P182,[1]Disposition!$AB$9:$AC$495,2,0),"NO RECORD YET")</f>
        <v>#20 Alley 1, Project 6, Quezon City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5" customHeight="1">
      <c r="A185" s="326">
        <v>176</v>
      </c>
      <c r="B185" s="327" t="s">
        <v>2051</v>
      </c>
      <c r="C185" s="327" t="s">
        <v>19</v>
      </c>
      <c r="D185" s="326" t="s">
        <v>366</v>
      </c>
      <c r="E185" s="328" t="s">
        <v>2064</v>
      </c>
      <c r="F185" s="328" t="s">
        <v>2065</v>
      </c>
      <c r="G185" s="328" t="s">
        <v>2066</v>
      </c>
      <c r="H185" s="314"/>
      <c r="I185" s="328" t="s">
        <v>2849</v>
      </c>
      <c r="J185" s="329" t="s">
        <v>2067</v>
      </c>
      <c r="K185" s="331" t="s">
        <v>2068</v>
      </c>
      <c r="L185" s="2"/>
      <c r="M185" s="2"/>
      <c r="N185" s="2"/>
      <c r="O185" s="2"/>
      <c r="P185" s="325" t="str">
        <f t="shared" si="7"/>
        <v>SUPIL HARLIE MUTIA</v>
      </c>
      <c r="Q185" s="332" t="str">
        <f>IFERROR(VLOOKUP(P183,[1]Disposition!$AB$9:$AC$495,2,0),"NO RECORD YET")</f>
        <v>NO RECORD YET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5" customHeight="1">
      <c r="A186" s="326">
        <v>177</v>
      </c>
      <c r="B186" s="327" t="s">
        <v>2051</v>
      </c>
      <c r="C186" s="327" t="s">
        <v>19</v>
      </c>
      <c r="D186" s="326" t="s">
        <v>366</v>
      </c>
      <c r="E186" s="328" t="s">
        <v>1050</v>
      </c>
      <c r="F186" s="328" t="s">
        <v>1051</v>
      </c>
      <c r="G186" s="328" t="s">
        <v>1052</v>
      </c>
      <c r="H186" s="314"/>
      <c r="I186" s="328" t="s">
        <v>2849</v>
      </c>
      <c r="J186" s="329" t="s">
        <v>1053</v>
      </c>
      <c r="K186" s="331" t="s">
        <v>1054</v>
      </c>
      <c r="L186" s="2"/>
      <c r="M186" s="2"/>
      <c r="N186" s="2"/>
      <c r="O186" s="2"/>
      <c r="P186" s="325" t="str">
        <f t="shared" si="7"/>
        <v>TABAFUNDA RONNEL NACIS</v>
      </c>
      <c r="Q186" s="332" t="str">
        <f>IFERROR(VLOOKUP(P184,[1]Disposition!$AB$9:$AC$495,2,0),"NO RECORD YET")</f>
        <v>Pagdalagan Sur, Bauang, La Union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5" customHeight="1">
      <c r="A187" s="326">
        <v>178</v>
      </c>
      <c r="B187" s="327" t="s">
        <v>2051</v>
      </c>
      <c r="C187" s="327" t="s">
        <v>19</v>
      </c>
      <c r="D187" s="326" t="s">
        <v>366</v>
      </c>
      <c r="E187" s="328" t="s">
        <v>1055</v>
      </c>
      <c r="F187" s="328" t="s">
        <v>690</v>
      </c>
      <c r="G187" s="328" t="s">
        <v>1056</v>
      </c>
      <c r="H187" s="314"/>
      <c r="I187" s="328" t="s">
        <v>2849</v>
      </c>
      <c r="J187" s="329" t="s">
        <v>1057</v>
      </c>
      <c r="K187" s="331" t="s">
        <v>1058</v>
      </c>
      <c r="L187" s="2"/>
      <c r="M187" s="2"/>
      <c r="N187" s="2"/>
      <c r="O187" s="2"/>
      <c r="P187" s="325" t="str">
        <f t="shared" si="7"/>
        <v>WALIS GILBERT JACKSON</v>
      </c>
      <c r="Q187" s="332" t="str">
        <f>IFERROR(VLOOKUP(P185,[1]Disposition!$AB$9:$AC$495,2,0),"NO RECORD YET")</f>
        <v>#34 Puelay, Caranglaan, Dagupan City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5" customHeight="1">
      <c r="A188" s="326">
        <v>179</v>
      </c>
      <c r="B188" s="327" t="s">
        <v>2051</v>
      </c>
      <c r="C188" s="327" t="s">
        <v>19</v>
      </c>
      <c r="D188" s="326" t="s">
        <v>57</v>
      </c>
      <c r="E188" s="328" t="s">
        <v>1622</v>
      </c>
      <c r="F188" s="328" t="s">
        <v>2069</v>
      </c>
      <c r="G188" s="328" t="s">
        <v>2070</v>
      </c>
      <c r="H188" s="314"/>
      <c r="I188" s="328" t="s">
        <v>2849</v>
      </c>
      <c r="J188" s="329" t="s">
        <v>2071</v>
      </c>
      <c r="K188" s="331" t="s">
        <v>2072</v>
      </c>
      <c r="L188" s="2"/>
      <c r="M188" s="2"/>
      <c r="N188" s="2"/>
      <c r="O188" s="2"/>
      <c r="P188" s="325" t="str">
        <f t="shared" si="7"/>
        <v>RIVERA RONALD BATIS</v>
      </c>
      <c r="Q188" s="332" t="str">
        <f>IFERROR(VLOOKUP(P186,[1]Disposition!$AB$9:$AC$495,2,0),"NO RECORD YET")</f>
        <v>Brgy. Paagan, Bacnotan, La Union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5" customHeight="1">
      <c r="A189" s="326">
        <v>180</v>
      </c>
      <c r="B189" s="327" t="s">
        <v>2051</v>
      </c>
      <c r="C189" s="327" t="s">
        <v>39</v>
      </c>
      <c r="D189" s="326" t="s">
        <v>24</v>
      </c>
      <c r="E189" s="328" t="s">
        <v>2073</v>
      </c>
      <c r="F189" s="328" t="s">
        <v>2074</v>
      </c>
      <c r="G189" s="328" t="s">
        <v>2075</v>
      </c>
      <c r="H189" s="314"/>
      <c r="I189" s="328" t="s">
        <v>2849</v>
      </c>
      <c r="J189" s="329" t="s">
        <v>2076</v>
      </c>
      <c r="K189" s="331" t="s">
        <v>2077</v>
      </c>
      <c r="L189" s="2"/>
      <c r="M189" s="2"/>
      <c r="N189" s="2"/>
      <c r="O189" s="2"/>
      <c r="P189" s="325" t="str">
        <f t="shared" si="7"/>
        <v>QUIAÑO CRYSTAL JEZZELLE CARIASO</v>
      </c>
      <c r="Q189" s="332" t="str">
        <f>IFERROR(VLOOKUP(P187,[1]Disposition!$AB$9:$AC$495,2,0),"NO RECORD YET")</f>
        <v>713 Babasit, Manaoag, Pangasinan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5" customHeight="1">
      <c r="A190" s="326">
        <v>181</v>
      </c>
      <c r="B190" s="327" t="s">
        <v>2051</v>
      </c>
      <c r="C190" s="327" t="s">
        <v>39</v>
      </c>
      <c r="D190" s="326" t="s">
        <v>28</v>
      </c>
      <c r="E190" s="328" t="s">
        <v>2078</v>
      </c>
      <c r="F190" s="328" t="s">
        <v>2079</v>
      </c>
      <c r="G190" s="328" t="s">
        <v>2080</v>
      </c>
      <c r="H190" s="314"/>
      <c r="I190" s="328" t="s">
        <v>2849</v>
      </c>
      <c r="J190" s="329" t="s">
        <v>2081</v>
      </c>
      <c r="K190" s="331" t="s">
        <v>2082</v>
      </c>
      <c r="L190" s="2"/>
      <c r="M190" s="2"/>
      <c r="N190" s="2"/>
      <c r="O190" s="2"/>
      <c r="P190" s="325" t="str">
        <f t="shared" si="7"/>
        <v>AREOLA MARJORIE BALZA</v>
      </c>
      <c r="Q190" s="332" t="str">
        <f>IFERROR(VLOOKUP(P188,[1]Disposition!$AB$9:$AC$495,2,0),"NO RECORD YET")</f>
        <v>Namboongan, Sto. Tomas, La Union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5" customHeight="1">
      <c r="A191" s="326">
        <v>182</v>
      </c>
      <c r="B191" s="327" t="s">
        <v>2051</v>
      </c>
      <c r="C191" s="327" t="s">
        <v>39</v>
      </c>
      <c r="D191" s="326" t="s">
        <v>28</v>
      </c>
      <c r="E191" s="328" t="s">
        <v>2083</v>
      </c>
      <c r="F191" s="328" t="s">
        <v>2084</v>
      </c>
      <c r="G191" s="328" t="s">
        <v>2085</v>
      </c>
      <c r="H191" s="314"/>
      <c r="I191" s="328" t="s">
        <v>2849</v>
      </c>
      <c r="J191" s="329" t="s">
        <v>2086</v>
      </c>
      <c r="K191" s="331" t="s">
        <v>2087</v>
      </c>
      <c r="L191" s="2"/>
      <c r="M191" s="2"/>
      <c r="N191" s="2"/>
      <c r="O191" s="2"/>
      <c r="P191" s="325" t="str">
        <f t="shared" si="7"/>
        <v>LAMES MAYJEAN GAGET</v>
      </c>
      <c r="Q191" s="332" t="str">
        <f>IFERROR(VLOOKUP(P189,[1]Disposition!$AB$9:$AC$495,2,0),"NO RECORD YET")</f>
        <v>#055 Guinabang, Bacnotan, La Union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5" customHeight="1">
      <c r="A192" s="326">
        <v>183</v>
      </c>
      <c r="B192" s="327" t="s">
        <v>2088</v>
      </c>
      <c r="C192" s="327" t="s">
        <v>19</v>
      </c>
      <c r="D192" s="326" t="s">
        <v>160</v>
      </c>
      <c r="E192" s="328" t="s">
        <v>2089</v>
      </c>
      <c r="F192" s="328" t="s">
        <v>1436</v>
      </c>
      <c r="G192" s="328" t="s">
        <v>2090</v>
      </c>
      <c r="H192" s="314"/>
      <c r="I192" s="328" t="s">
        <v>2848</v>
      </c>
      <c r="J192" s="329" t="s">
        <v>2091</v>
      </c>
      <c r="K192" s="331" t="s">
        <v>2092</v>
      </c>
      <c r="L192" s="2"/>
      <c r="M192" s="2"/>
      <c r="N192" s="2"/>
      <c r="O192" s="2"/>
      <c r="P192" s="325" t="str">
        <f t="shared" si="7"/>
        <v>BACCAY PEDRO IQUIN</v>
      </c>
      <c r="Q192" s="332" t="str">
        <f>IFERROR(VLOOKUP(P190,[1]Disposition!$AB$9:$AC$495,2,0),"NO RECORD YET")</f>
        <v>NO RECORD YET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5" customHeight="1">
      <c r="A193" s="326">
        <v>184</v>
      </c>
      <c r="B193" s="327" t="s">
        <v>2088</v>
      </c>
      <c r="C193" s="327" t="s">
        <v>19</v>
      </c>
      <c r="D193" s="326" t="s">
        <v>96</v>
      </c>
      <c r="E193" s="328" t="s">
        <v>2093</v>
      </c>
      <c r="F193" s="328" t="s">
        <v>2094</v>
      </c>
      <c r="G193" s="328" t="s">
        <v>2095</v>
      </c>
      <c r="H193" s="314"/>
      <c r="I193" s="328" t="s">
        <v>2848</v>
      </c>
      <c r="J193" s="329" t="s">
        <v>2096</v>
      </c>
      <c r="K193" s="331" t="s">
        <v>2097</v>
      </c>
      <c r="L193" s="2"/>
      <c r="M193" s="2"/>
      <c r="N193" s="2"/>
      <c r="O193" s="2"/>
      <c r="P193" s="325" t="str">
        <f t="shared" si="7"/>
        <v>BABATE JAN NOEL ADUCA</v>
      </c>
      <c r="Q193" s="332" t="str">
        <f>IFERROR(VLOOKUP(P191,[1]Disposition!$AB$9:$AC$495,2,0),"NO RECORD YET")</f>
        <v>NO RECORD YET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5" customHeight="1">
      <c r="A194" s="326">
        <v>185</v>
      </c>
      <c r="B194" s="327" t="s">
        <v>2088</v>
      </c>
      <c r="C194" s="327" t="s">
        <v>19</v>
      </c>
      <c r="D194" s="326" t="s">
        <v>96</v>
      </c>
      <c r="E194" s="328" t="s">
        <v>2103</v>
      </c>
      <c r="F194" s="328" t="s">
        <v>2104</v>
      </c>
      <c r="G194" s="328" t="s">
        <v>2105</v>
      </c>
      <c r="H194" s="326" t="s">
        <v>268</v>
      </c>
      <c r="I194" s="328" t="s">
        <v>2848</v>
      </c>
      <c r="J194" s="329" t="s">
        <v>2106</v>
      </c>
      <c r="K194" s="330" t="s">
        <v>2883</v>
      </c>
      <c r="L194" s="2"/>
      <c r="M194" s="2"/>
      <c r="N194" s="2"/>
      <c r="O194" s="2"/>
      <c r="P194" s="325" t="str">
        <f t="shared" si="7"/>
        <v>BIRUNG PABLO LUGUTAN</v>
      </c>
      <c r="Q194" s="332" t="str">
        <f>IFERROR(VLOOKUP(P192,[1]Disposition!$AB$9:$AC$495,2,0),"NO RECORD YET")</f>
        <v>Blk2, Lot19, Orchid St., Camella Townhomes, Talon 3, Las Piñas City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5" customHeight="1">
      <c r="A195" s="326">
        <v>186</v>
      </c>
      <c r="B195" s="327" t="s">
        <v>2088</v>
      </c>
      <c r="C195" s="327" t="s">
        <v>19</v>
      </c>
      <c r="D195" s="326" t="s">
        <v>366</v>
      </c>
      <c r="E195" s="328" t="s">
        <v>2033</v>
      </c>
      <c r="F195" s="328" t="s">
        <v>2107</v>
      </c>
      <c r="G195" s="328" t="s">
        <v>2108</v>
      </c>
      <c r="H195" s="314"/>
      <c r="I195" s="328" t="s">
        <v>2849</v>
      </c>
      <c r="J195" s="329" t="s">
        <v>2109</v>
      </c>
      <c r="K195" s="331" t="s">
        <v>2037</v>
      </c>
      <c r="L195" s="2"/>
      <c r="M195" s="2"/>
      <c r="N195" s="2"/>
      <c r="O195" s="2"/>
      <c r="P195" s="325" t="str">
        <f t="shared" si="7"/>
        <v>CANAPI CHARLIE MEMAN</v>
      </c>
      <c r="Q195" s="332" t="str">
        <f>IFERROR(VLOOKUP(P193,[1]Disposition!$AB$9:$AC$495,2,0),"NO RECORD YET")</f>
        <v>Cacaligan, Bantay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5" customHeight="1">
      <c r="A196" s="326">
        <v>187</v>
      </c>
      <c r="B196" s="327" t="s">
        <v>2088</v>
      </c>
      <c r="C196" s="327" t="s">
        <v>39</v>
      </c>
      <c r="D196" s="326" t="s">
        <v>366</v>
      </c>
      <c r="E196" s="328" t="s">
        <v>2110</v>
      </c>
      <c r="F196" s="328" t="s">
        <v>2111</v>
      </c>
      <c r="G196" s="328" t="s">
        <v>2112</v>
      </c>
      <c r="H196" s="314"/>
      <c r="I196" s="328" t="s">
        <v>2849</v>
      </c>
      <c r="J196" s="329" t="s">
        <v>2113</v>
      </c>
      <c r="K196" s="331" t="s">
        <v>2114</v>
      </c>
      <c r="L196" s="2"/>
      <c r="M196" s="2"/>
      <c r="N196" s="2"/>
      <c r="O196" s="2"/>
      <c r="P196" s="325" t="str">
        <f t="shared" si="7"/>
        <v>MILLARE OLIVIA ANTONIO</v>
      </c>
      <c r="Q196" s="332" t="str">
        <f>IFERROR(VLOOKUP(P194,[1]Disposition!$AB$9:$AC$495,2,0),"NO RECORD YET")</f>
        <v>NO RECORD YET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5" customHeight="1">
      <c r="A197" s="326">
        <v>188</v>
      </c>
      <c r="B197" s="327" t="s">
        <v>2088</v>
      </c>
      <c r="C197" s="327" t="s">
        <v>19</v>
      </c>
      <c r="D197" s="326" t="s">
        <v>277</v>
      </c>
      <c r="E197" s="328" t="s">
        <v>2019</v>
      </c>
      <c r="F197" s="328" t="s">
        <v>2115</v>
      </c>
      <c r="G197" s="328" t="s">
        <v>2116</v>
      </c>
      <c r="H197" s="314"/>
      <c r="I197" s="328" t="s">
        <v>2849</v>
      </c>
      <c r="J197" s="329" t="s">
        <v>2117</v>
      </c>
      <c r="K197" s="331" t="s">
        <v>2118</v>
      </c>
      <c r="L197" s="2"/>
      <c r="M197" s="2"/>
      <c r="N197" s="2"/>
      <c r="O197" s="2"/>
      <c r="P197" s="325" t="str">
        <f t="shared" si="7"/>
        <v>PALATTAO JOHNY FER MABORRANG</v>
      </c>
      <c r="Q197" s="332" t="str">
        <f>IFERROR(VLOOKUP(P195,[1]Disposition!$AB$9:$AC$495,2,0),"NO RECORD YET")</f>
        <v>205 Bonifacio Street, Centro Northwest, Solana, Cagayan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5" customHeight="1">
      <c r="A198" s="326">
        <v>189</v>
      </c>
      <c r="B198" s="327" t="s">
        <v>2088</v>
      </c>
      <c r="C198" s="327" t="s">
        <v>39</v>
      </c>
      <c r="D198" s="326" t="s">
        <v>366</v>
      </c>
      <c r="E198" s="328" t="s">
        <v>2119</v>
      </c>
      <c r="F198" s="328" t="s">
        <v>2120</v>
      </c>
      <c r="G198" s="328" t="s">
        <v>2121</v>
      </c>
      <c r="H198" s="314"/>
      <c r="I198" s="328" t="s">
        <v>2849</v>
      </c>
      <c r="J198" s="329" t="s">
        <v>2122</v>
      </c>
      <c r="K198" s="331" t="s">
        <v>2123</v>
      </c>
      <c r="L198" s="2"/>
      <c r="M198" s="2"/>
      <c r="N198" s="2"/>
      <c r="O198" s="2"/>
      <c r="P198" s="325" t="str">
        <f t="shared" si="7"/>
        <v>TUMBALI JAYANN PASICOLAN</v>
      </c>
      <c r="Q198" s="332" t="str">
        <f>IFERROR(VLOOKUP(P196,[1]Disposition!$AB$9:$AC$495,2,0),"NO RECORD YET")</f>
        <v>#355 Antonios St., Carig Sur,Tuguegarao City, Cagayan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5" customHeight="1">
      <c r="A199" s="326">
        <v>190</v>
      </c>
      <c r="B199" s="327" t="s">
        <v>2088</v>
      </c>
      <c r="C199" s="327" t="s">
        <v>19</v>
      </c>
      <c r="D199" s="326" t="s">
        <v>57</v>
      </c>
      <c r="E199" s="328" t="s">
        <v>2124</v>
      </c>
      <c r="F199" s="328" t="s">
        <v>839</v>
      </c>
      <c r="G199" s="328" t="s">
        <v>2125</v>
      </c>
      <c r="H199" s="314"/>
      <c r="I199" s="328" t="s">
        <v>2849</v>
      </c>
      <c r="J199" s="329" t="s">
        <v>2126</v>
      </c>
      <c r="K199" s="331" t="s">
        <v>2127</v>
      </c>
      <c r="L199" s="2"/>
      <c r="M199" s="2"/>
      <c r="N199" s="2"/>
      <c r="O199" s="2"/>
      <c r="P199" s="325" t="str">
        <f t="shared" si="7"/>
        <v>BUCAG JAMES TAGUBA</v>
      </c>
      <c r="Q199" s="332" t="str">
        <f>IFERROR(VLOOKUP(P197,[1]Disposition!$AB$9:$AC$495,2,0),"NO RECORD YET")</f>
        <v>Bauan West, Solana, Cagayan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5" customHeight="1">
      <c r="A200" s="326">
        <v>191</v>
      </c>
      <c r="B200" s="327" t="s">
        <v>2088</v>
      </c>
      <c r="C200" s="327" t="s">
        <v>39</v>
      </c>
      <c r="D200" s="326" t="s">
        <v>24</v>
      </c>
      <c r="E200" s="328" t="s">
        <v>2128</v>
      </c>
      <c r="F200" s="328" t="s">
        <v>1350</v>
      </c>
      <c r="G200" s="328" t="s">
        <v>2129</v>
      </c>
      <c r="H200" s="314"/>
      <c r="I200" s="328" t="s">
        <v>2849</v>
      </c>
      <c r="J200" s="329" t="s">
        <v>2130</v>
      </c>
      <c r="K200" s="331" t="s">
        <v>2131</v>
      </c>
      <c r="L200" s="2"/>
      <c r="M200" s="2"/>
      <c r="N200" s="2"/>
      <c r="O200" s="2"/>
      <c r="P200" s="325" t="str">
        <f t="shared" si="7"/>
        <v>LABANG MARY JOY ZIPAGAN</v>
      </c>
      <c r="Q200" s="332" t="str">
        <f>IFERROR(VLOOKUP(P198,[1]Disposition!$AB$9:$AC$495,2,0),"NO RECORD YET")</f>
        <v>189 Luquilu, Cabagan, Isabela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5" customHeight="1">
      <c r="A201" s="326">
        <v>192</v>
      </c>
      <c r="B201" s="327" t="s">
        <v>2088</v>
      </c>
      <c r="C201" s="327" t="s">
        <v>19</v>
      </c>
      <c r="D201" s="326" t="s">
        <v>24</v>
      </c>
      <c r="E201" s="328" t="s">
        <v>1083</v>
      </c>
      <c r="F201" s="328" t="s">
        <v>2884</v>
      </c>
      <c r="G201" s="328" t="s">
        <v>2885</v>
      </c>
      <c r="H201" s="314"/>
      <c r="I201" s="328" t="s">
        <v>2849</v>
      </c>
      <c r="J201" s="312"/>
      <c r="K201" s="330" t="s">
        <v>2886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5" customHeight="1">
      <c r="A202" s="326">
        <v>193</v>
      </c>
      <c r="B202" s="327" t="s">
        <v>2088</v>
      </c>
      <c r="C202" s="327" t="s">
        <v>19</v>
      </c>
      <c r="D202" s="326" t="s">
        <v>28</v>
      </c>
      <c r="E202" s="328" t="s">
        <v>2132</v>
      </c>
      <c r="F202" s="328" t="s">
        <v>1298</v>
      </c>
      <c r="G202" s="328" t="s">
        <v>2133</v>
      </c>
      <c r="H202" s="326" t="s">
        <v>268</v>
      </c>
      <c r="I202" s="328" t="s">
        <v>2849</v>
      </c>
      <c r="J202" s="329" t="s">
        <v>2134</v>
      </c>
      <c r="K202" s="331" t="s">
        <v>2135</v>
      </c>
      <c r="L202" s="2"/>
      <c r="M202" s="2"/>
      <c r="N202" s="2"/>
      <c r="O202" s="2"/>
      <c r="P202" s="325" t="str">
        <f t="shared" ref="P202:P243" si="8">CONCATENATE(E202," ",F202," ",G202)</f>
        <v>GUZMAN EMILIO TUMOLVA</v>
      </c>
      <c r="Q202" s="332" t="str">
        <f>IFERROR(VLOOKUP(P200,[1]Disposition!$AB$9:$AC$495,2,0),"NO RECORD YET")</f>
        <v>Purok 2, Brgy. Garita, Cabagan, Isabela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5" customHeight="1">
      <c r="A203" s="326">
        <v>194</v>
      </c>
      <c r="B203" s="327" t="s">
        <v>2136</v>
      </c>
      <c r="C203" s="327" t="s">
        <v>39</v>
      </c>
      <c r="D203" s="326" t="s">
        <v>253</v>
      </c>
      <c r="E203" s="328" t="s">
        <v>2146</v>
      </c>
      <c r="F203" s="328" t="s">
        <v>2147</v>
      </c>
      <c r="G203" s="328" t="s">
        <v>2148</v>
      </c>
      <c r="H203" s="314"/>
      <c r="I203" s="328" t="s">
        <v>2848</v>
      </c>
      <c r="J203" s="329" t="s">
        <v>2149</v>
      </c>
      <c r="K203" s="331" t="s">
        <v>2150</v>
      </c>
      <c r="L203" s="2"/>
      <c r="M203" s="2"/>
      <c r="N203" s="2"/>
      <c r="O203" s="2"/>
      <c r="P203" s="325" t="str">
        <f t="shared" si="8"/>
        <v>BANDULA MARIA GERLYINES CABRERA</v>
      </c>
      <c r="Q203" s="332" t="str">
        <f>IFERROR(VLOOKUP(P201,[1]Disposition!$AB$9:$AC$495,2,0),"NO RECORD YET")</f>
        <v>NO RECORD YET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5" customHeight="1">
      <c r="A204" s="326">
        <v>195</v>
      </c>
      <c r="B204" s="327" t="s">
        <v>2136</v>
      </c>
      <c r="C204" s="327" t="s">
        <v>19</v>
      </c>
      <c r="D204" s="326" t="s">
        <v>96</v>
      </c>
      <c r="E204" s="328" t="s">
        <v>666</v>
      </c>
      <c r="F204" s="328" t="s">
        <v>667</v>
      </c>
      <c r="G204" s="328" t="s">
        <v>668</v>
      </c>
      <c r="H204" s="314"/>
      <c r="I204" s="328" t="s">
        <v>2848</v>
      </c>
      <c r="J204" s="329" t="s">
        <v>669</v>
      </c>
      <c r="K204" s="331" t="s">
        <v>670</v>
      </c>
      <c r="L204" s="2"/>
      <c r="M204" s="2"/>
      <c r="N204" s="2"/>
      <c r="O204" s="2"/>
      <c r="P204" s="325" t="str">
        <f t="shared" si="8"/>
        <v>MAGALONG DAREN NATIVIDAD</v>
      </c>
      <c r="Q204" s="332" t="str">
        <f>IFERROR(VLOOKUP(P202,[1]Disposition!$AB$9:$AC$495,2,0),"NO RECORD YET")</f>
        <v>NO RECORD YET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5" customHeight="1">
      <c r="A205" s="326">
        <v>196</v>
      </c>
      <c r="B205" s="327" t="s">
        <v>2136</v>
      </c>
      <c r="C205" s="327" t="s">
        <v>39</v>
      </c>
      <c r="D205" s="326" t="s">
        <v>96</v>
      </c>
      <c r="E205" s="328" t="s">
        <v>2151</v>
      </c>
      <c r="F205" s="328" t="s">
        <v>2152</v>
      </c>
      <c r="G205" s="328" t="s">
        <v>151</v>
      </c>
      <c r="H205" s="314"/>
      <c r="I205" s="328" t="s">
        <v>2848</v>
      </c>
      <c r="J205" s="329" t="s">
        <v>2153</v>
      </c>
      <c r="K205" s="330" t="s">
        <v>2158</v>
      </c>
      <c r="L205" s="2"/>
      <c r="M205" s="2"/>
      <c r="N205" s="2"/>
      <c r="O205" s="2"/>
      <c r="P205" s="325" t="str">
        <f t="shared" si="8"/>
        <v>MANALO CZARMAINE JOYCE RAMOS</v>
      </c>
      <c r="Q205" s="332" t="str">
        <f>IFERROR(VLOOKUP(P203,[1]Disposition!$AB$9:$AC$495,2,0),"NO RECORD YET")</f>
        <v>596 Moras Dela Paz, Sto. Tomas, Pampanga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5" customHeight="1">
      <c r="A206" s="326">
        <v>197</v>
      </c>
      <c r="B206" s="327" t="s">
        <v>2136</v>
      </c>
      <c r="C206" s="327" t="s">
        <v>39</v>
      </c>
      <c r="D206" s="326" t="s">
        <v>277</v>
      </c>
      <c r="E206" s="328" t="s">
        <v>2154</v>
      </c>
      <c r="F206" s="328" t="s">
        <v>2155</v>
      </c>
      <c r="G206" s="328" t="s">
        <v>2156</v>
      </c>
      <c r="H206" s="314"/>
      <c r="I206" s="328" t="s">
        <v>2849</v>
      </c>
      <c r="J206" s="329" t="s">
        <v>2157</v>
      </c>
      <c r="K206" s="331" t="s">
        <v>2158</v>
      </c>
      <c r="L206" s="2"/>
      <c r="M206" s="2"/>
      <c r="N206" s="2"/>
      <c r="O206" s="2"/>
      <c r="P206" s="325" t="str">
        <f t="shared" si="8"/>
        <v>GUINTO EDITHA  ANICIETE</v>
      </c>
      <c r="Q206" s="332" t="str">
        <f>IFERROR(VLOOKUP(P204,[1]Disposition!$AB$9:$AC$495,2,0),"NO RECORD YET")</f>
        <v>696 Brgy KitaKita, San Jose City, Nueva Ecija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5" customHeight="1">
      <c r="A207" s="326">
        <v>198</v>
      </c>
      <c r="B207" s="327" t="s">
        <v>2136</v>
      </c>
      <c r="C207" s="327" t="s">
        <v>19</v>
      </c>
      <c r="D207" s="326" t="s">
        <v>57</v>
      </c>
      <c r="E207" s="328" t="s">
        <v>1942</v>
      </c>
      <c r="F207" s="328" t="s">
        <v>2159</v>
      </c>
      <c r="G207" s="328" t="s">
        <v>2160</v>
      </c>
      <c r="H207" s="314"/>
      <c r="I207" s="328" t="s">
        <v>2849</v>
      </c>
      <c r="J207" s="329" t="s">
        <v>2161</v>
      </c>
      <c r="K207" s="331" t="s">
        <v>2162</v>
      </c>
      <c r="L207" s="2"/>
      <c r="M207" s="2"/>
      <c r="N207" s="2"/>
      <c r="O207" s="2"/>
      <c r="P207" s="325" t="str">
        <f t="shared" si="8"/>
        <v>VELASCO ACE PAGADUAN</v>
      </c>
      <c r="Q207" s="332" t="str">
        <f>IFERROR(VLOOKUP(P205,[1]Disposition!$AB$9:$AC$495,2,0),"NO RECORD YET")</f>
        <v>NO RECORD YET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5" customHeight="1">
      <c r="A208" s="326">
        <v>199</v>
      </c>
      <c r="B208" s="327" t="s">
        <v>2136</v>
      </c>
      <c r="C208" s="327" t="s">
        <v>19</v>
      </c>
      <c r="D208" s="326" t="s">
        <v>24</v>
      </c>
      <c r="E208" s="328" t="s">
        <v>2163</v>
      </c>
      <c r="F208" s="328" t="s">
        <v>2164</v>
      </c>
      <c r="G208" s="328" t="s">
        <v>2165</v>
      </c>
      <c r="H208" s="314"/>
      <c r="I208" s="328" t="s">
        <v>2849</v>
      </c>
      <c r="J208" s="329" t="s">
        <v>2166</v>
      </c>
      <c r="K208" s="331" t="s">
        <v>2167</v>
      </c>
      <c r="L208" s="2"/>
      <c r="M208" s="2"/>
      <c r="N208" s="2"/>
      <c r="O208" s="2"/>
      <c r="P208" s="325" t="str">
        <f t="shared" si="8"/>
        <v>GRAGASIN JOEVEN TABAGO</v>
      </c>
      <c r="Q208" s="332" t="str">
        <f>IFERROR(VLOOKUP(P206,[1]Disposition!$AB$9:$AC$495,2,0),"NO RECORD YET")</f>
        <v>Brgy., Puti, MasantolL, Pampanga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5" customHeight="1">
      <c r="A209" s="326">
        <v>200</v>
      </c>
      <c r="B209" s="327" t="s">
        <v>2136</v>
      </c>
      <c r="C209" s="327" t="s">
        <v>39</v>
      </c>
      <c r="D209" s="326" t="s">
        <v>28</v>
      </c>
      <c r="E209" s="328" t="s">
        <v>2168</v>
      </c>
      <c r="F209" s="328" t="s">
        <v>2169</v>
      </c>
      <c r="G209" s="328" t="s">
        <v>2170</v>
      </c>
      <c r="H209" s="314"/>
      <c r="I209" s="328" t="s">
        <v>2849</v>
      </c>
      <c r="J209" s="329" t="s">
        <v>2171</v>
      </c>
      <c r="K209" s="331" t="s">
        <v>2172</v>
      </c>
      <c r="L209" s="2"/>
      <c r="M209" s="2"/>
      <c r="N209" s="2"/>
      <c r="O209" s="2"/>
      <c r="P209" s="325" t="str">
        <f t="shared" si="8"/>
        <v>JARANILLA MA ANNIE CAABAS</v>
      </c>
      <c r="Q209" s="332" t="str">
        <f>IFERROR(VLOOKUP(P207,[1]Disposition!$AB$9:$AC$495,2,0),"NO RECORD YET")</f>
        <v>Purok 4, Brgy. Pitombayog, Mayantoc, Tarlac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5" customHeight="1">
      <c r="A210" s="326">
        <v>201</v>
      </c>
      <c r="B210" s="327" t="s">
        <v>2887</v>
      </c>
      <c r="C210" s="327" t="s">
        <v>19</v>
      </c>
      <c r="D210" s="326" t="s">
        <v>160</v>
      </c>
      <c r="E210" s="328" t="s">
        <v>2019</v>
      </c>
      <c r="F210" s="328" t="s">
        <v>2174</v>
      </c>
      <c r="G210" s="328" t="s">
        <v>2175</v>
      </c>
      <c r="H210" s="314"/>
      <c r="I210" s="328" t="s">
        <v>2888</v>
      </c>
      <c r="J210" s="329" t="s">
        <v>2176</v>
      </c>
      <c r="K210" s="331" t="s">
        <v>2118</v>
      </c>
      <c r="L210" s="2"/>
      <c r="M210" s="2"/>
      <c r="N210" s="2"/>
      <c r="O210" s="2"/>
      <c r="P210" s="325" t="str">
        <f t="shared" si="8"/>
        <v>PALATTAO ALDRIN RACELIS</v>
      </c>
      <c r="Q210" s="332" t="str">
        <f>IFERROR(VLOOKUP(P208,[1]Disposition!$AB$9:$AC$495,2,0),"NO RECORD YET")</f>
        <v>213 PRK Raniag, Nipaco, Paniqui, Tarlac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5" customHeight="1">
      <c r="A211" s="326">
        <v>202</v>
      </c>
      <c r="B211" s="327" t="s">
        <v>2173</v>
      </c>
      <c r="C211" s="327" t="s">
        <v>19</v>
      </c>
      <c r="D211" s="326" t="s">
        <v>96</v>
      </c>
      <c r="E211" s="328" t="s">
        <v>1658</v>
      </c>
      <c r="F211" s="328" t="s">
        <v>2177</v>
      </c>
      <c r="G211" s="328" t="s">
        <v>2178</v>
      </c>
      <c r="H211" s="314"/>
      <c r="I211" s="328" t="s">
        <v>2848</v>
      </c>
      <c r="J211" s="329" t="s">
        <v>2179</v>
      </c>
      <c r="K211" s="331" t="s">
        <v>2180</v>
      </c>
      <c r="L211" s="2"/>
      <c r="M211" s="2"/>
      <c r="N211" s="2"/>
      <c r="O211" s="2"/>
      <c r="P211" s="325" t="str">
        <f t="shared" si="8"/>
        <v>SULIT REYNALD LOUIE SAN MIGUEL</v>
      </c>
      <c r="Q211" s="332" t="str">
        <f>IFERROR(VLOOKUP(P209,[1]Disposition!$AB$9:$AC$495,2,0),"NO RECORD YET")</f>
        <v>Busuang Rd., Purok Pag-asa, Brgy. Caramay, Roxas, Palawan)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5" customHeight="1">
      <c r="A212" s="326">
        <v>203</v>
      </c>
      <c r="B212" s="327" t="s">
        <v>2173</v>
      </c>
      <c r="C212" s="327" t="s">
        <v>39</v>
      </c>
      <c r="D212" s="326" t="s">
        <v>28</v>
      </c>
      <c r="E212" s="328" t="s">
        <v>2181</v>
      </c>
      <c r="F212" s="328" t="s">
        <v>2182</v>
      </c>
      <c r="G212" s="328" t="s">
        <v>2183</v>
      </c>
      <c r="H212" s="314"/>
      <c r="I212" s="328" t="s">
        <v>2849</v>
      </c>
      <c r="J212" s="329" t="s">
        <v>2184</v>
      </c>
      <c r="K212" s="331" t="s">
        <v>2185</v>
      </c>
      <c r="L212" s="2"/>
      <c r="M212" s="2"/>
      <c r="N212" s="2"/>
      <c r="O212" s="2"/>
      <c r="P212" s="325" t="str">
        <f t="shared" si="8"/>
        <v>DICHOSO KAYCEE PIZARRA</v>
      </c>
      <c r="Q212" s="332" t="str">
        <f>IFERROR(VLOOKUP(P210,[1]Disposition!$AB$9:$AC$495,2,0),"NO RECORD YET")</f>
        <v>Unit A2 Condo 11, Camp Crame, Quezon City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5" customHeight="1">
      <c r="A213" s="326">
        <v>204</v>
      </c>
      <c r="B213" s="327" t="s">
        <v>2889</v>
      </c>
      <c r="C213" s="327" t="s">
        <v>19</v>
      </c>
      <c r="D213" s="326" t="s">
        <v>96</v>
      </c>
      <c r="E213" s="328" t="s">
        <v>2187</v>
      </c>
      <c r="F213" s="328" t="s">
        <v>2188</v>
      </c>
      <c r="G213" s="328" t="s">
        <v>2189</v>
      </c>
      <c r="H213" s="314"/>
      <c r="I213" s="328" t="s">
        <v>2848</v>
      </c>
      <c r="J213" s="329" t="s">
        <v>2190</v>
      </c>
      <c r="K213" s="331" t="s">
        <v>2191</v>
      </c>
      <c r="L213" s="2"/>
      <c r="M213" s="2"/>
      <c r="N213" s="2"/>
      <c r="O213" s="2"/>
      <c r="P213" s="325" t="str">
        <f t="shared" si="8"/>
        <v>BALLESTEROS MHARK VISTA</v>
      </c>
      <c r="Q213" s="332" t="str">
        <f>IFERROR(VLOOKUP(P211,[1]Disposition!$AB$9:$AC$495,2,0),"NO RECORD YET")</f>
        <v>49 Balubarab St., Malinta, Valenzuela City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5" customHeight="1">
      <c r="A214" s="326">
        <v>205</v>
      </c>
      <c r="B214" s="327" t="s">
        <v>2186</v>
      </c>
      <c r="C214" s="327" t="s">
        <v>19</v>
      </c>
      <c r="D214" s="326" t="s">
        <v>366</v>
      </c>
      <c r="E214" s="328" t="s">
        <v>2192</v>
      </c>
      <c r="F214" s="328" t="s">
        <v>619</v>
      </c>
      <c r="G214" s="328" t="s">
        <v>2100</v>
      </c>
      <c r="H214" s="314"/>
      <c r="I214" s="328" t="s">
        <v>2849</v>
      </c>
      <c r="J214" s="329" t="s">
        <v>2193</v>
      </c>
      <c r="K214" s="331" t="s">
        <v>2194</v>
      </c>
      <c r="L214" s="2"/>
      <c r="M214" s="2"/>
      <c r="N214" s="2"/>
      <c r="O214" s="2"/>
      <c r="P214" s="325" t="str">
        <f t="shared" si="8"/>
        <v>SIBUNGA JOSEPH TAMAYO</v>
      </c>
      <c r="Q214" s="332" t="str">
        <f>IFERROR(VLOOKUP(P212,[1]Disposition!$AB$9:$AC$495,2,0),"NO RECORD YET")</f>
        <v>NO RECORD YET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5" customHeight="1">
      <c r="A215" s="326">
        <v>206</v>
      </c>
      <c r="B215" s="327" t="s">
        <v>740</v>
      </c>
      <c r="C215" s="327" t="s">
        <v>19</v>
      </c>
      <c r="D215" s="326" t="s">
        <v>366</v>
      </c>
      <c r="E215" s="328" t="s">
        <v>1147</v>
      </c>
      <c r="F215" s="328" t="s">
        <v>322</v>
      </c>
      <c r="G215" s="328" t="s">
        <v>1148</v>
      </c>
      <c r="H215" s="314"/>
      <c r="I215" s="328" t="s">
        <v>2849</v>
      </c>
      <c r="J215" s="329" t="s">
        <v>1149</v>
      </c>
      <c r="K215" s="331" t="s">
        <v>1150</v>
      </c>
      <c r="L215" s="2"/>
      <c r="M215" s="2"/>
      <c r="N215" s="2"/>
      <c r="O215" s="2"/>
      <c r="P215" s="332" t="str">
        <f>CONCATENATE([2]Disposition!D370," ",[2]Disposition!E370," ",[2]Disposition!F370)</f>
        <v>PSMS DIÑA JEREMY</v>
      </c>
      <c r="Q215" s="332" t="str">
        <f>IFERROR(VLOOKUP(P356,[1]Disposition!$AB$9:$AC$495,2,0),"NO RECORD YET")</f>
        <v>B41 L21 Acacia St., S Heights II Subd., United Better Living, San Pedro, Laguna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5" customHeight="1">
      <c r="A216" s="326">
        <v>207</v>
      </c>
      <c r="B216" s="327" t="s">
        <v>2195</v>
      </c>
      <c r="C216" s="327" t="s">
        <v>19</v>
      </c>
      <c r="D216" s="326" t="s">
        <v>160</v>
      </c>
      <c r="E216" s="328" t="s">
        <v>2196</v>
      </c>
      <c r="F216" s="328" t="s">
        <v>2197</v>
      </c>
      <c r="G216" s="328" t="s">
        <v>2198</v>
      </c>
      <c r="H216" s="314"/>
      <c r="I216" s="328" t="s">
        <v>2848</v>
      </c>
      <c r="J216" s="329" t="s">
        <v>2199</v>
      </c>
      <c r="K216" s="331" t="s">
        <v>2200</v>
      </c>
      <c r="L216" s="2"/>
      <c r="M216" s="2"/>
      <c r="N216" s="2"/>
      <c r="O216" s="2"/>
      <c r="P216" s="325" t="str">
        <f t="shared" si="8"/>
        <v>AN SANTI RAYMUND NEVADO</v>
      </c>
      <c r="Q216" s="332" t="str">
        <f>IFERROR(VLOOKUP(P213,[1]Disposition!$AB$9:$AC$495,2,0),"NO RECORD YET")</f>
        <v>114 Maguindanao St., Culiat, Quezon City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5" customHeight="1">
      <c r="A217" s="326">
        <v>208</v>
      </c>
      <c r="B217" s="327" t="s">
        <v>2195</v>
      </c>
      <c r="C217" s="327" t="s">
        <v>19</v>
      </c>
      <c r="D217" s="326" t="s">
        <v>24</v>
      </c>
      <c r="E217" s="328" t="s">
        <v>2206</v>
      </c>
      <c r="F217" s="328" t="s">
        <v>2207</v>
      </c>
      <c r="G217" s="328" t="s">
        <v>760</v>
      </c>
      <c r="H217" s="314"/>
      <c r="I217" s="328" t="s">
        <v>2849</v>
      </c>
      <c r="J217" s="329" t="s">
        <v>2208</v>
      </c>
      <c r="K217" s="331" t="s">
        <v>2209</v>
      </c>
      <c r="L217" s="2"/>
      <c r="M217" s="2"/>
      <c r="N217" s="2"/>
      <c r="O217" s="2"/>
      <c r="P217" s="325" t="str">
        <f t="shared" si="8"/>
        <v>BALDERAMA HARLEY GALANG</v>
      </c>
      <c r="Q217" s="332" t="str">
        <f>IFERROR(VLOOKUP(P214,[1]Disposition!$AB$9:$AC$495,2,0),"NO RECORD YET")</f>
        <v>#2312 Adonis St., Pandacan, Manila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5" customHeight="1">
      <c r="A218" s="326">
        <v>209</v>
      </c>
      <c r="B218" s="327" t="s">
        <v>2195</v>
      </c>
      <c r="C218" s="327" t="s">
        <v>19</v>
      </c>
      <c r="D218" s="326" t="s">
        <v>24</v>
      </c>
      <c r="E218" s="328" t="s">
        <v>457</v>
      </c>
      <c r="F218" s="328" t="s">
        <v>2210</v>
      </c>
      <c r="G218" s="328" t="s">
        <v>2211</v>
      </c>
      <c r="H218" s="326" t="s">
        <v>268</v>
      </c>
      <c r="I218" s="328" t="s">
        <v>2849</v>
      </c>
      <c r="J218" s="329" t="s">
        <v>2212</v>
      </c>
      <c r="K218" s="331" t="s">
        <v>2213</v>
      </c>
      <c r="L218" s="2"/>
      <c r="M218" s="2"/>
      <c r="N218" s="2"/>
      <c r="O218" s="2"/>
      <c r="P218" s="325" t="str">
        <f t="shared" si="8"/>
        <v>CORDERO GEMINIANO MATINING</v>
      </c>
      <c r="Q218" s="332" t="str">
        <f>IFERROR(VLOOKUP(P216,[1]Disposition!$AB$9:$AC$495,2,0),"NO RECORD YET")</f>
        <v>28 Saint Andrew ST., Holy Spirit, Quezon City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5" customHeight="1">
      <c r="A219" s="326">
        <v>210</v>
      </c>
      <c r="B219" s="327" t="s">
        <v>2195</v>
      </c>
      <c r="C219" s="327" t="s">
        <v>39</v>
      </c>
      <c r="D219" s="326" t="s">
        <v>28</v>
      </c>
      <c r="E219" s="328" t="s">
        <v>2214</v>
      </c>
      <c r="F219" s="328" t="s">
        <v>2215</v>
      </c>
      <c r="G219" s="328" t="s">
        <v>2216</v>
      </c>
      <c r="H219" s="314"/>
      <c r="I219" s="328" t="s">
        <v>2849</v>
      </c>
      <c r="J219" s="329" t="s">
        <v>2217</v>
      </c>
      <c r="K219" s="331" t="s">
        <v>2218</v>
      </c>
      <c r="L219" s="2"/>
      <c r="M219" s="2"/>
      <c r="N219" s="2"/>
      <c r="O219" s="2"/>
      <c r="P219" s="325" t="str">
        <f t="shared" si="8"/>
        <v>CONDES MARY ROSE DEL CASTILLO</v>
      </c>
      <c r="Q219" s="332" t="str">
        <f>IFERROR(VLOOKUP(P217,[1]Disposition!$AB$9:$AC$495,2,0),"NO RECORD YET")</f>
        <v>Calumangan, Bago City, Negros Occidenta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5" customHeight="1">
      <c r="A220" s="326">
        <v>211</v>
      </c>
      <c r="B220" s="327" t="s">
        <v>2195</v>
      </c>
      <c r="C220" s="327" t="s">
        <v>39</v>
      </c>
      <c r="D220" s="326" t="s">
        <v>28</v>
      </c>
      <c r="E220" s="328" t="s">
        <v>2219</v>
      </c>
      <c r="F220" s="328" t="s">
        <v>2220</v>
      </c>
      <c r="G220" s="328" t="s">
        <v>732</v>
      </c>
      <c r="H220" s="314"/>
      <c r="I220" s="328" t="s">
        <v>2849</v>
      </c>
      <c r="J220" s="329" t="s">
        <v>2221</v>
      </c>
      <c r="K220" s="331" t="s">
        <v>2222</v>
      </c>
      <c r="L220" s="2"/>
      <c r="M220" s="2"/>
      <c r="N220" s="2"/>
      <c r="O220" s="2"/>
      <c r="P220" s="325" t="str">
        <f t="shared" si="8"/>
        <v>NALING ANN JENETH SALAZAR</v>
      </c>
      <c r="Q220" s="332" t="str">
        <f>IFERROR(VLOOKUP(P218,[1]Disposition!$AB$9:$AC$495,2,0),"NO RECORD YET")</f>
        <v>Marfrancisco, Pinamalayan, Oriental Mindoro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5" customHeight="1">
      <c r="A221" s="326">
        <v>212</v>
      </c>
      <c r="B221" s="327" t="s">
        <v>2223</v>
      </c>
      <c r="C221" s="327" t="s">
        <v>19</v>
      </c>
      <c r="D221" s="326" t="s">
        <v>28</v>
      </c>
      <c r="E221" s="328" t="s">
        <v>2224</v>
      </c>
      <c r="F221" s="328" t="s">
        <v>2225</v>
      </c>
      <c r="G221" s="328" t="s">
        <v>2226</v>
      </c>
      <c r="H221" s="326" t="s">
        <v>268</v>
      </c>
      <c r="I221" s="328" t="s">
        <v>2849</v>
      </c>
      <c r="J221" s="329" t="s">
        <v>2227</v>
      </c>
      <c r="K221" s="331" t="s">
        <v>2228</v>
      </c>
      <c r="L221" s="2"/>
      <c r="M221" s="2"/>
      <c r="N221" s="2"/>
      <c r="O221" s="2"/>
      <c r="P221" s="325" t="str">
        <f t="shared" si="8"/>
        <v>NIEZ JORDAN ESTRELLA</v>
      </c>
      <c r="Q221" s="332" t="str">
        <f>IFERROR(VLOOKUP(P219,[1]Disposition!$AB$9:$AC$495,2,0),"NO RECORD YET")</f>
        <v>Palayan St., Paclasan (Pob), Roxas, Oriental Mindoro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5" customHeight="1">
      <c r="A222" s="326">
        <v>213</v>
      </c>
      <c r="B222" s="327" t="s">
        <v>2229</v>
      </c>
      <c r="C222" s="327" t="s">
        <v>19</v>
      </c>
      <c r="D222" s="326" t="s">
        <v>160</v>
      </c>
      <c r="E222" s="328" t="s">
        <v>1891</v>
      </c>
      <c r="F222" s="328" t="s">
        <v>501</v>
      </c>
      <c r="G222" s="328" t="s">
        <v>2230</v>
      </c>
      <c r="H222" s="314"/>
      <c r="I222" s="328" t="s">
        <v>2848</v>
      </c>
      <c r="J222" s="329" t="s">
        <v>2231</v>
      </c>
      <c r="K222" s="331" t="s">
        <v>2232</v>
      </c>
      <c r="L222" s="2"/>
      <c r="M222" s="2"/>
      <c r="N222" s="2"/>
      <c r="O222" s="2"/>
      <c r="P222" s="325" t="str">
        <f t="shared" si="8"/>
        <v>DAVID ROMMEL CARRO</v>
      </c>
      <c r="Q222" s="332" t="str">
        <f>IFERROR(VLOOKUP(P220,[1]Disposition!$AB$9:$AC$495,2,0),"NO RECORD YET")</f>
        <v>NO RECORD YET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5" customHeight="1">
      <c r="A223" s="326">
        <v>214</v>
      </c>
      <c r="B223" s="327" t="s">
        <v>2229</v>
      </c>
      <c r="C223" s="327" t="s">
        <v>19</v>
      </c>
      <c r="D223" s="326" t="s">
        <v>96</v>
      </c>
      <c r="E223" s="328" t="s">
        <v>297</v>
      </c>
      <c r="F223" s="328" t="s">
        <v>2233</v>
      </c>
      <c r="G223" s="328" t="s">
        <v>2017</v>
      </c>
      <c r="H223" s="314"/>
      <c r="I223" s="328" t="s">
        <v>2848</v>
      </c>
      <c r="J223" s="329" t="s">
        <v>2234</v>
      </c>
      <c r="K223" s="331" t="s">
        <v>2235</v>
      </c>
      <c r="L223" s="2"/>
      <c r="M223" s="2"/>
      <c r="N223" s="2"/>
      <c r="O223" s="2"/>
      <c r="P223" s="325" t="str">
        <f t="shared" si="8"/>
        <v>DOCTOLERO REGGIEMAR NAZA</v>
      </c>
      <c r="Q223" s="332" t="str">
        <f>IFERROR(VLOOKUP(P221,[1]Disposition!$AB$9:$AC$495,2,0),"NO RECORD YET")</f>
        <v>NO RECORD YET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5" customHeight="1">
      <c r="A224" s="326">
        <v>215</v>
      </c>
      <c r="B224" s="327" t="s">
        <v>2229</v>
      </c>
      <c r="C224" s="327" t="s">
        <v>19</v>
      </c>
      <c r="D224" s="326" t="s">
        <v>96</v>
      </c>
      <c r="E224" s="328" t="s">
        <v>2236</v>
      </c>
      <c r="F224" s="328" t="s">
        <v>2237</v>
      </c>
      <c r="G224" s="328" t="s">
        <v>934</v>
      </c>
      <c r="H224" s="314"/>
      <c r="I224" s="328" t="s">
        <v>2848</v>
      </c>
      <c r="J224" s="329" t="s">
        <v>2238</v>
      </c>
      <c r="K224" s="331" t="s">
        <v>2239</v>
      </c>
      <c r="L224" s="2"/>
      <c r="M224" s="2"/>
      <c r="N224" s="2"/>
      <c r="O224" s="2"/>
      <c r="P224" s="325" t="str">
        <f t="shared" si="8"/>
        <v>STA INES ERROL MOLINA</v>
      </c>
      <c r="Q224" s="332" t="str">
        <f>IFERROR(VLOOKUP(P222,[1]Disposition!$AB$9:$AC$495,2,0),"NO RECORD YET")</f>
        <v>2239 Zapote St., Camartin, Brgy 178, Caloocan City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5" customHeight="1">
      <c r="A225" s="326">
        <v>216</v>
      </c>
      <c r="B225" s="327" t="s">
        <v>2229</v>
      </c>
      <c r="C225" s="327" t="s">
        <v>19</v>
      </c>
      <c r="D225" s="326" t="s">
        <v>57</v>
      </c>
      <c r="E225" s="328" t="s">
        <v>2240</v>
      </c>
      <c r="F225" s="328" t="s">
        <v>2241</v>
      </c>
      <c r="G225" s="328" t="s">
        <v>2242</v>
      </c>
      <c r="H225" s="314"/>
      <c r="I225" s="328" t="s">
        <v>2849</v>
      </c>
      <c r="J225" s="329" t="s">
        <v>2243</v>
      </c>
      <c r="K225" s="331" t="s">
        <v>2244</v>
      </c>
      <c r="L225" s="2"/>
      <c r="M225" s="2"/>
      <c r="N225" s="2"/>
      <c r="O225" s="2"/>
      <c r="P225" s="325" t="str">
        <f t="shared" si="8"/>
        <v>ORANTE JOHN MICHEAL  CEPRIA</v>
      </c>
      <c r="Q225" s="332" t="str">
        <f>IFERROR(VLOOKUP(P223,[1]Disposition!$AB$9:$AC$495,2,0),"NO RECORD YET")</f>
        <v>Purok 3, San Isidro, Talisay, Camarines Norte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5" customHeight="1">
      <c r="A226" s="326">
        <v>217</v>
      </c>
      <c r="B226" s="327" t="s">
        <v>2229</v>
      </c>
      <c r="C226" s="327" t="s">
        <v>19</v>
      </c>
      <c r="D226" s="326" t="s">
        <v>24</v>
      </c>
      <c r="E226" s="328" t="s">
        <v>2245</v>
      </c>
      <c r="F226" s="328" t="s">
        <v>400</v>
      </c>
      <c r="G226" s="328" t="s">
        <v>2246</v>
      </c>
      <c r="H226" s="314"/>
      <c r="I226" s="328" t="s">
        <v>2849</v>
      </c>
      <c r="J226" s="329" t="s">
        <v>2247</v>
      </c>
      <c r="K226" s="331" t="s">
        <v>2248</v>
      </c>
      <c r="L226" s="2"/>
      <c r="M226" s="2"/>
      <c r="N226" s="2"/>
      <c r="O226" s="2"/>
      <c r="P226" s="325" t="str">
        <f t="shared" si="8"/>
        <v>DELEÑA CHRISTIAN CUELA</v>
      </c>
      <c r="Q226" s="332" t="str">
        <f>IFERROR(VLOOKUP(P224,[1]Disposition!$AB$9:$AC$495,2,0),"NO RECORD YET")</f>
        <v>#55, Ibong Sapa (San Vicente Sur), Virac (Capital), Catanduanes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5" customHeight="1">
      <c r="A227" s="326">
        <v>218</v>
      </c>
      <c r="B227" s="327" t="s">
        <v>2229</v>
      </c>
      <c r="C227" s="327" t="s">
        <v>39</v>
      </c>
      <c r="D227" s="326" t="s">
        <v>40</v>
      </c>
      <c r="E227" s="328" t="s">
        <v>2249</v>
      </c>
      <c r="F227" s="328" t="s">
        <v>2250</v>
      </c>
      <c r="G227" s="328" t="s">
        <v>2251</v>
      </c>
      <c r="H227" s="314"/>
      <c r="I227" s="328" t="s">
        <v>2716</v>
      </c>
      <c r="J227" s="312"/>
      <c r="K227" s="330" t="s">
        <v>2890</v>
      </c>
      <c r="L227" s="2"/>
      <c r="M227" s="2"/>
      <c r="N227" s="2"/>
      <c r="O227" s="2"/>
      <c r="P227" s="325" t="str">
        <f t="shared" si="8"/>
        <v>MIRANDA DONNAH ABRERA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26.25" customHeight="1">
      <c r="A228" s="326">
        <v>219</v>
      </c>
      <c r="B228" s="337" t="s">
        <v>3647</v>
      </c>
      <c r="C228" s="338" t="s">
        <v>19</v>
      </c>
      <c r="D228" s="339" t="s">
        <v>160</v>
      </c>
      <c r="E228" s="340" t="s">
        <v>2253</v>
      </c>
      <c r="F228" s="340" t="s">
        <v>2254</v>
      </c>
      <c r="G228" s="340" t="s">
        <v>2255</v>
      </c>
      <c r="H228" s="341"/>
      <c r="I228" s="340" t="s">
        <v>2892</v>
      </c>
      <c r="J228" s="329" t="s">
        <v>2256</v>
      </c>
      <c r="K228" s="331" t="s">
        <v>2257</v>
      </c>
      <c r="L228" s="2"/>
      <c r="M228" s="2"/>
      <c r="N228" s="2"/>
      <c r="O228" s="2"/>
      <c r="P228" s="325" t="str">
        <f t="shared" si="8"/>
        <v>PALPARA RANDY TAMBANILLO</v>
      </c>
      <c r="Q228" s="332" t="str">
        <f>IFERROR(VLOOKUP(P226,[1]Disposition!$AB$9:$AC$495,2,0),"NO RECORD YET")</f>
        <v>Sampaguita St., Brgy Bitaogan Presentacion, Camarines Sur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5" customHeight="1">
      <c r="A229" s="326">
        <v>220</v>
      </c>
      <c r="B229" s="327" t="s">
        <v>2252</v>
      </c>
      <c r="C229" s="327" t="s">
        <v>19</v>
      </c>
      <c r="D229" s="326" t="s">
        <v>253</v>
      </c>
      <c r="E229" s="328" t="s">
        <v>2258</v>
      </c>
      <c r="F229" s="328" t="s">
        <v>2259</v>
      </c>
      <c r="G229" s="328" t="s">
        <v>2260</v>
      </c>
      <c r="H229" s="314"/>
      <c r="I229" s="328" t="s">
        <v>2893</v>
      </c>
      <c r="J229" s="329" t="s">
        <v>2261</v>
      </c>
      <c r="K229" s="331" t="s">
        <v>2262</v>
      </c>
      <c r="L229" s="2"/>
      <c r="M229" s="2"/>
      <c r="N229" s="2"/>
      <c r="O229" s="2"/>
      <c r="P229" s="325" t="str">
        <f t="shared" si="8"/>
        <v>FAMINIANO LAURENCE ANTHONY MARABE</v>
      </c>
      <c r="Q229" s="332" t="str">
        <f>IFERROR(VLOOKUP(P227,[1]Disposition!$AB$9:$AC$495,2,0),"NO RECORD YET")</f>
        <v>NO RECORD YET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5" customHeight="1">
      <c r="A230" s="326">
        <v>221</v>
      </c>
      <c r="B230" s="327" t="s">
        <v>2263</v>
      </c>
      <c r="C230" s="327" t="s">
        <v>39</v>
      </c>
      <c r="D230" s="326" t="s">
        <v>96</v>
      </c>
      <c r="E230" s="328" t="s">
        <v>2264</v>
      </c>
      <c r="F230" s="328" t="s">
        <v>2265</v>
      </c>
      <c r="G230" s="328" t="s">
        <v>2266</v>
      </c>
      <c r="H230" s="314"/>
      <c r="I230" s="328" t="s">
        <v>2848</v>
      </c>
      <c r="J230" s="329" t="s">
        <v>2267</v>
      </c>
      <c r="K230" s="331" t="s">
        <v>2268</v>
      </c>
      <c r="L230" s="2"/>
      <c r="M230" s="2"/>
      <c r="N230" s="2"/>
      <c r="O230" s="2"/>
      <c r="P230" s="325" t="str">
        <f t="shared" si="8"/>
        <v>PRUGALIDAD GERALIE LOMILLO</v>
      </c>
      <c r="Q230" s="332" t="str">
        <f>IFERROR(VLOOKUP(P228,[1]Disposition!$AB$9:$AC$495,2,0),"NO RECORD YET")</f>
        <v>Labao Ext., Napindan, Taguig City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5" customHeight="1">
      <c r="A231" s="326">
        <v>222</v>
      </c>
      <c r="B231" s="327" t="s">
        <v>2263</v>
      </c>
      <c r="C231" s="327" t="s">
        <v>19</v>
      </c>
      <c r="D231" s="326" t="s">
        <v>28</v>
      </c>
      <c r="E231" s="328" t="s">
        <v>2269</v>
      </c>
      <c r="F231" s="328" t="s">
        <v>2270</v>
      </c>
      <c r="G231" s="328" t="s">
        <v>2271</v>
      </c>
      <c r="H231" s="314"/>
      <c r="I231" s="328" t="s">
        <v>2849</v>
      </c>
      <c r="J231" s="329" t="s">
        <v>2272</v>
      </c>
      <c r="K231" s="331" t="s">
        <v>2273</v>
      </c>
      <c r="L231" s="2"/>
      <c r="M231" s="2"/>
      <c r="N231" s="2"/>
      <c r="O231" s="2"/>
      <c r="P231" s="325" t="str">
        <f t="shared" si="8"/>
        <v>LOCOP HERRAEL KARL GIDOR</v>
      </c>
      <c r="Q231" s="332" t="str">
        <f>IFERROR(VLOOKUP(P229,[1]Disposition!$AB$9:$AC$495,2,0),"NO RECORD YET")</f>
        <v>ASV Compound, Banga, Aklan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5" customHeight="1">
      <c r="A232" s="326">
        <v>223</v>
      </c>
      <c r="B232" s="327" t="s">
        <v>2263</v>
      </c>
      <c r="C232" s="327" t="s">
        <v>19</v>
      </c>
      <c r="D232" s="326" t="s">
        <v>28</v>
      </c>
      <c r="E232" s="328" t="s">
        <v>2274</v>
      </c>
      <c r="F232" s="328" t="s">
        <v>2275</v>
      </c>
      <c r="G232" s="328" t="s">
        <v>2276</v>
      </c>
      <c r="H232" s="314"/>
      <c r="I232" s="328" t="s">
        <v>2849</v>
      </c>
      <c r="J232" s="329" t="s">
        <v>2277</v>
      </c>
      <c r="K232" s="331" t="s">
        <v>2278</v>
      </c>
      <c r="L232" s="2"/>
      <c r="M232" s="2"/>
      <c r="N232" s="2"/>
      <c r="O232" s="2"/>
      <c r="P232" s="325" t="str">
        <f t="shared" si="8"/>
        <v>RECTO C.J. KLARK  URETA</v>
      </c>
      <c r="Q232" s="332" t="str">
        <f>IFERROR(VLOOKUP(P230,[1]Disposition!$AB$9:$AC$495,2,0),"NO RECORD YET")</f>
        <v>158 Evangelista Street, Purok II (Pob.), Pavia, Iloilo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5" customHeight="1">
      <c r="A233" s="326">
        <v>224</v>
      </c>
      <c r="B233" s="327" t="s">
        <v>2279</v>
      </c>
      <c r="C233" s="327" t="s">
        <v>39</v>
      </c>
      <c r="D233" s="326" t="s">
        <v>96</v>
      </c>
      <c r="E233" s="328" t="s">
        <v>2280</v>
      </c>
      <c r="F233" s="328" t="s">
        <v>2281</v>
      </c>
      <c r="G233" s="328" t="s">
        <v>2282</v>
      </c>
      <c r="H233" s="314"/>
      <c r="I233" s="328" t="s">
        <v>2848</v>
      </c>
      <c r="J233" s="329" t="s">
        <v>2283</v>
      </c>
      <c r="K233" s="331" t="s">
        <v>2284</v>
      </c>
      <c r="L233" s="2"/>
      <c r="M233" s="2"/>
      <c r="N233" s="2"/>
      <c r="O233" s="2"/>
      <c r="P233" s="325" t="str">
        <f t="shared" si="8"/>
        <v>QUINDO IRA BANGGA</v>
      </c>
      <c r="Q233" s="332" t="str">
        <f>IFERROR(VLOOKUP(P231,[1]Disposition!$AB$9:$AC$495,2,0),"NO RECORD YET")</f>
        <v>NO RECORD YET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5" customHeight="1">
      <c r="A234" s="326">
        <v>225</v>
      </c>
      <c r="B234" s="327" t="s">
        <v>2894</v>
      </c>
      <c r="C234" s="327" t="s">
        <v>19</v>
      </c>
      <c r="D234" s="326" t="s">
        <v>96</v>
      </c>
      <c r="E234" s="328" t="s">
        <v>2285</v>
      </c>
      <c r="F234" s="328" t="s">
        <v>2286</v>
      </c>
      <c r="G234" s="328" t="s">
        <v>2287</v>
      </c>
      <c r="H234" s="314"/>
      <c r="I234" s="328" t="s">
        <v>2893</v>
      </c>
      <c r="J234" s="329" t="s">
        <v>2288</v>
      </c>
      <c r="K234" s="331" t="s">
        <v>2289</v>
      </c>
      <c r="L234" s="2"/>
      <c r="M234" s="2"/>
      <c r="N234" s="2"/>
      <c r="O234" s="2"/>
      <c r="P234" s="325" t="str">
        <f t="shared" si="8"/>
        <v>TUGAOEN ALVIN REY ENGHUG</v>
      </c>
      <c r="Q234" s="332" t="str">
        <f>IFERROR(VLOOKUP(P232,[1]Disposition!$AB$9:$AC$495,2,0),"NO RECORD YET")</f>
        <v>NO RECORD YET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5" customHeight="1">
      <c r="A235" s="326">
        <v>226</v>
      </c>
      <c r="B235" s="327" t="s">
        <v>2279</v>
      </c>
      <c r="C235" s="327" t="s">
        <v>19</v>
      </c>
      <c r="D235" s="326" t="s">
        <v>28</v>
      </c>
      <c r="E235" s="328" t="s">
        <v>2295</v>
      </c>
      <c r="F235" s="328" t="s">
        <v>2296</v>
      </c>
      <c r="G235" s="328" t="s">
        <v>2297</v>
      </c>
      <c r="H235" s="314"/>
      <c r="I235" s="328" t="s">
        <v>2849</v>
      </c>
      <c r="J235" s="329" t="s">
        <v>2298</v>
      </c>
      <c r="K235" s="331" t="s">
        <v>2299</v>
      </c>
      <c r="L235" s="2"/>
      <c r="M235" s="2"/>
      <c r="N235" s="2"/>
      <c r="O235" s="2"/>
      <c r="P235" s="325" t="str">
        <f t="shared" si="8"/>
        <v>ABONG MARK CLENTON (NO MIDDLE NAME)</v>
      </c>
      <c r="Q235" s="332" t="str">
        <f>IFERROR(VLOOKUP(P233,[1]Disposition!$AB$9:$AC$495,2,0),"NO RECORD YET")</f>
        <v>Block 6 Lot 1, Core Shelter Bajumpandan, Dumaguete City, Negros Oriental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5" customHeight="1">
      <c r="A236" s="326">
        <v>227</v>
      </c>
      <c r="B236" s="327" t="s">
        <v>2279</v>
      </c>
      <c r="C236" s="327" t="s">
        <v>19</v>
      </c>
      <c r="D236" s="326" t="s">
        <v>28</v>
      </c>
      <c r="E236" s="328" t="s">
        <v>2290</v>
      </c>
      <c r="F236" s="328" t="s">
        <v>2291</v>
      </c>
      <c r="G236" s="328" t="s">
        <v>2292</v>
      </c>
      <c r="H236" s="314"/>
      <c r="I236" s="328" t="s">
        <v>2849</v>
      </c>
      <c r="J236" s="329" t="s">
        <v>2293</v>
      </c>
      <c r="K236" s="331" t="s">
        <v>2294</v>
      </c>
      <c r="L236" s="2"/>
      <c r="M236" s="2"/>
      <c r="N236" s="2"/>
      <c r="O236" s="2"/>
      <c r="P236" s="325" t="str">
        <f t="shared" si="8"/>
        <v>ESCALONA JERLY JUBELAG</v>
      </c>
      <c r="Q236" s="332" t="str">
        <f>IFERROR(VLOOKUP(P234,[1]Disposition!$AB$9:$AC$495,2,0),"NO RECORD YET")</f>
        <v>Guinsuan, Poblacion, Zamboanguita, Negros Oriental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5" customHeight="1">
      <c r="A237" s="326">
        <v>228</v>
      </c>
      <c r="B237" s="327" t="s">
        <v>2306</v>
      </c>
      <c r="C237" s="327" t="s">
        <v>19</v>
      </c>
      <c r="D237" s="326" t="s">
        <v>96</v>
      </c>
      <c r="E237" s="328" t="s">
        <v>2307</v>
      </c>
      <c r="F237" s="328" t="s">
        <v>770</v>
      </c>
      <c r="G237" s="328" t="s">
        <v>950</v>
      </c>
      <c r="H237" s="314"/>
      <c r="I237" s="328" t="s">
        <v>2848</v>
      </c>
      <c r="J237" s="329" t="s">
        <v>2308</v>
      </c>
      <c r="K237" s="331" t="s">
        <v>2309</v>
      </c>
      <c r="L237" s="2"/>
      <c r="M237" s="2"/>
      <c r="N237" s="2"/>
      <c r="O237" s="2"/>
      <c r="P237" s="325" t="str">
        <f t="shared" si="8"/>
        <v>FREDELUCES MARK ANTHONY RECLA</v>
      </c>
      <c r="Q237" s="332" t="str">
        <f>IFERROR(VLOOKUP(P236,[1]Disposition!$AB$9:$AC$495,2,0),"NO RECORD YET")</f>
        <v>NO RECORD YET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5" customHeight="1">
      <c r="A238" s="326">
        <v>229</v>
      </c>
      <c r="B238" s="327" t="s">
        <v>2306</v>
      </c>
      <c r="C238" s="327" t="s">
        <v>19</v>
      </c>
      <c r="D238" s="326" t="s">
        <v>366</v>
      </c>
      <c r="E238" s="328" t="s">
        <v>2310</v>
      </c>
      <c r="F238" s="328" t="s">
        <v>2311</v>
      </c>
      <c r="G238" s="328" t="s">
        <v>2312</v>
      </c>
      <c r="H238" s="314"/>
      <c r="I238" s="328" t="s">
        <v>2849</v>
      </c>
      <c r="J238" s="329" t="s">
        <v>2313</v>
      </c>
      <c r="K238" s="331" t="s">
        <v>2314</v>
      </c>
      <c r="L238" s="2"/>
      <c r="M238" s="2"/>
      <c r="N238" s="2"/>
      <c r="O238" s="2"/>
      <c r="P238" s="325" t="str">
        <f t="shared" si="8"/>
        <v>ERSAN GIOVANNI PACIFICO</v>
      </c>
      <c r="Q238" s="332" t="str">
        <f>IFERROR(VLOOKUP(P415,[1]Disposition!$AB$9:$AC$495,2,0),"NO RECORD YET")</f>
        <v>4826 Dorca Townhome, Rayos Compound, Rosatrio, Pasig City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5" customHeight="1">
      <c r="A239" s="326">
        <v>230</v>
      </c>
      <c r="B239" s="327" t="s">
        <v>2306</v>
      </c>
      <c r="C239" s="327" t="s">
        <v>19</v>
      </c>
      <c r="D239" s="326" t="s">
        <v>28</v>
      </c>
      <c r="E239" s="328" t="s">
        <v>2315</v>
      </c>
      <c r="F239" s="328" t="s">
        <v>268</v>
      </c>
      <c r="G239" s="328" t="s">
        <v>2316</v>
      </c>
      <c r="H239" s="314"/>
      <c r="I239" s="328" t="s">
        <v>2849</v>
      </c>
      <c r="J239" s="329" t="s">
        <v>2317</v>
      </c>
      <c r="K239" s="331" t="s">
        <v>2318</v>
      </c>
      <c r="L239" s="2"/>
      <c r="M239" s="2"/>
      <c r="N239" s="2"/>
      <c r="O239" s="2"/>
      <c r="P239" s="325" t="str">
        <f t="shared" si="8"/>
        <v>CAÑETE JR CAPURAS</v>
      </c>
      <c r="Q239" s="332" t="str">
        <f>IFERROR(VLOOKUP(P237,[1]Disposition!$AB$9:$AC$495,2,0),"NO RECORD YET")</f>
        <v>064 Middle Nivel Hills, Apas, Cebu City(Capital), Cebu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5" customHeight="1">
      <c r="A240" s="326">
        <v>231</v>
      </c>
      <c r="B240" s="327" t="s">
        <v>2306</v>
      </c>
      <c r="C240" s="327" t="s">
        <v>19</v>
      </c>
      <c r="D240" s="326" t="s">
        <v>28</v>
      </c>
      <c r="E240" s="328" t="s">
        <v>2319</v>
      </c>
      <c r="F240" s="328" t="s">
        <v>2320</v>
      </c>
      <c r="G240" s="328" t="s">
        <v>2321</v>
      </c>
      <c r="H240" s="314"/>
      <c r="I240" s="328" t="s">
        <v>2849</v>
      </c>
      <c r="J240" s="329" t="s">
        <v>2322</v>
      </c>
      <c r="K240" s="331" t="s">
        <v>2323</v>
      </c>
      <c r="L240" s="2"/>
      <c r="M240" s="2"/>
      <c r="N240" s="2"/>
      <c r="O240" s="2"/>
      <c r="P240" s="325" t="str">
        <f t="shared" si="8"/>
        <v>TAASINE JOHN RAY PATRON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5" customHeight="1">
      <c r="A241" s="326">
        <v>232</v>
      </c>
      <c r="B241" s="327" t="s">
        <v>2324</v>
      </c>
      <c r="C241" s="327" t="s">
        <v>19</v>
      </c>
      <c r="D241" s="326" t="s">
        <v>96</v>
      </c>
      <c r="E241" s="328" t="s">
        <v>2325</v>
      </c>
      <c r="F241" s="328" t="s">
        <v>2326</v>
      </c>
      <c r="G241" s="328" t="s">
        <v>2327</v>
      </c>
      <c r="H241" s="314"/>
      <c r="I241" s="328" t="s">
        <v>2848</v>
      </c>
      <c r="J241" s="329" t="s">
        <v>2328</v>
      </c>
      <c r="K241" s="331" t="s">
        <v>2329</v>
      </c>
      <c r="L241" s="2"/>
      <c r="M241" s="2"/>
      <c r="N241" s="2"/>
      <c r="O241" s="2"/>
      <c r="P241" s="325" t="str">
        <f t="shared" si="8"/>
        <v>CANUDAY JACKERON TING</v>
      </c>
      <c r="Q241" s="332" t="str">
        <f>IFERROR(VLOOKUP(P239,[1]Disposition!$AB$9:$AC$495,2,0),"NO RECORD YET")</f>
        <v>NO RECORD YET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5" customHeight="1">
      <c r="A242" s="326">
        <v>233</v>
      </c>
      <c r="B242" s="327" t="s">
        <v>2324</v>
      </c>
      <c r="C242" s="327" t="s">
        <v>19</v>
      </c>
      <c r="D242" s="326" t="s">
        <v>366</v>
      </c>
      <c r="E242" s="328" t="s">
        <v>1539</v>
      </c>
      <c r="F242" s="328" t="s">
        <v>1186</v>
      </c>
      <c r="G242" s="328" t="s">
        <v>2330</v>
      </c>
      <c r="H242" s="314"/>
      <c r="I242" s="328" t="s">
        <v>2849</v>
      </c>
      <c r="J242" s="329" t="s">
        <v>2331</v>
      </c>
      <c r="K242" s="331" t="s">
        <v>2332</v>
      </c>
      <c r="L242" s="2"/>
      <c r="M242" s="2"/>
      <c r="N242" s="2"/>
      <c r="O242" s="2"/>
      <c r="P242" s="325" t="str">
        <f t="shared" si="8"/>
        <v>AVILA CHRISTOPHER BALEÑA</v>
      </c>
      <c r="Q242" s="332" t="str">
        <f>IFERROR(VLOOKUP(P240,[1]Disposition!$AB$9:$AC$495,2,0),"NO RECORD YET")</f>
        <v>NO RECORD YET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5" customHeight="1">
      <c r="A243" s="326">
        <v>234</v>
      </c>
      <c r="B243" s="327" t="s">
        <v>2324</v>
      </c>
      <c r="C243" s="327" t="s">
        <v>19</v>
      </c>
      <c r="D243" s="326" t="s">
        <v>57</v>
      </c>
      <c r="E243" s="328" t="s">
        <v>2333</v>
      </c>
      <c r="F243" s="328" t="s">
        <v>2334</v>
      </c>
      <c r="G243" s="328" t="s">
        <v>2335</v>
      </c>
      <c r="H243" s="326" t="s">
        <v>268</v>
      </c>
      <c r="I243" s="328" t="s">
        <v>2849</v>
      </c>
      <c r="J243" s="329" t="s">
        <v>2336</v>
      </c>
      <c r="K243" s="331" t="s">
        <v>2337</v>
      </c>
      <c r="L243" s="2"/>
      <c r="M243" s="2"/>
      <c r="N243" s="2"/>
      <c r="O243" s="2"/>
      <c r="P243" s="325" t="str">
        <f t="shared" si="8"/>
        <v>SEPTIMO LEO CACA</v>
      </c>
      <c r="Q243" s="332" t="str">
        <f>IFERROR(VLOOKUP(P241,[1]Disposition!$AB$9:$AC$495,2,0),"NO RECORD YET")</f>
        <v>Blk 4 Lot 4, Dona Rufina Subdivision, Brgy Guintagbucan, Abuyog, Leyte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5" customHeight="1">
      <c r="A244" s="326">
        <v>235</v>
      </c>
      <c r="B244" s="327" t="s">
        <v>2324</v>
      </c>
      <c r="C244" s="327" t="s">
        <v>19</v>
      </c>
      <c r="D244" s="326" t="s">
        <v>24</v>
      </c>
      <c r="E244" s="328" t="s">
        <v>2895</v>
      </c>
      <c r="F244" s="328" t="s">
        <v>2896</v>
      </c>
      <c r="G244" s="328" t="s">
        <v>2897</v>
      </c>
      <c r="H244" s="314"/>
      <c r="I244" s="328" t="s">
        <v>2849</v>
      </c>
      <c r="J244" s="312"/>
      <c r="K244" s="330" t="s">
        <v>2898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5" customHeight="1">
      <c r="A245" s="326">
        <v>236</v>
      </c>
      <c r="B245" s="327" t="s">
        <v>2324</v>
      </c>
      <c r="C245" s="327" t="s">
        <v>19</v>
      </c>
      <c r="D245" s="326" t="s">
        <v>28</v>
      </c>
      <c r="E245" s="328" t="s">
        <v>2338</v>
      </c>
      <c r="F245" s="328" t="s">
        <v>2339</v>
      </c>
      <c r="G245" s="328" t="s">
        <v>2340</v>
      </c>
      <c r="H245" s="314"/>
      <c r="I245" s="328" t="s">
        <v>2849</v>
      </c>
      <c r="J245" s="329" t="s">
        <v>2341</v>
      </c>
      <c r="K245" s="331" t="s">
        <v>2342</v>
      </c>
      <c r="L245" s="2"/>
      <c r="M245" s="2"/>
      <c r="N245" s="2"/>
      <c r="O245" s="2"/>
      <c r="P245" s="325" t="str">
        <f t="shared" ref="P245:P284" si="9">CONCATENATE(E245," ",F245," ",G245)</f>
        <v>ANCHOVAS ESHIER QUIÑONES</v>
      </c>
      <c r="Q245" s="332" t="str">
        <f>IFERROR(VLOOKUP(P243,[1]Disposition!$AB$9:$AC$495,2,0),"NO RECORD YET")</f>
        <v>Zone 2, Barayong, Palo, Leyte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5" customHeight="1">
      <c r="A246" s="326">
        <v>237</v>
      </c>
      <c r="B246" s="327" t="s">
        <v>2324</v>
      </c>
      <c r="C246" s="327" t="s">
        <v>19</v>
      </c>
      <c r="D246" s="326" t="s">
        <v>28</v>
      </c>
      <c r="E246" s="328" t="s">
        <v>1815</v>
      </c>
      <c r="F246" s="328" t="s">
        <v>1816</v>
      </c>
      <c r="G246" s="328" t="s">
        <v>1817</v>
      </c>
      <c r="H246" s="314"/>
      <c r="I246" s="328" t="s">
        <v>2849</v>
      </c>
      <c r="J246" s="329" t="s">
        <v>1818</v>
      </c>
      <c r="K246" s="331" t="s">
        <v>1819</v>
      </c>
      <c r="L246" s="2"/>
      <c r="M246" s="2"/>
      <c r="N246" s="2"/>
      <c r="O246" s="2"/>
      <c r="P246" s="325" t="str">
        <f t="shared" si="9"/>
        <v>AYUPAN LAURENCE NOBLEZA</v>
      </c>
      <c r="Q246" s="332" t="str">
        <f>IFERROR(VLOOKUP(P244,[1]Disposition!$AB$9:$AC$495,2,0),"NO RECORD YET")</f>
        <v>NO RECORD YET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5" customHeight="1">
      <c r="A247" s="326">
        <v>238</v>
      </c>
      <c r="B247" s="327" t="s">
        <v>2348</v>
      </c>
      <c r="C247" s="327" t="s">
        <v>19</v>
      </c>
      <c r="D247" s="326" t="s">
        <v>366</v>
      </c>
      <c r="E247" s="328" t="s">
        <v>2354</v>
      </c>
      <c r="F247" s="328" t="s">
        <v>2355</v>
      </c>
      <c r="G247" s="328" t="s">
        <v>2356</v>
      </c>
      <c r="H247" s="314"/>
      <c r="I247" s="328" t="s">
        <v>2849</v>
      </c>
      <c r="J247" s="329" t="s">
        <v>2357</v>
      </c>
      <c r="K247" s="331" t="s">
        <v>2358</v>
      </c>
      <c r="L247" s="2"/>
      <c r="M247" s="2"/>
      <c r="N247" s="2"/>
      <c r="O247" s="2"/>
      <c r="P247" s="325" t="str">
        <f t="shared" si="9"/>
        <v>HADJIMUDDIN JULMONER PASLANGAN</v>
      </c>
      <c r="Q247" s="332" t="str">
        <f>IFERROR(VLOOKUP(P124,[1]Disposition!$AB$9:$AC$495,2,0),"NO RECORD YET")</f>
        <v>Calle Nueva, Brgy. Labrador, Hinunangan, Southern Leyte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5" customHeight="1">
      <c r="A248" s="326">
        <v>239</v>
      </c>
      <c r="B248" s="327" t="s">
        <v>2348</v>
      </c>
      <c r="C248" s="327" t="s">
        <v>19</v>
      </c>
      <c r="D248" s="326" t="s">
        <v>366</v>
      </c>
      <c r="E248" s="328" t="s">
        <v>1590</v>
      </c>
      <c r="F248" s="328" t="s">
        <v>2359</v>
      </c>
      <c r="G248" s="328" t="s">
        <v>2360</v>
      </c>
      <c r="H248" s="314"/>
      <c r="I248" s="328" t="s">
        <v>2849</v>
      </c>
      <c r="J248" s="329" t="s">
        <v>2361</v>
      </c>
      <c r="K248" s="331" t="s">
        <v>2362</v>
      </c>
      <c r="L248" s="2"/>
      <c r="M248" s="2"/>
      <c r="N248" s="2"/>
      <c r="O248" s="2"/>
      <c r="P248" s="325" t="str">
        <f t="shared" si="9"/>
        <v>HUSSEIN IQBAR IMLANI</v>
      </c>
      <c r="Q248" s="332" t="str">
        <f>IFERROR(VLOOKUP(P499,[1]Disposition!$AB$9:$AC$495,2,0),"NO RECORD YET")</f>
        <v>B4 L8 Eugenio Hieghts, Kaypian, Frnacisco Homes, SJDM,  Bulacan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5" customHeight="1">
      <c r="A249" s="326">
        <v>240</v>
      </c>
      <c r="B249" s="327" t="s">
        <v>2348</v>
      </c>
      <c r="C249" s="327" t="s">
        <v>19</v>
      </c>
      <c r="D249" s="326" t="s">
        <v>24</v>
      </c>
      <c r="E249" s="328" t="s">
        <v>2363</v>
      </c>
      <c r="F249" s="328" t="s">
        <v>2364</v>
      </c>
      <c r="G249" s="328" t="s">
        <v>2365</v>
      </c>
      <c r="H249" s="314"/>
      <c r="I249" s="328" t="s">
        <v>2849</v>
      </c>
      <c r="J249" s="329" t="s">
        <v>2366</v>
      </c>
      <c r="K249" s="331" t="s">
        <v>2367</v>
      </c>
      <c r="L249" s="2"/>
      <c r="M249" s="2"/>
      <c r="N249" s="2"/>
      <c r="O249" s="2"/>
      <c r="P249" s="325" t="str">
        <f t="shared" si="9"/>
        <v>ABDUHARI AL-MITRA PUNGUTAN</v>
      </c>
      <c r="Q249" s="332" t="str">
        <f>IFERROR(VLOOKUP(P246,[1]Disposition!$AB$9:$AC$495,2,0),"NO RECORD YET")</f>
        <v>NO RECORD YET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5" customHeight="1">
      <c r="A250" s="326">
        <v>241</v>
      </c>
      <c r="B250" s="327" t="s">
        <v>2348</v>
      </c>
      <c r="C250" s="327" t="s">
        <v>19</v>
      </c>
      <c r="D250" s="326" t="s">
        <v>28</v>
      </c>
      <c r="E250" s="328" t="s">
        <v>2368</v>
      </c>
      <c r="F250" s="328" t="s">
        <v>2369</v>
      </c>
      <c r="G250" s="328" t="s">
        <v>2370</v>
      </c>
      <c r="H250" s="314"/>
      <c r="I250" s="328" t="s">
        <v>2849</v>
      </c>
      <c r="J250" s="329" t="s">
        <v>2371</v>
      </c>
      <c r="K250" s="331" t="s">
        <v>2372</v>
      </c>
      <c r="L250" s="2"/>
      <c r="M250" s="2"/>
      <c r="N250" s="2"/>
      <c r="O250" s="2"/>
      <c r="P250" s="325" t="str">
        <f t="shared" si="9"/>
        <v>ALAWI NABIL HAJINULLA</v>
      </c>
      <c r="Q250" s="332" t="str">
        <f>IFERROR(VLOOKUP(P248,[1]Disposition!$AB$9:$AC$495,2,0),"NO RECORD YET")</f>
        <v>06 Sulu ST., Salam Compound , Culiat, Tandang Sora, Quezon City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5" customHeight="1">
      <c r="A251" s="326">
        <v>242</v>
      </c>
      <c r="B251" s="327" t="s">
        <v>2348</v>
      </c>
      <c r="C251" s="327" t="s">
        <v>39</v>
      </c>
      <c r="D251" s="326" t="s">
        <v>28</v>
      </c>
      <c r="E251" s="328" t="s">
        <v>2377</v>
      </c>
      <c r="F251" s="328" t="s">
        <v>2378</v>
      </c>
      <c r="G251" s="328" t="s">
        <v>2379</v>
      </c>
      <c r="H251" s="314"/>
      <c r="I251" s="328" t="s">
        <v>2849</v>
      </c>
      <c r="J251" s="329" t="s">
        <v>1510</v>
      </c>
      <c r="K251" s="331" t="s">
        <v>2380</v>
      </c>
      <c r="L251" s="2"/>
      <c r="M251" s="2"/>
      <c r="N251" s="2"/>
      <c r="O251" s="2"/>
      <c r="P251" s="325" t="str">
        <f t="shared" si="9"/>
        <v>ASIRI DELFAIZA SARAJAN</v>
      </c>
      <c r="Q251" s="332" t="str">
        <f>IFERROR(VLOOKUP(P249,[1]Disposition!$AB$9:$AC$495,2,0),"NO RECORD YET")</f>
        <v>23A Alsalam St., Salam Compound, Culiat, Tandang Sora, Quezon City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5" customHeight="1">
      <c r="A252" s="326">
        <v>243</v>
      </c>
      <c r="B252" s="327" t="s">
        <v>2348</v>
      </c>
      <c r="C252" s="327" t="s">
        <v>19</v>
      </c>
      <c r="D252" s="326" t="s">
        <v>28</v>
      </c>
      <c r="E252" s="328" t="s">
        <v>2373</v>
      </c>
      <c r="F252" s="328" t="s">
        <v>2374</v>
      </c>
      <c r="G252" s="328" t="s">
        <v>2375</v>
      </c>
      <c r="H252" s="314"/>
      <c r="I252" s="328" t="s">
        <v>2849</v>
      </c>
      <c r="J252" s="329" t="s">
        <v>1510</v>
      </c>
      <c r="K252" s="331" t="s">
        <v>2376</v>
      </c>
      <c r="L252" s="2"/>
      <c r="M252" s="2"/>
      <c r="N252" s="2"/>
      <c r="O252" s="2"/>
      <c r="P252" s="325" t="str">
        <f t="shared" si="9"/>
        <v>NERI FREDIMAR SIMON</v>
      </c>
      <c r="Q252" s="332" t="str">
        <f>IFERROR(VLOOKUP(P250,[1]Disposition!$AB$9:$AC$495,2,0),"NO RECORD YET")</f>
        <v>Bilukan, Kajatian, Indanan, Sulu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5" customHeight="1">
      <c r="A253" s="326">
        <v>244</v>
      </c>
      <c r="B253" s="327" t="s">
        <v>2348</v>
      </c>
      <c r="C253" s="327" t="s">
        <v>39</v>
      </c>
      <c r="D253" s="326" t="s">
        <v>28</v>
      </c>
      <c r="E253" s="328" t="s">
        <v>2381</v>
      </c>
      <c r="F253" s="328" t="s">
        <v>2382</v>
      </c>
      <c r="G253" s="328" t="s">
        <v>2383</v>
      </c>
      <c r="H253" s="314"/>
      <c r="I253" s="328" t="s">
        <v>2849</v>
      </c>
      <c r="J253" s="329" t="s">
        <v>2384</v>
      </c>
      <c r="K253" s="331" t="s">
        <v>2385</v>
      </c>
      <c r="L253" s="2"/>
      <c r="M253" s="2"/>
      <c r="N253" s="2"/>
      <c r="O253" s="2"/>
      <c r="P253" s="325" t="str">
        <f t="shared" si="9"/>
        <v>TAGID-ID NORIYAM PATTA</v>
      </c>
      <c r="Q253" s="332" t="str">
        <f>IFERROR(VLOOKUP(P251,[1]Disposition!$AB$9:$AC$495,2,0),"NO RECORD YET")</f>
        <v>NO RECORD YET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5" customHeight="1">
      <c r="A254" s="326">
        <v>245</v>
      </c>
      <c r="B254" s="327" t="s">
        <v>2386</v>
      </c>
      <c r="C254" s="327" t="s">
        <v>19</v>
      </c>
      <c r="D254" s="326" t="s">
        <v>253</v>
      </c>
      <c r="E254" s="328" t="s">
        <v>2387</v>
      </c>
      <c r="F254" s="328" t="s">
        <v>2388</v>
      </c>
      <c r="G254" s="328" t="s">
        <v>2389</v>
      </c>
      <c r="H254" s="314"/>
      <c r="I254" s="328" t="s">
        <v>2848</v>
      </c>
      <c r="J254" s="329" t="s">
        <v>2390</v>
      </c>
      <c r="K254" s="331" t="s">
        <v>2391</v>
      </c>
      <c r="L254" s="2"/>
      <c r="M254" s="2"/>
      <c r="N254" s="2"/>
      <c r="O254" s="2"/>
      <c r="P254" s="325" t="str">
        <f t="shared" si="9"/>
        <v>CABAÑEROS JULIUS STEVE SABELLA</v>
      </c>
      <c r="Q254" s="332" t="str">
        <f>IFERROR(VLOOKUP(P252,[1]Disposition!$AB$9:$AC$495,2,0),"NO RECORD YET")</f>
        <v>NO RECORD YET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5" customHeight="1">
      <c r="A255" s="326">
        <v>246</v>
      </c>
      <c r="B255" s="327" t="s">
        <v>2386</v>
      </c>
      <c r="C255" s="327" t="s">
        <v>39</v>
      </c>
      <c r="D255" s="326" t="s">
        <v>96</v>
      </c>
      <c r="E255" s="328" t="s">
        <v>2392</v>
      </c>
      <c r="F255" s="328" t="s">
        <v>2393</v>
      </c>
      <c r="G255" s="328" t="s">
        <v>2394</v>
      </c>
      <c r="H255" s="314"/>
      <c r="I255" s="328" t="s">
        <v>2848</v>
      </c>
      <c r="J255" s="329" t="s">
        <v>2395</v>
      </c>
      <c r="K255" s="331" t="s">
        <v>2396</v>
      </c>
      <c r="L255" s="2"/>
      <c r="M255" s="2"/>
      <c r="N255" s="2"/>
      <c r="O255" s="2"/>
      <c r="P255" s="325" t="str">
        <f t="shared" si="9"/>
        <v>BATBAT MATT KYNNPEARL CABURATAN</v>
      </c>
      <c r="Q255" s="332" t="str">
        <f>IFERROR(VLOOKUP(P253,[1]Disposition!$AB$9:$AC$495,2,0),"NO RECORD YET")</f>
        <v>NO RECORD YET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5" customHeight="1">
      <c r="A256" s="326">
        <v>247</v>
      </c>
      <c r="B256" s="327" t="s">
        <v>2386</v>
      </c>
      <c r="C256" s="327" t="s">
        <v>19</v>
      </c>
      <c r="D256" s="326" t="s">
        <v>96</v>
      </c>
      <c r="E256" s="328" t="s">
        <v>1962</v>
      </c>
      <c r="F256" s="328" t="s">
        <v>1963</v>
      </c>
      <c r="G256" s="328" t="s">
        <v>1964</v>
      </c>
      <c r="H256" s="314"/>
      <c r="I256" s="328" t="s">
        <v>2848</v>
      </c>
      <c r="J256" s="329" t="s">
        <v>1965</v>
      </c>
      <c r="K256" s="331" t="s">
        <v>1966</v>
      </c>
      <c r="L256" s="2"/>
      <c r="M256" s="2"/>
      <c r="N256" s="2"/>
      <c r="O256" s="2"/>
      <c r="P256" s="325" t="str">
        <f t="shared" si="9"/>
        <v>ONDONA JOHN  HOPE MILLAN</v>
      </c>
      <c r="Q256" s="332" t="str">
        <f>IFERROR(VLOOKUP(P254,[1]Disposition!$AB$9:$AC$495,2,0),"NO RECORD YET")</f>
        <v>HOUSE # 654, Zone 5, Bayabas, Cagayan de Oro, Misamis, Oriental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5" customHeight="1">
      <c r="A257" s="326">
        <v>248</v>
      </c>
      <c r="B257" s="327" t="s">
        <v>2386</v>
      </c>
      <c r="C257" s="327" t="s">
        <v>19</v>
      </c>
      <c r="D257" s="326" t="s">
        <v>366</v>
      </c>
      <c r="E257" s="328" t="s">
        <v>410</v>
      </c>
      <c r="F257" s="328" t="s">
        <v>2402</v>
      </c>
      <c r="G257" s="328" t="s">
        <v>2403</v>
      </c>
      <c r="H257" s="314"/>
      <c r="I257" s="328" t="s">
        <v>2849</v>
      </c>
      <c r="J257" s="329" t="s">
        <v>2404</v>
      </c>
      <c r="K257" s="331" t="s">
        <v>2405</v>
      </c>
      <c r="L257" s="2"/>
      <c r="M257" s="2"/>
      <c r="N257" s="2"/>
      <c r="O257" s="2"/>
      <c r="P257" s="325" t="str">
        <f t="shared" si="9"/>
        <v>BAUTISTA CESAR ESCARZA</v>
      </c>
      <c r="Q257" s="332" t="str">
        <f>IFERROR(VLOOKUP(P178,[1]Disposition!$AB$9:$AC$495,2,0),"NO RECORD YET")</f>
        <v>Blk 12 Lot 33, Hamburg Street, Mercedes Executive Village, San Andres (Pob), Cainta, Rizal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5" customHeight="1">
      <c r="A258" s="326">
        <v>249</v>
      </c>
      <c r="B258" s="327" t="s">
        <v>2386</v>
      </c>
      <c r="C258" s="327" t="s">
        <v>19</v>
      </c>
      <c r="D258" s="326" t="s">
        <v>28</v>
      </c>
      <c r="E258" s="328" t="s">
        <v>1792</v>
      </c>
      <c r="F258" s="328" t="s">
        <v>2406</v>
      </c>
      <c r="G258" s="328" t="s">
        <v>2407</v>
      </c>
      <c r="H258" s="326" t="s">
        <v>268</v>
      </c>
      <c r="I258" s="328" t="s">
        <v>2849</v>
      </c>
      <c r="J258" s="329" t="s">
        <v>2408</v>
      </c>
      <c r="K258" s="331" t="s">
        <v>2409</v>
      </c>
      <c r="L258" s="2"/>
      <c r="M258" s="2"/>
      <c r="N258" s="2"/>
      <c r="O258" s="2"/>
      <c r="P258" s="325" t="str">
        <f t="shared" si="9"/>
        <v>ARROYO REYNALDO PASCO</v>
      </c>
      <c r="Q258" s="332" t="str">
        <f>IFERROR(VLOOKUP(P255,[1]Disposition!$AB$9:$AC$495,2,0),"NO RECORD YET")</f>
        <v>Block 39 Lot 3, Kisanlu Subdivision, Iponan, Cagayan de Oro, Misamis Oriental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5" customHeight="1">
      <c r="A259" s="326">
        <v>250</v>
      </c>
      <c r="B259" s="327" t="s">
        <v>2386</v>
      </c>
      <c r="C259" s="327" t="s">
        <v>39</v>
      </c>
      <c r="D259" s="326" t="s">
        <v>28</v>
      </c>
      <c r="E259" s="328" t="s">
        <v>2410</v>
      </c>
      <c r="F259" s="328" t="s">
        <v>2411</v>
      </c>
      <c r="G259" s="328" t="s">
        <v>2412</v>
      </c>
      <c r="H259" s="314"/>
      <c r="I259" s="328" t="s">
        <v>2849</v>
      </c>
      <c r="J259" s="329" t="s">
        <v>2413</v>
      </c>
      <c r="K259" s="331" t="s">
        <v>2414</v>
      </c>
      <c r="L259" s="2"/>
      <c r="M259" s="2"/>
      <c r="N259" s="2"/>
      <c r="O259" s="2"/>
      <c r="P259" s="325" t="str">
        <f t="shared" si="9"/>
        <v>MACAPILIT MARYLAND SEPLON</v>
      </c>
      <c r="Q259" s="332" t="str">
        <f>IFERROR(VLOOKUP(P256,[1]Disposition!$AB$9:$AC$495,2,0),"NO RECORD YET")</f>
        <v>Purok 7, Lao Proper, Plaridel, Misamis Occidental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5" customHeight="1">
      <c r="A260" s="326">
        <v>251</v>
      </c>
      <c r="B260" s="327" t="s">
        <v>2386</v>
      </c>
      <c r="C260" s="327" t="s">
        <v>19</v>
      </c>
      <c r="D260" s="326" t="s">
        <v>28</v>
      </c>
      <c r="E260" s="328" t="s">
        <v>2415</v>
      </c>
      <c r="F260" s="328" t="s">
        <v>2416</v>
      </c>
      <c r="G260" s="328" t="s">
        <v>2417</v>
      </c>
      <c r="H260" s="326" t="s">
        <v>268</v>
      </c>
      <c r="I260" s="328" t="s">
        <v>2849</v>
      </c>
      <c r="J260" s="329" t="s">
        <v>2418</v>
      </c>
      <c r="K260" s="331" t="s">
        <v>2419</v>
      </c>
      <c r="L260" s="2"/>
      <c r="M260" s="2"/>
      <c r="N260" s="2"/>
      <c r="O260" s="2"/>
      <c r="P260" s="325" t="str">
        <f t="shared" si="9"/>
        <v>PADAYOGDOG FRANCISCO EMPINADO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5" customHeight="1">
      <c r="A261" s="326">
        <v>252</v>
      </c>
      <c r="B261" s="327" t="s">
        <v>2420</v>
      </c>
      <c r="C261" s="327" t="s">
        <v>19</v>
      </c>
      <c r="D261" s="326" t="s">
        <v>253</v>
      </c>
      <c r="E261" s="328" t="s">
        <v>2421</v>
      </c>
      <c r="F261" s="328" t="s">
        <v>2422</v>
      </c>
      <c r="G261" s="328" t="s">
        <v>2423</v>
      </c>
      <c r="H261" s="314"/>
      <c r="I261" s="328" t="s">
        <v>2848</v>
      </c>
      <c r="J261" s="329" t="s">
        <v>2424</v>
      </c>
      <c r="K261" s="331" t="s">
        <v>2425</v>
      </c>
      <c r="L261" s="2"/>
      <c r="M261" s="2"/>
      <c r="N261" s="2"/>
      <c r="O261" s="2"/>
      <c r="P261" s="325" t="str">
        <f t="shared" si="9"/>
        <v>BONTIA ISAAC MEDEL  AMAD</v>
      </c>
      <c r="Q261" s="332" t="str">
        <f>IFERROR(VLOOKUP(P259,[1]Disposition!$AB$9:$AC$495,2,0),"NO RECORD YET")</f>
        <v>JBN Subd. Carangan, Ozamis City, Misamis Occidental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5" customHeight="1">
      <c r="A262" s="326">
        <v>253</v>
      </c>
      <c r="B262" s="327" t="s">
        <v>2420</v>
      </c>
      <c r="C262" s="327" t="s">
        <v>19</v>
      </c>
      <c r="D262" s="326" t="s">
        <v>96</v>
      </c>
      <c r="E262" s="328" t="s">
        <v>1121</v>
      </c>
      <c r="F262" s="328" t="s">
        <v>1968</v>
      </c>
      <c r="G262" s="328" t="s">
        <v>1969</v>
      </c>
      <c r="H262" s="314"/>
      <c r="I262" s="328" t="s">
        <v>2848</v>
      </c>
      <c r="J262" s="329" t="s">
        <v>1970</v>
      </c>
      <c r="K262" s="331" t="s">
        <v>1971</v>
      </c>
      <c r="L262" s="2"/>
      <c r="M262" s="2"/>
      <c r="N262" s="2"/>
      <c r="O262" s="2"/>
      <c r="P262" s="325" t="str">
        <f t="shared" si="9"/>
        <v>JAVIER JAMES RYAN GAMINO</v>
      </c>
      <c r="Q262" s="332" t="str">
        <f>IFERROR(VLOOKUP(P260,[1]Disposition!$AB$9:$AC$495,2,0),"NO RECORD YET")</f>
        <v>NO RECORD YET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5" customHeight="1">
      <c r="A263" s="326">
        <v>254</v>
      </c>
      <c r="B263" s="327" t="s">
        <v>2420</v>
      </c>
      <c r="C263" s="327" t="s">
        <v>39</v>
      </c>
      <c r="D263" s="326" t="s">
        <v>96</v>
      </c>
      <c r="E263" s="328" t="s">
        <v>2426</v>
      </c>
      <c r="F263" s="328" t="s">
        <v>2427</v>
      </c>
      <c r="G263" s="328" t="s">
        <v>2428</v>
      </c>
      <c r="H263" s="314"/>
      <c r="I263" s="328" t="s">
        <v>2848</v>
      </c>
      <c r="J263" s="329" t="s">
        <v>2429</v>
      </c>
      <c r="K263" s="331" t="s">
        <v>2430</v>
      </c>
      <c r="L263" s="2"/>
      <c r="M263" s="2"/>
      <c r="N263" s="2"/>
      <c r="O263" s="2"/>
      <c r="P263" s="325" t="str">
        <f t="shared" si="9"/>
        <v>TUBA GLORELYN GADIANE</v>
      </c>
      <c r="Q263" s="332" t="str">
        <f>IFERROR(VLOOKUP(P261,[1]Disposition!$AB$9:$AC$495,2,0),"NO RECORD YET")</f>
        <v>3-D Mother Theresa St., Brgy. 9-A (Pob.) Davao City, Davao Del Sur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5" customHeight="1">
      <c r="A264" s="326">
        <v>255</v>
      </c>
      <c r="B264" s="327" t="s">
        <v>2420</v>
      </c>
      <c r="C264" s="327" t="s">
        <v>19</v>
      </c>
      <c r="D264" s="326" t="s">
        <v>24</v>
      </c>
      <c r="E264" s="328" t="s">
        <v>2431</v>
      </c>
      <c r="F264" s="328" t="s">
        <v>2432</v>
      </c>
      <c r="G264" s="328" t="s">
        <v>2433</v>
      </c>
      <c r="H264" s="314"/>
      <c r="I264" s="328" t="s">
        <v>2849</v>
      </c>
      <c r="J264" s="329" t="s">
        <v>2434</v>
      </c>
      <c r="K264" s="331" t="s">
        <v>2435</v>
      </c>
      <c r="L264" s="2"/>
      <c r="M264" s="2"/>
      <c r="N264" s="2"/>
      <c r="O264" s="2"/>
      <c r="P264" s="325" t="str">
        <f t="shared" si="9"/>
        <v>ANGELES MARK DANIEL MAMITAG</v>
      </c>
      <c r="Q264" s="332" t="str">
        <f>IFERROR(VLOOKUP(P262,[1]Disposition!$AB$9:$AC$495,2,0),"NO RECORD YET")</f>
        <v>Phase 8, Blk 7, Lot 30, Deca Homes, Tacunan, Davao City, Davao Del Sur, 8000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5" customHeight="1">
      <c r="A265" s="326">
        <v>256</v>
      </c>
      <c r="B265" s="327" t="s">
        <v>2420</v>
      </c>
      <c r="C265" s="327" t="s">
        <v>39</v>
      </c>
      <c r="D265" s="326" t="s">
        <v>24</v>
      </c>
      <c r="E265" s="328" t="s">
        <v>1973</v>
      </c>
      <c r="F265" s="328" t="s">
        <v>1974</v>
      </c>
      <c r="G265" s="328" t="s">
        <v>538</v>
      </c>
      <c r="H265" s="314"/>
      <c r="I265" s="328" t="s">
        <v>2849</v>
      </c>
      <c r="J265" s="312"/>
      <c r="K265" s="333"/>
      <c r="L265" s="2"/>
      <c r="M265" s="2"/>
      <c r="N265" s="2"/>
      <c r="O265" s="2"/>
      <c r="P265" s="325" t="str">
        <f t="shared" si="9"/>
        <v>LABIAGA PERLIE MALAKI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5" customHeight="1">
      <c r="A266" s="326">
        <v>257</v>
      </c>
      <c r="B266" s="327" t="s">
        <v>2420</v>
      </c>
      <c r="C266" s="327" t="s">
        <v>19</v>
      </c>
      <c r="D266" s="326" t="s">
        <v>28</v>
      </c>
      <c r="E266" s="328" t="s">
        <v>2436</v>
      </c>
      <c r="F266" s="328" t="s">
        <v>2437</v>
      </c>
      <c r="G266" s="328" t="s">
        <v>2438</v>
      </c>
      <c r="H266" s="314"/>
      <c r="I266" s="328" t="s">
        <v>2849</v>
      </c>
      <c r="J266" s="329" t="s">
        <v>1510</v>
      </c>
      <c r="K266" s="331" t="s">
        <v>2439</v>
      </c>
      <c r="L266" s="2"/>
      <c r="M266" s="2"/>
      <c r="N266" s="2"/>
      <c r="O266" s="2"/>
      <c r="P266" s="325" t="str">
        <f t="shared" si="9"/>
        <v>ARLES VINZELL ROMANO</v>
      </c>
      <c r="Q266" s="332" t="str">
        <f>IFERROR(VLOOKUP(P264,[1]Disposition!$AB$9:$AC$495,2,0),"NO RECORD YET")</f>
        <v>4A Jones St., Dulong Bayan 2, San Mateo, Rizal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5" customHeight="1">
      <c r="A267" s="326">
        <v>258</v>
      </c>
      <c r="B267" s="327" t="s">
        <v>2420</v>
      </c>
      <c r="C267" s="327" t="s">
        <v>19</v>
      </c>
      <c r="D267" s="326" t="s">
        <v>28</v>
      </c>
      <c r="E267" s="328" t="s">
        <v>177</v>
      </c>
      <c r="F267" s="328" t="s">
        <v>2440</v>
      </c>
      <c r="G267" s="328" t="s">
        <v>2441</v>
      </c>
      <c r="H267" s="314"/>
      <c r="I267" s="328" t="s">
        <v>2849</v>
      </c>
      <c r="J267" s="329" t="s">
        <v>2442</v>
      </c>
      <c r="K267" s="331" t="s">
        <v>2443</v>
      </c>
      <c r="L267" s="2"/>
      <c r="M267" s="2"/>
      <c r="N267" s="2"/>
      <c r="O267" s="2"/>
      <c r="P267" s="325" t="str">
        <f t="shared" si="9"/>
        <v>BUEZA JAMES VINCENT LLIDO</v>
      </c>
      <c r="Q267" s="332" t="str">
        <f>IFERROR(VLOOKUP(P265,[1]Disposition!$AB$9:$AC$495,2,0),"NO RECORD YET")</f>
        <v>NO RECORD YET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5" customHeight="1">
      <c r="A268" s="326">
        <v>259</v>
      </c>
      <c r="B268" s="327" t="s">
        <v>2420</v>
      </c>
      <c r="C268" s="327" t="s">
        <v>19</v>
      </c>
      <c r="D268" s="326" t="s">
        <v>28</v>
      </c>
      <c r="E268" s="328" t="s">
        <v>1038</v>
      </c>
      <c r="F268" s="328" t="s">
        <v>2444</v>
      </c>
      <c r="G268" s="328" t="s">
        <v>2445</v>
      </c>
      <c r="H268" s="314"/>
      <c r="I268" s="328" t="s">
        <v>2849</v>
      </c>
      <c r="J268" s="329" t="s">
        <v>2446</v>
      </c>
      <c r="K268" s="331" t="s">
        <v>2447</v>
      </c>
      <c r="L268" s="2"/>
      <c r="M268" s="2"/>
      <c r="N268" s="2"/>
      <c r="O268" s="2"/>
      <c r="P268" s="325" t="str">
        <f t="shared" si="9"/>
        <v>LOPEZ JAYVEE POCDOL</v>
      </c>
      <c r="Q268" s="332" t="str">
        <f>IFERROR(VLOOKUP(P266,[1]Disposition!$AB$9:$AC$495,2,0),"NO RECORD YET")</f>
        <v>NO RECORD YET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5" customHeight="1">
      <c r="A269" s="326">
        <v>260</v>
      </c>
      <c r="B269" s="327" t="s">
        <v>2420</v>
      </c>
      <c r="C269" s="327" t="s">
        <v>19</v>
      </c>
      <c r="D269" s="326" t="s">
        <v>28</v>
      </c>
      <c r="E269" s="328" t="s">
        <v>2448</v>
      </c>
      <c r="F269" s="328" t="s">
        <v>2449</v>
      </c>
      <c r="G269" s="328" t="s">
        <v>2450</v>
      </c>
      <c r="H269" s="314"/>
      <c r="I269" s="328" t="s">
        <v>2849</v>
      </c>
      <c r="J269" s="329" t="s">
        <v>2451</v>
      </c>
      <c r="K269" s="331" t="s">
        <v>2452</v>
      </c>
      <c r="L269" s="2"/>
      <c r="M269" s="2"/>
      <c r="N269" s="2"/>
      <c r="O269" s="2"/>
      <c r="P269" s="325" t="str">
        <f t="shared" si="9"/>
        <v>SALDIVAR ROMMEL JOHN GICANA</v>
      </c>
      <c r="Q269" s="332" t="str">
        <f>IFERROR(VLOOKUP(P267,[1]Disposition!$AB$9:$AC$495,2,0),"NO RECORD YET")</f>
        <v>B1-18 Dusnai Vill., Dumoy, Talomo (Pob.), Davao City, Davao Del Sur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5" customHeight="1">
      <c r="A270" s="326">
        <v>261</v>
      </c>
      <c r="B270" s="327" t="s">
        <v>2458</v>
      </c>
      <c r="C270" s="327" t="s">
        <v>19</v>
      </c>
      <c r="D270" s="326" t="s">
        <v>253</v>
      </c>
      <c r="E270" s="328" t="s">
        <v>2459</v>
      </c>
      <c r="F270" s="328" t="s">
        <v>2460</v>
      </c>
      <c r="G270" s="328" t="s">
        <v>636</v>
      </c>
      <c r="H270" s="326" t="s">
        <v>1105</v>
      </c>
      <c r="I270" s="328" t="s">
        <v>2848</v>
      </c>
      <c r="J270" s="329" t="s">
        <v>2461</v>
      </c>
      <c r="K270" s="331" t="s">
        <v>2462</v>
      </c>
      <c r="L270" s="2"/>
      <c r="M270" s="2"/>
      <c r="N270" s="2"/>
      <c r="O270" s="2"/>
      <c r="P270" s="325" t="str">
        <f t="shared" si="9"/>
        <v>HICBAN DIONISIO SANTOS</v>
      </c>
      <c r="Q270" s="332" t="str">
        <f>IFERROR(VLOOKUP(P268,[1]Disposition!$AB$9:$AC$495,2,0),"NO RECORD YET")</f>
        <v>NO RECORD YET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5" customHeight="1">
      <c r="A271" s="326">
        <v>262</v>
      </c>
      <c r="B271" s="327" t="s">
        <v>2458</v>
      </c>
      <c r="C271" s="327" t="s">
        <v>19</v>
      </c>
      <c r="D271" s="326" t="s">
        <v>246</v>
      </c>
      <c r="E271" s="328" t="s">
        <v>2463</v>
      </c>
      <c r="F271" s="328" t="s">
        <v>285</v>
      </c>
      <c r="G271" s="328" t="s">
        <v>2464</v>
      </c>
      <c r="H271" s="314"/>
      <c r="I271" s="328" t="s">
        <v>2848</v>
      </c>
      <c r="J271" s="312"/>
      <c r="K271" s="330" t="s">
        <v>2899</v>
      </c>
      <c r="L271" s="2"/>
      <c r="M271" s="2"/>
      <c r="N271" s="2"/>
      <c r="O271" s="2"/>
      <c r="P271" s="325" t="str">
        <f t="shared" si="9"/>
        <v>SUASIN ARIEL PINES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5" customHeight="1">
      <c r="A272" s="326">
        <v>263</v>
      </c>
      <c r="B272" s="327" t="s">
        <v>2458</v>
      </c>
      <c r="C272" s="327" t="s">
        <v>39</v>
      </c>
      <c r="D272" s="326" t="s">
        <v>1043</v>
      </c>
      <c r="E272" s="328" t="s">
        <v>2465</v>
      </c>
      <c r="F272" s="328" t="s">
        <v>2466</v>
      </c>
      <c r="G272" s="328" t="s">
        <v>2467</v>
      </c>
      <c r="H272" s="314"/>
      <c r="I272" s="328" t="s">
        <v>2849</v>
      </c>
      <c r="J272" s="329" t="s">
        <v>2468</v>
      </c>
      <c r="K272" s="331" t="s">
        <v>2469</v>
      </c>
      <c r="L272" s="2"/>
      <c r="M272" s="2"/>
      <c r="N272" s="2"/>
      <c r="O272" s="2"/>
      <c r="P272" s="325" t="str">
        <f t="shared" si="9"/>
        <v>DEITA ANN MARIE SOTOMIL</v>
      </c>
      <c r="Q272" s="332" t="str">
        <f>IFERROR(VLOOKUP(P270,[1]Disposition!$AB$9:$AC$495,2,0),"NO RECORD YET")</f>
        <v>B2 L17 Phase 1, Mabini St., Doña Soledad Subd. Labangal, General Santos City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5" customHeight="1">
      <c r="A273" s="326">
        <v>264</v>
      </c>
      <c r="B273" s="327" t="s">
        <v>2458</v>
      </c>
      <c r="C273" s="327" t="s">
        <v>39</v>
      </c>
      <c r="D273" s="326" t="s">
        <v>24</v>
      </c>
      <c r="E273" s="328" t="s">
        <v>2470</v>
      </c>
      <c r="F273" s="328" t="s">
        <v>2471</v>
      </c>
      <c r="G273" s="328" t="s">
        <v>2472</v>
      </c>
      <c r="H273" s="314"/>
      <c r="I273" s="328" t="s">
        <v>2849</v>
      </c>
      <c r="J273" s="312"/>
      <c r="K273" s="330" t="s">
        <v>2900</v>
      </c>
      <c r="L273" s="2"/>
      <c r="M273" s="2"/>
      <c r="N273" s="2"/>
      <c r="O273" s="2"/>
      <c r="P273" s="325" t="str">
        <f t="shared" si="9"/>
        <v>ELANGA STEPHANIE ERESE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5" customHeight="1">
      <c r="A274" s="326">
        <v>265</v>
      </c>
      <c r="B274" s="327" t="s">
        <v>2473</v>
      </c>
      <c r="C274" s="327" t="s">
        <v>19</v>
      </c>
      <c r="D274" s="326" t="s">
        <v>253</v>
      </c>
      <c r="E274" s="328" t="s">
        <v>2474</v>
      </c>
      <c r="F274" s="328" t="s">
        <v>1086</v>
      </c>
      <c r="G274" s="328" t="s">
        <v>2475</v>
      </c>
      <c r="H274" s="314"/>
      <c r="I274" s="328" t="s">
        <v>2848</v>
      </c>
      <c r="J274" s="329" t="s">
        <v>2476</v>
      </c>
      <c r="K274" s="331" t="s">
        <v>2477</v>
      </c>
      <c r="L274" s="2"/>
      <c r="M274" s="2"/>
      <c r="N274" s="2"/>
      <c r="O274" s="2"/>
      <c r="P274" s="325" t="str">
        <f t="shared" si="9"/>
        <v>CABILOS ROBERT MONTALBAN</v>
      </c>
      <c r="Q274" s="332" t="str">
        <f>IFERROR(VLOOKUP(P272,[1]Disposition!$AB$9:$AC$495,2,0),"NO RECORD YET")</f>
        <v>Purok Sampaguita, Poblacion, Norala, South Cotabato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5" customHeight="1">
      <c r="A275" s="326">
        <v>266</v>
      </c>
      <c r="B275" s="327" t="s">
        <v>2473</v>
      </c>
      <c r="C275" s="327" t="s">
        <v>19</v>
      </c>
      <c r="D275" s="326" t="s">
        <v>96</v>
      </c>
      <c r="E275" s="328" t="s">
        <v>2397</v>
      </c>
      <c r="F275" s="328" t="s">
        <v>2398</v>
      </c>
      <c r="G275" s="328" t="s">
        <v>2399</v>
      </c>
      <c r="H275" s="314"/>
      <c r="I275" s="328" t="s">
        <v>2848</v>
      </c>
      <c r="J275" s="329" t="s">
        <v>2400</v>
      </c>
      <c r="K275" s="331" t="s">
        <v>2401</v>
      </c>
      <c r="L275" s="2"/>
      <c r="M275" s="2"/>
      <c r="N275" s="2"/>
      <c r="O275" s="2"/>
      <c r="P275" s="325" t="str">
        <f t="shared" si="9"/>
        <v>MACATOL GEORGE GALITO</v>
      </c>
      <c r="Q275" s="332" t="str">
        <f>IFERROR(VLOOKUP(P273,[1]Disposition!$AB$9:$AC$495,2,0),"NO RECORD YET")</f>
        <v>NO RECORD YET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5" customHeight="1">
      <c r="A276" s="326">
        <v>267</v>
      </c>
      <c r="B276" s="327" t="s">
        <v>2473</v>
      </c>
      <c r="C276" s="327" t="s">
        <v>19</v>
      </c>
      <c r="D276" s="326" t="s">
        <v>644</v>
      </c>
      <c r="E276" s="328" t="s">
        <v>2478</v>
      </c>
      <c r="F276" s="328" t="s">
        <v>2479</v>
      </c>
      <c r="G276" s="328" t="s">
        <v>2480</v>
      </c>
      <c r="H276" s="314"/>
      <c r="I276" s="328" t="s">
        <v>2849</v>
      </c>
      <c r="J276" s="329" t="s">
        <v>2481</v>
      </c>
      <c r="K276" s="331" t="s">
        <v>2482</v>
      </c>
      <c r="L276" s="2"/>
      <c r="M276" s="2"/>
      <c r="N276" s="2"/>
      <c r="O276" s="2"/>
      <c r="P276" s="325" t="str">
        <f t="shared" si="9"/>
        <v>COMON RAQUIL MANATAD</v>
      </c>
      <c r="Q276" s="332" t="str">
        <f>IFERROR(VLOOKUP(P288,[1]Disposition!$AB$9:$AC$495,2,0),"NO RECORD YET")</f>
        <v>102-C Mudjahidin St., Salam Compound, Culiat, Tandang Sora, Quezon City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5" customHeight="1">
      <c r="A277" s="326">
        <v>268</v>
      </c>
      <c r="B277" s="327" t="s">
        <v>2473</v>
      </c>
      <c r="C277" s="327" t="s">
        <v>19</v>
      </c>
      <c r="D277" s="326" t="s">
        <v>28</v>
      </c>
      <c r="E277" s="328" t="s">
        <v>2483</v>
      </c>
      <c r="F277" s="328" t="s">
        <v>2484</v>
      </c>
      <c r="G277" s="328" t="s">
        <v>2485</v>
      </c>
      <c r="H277" s="314"/>
      <c r="I277" s="328" t="s">
        <v>2849</v>
      </c>
      <c r="J277" s="329" t="s">
        <v>2486</v>
      </c>
      <c r="K277" s="331" t="s">
        <v>2487</v>
      </c>
      <c r="L277" s="2"/>
      <c r="M277" s="2"/>
      <c r="N277" s="2"/>
      <c r="O277" s="2"/>
      <c r="P277" s="325" t="str">
        <f t="shared" si="9"/>
        <v>ALABA NIEL CAGAMPANG</v>
      </c>
      <c r="Q277" s="332" t="str">
        <f>IFERROR(VLOOKUP(P274,[1]Disposition!$AB$9:$AC$495,2,0),"NO RECORD YET")</f>
        <v>St. Paul St., Janssenville Subd., Taytay, Rizal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5" customHeight="1">
      <c r="A278" s="326">
        <v>269</v>
      </c>
      <c r="B278" s="327" t="s">
        <v>2488</v>
      </c>
      <c r="C278" s="327" t="s">
        <v>19</v>
      </c>
      <c r="D278" s="326" t="s">
        <v>96</v>
      </c>
      <c r="E278" s="328" t="s">
        <v>2489</v>
      </c>
      <c r="F278" s="328" t="s">
        <v>754</v>
      </c>
      <c r="G278" s="328" t="s">
        <v>2490</v>
      </c>
      <c r="H278" s="314"/>
      <c r="I278" s="328" t="s">
        <v>2848</v>
      </c>
      <c r="J278" s="329" t="s">
        <v>2491</v>
      </c>
      <c r="K278" s="331" t="s">
        <v>2492</v>
      </c>
      <c r="L278" s="2"/>
      <c r="M278" s="2"/>
      <c r="N278" s="2"/>
      <c r="O278" s="2"/>
      <c r="P278" s="325" t="str">
        <f t="shared" si="9"/>
        <v>BUMAL-O RYAN BALDO</v>
      </c>
      <c r="Q278" s="332" t="str">
        <f>IFERROR(VLOOKUP(P275,[1]Disposition!$AB$9:$AC$495,2,0),"NO RECORD YET")</f>
        <v>Zone 6, Capisnon, Kauswagan, Cagayan de Oro City), Misamis Oriental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5" customHeight="1">
      <c r="A279" s="326">
        <v>270</v>
      </c>
      <c r="B279" s="327" t="s">
        <v>2488</v>
      </c>
      <c r="C279" s="327" t="s">
        <v>19</v>
      </c>
      <c r="D279" s="326" t="s">
        <v>96</v>
      </c>
      <c r="E279" s="328" t="s">
        <v>2493</v>
      </c>
      <c r="F279" s="328" t="s">
        <v>2494</v>
      </c>
      <c r="G279" s="328" t="s">
        <v>814</v>
      </c>
      <c r="H279" s="314"/>
      <c r="I279" s="328" t="s">
        <v>2848</v>
      </c>
      <c r="J279" s="329" t="s">
        <v>2495</v>
      </c>
      <c r="K279" s="331" t="s">
        <v>2496</v>
      </c>
      <c r="L279" s="2"/>
      <c r="M279" s="2"/>
      <c r="N279" s="2"/>
      <c r="O279" s="2"/>
      <c r="P279" s="325" t="str">
        <f t="shared" si="9"/>
        <v>KELLY CARTNER RHYSE PASCUAL</v>
      </c>
      <c r="Q279" s="332" t="str">
        <f>IFERROR(VLOOKUP(P277,[1]Disposition!$AB$9:$AC$495,2,0),"NO RECORD YET")</f>
        <v>Lower, Dumarait, Balingasag, Misamis Oriental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5" customHeight="1">
      <c r="A280" s="326">
        <v>271</v>
      </c>
      <c r="B280" s="327" t="s">
        <v>2488</v>
      </c>
      <c r="C280" s="327" t="s">
        <v>19</v>
      </c>
      <c r="D280" s="326" t="s">
        <v>96</v>
      </c>
      <c r="E280" s="328" t="s">
        <v>2497</v>
      </c>
      <c r="F280" s="328" t="s">
        <v>2498</v>
      </c>
      <c r="G280" s="328" t="s">
        <v>2499</v>
      </c>
      <c r="H280" s="314"/>
      <c r="I280" s="328" t="s">
        <v>2848</v>
      </c>
      <c r="J280" s="329" t="s">
        <v>2500</v>
      </c>
      <c r="K280" s="331" t="s">
        <v>2501</v>
      </c>
      <c r="L280" s="2"/>
      <c r="M280" s="2"/>
      <c r="N280" s="2"/>
      <c r="O280" s="2"/>
      <c r="P280" s="325" t="str">
        <f t="shared" si="9"/>
        <v>LAOYAN SILVER MARK TALLASE</v>
      </c>
      <c r="Q280" s="332" t="str">
        <f>IFERROR(VLOOKUP(P278,[1]Disposition!$AB$9:$AC$495,2,0),"NO RECORD YET")</f>
        <v>81 Purok 8, Bakakeng Norte, Baguio City, Benguet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5" customHeight="1">
      <c r="A281" s="326">
        <v>272</v>
      </c>
      <c r="B281" s="327" t="s">
        <v>2488</v>
      </c>
      <c r="C281" s="327" t="s">
        <v>39</v>
      </c>
      <c r="D281" s="326" t="s">
        <v>24</v>
      </c>
      <c r="E281" s="328" t="s">
        <v>2044</v>
      </c>
      <c r="F281" s="328" t="s">
        <v>2502</v>
      </c>
      <c r="G281" s="328" t="s">
        <v>2503</v>
      </c>
      <c r="H281" s="314"/>
      <c r="I281" s="328" t="s">
        <v>2849</v>
      </c>
      <c r="J281" s="329" t="s">
        <v>2504</v>
      </c>
      <c r="K281" s="331" t="s">
        <v>2505</v>
      </c>
      <c r="L281" s="2"/>
      <c r="M281" s="2"/>
      <c r="N281" s="2"/>
      <c r="O281" s="2"/>
      <c r="P281" s="325" t="str">
        <f t="shared" si="9"/>
        <v>MARQUEZ MARISOL BALASON</v>
      </c>
      <c r="Q281" s="332" t="str">
        <f>IFERROR(VLOOKUP(P279,[1]Disposition!$AB$9:$AC$495,2,0),"NO RECORD YET")</f>
        <v>8 Purok 27, Irisan, Baguio City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5" customHeight="1">
      <c r="A282" s="326">
        <v>273</v>
      </c>
      <c r="B282" s="327" t="s">
        <v>2488</v>
      </c>
      <c r="C282" s="327" t="s">
        <v>39</v>
      </c>
      <c r="D282" s="326" t="s">
        <v>24</v>
      </c>
      <c r="E282" s="328" t="s">
        <v>2506</v>
      </c>
      <c r="F282" s="328" t="s">
        <v>2507</v>
      </c>
      <c r="G282" s="328" t="s">
        <v>2508</v>
      </c>
      <c r="H282" s="314"/>
      <c r="I282" s="328" t="s">
        <v>2849</v>
      </c>
      <c r="J282" s="329" t="s">
        <v>2509</v>
      </c>
      <c r="K282" s="331" t="s">
        <v>2510</v>
      </c>
      <c r="L282" s="2"/>
      <c r="M282" s="2"/>
      <c r="N282" s="2"/>
      <c r="O282" s="2"/>
      <c r="P282" s="325" t="str">
        <f t="shared" si="9"/>
        <v>SAGGOT FREDA AMMAGAY</v>
      </c>
      <c r="Q282" s="332" t="str">
        <f>IFERROR(VLOOKUP(P280,[1]Disposition!$AB$9:$AC$495,2,0),"NO RECORD YET")</f>
        <v>Purok 25, Irisan, Bagiuo City, Benguet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5" customHeight="1">
      <c r="A283" s="326">
        <v>274</v>
      </c>
      <c r="B283" s="327" t="s">
        <v>2488</v>
      </c>
      <c r="C283" s="327" t="s">
        <v>19</v>
      </c>
      <c r="D283" s="326" t="s">
        <v>28</v>
      </c>
      <c r="E283" s="328" t="s">
        <v>2515</v>
      </c>
      <c r="F283" s="328" t="s">
        <v>2516</v>
      </c>
      <c r="G283" s="328" t="s">
        <v>2517</v>
      </c>
      <c r="H283" s="314"/>
      <c r="I283" s="328" t="s">
        <v>2901</v>
      </c>
      <c r="J283" s="329" t="s">
        <v>2518</v>
      </c>
      <c r="K283" s="331" t="s">
        <v>2519</v>
      </c>
      <c r="L283" s="2"/>
      <c r="M283" s="2"/>
      <c r="N283" s="2"/>
      <c r="O283" s="2"/>
      <c r="P283" s="325" t="str">
        <f t="shared" si="9"/>
        <v>FONSICA VILMER GUILOAN</v>
      </c>
      <c r="Q283" s="332" t="str">
        <f>IFERROR(VLOOKUP(P281,[1]Disposition!$AB$9:$AC$495,2,0),"NO RECORD YET")</f>
        <v>#281 Feeder Rd II, Brgy Unzad, Villasis, Pangasinan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5" customHeight="1">
      <c r="A284" s="326">
        <v>275</v>
      </c>
      <c r="B284" s="327" t="s">
        <v>2488</v>
      </c>
      <c r="C284" s="327" t="s">
        <v>19</v>
      </c>
      <c r="D284" s="326" t="s">
        <v>28</v>
      </c>
      <c r="E284" s="328" t="s">
        <v>2520</v>
      </c>
      <c r="F284" s="328" t="s">
        <v>2521</v>
      </c>
      <c r="G284" s="328" t="s">
        <v>2522</v>
      </c>
      <c r="H284" s="314"/>
      <c r="I284" s="328" t="s">
        <v>2901</v>
      </c>
      <c r="J284" s="329" t="s">
        <v>2523</v>
      </c>
      <c r="K284" s="331" t="s">
        <v>2524</v>
      </c>
      <c r="L284" s="2"/>
      <c r="M284" s="2"/>
      <c r="N284" s="2"/>
      <c r="O284" s="2"/>
      <c r="P284" s="325" t="str">
        <f t="shared" si="9"/>
        <v>PATERNO JEFFREY PAUS</v>
      </c>
      <c r="Q284" s="332" t="str">
        <f>IFERROR(VLOOKUP(P282,[1]Disposition!$AB$9:$AC$495,2,0),"NO RECORD YET")</f>
        <v>Luplupa, Tinglayan, Kalinga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5" customHeight="1">
      <c r="A285" s="326">
        <v>276</v>
      </c>
      <c r="B285" s="327" t="s">
        <v>2902</v>
      </c>
      <c r="C285" s="327" t="s">
        <v>39</v>
      </c>
      <c r="D285" s="326" t="s">
        <v>28</v>
      </c>
      <c r="E285" s="328" t="s">
        <v>2438</v>
      </c>
      <c r="F285" s="328" t="s">
        <v>2511</v>
      </c>
      <c r="G285" s="328" t="s">
        <v>2512</v>
      </c>
      <c r="H285" s="314"/>
      <c r="I285" s="328" t="s">
        <v>2901</v>
      </c>
      <c r="J285" s="329" t="s">
        <v>2513</v>
      </c>
      <c r="K285" s="331" t="s">
        <v>2514</v>
      </c>
      <c r="L285" s="2"/>
      <c r="M285" s="2"/>
      <c r="N285" s="2"/>
      <c r="O285" s="2"/>
      <c r="P285" s="332" t="e">
        <f>CONCATENATE(G285," ",F285," ",#REF!)</f>
        <v>#REF!</v>
      </c>
      <c r="Q285" s="332" t="str">
        <f>IFERROR(VLOOKUP(P283,[1]Disposition!$AB$9:$AC$495,2,0),"NO RECORD YET")</f>
        <v>NO RECORD YET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5" customHeight="1">
      <c r="A286" s="326">
        <v>277</v>
      </c>
      <c r="B286" s="327" t="s">
        <v>2525</v>
      </c>
      <c r="C286" s="327" t="s">
        <v>19</v>
      </c>
      <c r="D286" s="326" t="s">
        <v>96</v>
      </c>
      <c r="E286" s="328" t="s">
        <v>2526</v>
      </c>
      <c r="F286" s="328" t="s">
        <v>2527</v>
      </c>
      <c r="G286" s="328" t="s">
        <v>2528</v>
      </c>
      <c r="H286" s="314"/>
      <c r="I286" s="328" t="s">
        <v>2848</v>
      </c>
      <c r="J286" s="329" t="s">
        <v>2529</v>
      </c>
      <c r="K286" s="331" t="s">
        <v>2530</v>
      </c>
      <c r="L286" s="2"/>
      <c r="M286" s="2"/>
      <c r="N286" s="2"/>
      <c r="O286" s="2"/>
      <c r="P286" s="325" t="str">
        <f t="shared" ref="P286:P293" si="10">CONCATENATE(E286," ",F286," ",G286)</f>
        <v>CORDON ANDREO BISIN</v>
      </c>
      <c r="Q286" s="332" t="str">
        <f>IFERROR(VLOOKUP(P284,[1]Disposition!$AB$9:$AC$495,2,0),"NO RECORD YET")</f>
        <v>NO RECORD YET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5" customHeight="1">
      <c r="A287" s="326">
        <v>278</v>
      </c>
      <c r="B287" s="327" t="s">
        <v>2525</v>
      </c>
      <c r="C287" s="327" t="s">
        <v>19</v>
      </c>
      <c r="D287" s="326" t="s">
        <v>96</v>
      </c>
      <c r="E287" s="328" t="s">
        <v>2531</v>
      </c>
      <c r="F287" s="328" t="s">
        <v>1440</v>
      </c>
      <c r="G287" s="328" t="s">
        <v>2532</v>
      </c>
      <c r="H287" s="314"/>
      <c r="I287" s="328" t="s">
        <v>2848</v>
      </c>
      <c r="J287" s="329" t="s">
        <v>2533</v>
      </c>
      <c r="K287" s="330" t="s">
        <v>2903</v>
      </c>
      <c r="L287" s="2"/>
      <c r="M287" s="2"/>
      <c r="N287" s="2"/>
      <c r="O287" s="2"/>
      <c r="P287" s="325" t="str">
        <f t="shared" si="10"/>
        <v>NADERA JOSHUA SABATE</v>
      </c>
      <c r="Q287" s="332" t="str">
        <f>IFERROR(VLOOKUP(P285,[1]Disposition!$AB$9:$AC$495,2,0),"NO RECORD YET")</f>
        <v>NO RECORD YET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5" customHeight="1">
      <c r="A288" s="326">
        <v>279</v>
      </c>
      <c r="B288" s="327" t="s">
        <v>2525</v>
      </c>
      <c r="C288" s="327" t="s">
        <v>19</v>
      </c>
      <c r="D288" s="326" t="s">
        <v>366</v>
      </c>
      <c r="E288" s="328" t="s">
        <v>513</v>
      </c>
      <c r="F288" s="328" t="s">
        <v>2534</v>
      </c>
      <c r="G288" s="328" t="s">
        <v>914</v>
      </c>
      <c r="H288" s="314"/>
      <c r="I288" s="328" t="s">
        <v>2849</v>
      </c>
      <c r="J288" s="329" t="s">
        <v>2535</v>
      </c>
      <c r="K288" s="331" t="s">
        <v>2536</v>
      </c>
      <c r="L288" s="2"/>
      <c r="M288" s="2"/>
      <c r="N288" s="2"/>
      <c r="O288" s="2"/>
      <c r="P288" s="325" t="str">
        <f t="shared" si="10"/>
        <v>LIM BENEDICT LEE</v>
      </c>
      <c r="Q288" s="332" t="str">
        <f>IFERROR(VLOOKUP(P104,[1]Disposition!$AB$9:$AC$495,2,0),"NO RECORD YET")</f>
        <v>P3 Brgy. Ems Barrio, Legaspi City, Albay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5" customHeight="1">
      <c r="A289" s="326">
        <v>280</v>
      </c>
      <c r="B289" s="327" t="s">
        <v>2525</v>
      </c>
      <c r="C289" s="327" t="s">
        <v>19</v>
      </c>
      <c r="D289" s="326" t="s">
        <v>24</v>
      </c>
      <c r="E289" s="328" t="s">
        <v>2537</v>
      </c>
      <c r="F289" s="328" t="s">
        <v>2374</v>
      </c>
      <c r="G289" s="328" t="s">
        <v>2538</v>
      </c>
      <c r="H289" s="314"/>
      <c r="I289" s="328" t="s">
        <v>2849</v>
      </c>
      <c r="J289" s="329" t="s">
        <v>2539</v>
      </c>
      <c r="K289" s="331" t="s">
        <v>2540</v>
      </c>
      <c r="L289" s="2"/>
      <c r="M289" s="2"/>
      <c r="N289" s="2"/>
      <c r="O289" s="2"/>
      <c r="P289" s="325" t="str">
        <f t="shared" si="10"/>
        <v>SUGUITAN FREDIMAR PATTUNG</v>
      </c>
      <c r="Q289" s="332" t="str">
        <f>IFERROR(VLOOKUP(P286,[1]Disposition!$AB$9:$AC$495,2,0),"NO RECORD YET")</f>
        <v>Camp BGen Salipada K Pendatun, Making, Parang, Maguindanao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5" customHeight="1">
      <c r="A290" s="326">
        <v>281</v>
      </c>
      <c r="B290" s="327" t="s">
        <v>2525</v>
      </c>
      <c r="C290" s="327" t="s">
        <v>19</v>
      </c>
      <c r="D290" s="326" t="s">
        <v>28</v>
      </c>
      <c r="E290" s="328" t="s">
        <v>2541</v>
      </c>
      <c r="F290" s="328" t="s">
        <v>2542</v>
      </c>
      <c r="G290" s="328" t="s">
        <v>2543</v>
      </c>
      <c r="H290" s="314"/>
      <c r="I290" s="328" t="s">
        <v>2849</v>
      </c>
      <c r="J290" s="329" t="s">
        <v>2544</v>
      </c>
      <c r="K290" s="331" t="s">
        <v>2545</v>
      </c>
      <c r="L290" s="2"/>
      <c r="M290" s="2"/>
      <c r="N290" s="2"/>
      <c r="O290" s="2"/>
      <c r="P290" s="325" t="str">
        <f t="shared" si="10"/>
        <v>DIRINDIGEN MORSI MACABNGKAS</v>
      </c>
      <c r="Q290" s="332" t="str">
        <f>IFERROR(VLOOKUP(P287,[1]Disposition!$AB$9:$AC$495,2,0),"NO RECORD YET")</f>
        <v>NO RECORD YET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5" customHeight="1">
      <c r="A291" s="326">
        <v>282</v>
      </c>
      <c r="B291" s="327" t="s">
        <v>2525</v>
      </c>
      <c r="C291" s="327" t="s">
        <v>19</v>
      </c>
      <c r="D291" s="326" t="s">
        <v>28</v>
      </c>
      <c r="E291" s="328" t="s">
        <v>1975</v>
      </c>
      <c r="F291" s="328" t="s">
        <v>603</v>
      </c>
      <c r="G291" s="328" t="s">
        <v>1976</v>
      </c>
      <c r="H291" s="314"/>
      <c r="I291" s="328" t="s">
        <v>2849</v>
      </c>
      <c r="J291" s="329" t="s">
        <v>1977</v>
      </c>
      <c r="K291" s="331" t="s">
        <v>1978</v>
      </c>
      <c r="L291" s="2"/>
      <c r="M291" s="2"/>
      <c r="N291" s="2"/>
      <c r="O291" s="2"/>
      <c r="P291" s="325" t="str">
        <f t="shared" si="10"/>
        <v>ELOPRE JOHN PAUL GRAJIDO</v>
      </c>
      <c r="Q291" s="332" t="str">
        <f>IFERROR(VLOOKUP(P289,[1]Disposition!$AB$9:$AC$495,2,0),"NO RECORD YET")</f>
        <v>Poblacion, Baggao, Cagayan Valley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5" customHeight="1">
      <c r="A292" s="326">
        <v>283</v>
      </c>
      <c r="B292" s="327" t="s">
        <v>2525</v>
      </c>
      <c r="C292" s="327" t="s">
        <v>39</v>
      </c>
      <c r="D292" s="326" t="s">
        <v>28</v>
      </c>
      <c r="E292" s="328" t="s">
        <v>2546</v>
      </c>
      <c r="F292" s="328" t="s">
        <v>2547</v>
      </c>
      <c r="G292" s="328" t="s">
        <v>2548</v>
      </c>
      <c r="H292" s="314"/>
      <c r="I292" s="328" t="s">
        <v>2849</v>
      </c>
      <c r="J292" s="329" t="s">
        <v>2549</v>
      </c>
      <c r="K292" s="331" t="s">
        <v>2550</v>
      </c>
      <c r="L292" s="2"/>
      <c r="M292" s="2"/>
      <c r="N292" s="2"/>
      <c r="O292" s="2"/>
      <c r="P292" s="325" t="str">
        <f t="shared" si="10"/>
        <v>HASANBASA NURMIHAR SABDANI</v>
      </c>
      <c r="Q292" s="332" t="str">
        <f>IFERROR(VLOOKUP(P290,[1]Disposition!$AB$9:$AC$495,2,0),"NO RECORD YET")</f>
        <v>NO RECORD YET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5" customHeight="1">
      <c r="A293" s="326">
        <v>284</v>
      </c>
      <c r="B293" s="327" t="s">
        <v>2525</v>
      </c>
      <c r="C293" s="327" t="s">
        <v>39</v>
      </c>
      <c r="D293" s="326" t="s">
        <v>28</v>
      </c>
      <c r="E293" s="328" t="s">
        <v>2551</v>
      </c>
      <c r="F293" s="328" t="s">
        <v>2552</v>
      </c>
      <c r="G293" s="328" t="s">
        <v>2553</v>
      </c>
      <c r="H293" s="314"/>
      <c r="I293" s="328" t="s">
        <v>2849</v>
      </c>
      <c r="J293" s="329" t="s">
        <v>2554</v>
      </c>
      <c r="K293" s="331" t="s">
        <v>2555</v>
      </c>
      <c r="L293" s="2"/>
      <c r="M293" s="2"/>
      <c r="N293" s="2"/>
      <c r="O293" s="2"/>
      <c r="P293" s="325" t="str">
        <f t="shared" si="10"/>
        <v>TRINIDAD NOHVILENE MAR BELDIA</v>
      </c>
      <c r="Q293" s="332" t="str">
        <f>IFERROR(VLOOKUP(P291,[1]Disposition!$AB$9:$AC$495,2,0),"NO RECORD YET")</f>
        <v>NO RECORD YET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5" customHeight="1">
      <c r="A294" s="326">
        <v>285</v>
      </c>
      <c r="B294" s="327" t="s">
        <v>801</v>
      </c>
      <c r="C294" s="327" t="s">
        <v>19</v>
      </c>
      <c r="D294" s="326" t="s">
        <v>20</v>
      </c>
      <c r="E294" s="328" t="s">
        <v>802</v>
      </c>
      <c r="F294" s="328" t="s">
        <v>803</v>
      </c>
      <c r="G294" s="328" t="s">
        <v>804</v>
      </c>
      <c r="H294" s="326" t="s">
        <v>268</v>
      </c>
      <c r="I294" s="328" t="s">
        <v>1928</v>
      </c>
      <c r="J294" s="329" t="s">
        <v>805</v>
      </c>
      <c r="K294" s="331" t="s">
        <v>806</v>
      </c>
      <c r="L294" s="335">
        <f>2024-87</f>
        <v>1937</v>
      </c>
      <c r="M294" s="2"/>
      <c r="N294" s="2"/>
      <c r="O294" s="2"/>
      <c r="P294" s="332" t="e">
        <f>CONCATENATE(#REF!," ",#REF!," ",#REF!)</f>
        <v>#REF!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5" customHeight="1">
      <c r="A295" s="326">
        <v>286</v>
      </c>
      <c r="B295" s="327" t="s">
        <v>801</v>
      </c>
      <c r="C295" s="327" t="s">
        <v>39</v>
      </c>
      <c r="D295" s="326" t="s">
        <v>160</v>
      </c>
      <c r="E295" s="328" t="s">
        <v>807</v>
      </c>
      <c r="F295" s="328" t="s">
        <v>808</v>
      </c>
      <c r="G295" s="328" t="s">
        <v>809</v>
      </c>
      <c r="H295" s="314"/>
      <c r="I295" s="328" t="s">
        <v>2904</v>
      </c>
      <c r="J295" s="329" t="s">
        <v>810</v>
      </c>
      <c r="K295" s="331" t="s">
        <v>811</v>
      </c>
      <c r="L295" s="2"/>
      <c r="M295" s="2"/>
      <c r="N295" s="2"/>
      <c r="O295" s="2"/>
      <c r="P295" s="325" t="str">
        <f t="shared" ref="P295:P334" si="11">CONCATENATE(E295," ",F295," ",G295)</f>
        <v>SUCGANG ROSE ANNE ROXAS</v>
      </c>
      <c r="Q295" s="332" t="str">
        <f>IFERROR(VLOOKUP(P293,[1]Disposition!$AB$9:$AC$495,2,0),"NO RECORD YET")</f>
        <v>NO RECORD YET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5" customHeight="1">
      <c r="A296" s="326">
        <v>287</v>
      </c>
      <c r="B296" s="327" t="s">
        <v>801</v>
      </c>
      <c r="C296" s="327" t="s">
        <v>19</v>
      </c>
      <c r="D296" s="326" t="s">
        <v>277</v>
      </c>
      <c r="E296" s="328" t="s">
        <v>812</v>
      </c>
      <c r="F296" s="328" t="s">
        <v>813</v>
      </c>
      <c r="G296" s="328" t="s">
        <v>814</v>
      </c>
      <c r="H296" s="314"/>
      <c r="I296" s="328" t="s">
        <v>2905</v>
      </c>
      <c r="J296" s="329" t="s">
        <v>815</v>
      </c>
      <c r="K296" s="331" t="s">
        <v>816</v>
      </c>
      <c r="L296" s="2"/>
      <c r="M296" s="2"/>
      <c r="N296" s="2"/>
      <c r="O296" s="2"/>
      <c r="P296" s="325" t="str">
        <f t="shared" si="11"/>
        <v>MELCHOR JUNVI PASCUAL</v>
      </c>
      <c r="Q296" s="332" t="str">
        <f>IFERROR(VLOOKUP(P294,[1]Disposition!$AB$9:$AC$495,2,0),"NO RECORD YET")</f>
        <v>NO RECORD YET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5" customHeight="1">
      <c r="A297" s="326">
        <v>288</v>
      </c>
      <c r="B297" s="327" t="s">
        <v>801</v>
      </c>
      <c r="C297" s="327" t="s">
        <v>19</v>
      </c>
      <c r="D297" s="326" t="s">
        <v>366</v>
      </c>
      <c r="E297" s="328" t="s">
        <v>367</v>
      </c>
      <c r="F297" s="328" t="s">
        <v>368</v>
      </c>
      <c r="G297" s="328" t="s">
        <v>369</v>
      </c>
      <c r="H297" s="314"/>
      <c r="I297" s="328" t="s">
        <v>2802</v>
      </c>
      <c r="J297" s="329" t="s">
        <v>370</v>
      </c>
      <c r="K297" s="331" t="s">
        <v>371</v>
      </c>
      <c r="L297" s="2"/>
      <c r="M297" s="2"/>
      <c r="N297" s="2"/>
      <c r="O297" s="2"/>
      <c r="P297" s="325" t="str">
        <f t="shared" si="11"/>
        <v>TACTAY HENRY GOLINO</v>
      </c>
      <c r="Q297" s="332" t="str">
        <f>IFERROR(VLOOKUP(P247,[1]Disposition!$AB$9:$AC$495,2,0),"NO RECORD YET")</f>
        <v>PRO9 IT Office, Camp Abendan, Mercedes, Zaboanga City, Zamboanga Del Sur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5" customHeight="1">
      <c r="A298" s="326">
        <v>289</v>
      </c>
      <c r="B298" s="327" t="s">
        <v>801</v>
      </c>
      <c r="C298" s="327" t="s">
        <v>39</v>
      </c>
      <c r="D298" s="326" t="s">
        <v>24</v>
      </c>
      <c r="E298" s="328" t="s">
        <v>825</v>
      </c>
      <c r="F298" s="328" t="s">
        <v>826</v>
      </c>
      <c r="G298" s="328" t="s">
        <v>827</v>
      </c>
      <c r="H298" s="314"/>
      <c r="I298" s="328" t="s">
        <v>2906</v>
      </c>
      <c r="J298" s="329" t="s">
        <v>828</v>
      </c>
      <c r="K298" s="331" t="s">
        <v>551</v>
      </c>
      <c r="L298" s="2"/>
      <c r="M298" s="2"/>
      <c r="N298" s="2"/>
      <c r="O298" s="2"/>
      <c r="P298" s="325" t="str">
        <f t="shared" si="11"/>
        <v>CRUZAT MARIEL ARELLANO</v>
      </c>
      <c r="Q298" s="332" t="str">
        <f>IFERROR(VLOOKUP(P295,[1]Disposition!$AB$9:$AC$495,2,0),"NO RECORD YET")</f>
        <v># 203 JP Rizal St., San Roque, Marikina City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26.25" customHeight="1">
      <c r="A299" s="326">
        <v>290</v>
      </c>
      <c r="B299" s="338" t="s">
        <v>801</v>
      </c>
      <c r="C299" s="338" t="s">
        <v>39</v>
      </c>
      <c r="D299" s="339" t="s">
        <v>24</v>
      </c>
      <c r="E299" s="340" t="s">
        <v>829</v>
      </c>
      <c r="F299" s="340" t="s">
        <v>830</v>
      </c>
      <c r="G299" s="340" t="s">
        <v>831</v>
      </c>
      <c r="H299" s="341"/>
      <c r="I299" s="342" t="s">
        <v>2907</v>
      </c>
      <c r="J299" s="329" t="s">
        <v>832</v>
      </c>
      <c r="K299" s="331" t="s">
        <v>833</v>
      </c>
      <c r="L299" s="2"/>
      <c r="M299" s="2"/>
      <c r="N299" s="2"/>
      <c r="O299" s="2"/>
      <c r="P299" s="325" t="str">
        <f t="shared" si="11"/>
        <v>MERQUE JUDE ANN GRIEGO</v>
      </c>
      <c r="Q299" s="332" t="str">
        <f>IFERROR(VLOOKUP(P154,[1]Disposition!$AB$9:$AC$495,2,0),"NO RECORD YET")</f>
        <v>Blk 9, Lott 9, Molave St. Hillsview Subd., Mayao Crossing, Lucena City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25.5" customHeight="1">
      <c r="A300" s="326">
        <v>291</v>
      </c>
      <c r="B300" s="338" t="s">
        <v>801</v>
      </c>
      <c r="C300" s="338" t="s">
        <v>39</v>
      </c>
      <c r="D300" s="339" t="s">
        <v>40</v>
      </c>
      <c r="E300" s="340" t="s">
        <v>1695</v>
      </c>
      <c r="F300" s="340" t="s">
        <v>835</v>
      </c>
      <c r="G300" s="340" t="s">
        <v>834</v>
      </c>
      <c r="H300" s="341"/>
      <c r="I300" s="342" t="s">
        <v>2928</v>
      </c>
      <c r="J300" s="329"/>
      <c r="K300" s="331" t="s">
        <v>2929</v>
      </c>
      <c r="L300" s="2"/>
      <c r="M300" s="2"/>
      <c r="N300" s="2"/>
      <c r="O300" s="2"/>
      <c r="P300" s="325" t="str">
        <f t="shared" si="11"/>
        <v>SOCORRO JAMELA FAJARDO</v>
      </c>
      <c r="Q300" s="33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326">
        <v>292</v>
      </c>
      <c r="B301" s="327" t="s">
        <v>837</v>
      </c>
      <c r="C301" s="327" t="s">
        <v>19</v>
      </c>
      <c r="D301" s="326" t="s">
        <v>96</v>
      </c>
      <c r="E301" s="328" t="s">
        <v>838</v>
      </c>
      <c r="F301" s="328" t="s">
        <v>839</v>
      </c>
      <c r="G301" s="328" t="s">
        <v>840</v>
      </c>
      <c r="H301" s="314"/>
      <c r="I301" s="328" t="s">
        <v>2930</v>
      </c>
      <c r="J301" s="329" t="s">
        <v>841</v>
      </c>
      <c r="K301" s="331" t="s">
        <v>842</v>
      </c>
      <c r="L301" s="2"/>
      <c r="M301" s="2"/>
      <c r="N301" s="2"/>
      <c r="O301" s="2"/>
      <c r="P301" s="325" t="str">
        <f t="shared" si="11"/>
        <v>SYTICO JAMES ALCERA</v>
      </c>
      <c r="Q301" s="332" t="str">
        <f>IFERROR(VLOOKUP(P378,[1]Disposition!$AB$9:$AC$495,2,0),"NO RECORD YET")</f>
        <v>NO RECORD YET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5" customHeight="1">
      <c r="A302" s="326">
        <v>293</v>
      </c>
      <c r="B302" s="327" t="s">
        <v>837</v>
      </c>
      <c r="C302" s="327" t="s">
        <v>19</v>
      </c>
      <c r="D302" s="326" t="s">
        <v>28</v>
      </c>
      <c r="E302" s="328" t="s">
        <v>843</v>
      </c>
      <c r="F302" s="328" t="s">
        <v>844</v>
      </c>
      <c r="G302" s="328" t="s">
        <v>845</v>
      </c>
      <c r="H302" s="314"/>
      <c r="I302" s="343" t="s">
        <v>2931</v>
      </c>
      <c r="J302" s="329" t="s">
        <v>846</v>
      </c>
      <c r="K302" s="331" t="s">
        <v>847</v>
      </c>
      <c r="L302" s="2"/>
      <c r="M302" s="2"/>
      <c r="N302" s="2"/>
      <c r="O302" s="2"/>
      <c r="P302" s="325" t="str">
        <f t="shared" si="11"/>
        <v>APALLA RUEL AMPIS</v>
      </c>
      <c r="Q302" s="332" t="str">
        <f>IFERROR(VLOOKUP(P379,[1]Disposition!$AB$9:$AC$495,2,0),"NO RECORD YET")</f>
        <v>NO RECORD YET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5" customHeight="1">
      <c r="A303" s="326">
        <v>294</v>
      </c>
      <c r="B303" s="327" t="s">
        <v>837</v>
      </c>
      <c r="C303" s="327" t="s">
        <v>19</v>
      </c>
      <c r="D303" s="326" t="s">
        <v>28</v>
      </c>
      <c r="E303" s="328" t="s">
        <v>848</v>
      </c>
      <c r="F303" s="328" t="s">
        <v>849</v>
      </c>
      <c r="G303" s="328" t="s">
        <v>146</v>
      </c>
      <c r="H303" s="314"/>
      <c r="I303" s="328" t="s">
        <v>2932</v>
      </c>
      <c r="J303" s="329" t="s">
        <v>850</v>
      </c>
      <c r="K303" s="331" t="s">
        <v>851</v>
      </c>
      <c r="L303" s="2"/>
      <c r="M303" s="2"/>
      <c r="N303" s="2"/>
      <c r="O303" s="2"/>
      <c r="P303" s="325" t="str">
        <f t="shared" si="11"/>
        <v>DICO JOEMAR RODRIGUEZ</v>
      </c>
      <c r="Q303" s="332" t="str">
        <f>IFERROR(VLOOKUP(P297,[1]Disposition!$AB$9:$AC$495,2,0),"NO RECORD YET")</f>
        <v>41 Quimmarayan, Sto. Domingo, Ilocos Sur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5" customHeight="1">
      <c r="A304" s="326">
        <v>295</v>
      </c>
      <c r="B304" s="327" t="s">
        <v>837</v>
      </c>
      <c r="C304" s="327" t="s">
        <v>19</v>
      </c>
      <c r="D304" s="326" t="s">
        <v>28</v>
      </c>
      <c r="E304" s="328" t="s">
        <v>852</v>
      </c>
      <c r="F304" s="328" t="s">
        <v>853</v>
      </c>
      <c r="G304" s="328" t="s">
        <v>854</v>
      </c>
      <c r="H304" s="314"/>
      <c r="I304" s="328" t="s">
        <v>2933</v>
      </c>
      <c r="J304" s="329" t="s">
        <v>855</v>
      </c>
      <c r="K304" s="331" t="s">
        <v>856</v>
      </c>
      <c r="L304" s="2"/>
      <c r="M304" s="2"/>
      <c r="N304" s="2"/>
      <c r="O304" s="2"/>
      <c r="P304" s="325" t="str">
        <f t="shared" si="11"/>
        <v>FRANK JEFF BRIAN RUIZ</v>
      </c>
      <c r="Q304" s="332" t="str">
        <f>IFERROR(VLOOKUP(P298,[1]Disposition!$AB$9:$AC$495,2,0),"NO RECORD YET")</f>
        <v>Brgy. Conrazon, Bansud, Oriental Mindoro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5" customHeight="1">
      <c r="A305" s="326">
        <v>296</v>
      </c>
      <c r="B305" s="327" t="s">
        <v>837</v>
      </c>
      <c r="C305" s="327" t="s">
        <v>19</v>
      </c>
      <c r="D305" s="326" t="s">
        <v>28</v>
      </c>
      <c r="E305" s="328" t="s">
        <v>857</v>
      </c>
      <c r="F305" s="328" t="s">
        <v>858</v>
      </c>
      <c r="G305" s="328" t="s">
        <v>401</v>
      </c>
      <c r="H305" s="314"/>
      <c r="I305" s="328" t="s">
        <v>2934</v>
      </c>
      <c r="J305" s="329" t="s">
        <v>859</v>
      </c>
      <c r="K305" s="331" t="s">
        <v>860</v>
      </c>
      <c r="L305" s="2"/>
      <c r="M305" s="2"/>
      <c r="N305" s="2"/>
      <c r="O305" s="2"/>
      <c r="P305" s="325" t="str">
        <f t="shared" si="11"/>
        <v>TAGUINOD DANNY BOY ONG</v>
      </c>
      <c r="Q305" s="332" t="str">
        <f>IFERROR(VLOOKUP(P299,[1]Disposition!$AB$9:$AC$495,2,0),"NO RECORD YET")</f>
        <v>Riverside, Victoria, Roxas, Oriental Mindoro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5" customHeight="1">
      <c r="A306" s="326">
        <v>297</v>
      </c>
      <c r="B306" s="327" t="s">
        <v>837</v>
      </c>
      <c r="C306" s="327" t="s">
        <v>39</v>
      </c>
      <c r="D306" s="326" t="s">
        <v>40</v>
      </c>
      <c r="E306" s="328" t="s">
        <v>861</v>
      </c>
      <c r="F306" s="328" t="s">
        <v>862</v>
      </c>
      <c r="G306" s="328" t="s">
        <v>863</v>
      </c>
      <c r="H306" s="314"/>
      <c r="I306" s="328" t="s">
        <v>2935</v>
      </c>
      <c r="J306" s="329" t="s">
        <v>864</v>
      </c>
      <c r="K306" s="331" t="s">
        <v>865</v>
      </c>
      <c r="L306" s="2"/>
      <c r="M306" s="2"/>
      <c r="N306" s="2"/>
      <c r="O306" s="2"/>
      <c r="P306" s="325" t="str">
        <f t="shared" si="11"/>
        <v>ANARNA DARIA CALAMAYA</v>
      </c>
      <c r="Q306" s="332" t="str">
        <f>IFERROR(VLOOKUP(P312,[1]Disposition!$AB$9:$AC$495,2,0),"NO RECORD YET")</f>
        <v>NO RECORD YET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5" customHeight="1">
      <c r="A307" s="326">
        <v>298</v>
      </c>
      <c r="B307" s="327" t="s">
        <v>837</v>
      </c>
      <c r="C307" s="327" t="s">
        <v>19</v>
      </c>
      <c r="D307" s="326" t="s">
        <v>40</v>
      </c>
      <c r="E307" s="328" t="s">
        <v>2936</v>
      </c>
      <c r="F307" s="328" t="s">
        <v>2937</v>
      </c>
      <c r="G307" s="328" t="s">
        <v>2938</v>
      </c>
      <c r="H307" s="314"/>
      <c r="I307" s="328" t="s">
        <v>2939</v>
      </c>
      <c r="J307" s="312"/>
      <c r="K307" s="333"/>
      <c r="L307" s="2"/>
      <c r="M307" s="2"/>
      <c r="N307" s="2"/>
      <c r="O307" s="2"/>
      <c r="P307" s="325" t="str">
        <f t="shared" si="11"/>
        <v>BERNARDO ROLAND JAY DUMAGAT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5" customHeight="1">
      <c r="A308" s="326">
        <v>299</v>
      </c>
      <c r="B308" s="327" t="s">
        <v>837</v>
      </c>
      <c r="C308" s="327" t="s">
        <v>39</v>
      </c>
      <c r="D308" s="326" t="s">
        <v>40</v>
      </c>
      <c r="E308" s="328" t="s">
        <v>866</v>
      </c>
      <c r="F308" s="328" t="s">
        <v>867</v>
      </c>
      <c r="G308" s="328" t="s">
        <v>868</v>
      </c>
      <c r="H308" s="314"/>
      <c r="I308" s="328" t="s">
        <v>2762</v>
      </c>
      <c r="J308" s="329" t="s">
        <v>869</v>
      </c>
      <c r="K308" s="331" t="s">
        <v>870</v>
      </c>
      <c r="L308" s="2"/>
      <c r="M308" s="2"/>
      <c r="N308" s="2"/>
      <c r="O308" s="2"/>
      <c r="P308" s="325" t="str">
        <f t="shared" si="11"/>
        <v>GUALVEZ ANABELLE BAYONA</v>
      </c>
      <c r="Q308" s="332" t="str">
        <f>IFERROR(VLOOKUP(P301,[1]Disposition!$AB$9:$AC$495,2,0),"NO RECORD YET")</f>
        <v>Estillero St., Commonwealth, Roario, Northern Samar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5" customHeight="1">
      <c r="A309" s="326">
        <v>300</v>
      </c>
      <c r="B309" s="327" t="s">
        <v>837</v>
      </c>
      <c r="C309" s="327" t="s">
        <v>39</v>
      </c>
      <c r="D309" s="326" t="s">
        <v>40</v>
      </c>
      <c r="E309" s="328" t="s">
        <v>871</v>
      </c>
      <c r="F309" s="328" t="s">
        <v>872</v>
      </c>
      <c r="G309" s="328" t="s">
        <v>873</v>
      </c>
      <c r="H309" s="314"/>
      <c r="I309" s="328" t="s">
        <v>2940</v>
      </c>
      <c r="J309" s="312"/>
      <c r="K309" s="330" t="s">
        <v>2941</v>
      </c>
      <c r="L309" s="2"/>
      <c r="M309" s="2"/>
      <c r="N309" s="2"/>
      <c r="O309" s="2"/>
      <c r="P309" s="325" t="str">
        <f t="shared" si="11"/>
        <v>LAGGUI DANIELLA MARIE ALLAUIGAN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5" customHeight="1">
      <c r="A310" s="326">
        <v>301</v>
      </c>
      <c r="B310" s="327" t="s">
        <v>837</v>
      </c>
      <c r="C310" s="327" t="s">
        <v>39</v>
      </c>
      <c r="D310" s="326" t="s">
        <v>40</v>
      </c>
      <c r="E310" s="328" t="s">
        <v>874</v>
      </c>
      <c r="F310" s="328" t="s">
        <v>875</v>
      </c>
      <c r="G310" s="328" t="s">
        <v>876</v>
      </c>
      <c r="H310" s="314"/>
      <c r="I310" s="328" t="s">
        <v>2942</v>
      </c>
      <c r="J310" s="329" t="s">
        <v>877</v>
      </c>
      <c r="K310" s="331" t="s">
        <v>878</v>
      </c>
      <c r="L310" s="2"/>
      <c r="M310" s="2"/>
      <c r="N310" s="2"/>
      <c r="O310" s="2"/>
      <c r="P310" s="325" t="str">
        <f t="shared" si="11"/>
        <v>MISTICA MA FELIRITA SUBIDO</v>
      </c>
      <c r="Q310" s="332" t="str">
        <f>IFERROR(VLOOKUP(P303,[1]Disposition!$AB$9:$AC$495,2,0),"NO RECORD YET")</f>
        <v>NO RECORD YET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5" customHeight="1">
      <c r="A311" s="326">
        <v>302</v>
      </c>
      <c r="B311" s="327" t="s">
        <v>837</v>
      </c>
      <c r="C311" s="327" t="s">
        <v>39</v>
      </c>
      <c r="D311" s="326" t="s">
        <v>40</v>
      </c>
      <c r="E311" s="328" t="s">
        <v>879</v>
      </c>
      <c r="F311" s="328" t="s">
        <v>880</v>
      </c>
      <c r="G311" s="328" t="s">
        <v>881</v>
      </c>
      <c r="H311" s="314"/>
      <c r="I311" s="328" t="s">
        <v>2943</v>
      </c>
      <c r="J311" s="329" t="s">
        <v>882</v>
      </c>
      <c r="K311" s="331" t="s">
        <v>883</v>
      </c>
      <c r="L311" s="2"/>
      <c r="M311" s="2"/>
      <c r="N311" s="2"/>
      <c r="O311" s="2"/>
      <c r="P311" s="325" t="str">
        <f t="shared" si="11"/>
        <v>NIEVA AILEEN SABELA</v>
      </c>
      <c r="Q311" s="332" t="str">
        <f>IFERROR(VLOOKUP(P304,[1]Disposition!$AB$9:$AC$495,2,0),"NO RECORD YET")</f>
        <v>NO RECORD YET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5" customHeight="1">
      <c r="A312" s="326">
        <v>303</v>
      </c>
      <c r="B312" s="327" t="s">
        <v>837</v>
      </c>
      <c r="C312" s="327" t="s">
        <v>39</v>
      </c>
      <c r="D312" s="326" t="s">
        <v>40</v>
      </c>
      <c r="E312" s="328" t="s">
        <v>2944</v>
      </c>
      <c r="F312" s="328" t="s">
        <v>2945</v>
      </c>
      <c r="G312" s="328" t="s">
        <v>2946</v>
      </c>
      <c r="H312" s="314"/>
      <c r="I312" s="328" t="s">
        <v>2947</v>
      </c>
      <c r="J312" s="329"/>
      <c r="K312" s="331" t="s">
        <v>2948</v>
      </c>
      <c r="L312" s="2"/>
      <c r="M312" s="2"/>
      <c r="N312" s="2"/>
      <c r="O312" s="2"/>
      <c r="P312" s="325" t="str">
        <f t="shared" si="11"/>
        <v>PARIS ACEL OBSELLA</v>
      </c>
      <c r="Q312" s="33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5" customHeight="1">
      <c r="A313" s="326">
        <v>304</v>
      </c>
      <c r="B313" s="327" t="s">
        <v>837</v>
      </c>
      <c r="C313" s="327" t="s">
        <v>39</v>
      </c>
      <c r="D313" s="326" t="s">
        <v>40</v>
      </c>
      <c r="E313" s="328" t="s">
        <v>884</v>
      </c>
      <c r="F313" s="328" t="s">
        <v>885</v>
      </c>
      <c r="G313" s="328" t="s">
        <v>886</v>
      </c>
      <c r="H313" s="314"/>
      <c r="I313" s="328" t="s">
        <v>3648</v>
      </c>
      <c r="J313" s="312"/>
      <c r="K313" s="330" t="s">
        <v>2949</v>
      </c>
      <c r="L313" s="2"/>
      <c r="M313" s="2"/>
      <c r="N313" s="2"/>
      <c r="O313" s="2"/>
      <c r="P313" s="325" t="str">
        <f t="shared" si="11"/>
        <v>PILAR JESSA KRIS CORDOVA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5" customHeight="1">
      <c r="A314" s="326">
        <v>305</v>
      </c>
      <c r="B314" s="327" t="s">
        <v>837</v>
      </c>
      <c r="C314" s="327" t="s">
        <v>39</v>
      </c>
      <c r="D314" s="326" t="s">
        <v>40</v>
      </c>
      <c r="E314" s="328" t="s">
        <v>887</v>
      </c>
      <c r="F314" s="328" t="s">
        <v>888</v>
      </c>
      <c r="G314" s="328" t="s">
        <v>639</v>
      </c>
      <c r="H314" s="314"/>
      <c r="I314" s="328" t="s">
        <v>2935</v>
      </c>
      <c r="J314" s="329" t="s">
        <v>889</v>
      </c>
      <c r="K314" s="331" t="s">
        <v>890</v>
      </c>
      <c r="L314" s="2"/>
      <c r="M314" s="2"/>
      <c r="N314" s="2"/>
      <c r="O314" s="2"/>
      <c r="P314" s="325" t="str">
        <f t="shared" si="11"/>
        <v>TURALBA KIMBERLY JOYCE FONTANILLA</v>
      </c>
      <c r="Q314" s="332" t="str">
        <f>IFERROR(VLOOKUP(P306,[1]Disposition!$AB$9:$AC$495,2,0),"NO RECORD YET")</f>
        <v>79 Narra St., Marikina Heights, Marikina City.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5" customHeight="1">
      <c r="A315" s="326">
        <v>306</v>
      </c>
      <c r="B315" s="327" t="s">
        <v>891</v>
      </c>
      <c r="C315" s="327" t="s">
        <v>39</v>
      </c>
      <c r="D315" s="326" t="s">
        <v>246</v>
      </c>
      <c r="E315" s="328" t="s">
        <v>892</v>
      </c>
      <c r="F315" s="328" t="s">
        <v>422</v>
      </c>
      <c r="G315" s="328" t="s">
        <v>893</v>
      </c>
      <c r="H315" s="314"/>
      <c r="I315" s="328" t="s">
        <v>2950</v>
      </c>
      <c r="J315" s="312"/>
      <c r="K315" s="330" t="s">
        <v>2951</v>
      </c>
      <c r="L315" s="2"/>
      <c r="M315" s="2"/>
      <c r="N315" s="2"/>
      <c r="O315" s="2"/>
      <c r="P315" s="325" t="str">
        <f t="shared" si="11"/>
        <v>PAMITTAN JOCELYN LATTAO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5" customHeight="1">
      <c r="A316" s="326">
        <v>307</v>
      </c>
      <c r="B316" s="327" t="s">
        <v>891</v>
      </c>
      <c r="C316" s="327" t="s">
        <v>19</v>
      </c>
      <c r="D316" s="326" t="s">
        <v>28</v>
      </c>
      <c r="E316" s="328" t="s">
        <v>894</v>
      </c>
      <c r="F316" s="328" t="s">
        <v>895</v>
      </c>
      <c r="G316" s="328" t="s">
        <v>896</v>
      </c>
      <c r="H316" s="314"/>
      <c r="I316" s="328" t="s">
        <v>2952</v>
      </c>
      <c r="J316" s="329" t="s">
        <v>897</v>
      </c>
      <c r="K316" s="331" t="s">
        <v>898</v>
      </c>
      <c r="L316" s="2"/>
      <c r="M316" s="2"/>
      <c r="N316" s="2"/>
      <c r="O316" s="2"/>
      <c r="P316" s="325" t="str">
        <f t="shared" si="11"/>
        <v>VALLEJOS DRANREB GAPAL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5" customHeight="1">
      <c r="A317" s="326">
        <v>308</v>
      </c>
      <c r="B317" s="327" t="s">
        <v>891</v>
      </c>
      <c r="C317" s="327" t="s">
        <v>19</v>
      </c>
      <c r="D317" s="326" t="s">
        <v>40</v>
      </c>
      <c r="E317" s="328" t="s">
        <v>899</v>
      </c>
      <c r="F317" s="328" t="s">
        <v>900</v>
      </c>
      <c r="G317" s="328" t="s">
        <v>901</v>
      </c>
      <c r="H317" s="314"/>
      <c r="I317" s="328" t="s">
        <v>2673</v>
      </c>
      <c r="J317" s="329" t="s">
        <v>902</v>
      </c>
      <c r="K317" s="331" t="s">
        <v>903</v>
      </c>
      <c r="L317" s="2"/>
      <c r="M317" s="2"/>
      <c r="N317" s="2"/>
      <c r="O317" s="2"/>
      <c r="P317" s="325" t="str">
        <f t="shared" si="11"/>
        <v>ACORDA ELPIDIO PALARCA</v>
      </c>
      <c r="Q317" s="332" t="str">
        <f>IFERROR(VLOOKUP(P309,[1]Disposition!$AB$9:$AC$495,2,0),"NO RECORD YET")</f>
        <v>NO RECORD YET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5" customHeight="1">
      <c r="A318" s="326">
        <v>309</v>
      </c>
      <c r="B318" s="327" t="s">
        <v>891</v>
      </c>
      <c r="C318" s="327" t="s">
        <v>39</v>
      </c>
      <c r="D318" s="326" t="s">
        <v>40</v>
      </c>
      <c r="E318" s="328" t="s">
        <v>904</v>
      </c>
      <c r="F318" s="328" t="s">
        <v>905</v>
      </c>
      <c r="G318" s="328" t="s">
        <v>906</v>
      </c>
      <c r="H318" s="314"/>
      <c r="I318" s="328" t="s">
        <v>2953</v>
      </c>
      <c r="J318" s="329" t="s">
        <v>907</v>
      </c>
      <c r="K318" s="331" t="s">
        <v>908</v>
      </c>
      <c r="L318" s="2"/>
      <c r="M318" s="2"/>
      <c r="N318" s="2"/>
      <c r="O318" s="2"/>
      <c r="P318" s="325" t="str">
        <f t="shared" si="11"/>
        <v>BACLIG NEILJANE ADONA</v>
      </c>
      <c r="Q318" s="332" t="str">
        <f>IFERROR(VLOOKUP(P310,[1]Disposition!$AB$9:$AC$495,2,0),"NO RECORD YET")</f>
        <v>44 San Isidro St, Santol, Brgy. Sto Nino, Quezon City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5" customHeight="1">
      <c r="A319" s="326">
        <v>310</v>
      </c>
      <c r="B319" s="327" t="s">
        <v>891</v>
      </c>
      <c r="C319" s="327" t="s">
        <v>19</v>
      </c>
      <c r="D319" s="326" t="s">
        <v>40</v>
      </c>
      <c r="E319" s="328" t="s">
        <v>2954</v>
      </c>
      <c r="F319" s="328" t="s">
        <v>1397</v>
      </c>
      <c r="G319" s="328" t="s">
        <v>2955</v>
      </c>
      <c r="H319" s="314"/>
      <c r="I319" s="328" t="s">
        <v>2956</v>
      </c>
      <c r="J319" s="312"/>
      <c r="K319" s="333"/>
      <c r="L319" s="2"/>
      <c r="M319" s="2"/>
      <c r="N319" s="2"/>
      <c r="O319" s="2"/>
      <c r="P319" s="325" t="str">
        <f t="shared" si="11"/>
        <v>BULURAN MARVIN LAPURGA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5" customHeight="1">
      <c r="A320" s="326">
        <v>311</v>
      </c>
      <c r="B320" s="327" t="s">
        <v>891</v>
      </c>
      <c r="C320" s="327" t="s">
        <v>39</v>
      </c>
      <c r="D320" s="326" t="s">
        <v>40</v>
      </c>
      <c r="E320" s="328" t="s">
        <v>909</v>
      </c>
      <c r="F320" s="328" t="s">
        <v>910</v>
      </c>
      <c r="G320" s="328" t="s">
        <v>911</v>
      </c>
      <c r="H320" s="314"/>
      <c r="I320" s="328" t="s">
        <v>2957</v>
      </c>
      <c r="J320" s="329" t="s">
        <v>912</v>
      </c>
      <c r="K320" s="331" t="s">
        <v>913</v>
      </c>
      <c r="L320" s="2"/>
      <c r="M320" s="2"/>
      <c r="N320" s="2"/>
      <c r="O320" s="2"/>
      <c r="P320" s="325" t="str">
        <f t="shared" si="11"/>
        <v>HERRERA PACIVICA BAYHON</v>
      </c>
      <c r="Q320" s="332" t="str">
        <f>IFERROR(VLOOKUP(P313,[1]Disposition!$AB$9:$AC$495,2,0),"NO RECORD YET")</f>
        <v>NO RECORD YET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5" customHeight="1">
      <c r="A321" s="326">
        <v>312</v>
      </c>
      <c r="B321" s="327" t="s">
        <v>891</v>
      </c>
      <c r="C321" s="327" t="s">
        <v>39</v>
      </c>
      <c r="D321" s="326" t="s">
        <v>40</v>
      </c>
      <c r="E321" s="328" t="s">
        <v>914</v>
      </c>
      <c r="F321" s="328" t="s">
        <v>915</v>
      </c>
      <c r="G321" s="328" t="s">
        <v>916</v>
      </c>
      <c r="H321" s="314"/>
      <c r="I321" s="328" t="s">
        <v>2744</v>
      </c>
      <c r="J321" s="329" t="s">
        <v>917</v>
      </c>
      <c r="K321" s="331" t="s">
        <v>918</v>
      </c>
      <c r="L321" s="2"/>
      <c r="M321" s="2"/>
      <c r="N321" s="2"/>
      <c r="O321" s="2"/>
      <c r="P321" s="325" t="str">
        <f t="shared" si="11"/>
        <v>LEE MARIA ELISA SUERO</v>
      </c>
      <c r="Q321" s="332" t="str">
        <f>IFERROR(VLOOKUP(P314,[1]Disposition!$AB$9:$AC$495,2,0),"NO RECORD YET")</f>
        <v>Blk  30 Lot 31-32 Expansion 2, Heroesville 1 Subd., Gaya-gaya, SJDM, Bulacan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5" customHeight="1">
      <c r="A322" s="326">
        <v>313</v>
      </c>
      <c r="B322" s="327" t="s">
        <v>919</v>
      </c>
      <c r="C322" s="327" t="s">
        <v>19</v>
      </c>
      <c r="D322" s="326" t="s">
        <v>160</v>
      </c>
      <c r="E322" s="328" t="s">
        <v>920</v>
      </c>
      <c r="F322" s="328" t="s">
        <v>501</v>
      </c>
      <c r="G322" s="328" t="s">
        <v>921</v>
      </c>
      <c r="H322" s="314"/>
      <c r="I322" s="328" t="s">
        <v>2958</v>
      </c>
      <c r="J322" s="329" t="s">
        <v>922</v>
      </c>
      <c r="K322" s="331" t="s">
        <v>923</v>
      </c>
      <c r="L322" s="2"/>
      <c r="M322" s="2"/>
      <c r="N322" s="2"/>
      <c r="O322" s="2"/>
      <c r="P322" s="325" t="str">
        <f t="shared" si="11"/>
        <v>BALMACEDA ROMMEL BANGUILAN</v>
      </c>
      <c r="Q322" s="332" t="str">
        <f>IFERROR(VLOOKUP(P315,[1]Disposition!$AB$9:$AC$495,2,0),"NO RECORD YET")</f>
        <v>249 Melad St., Cataggaman, Pardo, Tuguegarao City, Cagayan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5" customHeight="1">
      <c r="A323" s="326">
        <v>314</v>
      </c>
      <c r="B323" s="327" t="s">
        <v>919</v>
      </c>
      <c r="C323" s="327" t="s">
        <v>19</v>
      </c>
      <c r="D323" s="326" t="s">
        <v>366</v>
      </c>
      <c r="E323" s="328" t="s">
        <v>929</v>
      </c>
      <c r="F323" s="328" t="s">
        <v>930</v>
      </c>
      <c r="G323" s="328" t="s">
        <v>931</v>
      </c>
      <c r="H323" s="314"/>
      <c r="I323" s="328" t="s">
        <v>2959</v>
      </c>
      <c r="J323" s="329" t="s">
        <v>932</v>
      </c>
      <c r="K323" s="331" t="s">
        <v>933</v>
      </c>
      <c r="L323" s="2"/>
      <c r="M323" s="2"/>
      <c r="N323" s="2"/>
      <c r="O323" s="2"/>
      <c r="P323" s="325" t="str">
        <f t="shared" si="11"/>
        <v>PALISOC PREMIER HAROLD TABUÑAR</v>
      </c>
      <c r="Q323" s="332" t="str">
        <f>IFERROR(VLOOKUP(P316,[1]Disposition!$AB$9:$AC$495,2,0),"NO RECORD YET")</f>
        <v>NO RECORD YET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5" customHeight="1">
      <c r="A324" s="326">
        <v>315</v>
      </c>
      <c r="B324" s="327" t="s">
        <v>919</v>
      </c>
      <c r="C324" s="327" t="s">
        <v>19</v>
      </c>
      <c r="D324" s="326" t="s">
        <v>28</v>
      </c>
      <c r="E324" s="328" t="s">
        <v>934</v>
      </c>
      <c r="F324" s="328" t="s">
        <v>935</v>
      </c>
      <c r="G324" s="328" t="s">
        <v>936</v>
      </c>
      <c r="H324" s="314"/>
      <c r="I324" s="328" t="s">
        <v>2818</v>
      </c>
      <c r="J324" s="329" t="s">
        <v>937</v>
      </c>
      <c r="K324" s="331" t="s">
        <v>938</v>
      </c>
      <c r="L324" s="2"/>
      <c r="M324" s="2"/>
      <c r="N324" s="2"/>
      <c r="O324" s="2"/>
      <c r="P324" s="325" t="str">
        <f t="shared" si="11"/>
        <v>MOLINA DOMINICK EZRA GACES</v>
      </c>
      <c r="Q324" s="332" t="str">
        <f>IFERROR(VLOOKUP(P317,[1]Disposition!$AB$9:$AC$495,2,0),"NO RECORD YET")</f>
        <v>44 - T Llano St., Brgy. Sangandaan, Tandang Sora, Quezon City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5" customHeight="1">
      <c r="A325" s="326">
        <v>316</v>
      </c>
      <c r="B325" s="327" t="s">
        <v>919</v>
      </c>
      <c r="C325" s="327" t="s">
        <v>39</v>
      </c>
      <c r="D325" s="326" t="s">
        <v>40</v>
      </c>
      <c r="E325" s="328" t="s">
        <v>939</v>
      </c>
      <c r="F325" s="328" t="s">
        <v>940</v>
      </c>
      <c r="G325" s="328" t="s">
        <v>941</v>
      </c>
      <c r="H325" s="314"/>
      <c r="I325" s="328" t="s">
        <v>2699</v>
      </c>
      <c r="J325" s="312"/>
      <c r="K325" s="330" t="s">
        <v>2960</v>
      </c>
      <c r="L325" s="2"/>
      <c r="M325" s="2"/>
      <c r="N325" s="2"/>
      <c r="O325" s="2"/>
      <c r="P325" s="325" t="str">
        <f t="shared" si="11"/>
        <v>ALCANTARA JHINNA-LOU SAN ESTEBAN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5" customHeight="1">
      <c r="A326" s="326">
        <v>317</v>
      </c>
      <c r="B326" s="327" t="s">
        <v>919</v>
      </c>
      <c r="C326" s="327" t="s">
        <v>39</v>
      </c>
      <c r="D326" s="326" t="s">
        <v>40</v>
      </c>
      <c r="E326" s="328" t="s">
        <v>942</v>
      </c>
      <c r="F326" s="328" t="s">
        <v>943</v>
      </c>
      <c r="G326" s="328" t="s">
        <v>944</v>
      </c>
      <c r="H326" s="314"/>
      <c r="I326" s="328" t="s">
        <v>2753</v>
      </c>
      <c r="J326" s="329" t="s">
        <v>945</v>
      </c>
      <c r="K326" s="331" t="s">
        <v>946</v>
      </c>
      <c r="L326" s="2"/>
      <c r="M326" s="2"/>
      <c r="N326" s="2"/>
      <c r="O326" s="2"/>
      <c r="P326" s="325" t="str">
        <f t="shared" si="11"/>
        <v>MATEO MARIAN AILEEN R'JOSE</v>
      </c>
      <c r="Q326" s="332" t="str">
        <f>IFERROR(VLOOKUP(P319,[1]Disposition!$AB$9:$AC$495,2,0),"NO RECORD YET")</f>
        <v>NO RECORD YET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5" customHeight="1">
      <c r="A327" s="326">
        <v>318</v>
      </c>
      <c r="B327" s="327" t="s">
        <v>919</v>
      </c>
      <c r="C327" s="327" t="s">
        <v>39</v>
      </c>
      <c r="D327" s="326" t="s">
        <v>40</v>
      </c>
      <c r="E327" s="328" t="s">
        <v>947</v>
      </c>
      <c r="F327" s="328" t="s">
        <v>948</v>
      </c>
      <c r="G327" s="328" t="s">
        <v>949</v>
      </c>
      <c r="H327" s="314"/>
      <c r="I327" s="328" t="s">
        <v>2768</v>
      </c>
      <c r="J327" s="312"/>
      <c r="K327" s="330" t="s">
        <v>2961</v>
      </c>
      <c r="L327" s="2"/>
      <c r="M327" s="2"/>
      <c r="N327" s="2"/>
      <c r="O327" s="2"/>
      <c r="P327" s="325" t="str">
        <f t="shared" si="11"/>
        <v>PAREDES CONNIE VALDEZ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5" customHeight="1">
      <c r="A328" s="326">
        <v>319</v>
      </c>
      <c r="B328" s="327" t="s">
        <v>919</v>
      </c>
      <c r="C328" s="327" t="s">
        <v>39</v>
      </c>
      <c r="D328" s="326" t="s">
        <v>40</v>
      </c>
      <c r="E328" s="328" t="s">
        <v>950</v>
      </c>
      <c r="F328" s="328" t="s">
        <v>951</v>
      </c>
      <c r="G328" s="328" t="s">
        <v>952</v>
      </c>
      <c r="H328" s="314"/>
      <c r="I328" s="328" t="s">
        <v>2778</v>
      </c>
      <c r="J328" s="329" t="s">
        <v>953</v>
      </c>
      <c r="K328" s="331" t="s">
        <v>954</v>
      </c>
      <c r="L328" s="2"/>
      <c r="M328" s="2"/>
      <c r="N328" s="2"/>
      <c r="O328" s="2"/>
      <c r="P328" s="325" t="str">
        <f t="shared" si="11"/>
        <v>RECLA SILVINA LLANTO</v>
      </c>
      <c r="Q328" s="332" t="str">
        <f>IFERROR(VLOOKUP(P321,[1]Disposition!$AB$9:$AC$495,2,0),"NO RECORD YET")</f>
        <v>36 Mindanao St., Filipinas Village, Marikina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5" customHeight="1">
      <c r="A329" s="326">
        <v>320</v>
      </c>
      <c r="B329" s="327" t="s">
        <v>919</v>
      </c>
      <c r="C329" s="327" t="s">
        <v>39</v>
      </c>
      <c r="D329" s="326" t="s">
        <v>40</v>
      </c>
      <c r="E329" s="328" t="s">
        <v>960</v>
      </c>
      <c r="F329" s="328" t="s">
        <v>961</v>
      </c>
      <c r="G329" s="328" t="s">
        <v>962</v>
      </c>
      <c r="H329" s="314"/>
      <c r="I329" s="328" t="s">
        <v>2792</v>
      </c>
      <c r="J329" s="329" t="s">
        <v>963</v>
      </c>
      <c r="K329" s="331" t="s">
        <v>964</v>
      </c>
      <c r="L329" s="2"/>
      <c r="M329" s="2"/>
      <c r="N329" s="2"/>
      <c r="O329" s="2"/>
      <c r="P329" s="325" t="str">
        <f t="shared" si="11"/>
        <v>UNTALAN RACHEL  GUTIERREZ</v>
      </c>
      <c r="Q329" s="332" t="str">
        <f>IFERROR(VLOOKUP(P323,[1]Disposition!$AB$9:$AC$495,2,0),"NO RECORD YET")</f>
        <v>81 Felipe Calderon St., Pussuac, Sto Domingo, Ilocos sur,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5" customHeight="1">
      <c r="A330" s="326">
        <v>321</v>
      </c>
      <c r="B330" s="327" t="s">
        <v>2962</v>
      </c>
      <c r="C330" s="327" t="s">
        <v>19</v>
      </c>
      <c r="D330" s="326" t="s">
        <v>160</v>
      </c>
      <c r="E330" s="328" t="s">
        <v>318</v>
      </c>
      <c r="F330" s="328" t="s">
        <v>925</v>
      </c>
      <c r="G330" s="328" t="s">
        <v>926</v>
      </c>
      <c r="H330" s="314"/>
      <c r="I330" s="328" t="s">
        <v>2963</v>
      </c>
      <c r="J330" s="329" t="s">
        <v>927</v>
      </c>
      <c r="K330" s="331" t="s">
        <v>928</v>
      </c>
      <c r="L330" s="2"/>
      <c r="M330" s="2"/>
      <c r="N330" s="2"/>
      <c r="O330" s="2"/>
      <c r="P330" s="325" t="str">
        <f t="shared" si="11"/>
        <v>AQUINO JOHANNES GOLD LUCERO</v>
      </c>
      <c r="Q330" s="332" t="str">
        <f>IFERROR(VLOOKUP(P324,[1]Disposition!$AB$9:$AC$495,2,0),"NO RECORD YET")</f>
        <v>NO RECORD YET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5" customHeight="1">
      <c r="A331" s="326">
        <v>322</v>
      </c>
      <c r="B331" s="327" t="s">
        <v>965</v>
      </c>
      <c r="C331" s="327" t="s">
        <v>39</v>
      </c>
      <c r="D331" s="326" t="s">
        <v>246</v>
      </c>
      <c r="E331" s="328" t="s">
        <v>151</v>
      </c>
      <c r="F331" s="328" t="s">
        <v>1006</v>
      </c>
      <c r="G331" s="328" t="s">
        <v>1007</v>
      </c>
      <c r="H331" s="314"/>
      <c r="I331" s="328" t="s">
        <v>2964</v>
      </c>
      <c r="J331" s="312"/>
      <c r="K331" s="330" t="s">
        <v>2965</v>
      </c>
      <c r="L331" s="2"/>
      <c r="M331" s="2"/>
      <c r="N331" s="2"/>
      <c r="O331" s="2"/>
      <c r="P331" s="325" t="str">
        <f t="shared" si="11"/>
        <v>RAMOS CHRISHELLE SAGUN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5" customHeight="1">
      <c r="A332" s="326">
        <v>323</v>
      </c>
      <c r="B332" s="327" t="s">
        <v>965</v>
      </c>
      <c r="C332" s="327" t="s">
        <v>19</v>
      </c>
      <c r="D332" s="326" t="s">
        <v>277</v>
      </c>
      <c r="E332" s="328" t="s">
        <v>966</v>
      </c>
      <c r="F332" s="328" t="s">
        <v>967</v>
      </c>
      <c r="G332" s="328" t="s">
        <v>968</v>
      </c>
      <c r="H332" s="314"/>
      <c r="I332" s="328" t="s">
        <v>2818</v>
      </c>
      <c r="J332" s="329" t="s">
        <v>969</v>
      </c>
      <c r="K332" s="331" t="s">
        <v>970</v>
      </c>
      <c r="L332" s="2"/>
      <c r="M332" s="2"/>
      <c r="N332" s="2"/>
      <c r="O332" s="2"/>
      <c r="P332" s="325" t="str">
        <f t="shared" si="11"/>
        <v>MINA EDGAR LABIAO</v>
      </c>
      <c r="Q332" s="332" t="str">
        <f>IFERROR(VLOOKUP(P326,[1]Disposition!$AB$9:$AC$495,2,0),"NO RECORD YET")</f>
        <v>369 Dalisay St., Bacood, Sta. Mesa, Manila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5" customHeight="1">
      <c r="A333" s="326">
        <v>324</v>
      </c>
      <c r="B333" s="327" t="s">
        <v>965</v>
      </c>
      <c r="C333" s="327" t="s">
        <v>19</v>
      </c>
      <c r="D333" s="326" t="s">
        <v>57</v>
      </c>
      <c r="E333" s="328" t="s">
        <v>58</v>
      </c>
      <c r="F333" s="328" t="s">
        <v>59</v>
      </c>
      <c r="G333" s="328" t="s">
        <v>60</v>
      </c>
      <c r="H333" s="314"/>
      <c r="I333" s="328" t="s">
        <v>2966</v>
      </c>
      <c r="J333" s="329" t="s">
        <v>61</v>
      </c>
      <c r="K333" s="331" t="s">
        <v>62</v>
      </c>
      <c r="L333" s="2"/>
      <c r="M333" s="2"/>
      <c r="N333" s="2"/>
      <c r="O333" s="2"/>
      <c r="P333" s="325" t="str">
        <f t="shared" si="11"/>
        <v>RESPICIO VIC BASKAR MADDARA</v>
      </c>
      <c r="Q333" s="332" t="str">
        <f>IFERROR(VLOOKUP(P327,[1]Disposition!$AB$9:$AC$495,2,0),"NO RECORD YET")</f>
        <v>NO RECORD YET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5" customHeight="1">
      <c r="A334" s="326">
        <v>325</v>
      </c>
      <c r="B334" s="327" t="s">
        <v>965</v>
      </c>
      <c r="C334" s="327" t="s">
        <v>19</v>
      </c>
      <c r="D334" s="326" t="s">
        <v>644</v>
      </c>
      <c r="E334" s="328" t="s">
        <v>971</v>
      </c>
      <c r="F334" s="328" t="s">
        <v>972</v>
      </c>
      <c r="G334" s="328" t="s">
        <v>973</v>
      </c>
      <c r="H334" s="314"/>
      <c r="I334" s="328" t="s">
        <v>2967</v>
      </c>
      <c r="J334" s="329" t="s">
        <v>974</v>
      </c>
      <c r="K334" s="331" t="s">
        <v>975</v>
      </c>
      <c r="L334" s="2"/>
      <c r="M334" s="2"/>
      <c r="N334" s="2"/>
      <c r="O334" s="2"/>
      <c r="P334" s="325" t="str">
        <f t="shared" si="11"/>
        <v>AGUILAR JAMES BENEDICT GALVEZ</v>
      </c>
      <c r="Q334" s="332" t="str">
        <f>IFERROR(VLOOKUP(P328,[1]Disposition!$AB$9:$AC$495,2,0),"NO RECORD YET")</f>
        <v>Cluster 5,14B Greehills Garden Square Condominium, Bonnie Serrano Ave., Quezon City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5" customHeight="1">
      <c r="A335" s="326">
        <v>326</v>
      </c>
      <c r="B335" s="327" t="s">
        <v>965</v>
      </c>
      <c r="C335" s="327" t="s">
        <v>19</v>
      </c>
      <c r="D335" s="326" t="s">
        <v>24</v>
      </c>
      <c r="E335" s="328" t="s">
        <v>1167</v>
      </c>
      <c r="F335" s="328" t="s">
        <v>1168</v>
      </c>
      <c r="G335" s="328" t="s">
        <v>1169</v>
      </c>
      <c r="H335" s="314"/>
      <c r="I335" s="328" t="s">
        <v>2818</v>
      </c>
      <c r="J335" s="329" t="s">
        <v>1170</v>
      </c>
      <c r="K335" s="331" t="s">
        <v>1171</v>
      </c>
      <c r="L335" s="2"/>
      <c r="M335" s="2"/>
      <c r="N335" s="2"/>
      <c r="O335" s="2"/>
      <c r="P335" s="332" t="str">
        <f>CONCATENATE([2]Disposition!D375," ",[2]Disposition!E375," ",[2]Disposition!F375)</f>
        <v>PCpl ARCANGEL OLIVER</v>
      </c>
      <c r="Q335" s="332" t="str">
        <f>IFERROR(VLOOKUP(P329,[1]Disposition!$AB$9:$AC$495,2,0),"NO RECORD YET")</f>
        <v>Mahacot West,  Batangas City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5" customHeight="1">
      <c r="A336" s="326">
        <v>327</v>
      </c>
      <c r="B336" s="327" t="s">
        <v>965</v>
      </c>
      <c r="C336" s="327" t="s">
        <v>19</v>
      </c>
      <c r="D336" s="326" t="s">
        <v>24</v>
      </c>
      <c r="E336" s="328" t="s">
        <v>976</v>
      </c>
      <c r="F336" s="328" t="s">
        <v>977</v>
      </c>
      <c r="G336" s="328" t="s">
        <v>242</v>
      </c>
      <c r="H336" s="314"/>
      <c r="I336" s="328" t="s">
        <v>2818</v>
      </c>
      <c r="J336" s="329" t="s">
        <v>2968</v>
      </c>
      <c r="K336" s="331" t="s">
        <v>979</v>
      </c>
      <c r="L336" s="2"/>
      <c r="M336" s="2"/>
      <c r="N336" s="2"/>
      <c r="O336" s="2"/>
      <c r="P336" s="325" t="str">
        <f>CONCATENATE(E336," ",F336," ",G336)</f>
        <v>TAMANIO ANTHONY ELKING SALVADOR</v>
      </c>
      <c r="Q336" s="332" t="str">
        <f>IFERROR(VLOOKUP(P330,[1]Disposition!$AB$9:$AC$495,2,0),"NO RECORD YET")</f>
        <v>L11A B43 Galaxy St., Rancho Estate 3,  Concepcion Dos, Marikina City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5" customHeight="1">
      <c r="A337" s="326">
        <v>328</v>
      </c>
      <c r="B337" s="327" t="s">
        <v>965</v>
      </c>
      <c r="C337" s="327" t="s">
        <v>39</v>
      </c>
      <c r="D337" s="326" t="s">
        <v>40</v>
      </c>
      <c r="E337" s="328" t="s">
        <v>989</v>
      </c>
      <c r="F337" s="328" t="s">
        <v>990</v>
      </c>
      <c r="G337" s="328" t="s">
        <v>991</v>
      </c>
      <c r="H337" s="314"/>
      <c r="I337" s="328" t="s">
        <v>2699</v>
      </c>
      <c r="J337" s="329" t="s">
        <v>992</v>
      </c>
      <c r="K337" s="331" t="s">
        <v>993</v>
      </c>
      <c r="L337" s="2"/>
      <c r="M337" s="2"/>
      <c r="N337" s="2"/>
      <c r="O337" s="2"/>
      <c r="P337" s="332" t="str">
        <f>CONCATENATE([2]Disposition!D365," ",[2]Disposition!E365," ",[2]Disposition!F365)</f>
        <v>PCPT FERMANTEZ DINA</v>
      </c>
      <c r="Q337" s="332" t="str">
        <f>IFERROR(VLOOKUP(P331,[1]Disposition!$AB$9:$AC$495,2,0),"NO RECORD YET")</f>
        <v>Cagoran, Lal-lo, Cagayan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5" customHeight="1">
      <c r="A338" s="326">
        <v>329</v>
      </c>
      <c r="B338" s="327" t="s">
        <v>965</v>
      </c>
      <c r="C338" s="327" t="s">
        <v>19</v>
      </c>
      <c r="D338" s="326" t="s">
        <v>40</v>
      </c>
      <c r="E338" s="328" t="s">
        <v>994</v>
      </c>
      <c r="F338" s="328" t="s">
        <v>995</v>
      </c>
      <c r="G338" s="328" t="s">
        <v>996</v>
      </c>
      <c r="H338" s="314"/>
      <c r="I338" s="328" t="s">
        <v>2969</v>
      </c>
      <c r="J338" s="312"/>
      <c r="K338" s="333"/>
      <c r="L338" s="2"/>
      <c r="M338" s="2"/>
      <c r="N338" s="2"/>
      <c r="O338" s="2"/>
      <c r="P338" s="325" t="str">
        <f t="shared" ref="P338:P345" si="12">CONCATENATE(E338," ",F338," ",G338)</f>
        <v>BUITRE TIMOTHY JOSEPH SIPIN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5" customHeight="1">
      <c r="A339" s="326">
        <v>330</v>
      </c>
      <c r="B339" s="327" t="s">
        <v>965</v>
      </c>
      <c r="C339" s="327" t="s">
        <v>39</v>
      </c>
      <c r="D339" s="326" t="s">
        <v>40</v>
      </c>
      <c r="E339" s="328" t="s">
        <v>997</v>
      </c>
      <c r="F339" s="328" t="s">
        <v>998</v>
      </c>
      <c r="G339" s="328" t="s">
        <v>999</v>
      </c>
      <c r="H339" s="314"/>
      <c r="I339" s="328" t="s">
        <v>2705</v>
      </c>
      <c r="J339" s="312"/>
      <c r="K339" s="333"/>
      <c r="L339" s="2"/>
      <c r="M339" s="2"/>
      <c r="N339" s="2"/>
      <c r="O339" s="2"/>
      <c r="P339" s="325" t="str">
        <f t="shared" si="12"/>
        <v>ENRIQUEZ ARIANE GRACE DE LEON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5" customHeight="1">
      <c r="A340" s="326">
        <v>331</v>
      </c>
      <c r="B340" s="327" t="s">
        <v>965</v>
      </c>
      <c r="C340" s="327" t="s">
        <v>19</v>
      </c>
      <c r="D340" s="326" t="s">
        <v>40</v>
      </c>
      <c r="E340" s="328" t="s">
        <v>1000</v>
      </c>
      <c r="F340" s="328" t="s">
        <v>1001</v>
      </c>
      <c r="G340" s="328" t="s">
        <v>1002</v>
      </c>
      <c r="H340" s="314"/>
      <c r="I340" s="328" t="s">
        <v>2705</v>
      </c>
      <c r="J340" s="329" t="s">
        <v>1003</v>
      </c>
      <c r="K340" s="331" t="s">
        <v>1004</v>
      </c>
      <c r="L340" s="2"/>
      <c r="M340" s="2"/>
      <c r="N340" s="2"/>
      <c r="O340" s="2"/>
      <c r="P340" s="325" t="str">
        <f t="shared" si="12"/>
        <v>HAPAN IAN CARLO VILLANUEVA</v>
      </c>
      <c r="Q340" s="332" t="str">
        <f>IFERROR(VLOOKUP(P334,[1]Disposition!$AB$9:$AC$495,2,0),"NO RECORD YET")</f>
        <v>528 Sampaguit St., San Juan Ildefonso, Bulacan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5" customHeight="1">
      <c r="A341" s="326">
        <v>332</v>
      </c>
      <c r="B341" s="327" t="s">
        <v>3650</v>
      </c>
      <c r="C341" s="327" t="s">
        <v>19</v>
      </c>
      <c r="D341" s="326" t="s">
        <v>40</v>
      </c>
      <c r="E341" s="328" t="s">
        <v>2611</v>
      </c>
      <c r="F341" s="328" t="s">
        <v>2924</v>
      </c>
      <c r="G341" s="328" t="s">
        <v>2925</v>
      </c>
      <c r="H341" s="314"/>
      <c r="I341" s="328" t="s">
        <v>3651</v>
      </c>
      <c r="J341" s="329" t="s">
        <v>2926</v>
      </c>
      <c r="K341" s="344" t="s">
        <v>2927</v>
      </c>
      <c r="L341" s="2"/>
      <c r="M341" s="2"/>
      <c r="N341" s="2"/>
      <c r="O341" s="2"/>
      <c r="P341" s="325"/>
      <c r="Q341" s="33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5" customHeight="1">
      <c r="A342" s="326">
        <v>333</v>
      </c>
      <c r="B342" s="327" t="s">
        <v>1008</v>
      </c>
      <c r="C342" s="327" t="s">
        <v>19</v>
      </c>
      <c r="D342" s="326" t="s">
        <v>644</v>
      </c>
      <c r="E342" s="328" t="s">
        <v>1009</v>
      </c>
      <c r="F342" s="328" t="s">
        <v>1010</v>
      </c>
      <c r="G342" s="328" t="s">
        <v>1011</v>
      </c>
      <c r="H342" s="314"/>
      <c r="I342" s="328" t="s">
        <v>2818</v>
      </c>
      <c r="J342" s="329" t="s">
        <v>1012</v>
      </c>
      <c r="K342" s="331" t="s">
        <v>1013</v>
      </c>
      <c r="L342" s="2"/>
      <c r="M342" s="2"/>
      <c r="N342" s="2"/>
      <c r="O342" s="2"/>
      <c r="P342" s="325" t="str">
        <f t="shared" si="12"/>
        <v>FRONDA JIMMSON CILOCILO</v>
      </c>
      <c r="Q342" s="332" t="str">
        <f>IFERROR(VLOOKUP(P335,[1]Disposition!$AB$9:$AC$495,2,0),"NO RECORD YET")</f>
        <v>NO RECORD YET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5" customHeight="1">
      <c r="A343" s="326">
        <v>334</v>
      </c>
      <c r="B343" s="327" t="s">
        <v>1008</v>
      </c>
      <c r="C343" s="327" t="s">
        <v>19</v>
      </c>
      <c r="D343" s="326" t="s">
        <v>40</v>
      </c>
      <c r="E343" s="328" t="s">
        <v>1014</v>
      </c>
      <c r="F343" s="328" t="s">
        <v>1015</v>
      </c>
      <c r="G343" s="328" t="s">
        <v>91</v>
      </c>
      <c r="H343" s="314"/>
      <c r="I343" s="328" t="s">
        <v>2688</v>
      </c>
      <c r="J343" s="329" t="s">
        <v>1016</v>
      </c>
      <c r="K343" s="331" t="s">
        <v>1017</v>
      </c>
      <c r="L343" s="2"/>
      <c r="M343" s="2"/>
      <c r="N343" s="2"/>
      <c r="O343" s="2"/>
      <c r="P343" s="325" t="str">
        <f t="shared" si="12"/>
        <v>AQUINO  ROGELIO PATIÑO</v>
      </c>
      <c r="Q343" s="332" t="str">
        <f>IFERROR(VLOOKUP(P336,[1]Disposition!$AB$9:$AC$495,2,0),"NO RECORD YET")</f>
        <v>Blk 42 L 25 Ascencsion Ave., Brgy. Grater Lagro, Quezon City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5" customHeight="1">
      <c r="A344" s="326">
        <v>335</v>
      </c>
      <c r="B344" s="327" t="s">
        <v>1008</v>
      </c>
      <c r="C344" s="327" t="s">
        <v>19</v>
      </c>
      <c r="D344" s="326" t="s">
        <v>40</v>
      </c>
      <c r="E344" s="328" t="s">
        <v>1018</v>
      </c>
      <c r="F344" s="328" t="s">
        <v>754</v>
      </c>
      <c r="G344" s="328" t="s">
        <v>1019</v>
      </c>
      <c r="H344" s="314"/>
      <c r="I344" s="328" t="s">
        <v>2970</v>
      </c>
      <c r="J344" s="312"/>
      <c r="K344" s="333"/>
      <c r="L344" s="2"/>
      <c r="M344" s="2"/>
      <c r="N344" s="2"/>
      <c r="O344" s="2"/>
      <c r="P344" s="325" t="str">
        <f t="shared" si="12"/>
        <v>CATANEO RYAN VINLUAN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5" customHeight="1">
      <c r="A345" s="326">
        <v>336</v>
      </c>
      <c r="B345" s="327" t="s">
        <v>1008</v>
      </c>
      <c r="C345" s="327" t="s">
        <v>19</v>
      </c>
      <c r="D345" s="326" t="s">
        <v>40</v>
      </c>
      <c r="E345" s="328" t="s">
        <v>1020</v>
      </c>
      <c r="F345" s="328" t="s">
        <v>528</v>
      </c>
      <c r="G345" s="328" t="s">
        <v>1021</v>
      </c>
      <c r="H345" s="314"/>
      <c r="I345" s="328" t="s">
        <v>2711</v>
      </c>
      <c r="J345" s="329" t="s">
        <v>1022</v>
      </c>
      <c r="K345" s="331" t="s">
        <v>1023</v>
      </c>
      <c r="L345" s="2"/>
      <c r="M345" s="2"/>
      <c r="N345" s="2"/>
      <c r="O345" s="2"/>
      <c r="P345" s="325" t="str">
        <f t="shared" si="12"/>
        <v>CELADIÑA TEODORO CUISON</v>
      </c>
      <c r="Q345" s="332" t="str">
        <f>IFERROR(VLOOKUP(P338,[1]Disposition!$AB$9:$AC$495,2,0),"NO RECORD YET")</f>
        <v>NO RECORD YET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5" customHeight="1">
      <c r="A346" s="326">
        <v>337</v>
      </c>
      <c r="B346" s="327" t="s">
        <v>1008</v>
      </c>
      <c r="C346" s="327" t="s">
        <v>19</v>
      </c>
      <c r="D346" s="326" t="s">
        <v>40</v>
      </c>
      <c r="E346" s="328" t="s">
        <v>185</v>
      </c>
      <c r="F346" s="328" t="s">
        <v>1303</v>
      </c>
      <c r="G346" s="328" t="s">
        <v>2971</v>
      </c>
      <c r="H346" s="314"/>
      <c r="I346" s="328" t="s">
        <v>2970</v>
      </c>
      <c r="J346" s="312"/>
      <c r="K346" s="33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5" customHeight="1">
      <c r="A347" s="326">
        <v>338</v>
      </c>
      <c r="B347" s="327" t="s">
        <v>1008</v>
      </c>
      <c r="C347" s="327" t="s">
        <v>19</v>
      </c>
      <c r="D347" s="326" t="s">
        <v>40</v>
      </c>
      <c r="E347" s="328" t="s">
        <v>1645</v>
      </c>
      <c r="F347" s="328" t="s">
        <v>2972</v>
      </c>
      <c r="G347" s="328" t="s">
        <v>2973</v>
      </c>
      <c r="H347" s="314"/>
      <c r="I347" s="328" t="s">
        <v>2974</v>
      </c>
      <c r="J347" s="312"/>
      <c r="K347" s="333"/>
      <c r="L347" s="2"/>
      <c r="M347" s="2"/>
      <c r="N347" s="2"/>
      <c r="O347" s="2"/>
      <c r="P347" s="325" t="str">
        <f t="shared" ref="P347:P350" si="13">CONCATENATE(E347," ",F347," ",G347)</f>
        <v>MANANON REMAN JOSEPH RENTOY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5" customHeight="1">
      <c r="A348" s="326">
        <v>339</v>
      </c>
      <c r="B348" s="327" t="s">
        <v>1008</v>
      </c>
      <c r="C348" s="327" t="s">
        <v>19</v>
      </c>
      <c r="D348" s="326" t="s">
        <v>40</v>
      </c>
      <c r="E348" s="328" t="s">
        <v>1024</v>
      </c>
      <c r="F348" s="328" t="s">
        <v>1025</v>
      </c>
      <c r="G348" s="328" t="s">
        <v>1026</v>
      </c>
      <c r="H348" s="314"/>
      <c r="I348" s="328" t="s">
        <v>2711</v>
      </c>
      <c r="J348" s="329" t="s">
        <v>1027</v>
      </c>
      <c r="K348" s="331" t="s">
        <v>148</v>
      </c>
      <c r="L348" s="2"/>
      <c r="M348" s="2"/>
      <c r="N348" s="2"/>
      <c r="O348" s="2"/>
      <c r="P348" s="325" t="str">
        <f t="shared" si="13"/>
        <v>FERNANDEZ ROWEN BON</v>
      </c>
      <c r="Q348" s="332" t="str">
        <f>IFERROR(VLOOKUP(P342,[1]Disposition!$AB$9:$AC$495,2,0),"NO RECORD YET")</f>
        <v>31 NHA Delpan Bliss, Tondo, Manila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5" customHeight="1">
      <c r="A349" s="326">
        <v>340</v>
      </c>
      <c r="B349" s="327" t="s">
        <v>1008</v>
      </c>
      <c r="C349" s="327" t="s">
        <v>19</v>
      </c>
      <c r="D349" s="326" t="s">
        <v>40</v>
      </c>
      <c r="E349" s="328" t="s">
        <v>636</v>
      </c>
      <c r="F349" s="328" t="s">
        <v>1028</v>
      </c>
      <c r="G349" s="328" t="s">
        <v>1029</v>
      </c>
      <c r="H349" s="314"/>
      <c r="I349" s="328" t="s">
        <v>2783</v>
      </c>
      <c r="J349" s="329" t="s">
        <v>1030</v>
      </c>
      <c r="K349" s="331" t="s">
        <v>1031</v>
      </c>
      <c r="L349" s="2"/>
      <c r="M349" s="2"/>
      <c r="N349" s="2"/>
      <c r="O349" s="2"/>
      <c r="P349" s="325" t="str">
        <f t="shared" si="13"/>
        <v>SANTOS ALLAN SASUTA</v>
      </c>
      <c r="Q349" s="332" t="str">
        <f>IFERROR(VLOOKUP(P343,[1]Disposition!$AB$9:$AC$495,2,0),"NO RECORD YET")</f>
        <v>556 Kaunlaran St., Brgy. Commonwealth, Quezon City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5" customHeight="1">
      <c r="A350" s="326">
        <v>341</v>
      </c>
      <c r="B350" s="327" t="s">
        <v>1008</v>
      </c>
      <c r="C350" s="327" t="s">
        <v>39</v>
      </c>
      <c r="D350" s="326" t="s">
        <v>40</v>
      </c>
      <c r="E350" s="328" t="s">
        <v>1032</v>
      </c>
      <c r="F350" s="328" t="s">
        <v>1033</v>
      </c>
      <c r="G350" s="328" t="s">
        <v>1034</v>
      </c>
      <c r="H350" s="314"/>
      <c r="I350" s="328" t="s">
        <v>2711</v>
      </c>
      <c r="J350" s="329" t="s">
        <v>1035</v>
      </c>
      <c r="K350" s="331" t="s">
        <v>1036</v>
      </c>
      <c r="L350" s="2"/>
      <c r="M350" s="2"/>
      <c r="N350" s="2"/>
      <c r="O350" s="2"/>
      <c r="P350" s="325" t="str">
        <f t="shared" si="13"/>
        <v>SANCHEZ SHERYL  PALLONES</v>
      </c>
      <c r="Q350" s="332" t="str">
        <f>IFERROR(VLOOKUP(P344,[1]Disposition!$AB$9:$AC$495,2,0),"NO RECORD YET")</f>
        <v>NO RECORD YET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5" customHeight="1">
      <c r="A351" s="326">
        <v>342</v>
      </c>
      <c r="B351" s="327" t="s">
        <v>1037</v>
      </c>
      <c r="C351" s="327" t="s">
        <v>19</v>
      </c>
      <c r="D351" s="326" t="s">
        <v>20</v>
      </c>
      <c r="E351" s="328" t="s">
        <v>155</v>
      </c>
      <c r="F351" s="328" t="s">
        <v>156</v>
      </c>
      <c r="G351" s="328" t="s">
        <v>157</v>
      </c>
      <c r="H351" s="314"/>
      <c r="I351" s="328" t="s">
        <v>2838</v>
      </c>
      <c r="J351" s="329" t="s">
        <v>158</v>
      </c>
      <c r="K351" s="331" t="s">
        <v>159</v>
      </c>
      <c r="L351" s="2"/>
      <c r="M351" s="2"/>
      <c r="N351" s="2"/>
      <c r="O351" s="2"/>
      <c r="P351" s="325" t="str">
        <f>CONCATENATE(E351," ",F351," ",G351)</f>
        <v>BORRES RUBEN  BROSAS</v>
      </c>
      <c r="Q351" s="332" t="str">
        <f>IFERROR(VLOOKUP(P351,[1]Disposition!$AB$9:$AC$495,2,0),"NO RECORD YET")</f>
        <v>NO RECORD YET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5" customHeight="1">
      <c r="A352" s="326">
        <v>343</v>
      </c>
      <c r="B352" s="327" t="s">
        <v>1037</v>
      </c>
      <c r="C352" s="327" t="s">
        <v>19</v>
      </c>
      <c r="D352" s="326" t="s">
        <v>20</v>
      </c>
      <c r="E352" s="328" t="s">
        <v>936</v>
      </c>
      <c r="F352" s="328" t="s">
        <v>1074</v>
      </c>
      <c r="G352" s="328" t="s">
        <v>1075</v>
      </c>
      <c r="H352" s="326" t="s">
        <v>268</v>
      </c>
      <c r="I352" s="328" t="s">
        <v>2976</v>
      </c>
      <c r="J352" s="312"/>
      <c r="K352" s="333"/>
      <c r="L352" s="2"/>
      <c r="M352" s="2"/>
      <c r="N352" s="2"/>
      <c r="O352" s="2"/>
      <c r="P352" s="332" t="str">
        <f>CONCATENATE([2]Disposition!D353," ",[2]Disposition!E353," ",[2]Disposition!F353)</f>
        <v>PCOL GACES JUANITO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5" customHeight="1">
      <c r="A353" s="326">
        <v>344</v>
      </c>
      <c r="B353" s="327" t="s">
        <v>1037</v>
      </c>
      <c r="C353" s="327" t="s">
        <v>19</v>
      </c>
      <c r="D353" s="326" t="s">
        <v>160</v>
      </c>
      <c r="E353" s="328" t="s">
        <v>2582</v>
      </c>
      <c r="F353" s="328" t="s">
        <v>2583</v>
      </c>
      <c r="G353" s="328" t="s">
        <v>2584</v>
      </c>
      <c r="H353" s="314"/>
      <c r="I353" s="328" t="s">
        <v>2975</v>
      </c>
      <c r="J353" s="329" t="s">
        <v>2585</v>
      </c>
      <c r="K353" s="331" t="s">
        <v>2586</v>
      </c>
      <c r="L353" s="2"/>
      <c r="M353" s="2"/>
      <c r="N353" s="2"/>
      <c r="O353" s="2"/>
      <c r="P353" s="325" t="str">
        <f>CONCATENATE(E353," ",F353," ",G353)</f>
        <v>ANUNCIO ALEJANDER TALAMPAS</v>
      </c>
      <c r="Q353" s="332" t="str">
        <f>IFERROR(VLOOKUP(P346,[1]Disposition!$AB$9:$AC$495,2,0),"NO RECORD YET")</f>
        <v>NO RECORD YET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5" customHeight="1">
      <c r="A354" s="326">
        <v>345</v>
      </c>
      <c r="B354" s="327" t="s">
        <v>1037</v>
      </c>
      <c r="C354" s="327" t="s">
        <v>39</v>
      </c>
      <c r="D354" s="326" t="s">
        <v>160</v>
      </c>
      <c r="E354" s="328" t="s">
        <v>1084</v>
      </c>
      <c r="F354" s="328" t="s">
        <v>1085</v>
      </c>
      <c r="G354" s="328" t="s">
        <v>256</v>
      </c>
      <c r="H354" s="314"/>
      <c r="I354" s="328" t="s">
        <v>2976</v>
      </c>
      <c r="J354" s="312"/>
      <c r="K354" s="333"/>
      <c r="L354" s="2"/>
      <c r="M354" s="2"/>
      <c r="N354" s="2"/>
      <c r="O354" s="2"/>
      <c r="P354" s="332" t="str">
        <f>CONCATENATE([2]Disposition!D356," ",[2]Disposition!E356," ",[2]Disposition!F356)</f>
        <v>PLTCOL MARAMAG MARCIANA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5" customHeight="1">
      <c r="A355" s="326">
        <v>346</v>
      </c>
      <c r="B355" s="327" t="s">
        <v>1037</v>
      </c>
      <c r="C355" s="327" t="s">
        <v>19</v>
      </c>
      <c r="D355" s="326" t="s">
        <v>160</v>
      </c>
      <c r="E355" s="328" t="s">
        <v>1083</v>
      </c>
      <c r="F355" s="328" t="s">
        <v>1086</v>
      </c>
      <c r="G355" s="328" t="s">
        <v>1087</v>
      </c>
      <c r="H355" s="314"/>
      <c r="I355" s="328" t="s">
        <v>2975</v>
      </c>
      <c r="J355" s="329" t="s">
        <v>1088</v>
      </c>
      <c r="K355" s="331" t="s">
        <v>1089</v>
      </c>
      <c r="L355" s="2"/>
      <c r="M355" s="2"/>
      <c r="N355" s="2"/>
      <c r="O355" s="2"/>
      <c r="P355" s="332" t="str">
        <f>CONCATENATE([2]Disposition!D357," ",[2]Disposition!E357," ",[2]Disposition!F357)</f>
        <v>PLTCOL REYES ROBERT</v>
      </c>
      <c r="Q355" s="332" t="str">
        <f>IFERROR(VLOOKUP(P347,[1]Disposition!$AB$9:$AC$495,2,0),"NO RECORD YET")</f>
        <v>NO RECORD YET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5" customHeight="1">
      <c r="A356" s="326">
        <v>347</v>
      </c>
      <c r="B356" s="327" t="s">
        <v>1037</v>
      </c>
      <c r="C356" s="327" t="s">
        <v>19</v>
      </c>
      <c r="D356" s="326" t="s">
        <v>160</v>
      </c>
      <c r="E356" s="328" t="s">
        <v>854</v>
      </c>
      <c r="F356" s="328" t="s">
        <v>2560</v>
      </c>
      <c r="G356" s="328" t="s">
        <v>2561</v>
      </c>
      <c r="H356" s="314"/>
      <c r="I356" s="328" t="s">
        <v>2975</v>
      </c>
      <c r="J356" s="329" t="s">
        <v>2562</v>
      </c>
      <c r="K356" s="331" t="s">
        <v>2563</v>
      </c>
      <c r="L356" s="2"/>
      <c r="M356" s="2"/>
      <c r="N356" s="2"/>
      <c r="O356" s="2"/>
      <c r="P356" s="325" t="str">
        <f>CONCATENATE(E356," ",F356," ",G356)</f>
        <v>RUIZ RONIE BATARA</v>
      </c>
      <c r="Q356" s="332" t="str">
        <f>IFERROR(VLOOKUP(P348,[1]Disposition!$AB$9:$AC$495,2,0),"NO RECORD YET")</f>
        <v>Blk 17 LOT 8 Heroesville 1Subd.,  Phase 1. BRGY. Gaya-Gaya, San Jose Del Monte, Bulacan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5" customHeight="1">
      <c r="A357" s="326">
        <v>348</v>
      </c>
      <c r="B357" s="327" t="s">
        <v>2977</v>
      </c>
      <c r="C357" s="327" t="s">
        <v>39</v>
      </c>
      <c r="D357" s="326" t="s">
        <v>40</v>
      </c>
      <c r="E357" s="328" t="s">
        <v>421</v>
      </c>
      <c r="F357" s="328" t="s">
        <v>422</v>
      </c>
      <c r="G357" s="328" t="s">
        <v>423</v>
      </c>
      <c r="H357" s="314"/>
      <c r="I357" s="328" t="s">
        <v>2712</v>
      </c>
      <c r="J357" s="329" t="s">
        <v>424</v>
      </c>
      <c r="K357" s="331" t="s">
        <v>425</v>
      </c>
      <c r="L357" s="2"/>
      <c r="M357" s="2"/>
      <c r="N357" s="2"/>
      <c r="O357" s="2"/>
      <c r="P357" s="325" t="str">
        <f t="shared" ref="P357:P358" si="14">CONCATENATE(E357," ",F357," ",G357)</f>
        <v>JEPOLLO JOCELYN TAMONDONG</v>
      </c>
      <c r="Q357" s="332" t="str">
        <f>IFERROR(VLOOKUP(P95,[1]Disposition!$AB$9:$AC$495,2,0),"NO RECORD YET")</f>
        <v>NO RECORD YET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5" customHeight="1">
      <c r="A358" s="326">
        <v>349</v>
      </c>
      <c r="B358" s="327" t="s">
        <v>1065</v>
      </c>
      <c r="C358" s="327" t="s">
        <v>19</v>
      </c>
      <c r="D358" s="326" t="s">
        <v>160</v>
      </c>
      <c r="E358" s="328" t="s">
        <v>1481</v>
      </c>
      <c r="F358" s="328" t="s">
        <v>1482</v>
      </c>
      <c r="G358" s="328" t="s">
        <v>1483</v>
      </c>
      <c r="H358" s="314"/>
      <c r="I358" s="328" t="s">
        <v>2978</v>
      </c>
      <c r="J358" s="329" t="s">
        <v>1484</v>
      </c>
      <c r="K358" s="331" t="s">
        <v>1485</v>
      </c>
      <c r="L358" s="2"/>
      <c r="M358" s="2"/>
      <c r="N358" s="2"/>
      <c r="O358" s="2"/>
      <c r="P358" s="325" t="str">
        <f t="shared" si="14"/>
        <v>CORPUZ ALLAN ROY AGANG</v>
      </c>
      <c r="Q358" s="332" t="str">
        <f>IFERROR(VLOOKUP(P357,[1]Disposition!$AB$9:$AC$495,2,0),"NO RECORD YET")</f>
        <v>#7 4TH Avenue, Bagong Lipunan, Crame, Quezon City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5" customHeight="1">
      <c r="A359" s="326">
        <v>350</v>
      </c>
      <c r="B359" s="327" t="s">
        <v>1065</v>
      </c>
      <c r="C359" s="327" t="s">
        <v>39</v>
      </c>
      <c r="D359" s="326" t="s">
        <v>20</v>
      </c>
      <c r="E359" s="328" t="s">
        <v>1066</v>
      </c>
      <c r="F359" s="328" t="s">
        <v>1067</v>
      </c>
      <c r="G359" s="328" t="s">
        <v>1068</v>
      </c>
      <c r="H359" s="314"/>
      <c r="I359" s="328" t="s">
        <v>2979</v>
      </c>
      <c r="J359" s="329" t="s">
        <v>1069</v>
      </c>
      <c r="K359" s="331" t="s">
        <v>1070</v>
      </c>
      <c r="L359" s="2"/>
      <c r="M359" s="2"/>
      <c r="N359" s="2"/>
      <c r="O359" s="2"/>
      <c r="P359" s="325" t="str">
        <f>CONCATENATE(E564," ",F564," ",G564)</f>
        <v>PEÑAVERDE SHARMAINE RODRIGUEZ</v>
      </c>
      <c r="Q359" s="332" t="str">
        <f>IFERROR(VLOOKUP(P358,[1]Disposition!$AB$9:$AC$495,2,0),"NO RECORD YET")</f>
        <v>194 6th STGHQ Village,  Zone 1, Taguig, Metro Manila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5" customHeight="1">
      <c r="A360" s="326">
        <v>351</v>
      </c>
      <c r="B360" s="327" t="s">
        <v>1065</v>
      </c>
      <c r="C360" s="327" t="s">
        <v>19</v>
      </c>
      <c r="D360" s="326" t="s">
        <v>20</v>
      </c>
      <c r="E360" s="328" t="s">
        <v>1071</v>
      </c>
      <c r="F360" s="328" t="s">
        <v>1072</v>
      </c>
      <c r="G360" s="328" t="s">
        <v>1073</v>
      </c>
      <c r="H360" s="314"/>
      <c r="I360" s="328" t="s">
        <v>2980</v>
      </c>
      <c r="J360" s="312"/>
      <c r="K360" s="333"/>
      <c r="L360" s="2"/>
      <c r="M360" s="2"/>
      <c r="N360" s="2"/>
      <c r="O360" s="2"/>
      <c r="P360" s="332" t="str">
        <f>CONCATENATE([2]Disposition!D352," ",[2]Disposition!E352," ",[2]Disposition!F352)</f>
        <v>PCOL ESCOBAL CARLO JOSEPH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5" customHeight="1">
      <c r="A361" s="326">
        <v>352</v>
      </c>
      <c r="B361" s="327" t="s">
        <v>1065</v>
      </c>
      <c r="C361" s="327" t="s">
        <v>19</v>
      </c>
      <c r="D361" s="326" t="s">
        <v>20</v>
      </c>
      <c r="E361" s="328" t="s">
        <v>1805</v>
      </c>
      <c r="F361" s="328" t="s">
        <v>1806</v>
      </c>
      <c r="G361" s="328" t="s">
        <v>1807</v>
      </c>
      <c r="H361" s="314"/>
      <c r="I361" s="328" t="s">
        <v>2981</v>
      </c>
      <c r="J361" s="329" t="s">
        <v>1808</v>
      </c>
      <c r="K361" s="331" t="s">
        <v>1809</v>
      </c>
      <c r="L361" s="2"/>
      <c r="M361" s="2"/>
      <c r="N361" s="2"/>
      <c r="O361" s="2"/>
      <c r="P361" s="325" t="str">
        <f>CONCATENATE(E359," ",F359," ",G359)</f>
        <v>DAMASO MARIBEL MONES</v>
      </c>
      <c r="Q361" s="332" t="str">
        <f>IFERROR(VLOOKUP(P360,[1]Disposition!$AB$9:$AC$495,2,0),"NO RECORD YET")</f>
        <v>NO RECORD YET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5" customHeight="1">
      <c r="A362" s="326">
        <v>353</v>
      </c>
      <c r="B362" s="327" t="s">
        <v>1065</v>
      </c>
      <c r="C362" s="327" t="s">
        <v>19</v>
      </c>
      <c r="D362" s="326" t="s">
        <v>160</v>
      </c>
      <c r="E362" s="328" t="s">
        <v>1076</v>
      </c>
      <c r="F362" s="328" t="s">
        <v>1077</v>
      </c>
      <c r="G362" s="328" t="s">
        <v>647</v>
      </c>
      <c r="H362" s="314"/>
      <c r="I362" s="328" t="s">
        <v>2982</v>
      </c>
      <c r="J362" s="329" t="s">
        <v>1078</v>
      </c>
      <c r="K362" s="331" t="s">
        <v>1079</v>
      </c>
      <c r="L362" s="2"/>
      <c r="M362" s="2"/>
      <c r="N362" s="2"/>
      <c r="O362" s="2"/>
      <c r="P362" s="332" t="str">
        <f>CONCATENATE([2]Disposition!D354," ",[2]Disposition!E354," ",[2]Disposition!F354)</f>
        <v>PLTCOL BORJA BRIAN THEO</v>
      </c>
      <c r="Q362" s="332" t="str">
        <f>IFERROR(VLOOKUP(P361,[1]Disposition!$AB$9:$AC$495,2,0),"NO RECORD YET")</f>
        <v>58 B, 8TH Ave., Brgy.SOcorro, Cubao, Quezon City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5" customHeight="1">
      <c r="A363" s="326">
        <v>354</v>
      </c>
      <c r="B363" s="327" t="s">
        <v>1080</v>
      </c>
      <c r="C363" s="327" t="s">
        <v>19</v>
      </c>
      <c r="D363" s="326" t="s">
        <v>160</v>
      </c>
      <c r="E363" s="328" t="s">
        <v>1081</v>
      </c>
      <c r="F363" s="328" t="s">
        <v>1082</v>
      </c>
      <c r="G363" s="328" t="s">
        <v>1083</v>
      </c>
      <c r="H363" s="314"/>
      <c r="I363" s="328" t="s">
        <v>2983</v>
      </c>
      <c r="J363" s="312"/>
      <c r="K363" s="333"/>
      <c r="L363" s="2"/>
      <c r="M363" s="2"/>
      <c r="N363" s="2"/>
      <c r="O363" s="2"/>
      <c r="P363" s="325" t="str">
        <f t="shared" ref="P363:P364" si="15">CONCATENATE(E363," ",F363," ",G363)</f>
        <v>FONCARDAS MARK REYES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5" customHeight="1">
      <c r="A364" s="326">
        <v>355</v>
      </c>
      <c r="B364" s="327" t="s">
        <v>1065</v>
      </c>
      <c r="C364" s="327" t="s">
        <v>19</v>
      </c>
      <c r="D364" s="326" t="s">
        <v>160</v>
      </c>
      <c r="E364" s="328" t="s">
        <v>636</v>
      </c>
      <c r="F364" s="328" t="s">
        <v>1657</v>
      </c>
      <c r="G364" s="328" t="s">
        <v>1658</v>
      </c>
      <c r="H364" s="314"/>
      <c r="I364" s="328" t="s">
        <v>2984</v>
      </c>
      <c r="J364" s="329" t="s">
        <v>1659</v>
      </c>
      <c r="K364" s="333"/>
      <c r="L364" s="2"/>
      <c r="M364" s="2"/>
      <c r="N364" s="2"/>
      <c r="O364" s="2"/>
      <c r="P364" s="325" t="str">
        <f t="shared" si="15"/>
        <v>SANTOS NHARCISO JHOEL SULIT</v>
      </c>
      <c r="Q364" s="332" t="str">
        <f>IFERROR(VLOOKUP(P363,[1]Disposition!$AB$9:$AC$495,2,0),"NO RECORD YET")</f>
        <v>NO RECORD YET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5" customHeight="1">
      <c r="A365" s="326">
        <v>356</v>
      </c>
      <c r="B365" s="327" t="s">
        <v>1065</v>
      </c>
      <c r="C365" s="327" t="s">
        <v>39</v>
      </c>
      <c r="D365" s="326" t="s">
        <v>253</v>
      </c>
      <c r="E365" s="328" t="s">
        <v>1090</v>
      </c>
      <c r="F365" s="328" t="s">
        <v>1091</v>
      </c>
      <c r="G365" s="328" t="s">
        <v>1092</v>
      </c>
      <c r="H365" s="314"/>
      <c r="I365" s="328" t="s">
        <v>2985</v>
      </c>
      <c r="J365" s="329" t="s">
        <v>1093</v>
      </c>
      <c r="K365" s="331" t="s">
        <v>1094</v>
      </c>
      <c r="L365" s="2"/>
      <c r="M365" s="2"/>
      <c r="N365" s="2"/>
      <c r="O365" s="2"/>
      <c r="P365" s="332" t="str">
        <f>CONCATENATE([2]Disposition!D358," ",[2]Disposition!E358," ",[2]Disposition!F358)</f>
        <v>PMAJ BELLY JOCELYN</v>
      </c>
      <c r="Q365" s="332">
        <f>IFERROR(VLOOKUP(P364,[1]Disposition!$AB$9:$AC$495,2,0),"NO RECORD YET")</f>
        <v>0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5" customHeight="1">
      <c r="A366" s="326">
        <v>357</v>
      </c>
      <c r="B366" s="327" t="s">
        <v>1065</v>
      </c>
      <c r="C366" s="327" t="s">
        <v>39</v>
      </c>
      <c r="D366" s="326" t="s">
        <v>253</v>
      </c>
      <c r="E366" s="328" t="s">
        <v>836</v>
      </c>
      <c r="F366" s="328" t="s">
        <v>1095</v>
      </c>
      <c r="G366" s="328" t="s">
        <v>1096</v>
      </c>
      <c r="H366" s="314"/>
      <c r="I366" s="328" t="s">
        <v>2985</v>
      </c>
      <c r="J366" s="329" t="s">
        <v>1097</v>
      </c>
      <c r="K366" s="331" t="s">
        <v>1098</v>
      </c>
      <c r="L366" s="2"/>
      <c r="M366" s="2"/>
      <c r="N366" s="2"/>
      <c r="O366" s="2"/>
      <c r="P366" s="332" t="str">
        <f>CONCATENATE([2]Disposition!D359," ",[2]Disposition!E359," ",[2]Disposition!F359)</f>
        <v>PMAJ CRUZ MARICON</v>
      </c>
      <c r="Q366" s="332" t="str">
        <f>IFERROR(VLOOKUP(P365,[1]Disposition!$AB$9:$AC$495,2,0),"NO RECORD YET")</f>
        <v>NO RECORD YET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5" customHeight="1">
      <c r="A367" s="326">
        <v>358</v>
      </c>
      <c r="B367" s="327" t="s">
        <v>1065</v>
      </c>
      <c r="C367" s="327" t="s">
        <v>19</v>
      </c>
      <c r="D367" s="326" t="s">
        <v>253</v>
      </c>
      <c r="E367" s="328" t="s">
        <v>211</v>
      </c>
      <c r="F367" s="328" t="s">
        <v>1086</v>
      </c>
      <c r="G367" s="328" t="s">
        <v>1099</v>
      </c>
      <c r="H367" s="314"/>
      <c r="I367" s="328" t="s">
        <v>2985</v>
      </c>
      <c r="J367" s="329" t="s">
        <v>1100</v>
      </c>
      <c r="K367" s="331" t="s">
        <v>1101</v>
      </c>
      <c r="L367" s="2"/>
      <c r="M367" s="2"/>
      <c r="N367" s="2"/>
      <c r="O367" s="2"/>
      <c r="P367" s="332" t="str">
        <f>CONCATENATE([2]Disposition!D360," ",[2]Disposition!E360," ",[2]Disposition!F360)</f>
        <v>PMAJ TAN ROBERT</v>
      </c>
      <c r="Q367" s="332" t="str">
        <f>IFERROR(VLOOKUP(P366,[1]Disposition!$AB$9:$AC$495,2,0),"NO RECORD YET")</f>
        <v>NO RECORD YET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5" customHeight="1">
      <c r="A368" s="326">
        <v>359</v>
      </c>
      <c r="B368" s="327" t="s">
        <v>1065</v>
      </c>
      <c r="C368" s="327" t="s">
        <v>19</v>
      </c>
      <c r="D368" s="326" t="s">
        <v>96</v>
      </c>
      <c r="E368" s="328" t="s">
        <v>1102</v>
      </c>
      <c r="F368" s="328" t="s">
        <v>1103</v>
      </c>
      <c r="G368" s="328" t="s">
        <v>1104</v>
      </c>
      <c r="H368" s="326" t="s">
        <v>1105</v>
      </c>
      <c r="I368" s="328" t="s">
        <v>2985</v>
      </c>
      <c r="J368" s="329" t="s">
        <v>1106</v>
      </c>
      <c r="K368" s="331" t="s">
        <v>1107</v>
      </c>
      <c r="L368" s="2"/>
      <c r="M368" s="2"/>
      <c r="N368" s="2"/>
      <c r="O368" s="2"/>
      <c r="P368" s="332" t="str">
        <f>CONCATENATE([2]Disposition!D361," ",[2]Disposition!E361," ",[2]Disposition!F361)</f>
        <v>PCPT BATALLER SHERWIN SOLOMON</v>
      </c>
      <c r="Q368" s="332" t="str">
        <f>IFERROR(VLOOKUP(P350,[1]Disposition!$AB$9:$AC$495,2,0),"NO RECORD YET")</f>
        <v>NO RECORD YET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5" customHeight="1">
      <c r="A369" s="326">
        <v>360</v>
      </c>
      <c r="B369" s="327" t="s">
        <v>1065</v>
      </c>
      <c r="C369" s="327" t="s">
        <v>19</v>
      </c>
      <c r="D369" s="326" t="s">
        <v>96</v>
      </c>
      <c r="E369" s="328" t="s">
        <v>1108</v>
      </c>
      <c r="F369" s="328" t="s">
        <v>1109</v>
      </c>
      <c r="G369" s="328" t="s">
        <v>759</v>
      </c>
      <c r="H369" s="326" t="s">
        <v>268</v>
      </c>
      <c r="I369" s="328" t="s">
        <v>2985</v>
      </c>
      <c r="J369" s="329" t="s">
        <v>1110</v>
      </c>
      <c r="K369" s="331" t="s">
        <v>1111</v>
      </c>
      <c r="L369" s="2"/>
      <c r="M369" s="2"/>
      <c r="N369" s="2"/>
      <c r="O369" s="2"/>
      <c r="P369" s="332" t="str">
        <f>CONCATENATE([2]Disposition!D363," ",[2]Disposition!E363," ",[2]Disposition!F363)</f>
        <v>PCPT CABATIN ROGEL VERGEL</v>
      </c>
      <c r="Q369" s="332" t="str">
        <f>IFERROR(VLOOKUP(P367,[1]Disposition!$AB$9:$AC$495,2,0),"NO RECORD YET")</f>
        <v>NO RECORD YET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5" customHeight="1">
      <c r="A370" s="326">
        <v>361</v>
      </c>
      <c r="B370" s="327" t="s">
        <v>1065</v>
      </c>
      <c r="C370" s="327" t="s">
        <v>39</v>
      </c>
      <c r="D370" s="326" t="s">
        <v>96</v>
      </c>
      <c r="E370" s="328" t="s">
        <v>836</v>
      </c>
      <c r="F370" s="328" t="s">
        <v>1112</v>
      </c>
      <c r="G370" s="328" t="s">
        <v>1113</v>
      </c>
      <c r="H370" s="314"/>
      <c r="I370" s="328" t="s">
        <v>2985</v>
      </c>
      <c r="J370" s="329" t="s">
        <v>1114</v>
      </c>
      <c r="K370" s="331" t="s">
        <v>1115</v>
      </c>
      <c r="L370" s="2"/>
      <c r="M370" s="2"/>
      <c r="N370" s="2"/>
      <c r="O370" s="2"/>
      <c r="P370" s="332" t="str">
        <f>CONCATENATE([2]Disposition!D364," ",[2]Disposition!E364," ",[2]Disposition!F364)</f>
        <v>PCPT CRUZ CRISTINA JOY</v>
      </c>
      <c r="Q370" s="332" t="str">
        <f>IFERROR(VLOOKUP(P369,[1]Disposition!$AB$9:$AC$495,2,0),"NO RECORD YET")</f>
        <v>NO RECORD YET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5" customHeight="1">
      <c r="A371" s="326">
        <v>362</v>
      </c>
      <c r="B371" s="327" t="s">
        <v>1065</v>
      </c>
      <c r="C371" s="327" t="s">
        <v>39</v>
      </c>
      <c r="D371" s="326" t="s">
        <v>96</v>
      </c>
      <c r="E371" s="328" t="s">
        <v>1116</v>
      </c>
      <c r="F371" s="328" t="s">
        <v>1117</v>
      </c>
      <c r="G371" s="328" t="s">
        <v>1118</v>
      </c>
      <c r="H371" s="314"/>
      <c r="I371" s="328" t="s">
        <v>2985</v>
      </c>
      <c r="J371" s="329" t="s">
        <v>1119</v>
      </c>
      <c r="K371" s="331" t="s">
        <v>1120</v>
      </c>
      <c r="L371" s="2"/>
      <c r="M371" s="2"/>
      <c r="N371" s="2"/>
      <c r="O371" s="2"/>
      <c r="P371" s="325" t="str">
        <f>CONCATENATE(E361," ",F361," ",G361)</f>
        <v>JOAQUIN ROMEO LISING</v>
      </c>
      <c r="Q371" s="332" t="str">
        <f>IFERROR(VLOOKUP(P370,[1]Disposition!$AB$9:$AC$495,2,0),"NO RECORD YET")</f>
        <v>NO RECORD YET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5" customHeight="1">
      <c r="A372" s="326">
        <v>363</v>
      </c>
      <c r="B372" s="327" t="s">
        <v>1065</v>
      </c>
      <c r="C372" s="327" t="s">
        <v>19</v>
      </c>
      <c r="D372" s="326" t="s">
        <v>96</v>
      </c>
      <c r="E372" s="328" t="s">
        <v>1038</v>
      </c>
      <c r="F372" s="328" t="s">
        <v>413</v>
      </c>
      <c r="G372" s="328" t="s">
        <v>1039</v>
      </c>
      <c r="H372" s="326" t="s">
        <v>268</v>
      </c>
      <c r="I372" s="328" t="s">
        <v>2985</v>
      </c>
      <c r="J372" s="329" t="s">
        <v>1041</v>
      </c>
      <c r="K372" s="331" t="s">
        <v>1042</v>
      </c>
      <c r="L372" s="2"/>
      <c r="M372" s="2"/>
      <c r="N372" s="2"/>
      <c r="O372" s="2"/>
      <c r="P372" s="325" t="str">
        <f>CONCATENATE(E444," ",F444," ",G444)</f>
        <v>DE LEON YVETTE VILLAVERDE</v>
      </c>
      <c r="Q372" s="332" t="str">
        <f>IFERROR(VLOOKUP(P131,[1]Disposition!$AB$9:$AC$495,2,0),"NO RECORD YET")</f>
        <v>NO RECORD YET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5" customHeight="1">
      <c r="A373" s="326">
        <v>364</v>
      </c>
      <c r="B373" s="327" t="s">
        <v>1065</v>
      </c>
      <c r="C373" s="327" t="s">
        <v>19</v>
      </c>
      <c r="D373" s="326" t="s">
        <v>96</v>
      </c>
      <c r="E373" s="328" t="s">
        <v>1126</v>
      </c>
      <c r="F373" s="328" t="s">
        <v>1127</v>
      </c>
      <c r="G373" s="328" t="s">
        <v>1128</v>
      </c>
      <c r="H373" s="314"/>
      <c r="I373" s="328" t="s">
        <v>2985</v>
      </c>
      <c r="J373" s="329" t="s">
        <v>1129</v>
      </c>
      <c r="K373" s="331" t="s">
        <v>1130</v>
      </c>
      <c r="L373" s="2"/>
      <c r="M373" s="2"/>
      <c r="N373" s="2"/>
      <c r="O373" s="2"/>
      <c r="P373" s="332" t="str">
        <f>CONCATENATE([2]Disposition!D367," ",[2]Disposition!E367," ",[2]Disposition!F367)</f>
        <v>PCPT QUIDEZ BRYAN MARK</v>
      </c>
      <c r="Q373" s="332" t="str">
        <f>IFERROR(VLOOKUP(P372,[1]Disposition!$AB$9:$AC$495,2,0),"NO RECORD YET")</f>
        <v>140 N. Domingo St., Brgy. Pedro Cruz, San Juan City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5" customHeight="1">
      <c r="A374" s="326">
        <v>365</v>
      </c>
      <c r="B374" s="327" t="s">
        <v>1065</v>
      </c>
      <c r="C374" s="327" t="s">
        <v>39</v>
      </c>
      <c r="D374" s="326" t="s">
        <v>253</v>
      </c>
      <c r="E374" s="328" t="s">
        <v>1132</v>
      </c>
      <c r="F374" s="328" t="s">
        <v>1133</v>
      </c>
      <c r="G374" s="328" t="s">
        <v>1134</v>
      </c>
      <c r="H374" s="314"/>
      <c r="I374" s="328" t="s">
        <v>2985</v>
      </c>
      <c r="J374" s="329" t="s">
        <v>1135</v>
      </c>
      <c r="K374" s="331" t="s">
        <v>1136</v>
      </c>
      <c r="L374" s="2"/>
      <c r="M374" s="2"/>
      <c r="N374" s="2"/>
      <c r="O374" s="2"/>
      <c r="P374" s="332" t="str">
        <f>CONCATENATE([2]Disposition!D362," ",[2]Disposition!E362," ",[2]Disposition!F362)</f>
        <v>PCPT TAJON VERONICA</v>
      </c>
      <c r="Q374" s="332" t="str">
        <f>IFERROR(VLOOKUP(P373,[1]Disposition!$AB$9:$AC$495,2,0),"NO RECORD YET")</f>
        <v>NO RECORD YET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5" customHeight="1">
      <c r="A375" s="326">
        <v>366</v>
      </c>
      <c r="B375" s="327" t="s">
        <v>1065</v>
      </c>
      <c r="C375" s="327" t="s">
        <v>19</v>
      </c>
      <c r="D375" s="326" t="s">
        <v>96</v>
      </c>
      <c r="E375" s="328" t="s">
        <v>1137</v>
      </c>
      <c r="F375" s="328" t="s">
        <v>1138</v>
      </c>
      <c r="G375" s="328" t="s">
        <v>1139</v>
      </c>
      <c r="H375" s="314"/>
      <c r="I375" s="328" t="s">
        <v>2985</v>
      </c>
      <c r="J375" s="329" t="s">
        <v>1140</v>
      </c>
      <c r="K375" s="331" t="s">
        <v>1141</v>
      </c>
      <c r="L375" s="2"/>
      <c r="M375" s="2"/>
      <c r="N375" s="2"/>
      <c r="O375" s="2"/>
      <c r="P375" s="332" t="str">
        <f>CONCATENATE([2]Disposition!D368," ",[2]Disposition!E368," ",[2]Disposition!F368)</f>
        <v>PLT SIA ENARD</v>
      </c>
      <c r="Q375" s="332" t="str">
        <f>IFERROR(VLOOKUP(P374,[1]Disposition!$AB$9:$AC$495,2,0),"NO RECORD YET")</f>
        <v>NO RECORD YET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5" customHeight="1">
      <c r="A376" s="326">
        <v>367</v>
      </c>
      <c r="B376" s="327" t="s">
        <v>1065</v>
      </c>
      <c r="C376" s="327" t="s">
        <v>19</v>
      </c>
      <c r="D376" s="326" t="s">
        <v>277</v>
      </c>
      <c r="E376" s="328" t="s">
        <v>1142</v>
      </c>
      <c r="F376" s="328" t="s">
        <v>1143</v>
      </c>
      <c r="G376" s="328" t="s">
        <v>1144</v>
      </c>
      <c r="H376" s="314"/>
      <c r="I376" s="328" t="s">
        <v>2854</v>
      </c>
      <c r="J376" s="329" t="s">
        <v>1145</v>
      </c>
      <c r="K376" s="331" t="s">
        <v>1146</v>
      </c>
      <c r="L376" s="2"/>
      <c r="M376" s="2"/>
      <c r="N376" s="2"/>
      <c r="O376" s="2"/>
      <c r="P376" s="332" t="str">
        <f>CONCATENATE([2]Disposition!D369," ",[2]Disposition!E369," ",[2]Disposition!F369)</f>
        <v>PCMS SABIO SHERWIN</v>
      </c>
      <c r="Q376" s="332" t="str">
        <f>IFERROR(VLOOKUP(P375,[1]Disposition!$AB$9:$AC$495,2,0),"NO RECORD YET")</f>
        <v>NO RECORD YET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5" customHeight="1">
      <c r="A377" s="326">
        <v>368</v>
      </c>
      <c r="B377" s="327" t="s">
        <v>1065</v>
      </c>
      <c r="C377" s="327" t="s">
        <v>19</v>
      </c>
      <c r="D377" s="326" t="s">
        <v>366</v>
      </c>
      <c r="E377" s="328" t="s">
        <v>1159</v>
      </c>
      <c r="F377" s="328" t="s">
        <v>754</v>
      </c>
      <c r="G377" s="328" t="s">
        <v>1160</v>
      </c>
      <c r="H377" s="314"/>
      <c r="I377" s="328" t="s">
        <v>2854</v>
      </c>
      <c r="J377" s="329" t="s">
        <v>1161</v>
      </c>
      <c r="K377" s="331" t="s">
        <v>1162</v>
      </c>
      <c r="L377" s="2"/>
      <c r="M377" s="2"/>
      <c r="N377" s="2"/>
      <c r="O377" s="2"/>
      <c r="P377" s="332" t="str">
        <f>CONCATENATE([2]Disposition!D373," ",[2]Disposition!E373," ",[2]Disposition!F373)</f>
        <v>PSMS ECHEGOYEN RYAN</v>
      </c>
      <c r="Q377" s="332" t="str">
        <f>IFERROR(VLOOKUP(P376,[1]Disposition!$AB$9:$AC$495,2,0),"NO RECORD YET")</f>
        <v>NO RECORD YET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5" customHeight="1">
      <c r="A378" s="326">
        <v>369</v>
      </c>
      <c r="B378" s="327" t="s">
        <v>1065</v>
      </c>
      <c r="C378" s="327" t="s">
        <v>19</v>
      </c>
      <c r="D378" s="326" t="s">
        <v>366</v>
      </c>
      <c r="E378" s="328" t="s">
        <v>1151</v>
      </c>
      <c r="F378" s="328" t="s">
        <v>1152</v>
      </c>
      <c r="G378" s="328" t="s">
        <v>1153</v>
      </c>
      <c r="H378" s="314"/>
      <c r="I378" s="328" t="s">
        <v>2854</v>
      </c>
      <c r="J378" s="329" t="s">
        <v>1154</v>
      </c>
      <c r="K378" s="331" t="s">
        <v>1155</v>
      </c>
      <c r="L378" s="2"/>
      <c r="M378" s="2"/>
      <c r="N378" s="2"/>
      <c r="O378" s="2"/>
      <c r="P378" s="332" t="str">
        <f>CONCATENATE([2]Disposition!D371," ",[2]Disposition!E371," ",[2]Disposition!F371)</f>
        <v>PSMS SIGGAYO WILLARD</v>
      </c>
      <c r="Q378" s="332" t="str">
        <f>IFERROR(VLOOKUP(P105,[1]Disposition!$AB$9:$AC$495,2,0),"NO RECORD YET")</f>
        <v>15 F Int. Del Pilar ST., Purok Bougambilla, Brgy. Bagja Mother, Cotabato City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5" customHeight="1">
      <c r="A379" s="326">
        <v>370</v>
      </c>
      <c r="B379" s="327" t="s">
        <v>1065</v>
      </c>
      <c r="C379" s="327" t="s">
        <v>39</v>
      </c>
      <c r="D379" s="326" t="s">
        <v>366</v>
      </c>
      <c r="E379" s="328" t="s">
        <v>1128</v>
      </c>
      <c r="F379" s="328" t="s">
        <v>1156</v>
      </c>
      <c r="G379" s="328" t="s">
        <v>906</v>
      </c>
      <c r="H379" s="314"/>
      <c r="I379" s="328" t="s">
        <v>2854</v>
      </c>
      <c r="J379" s="329" t="s">
        <v>1157</v>
      </c>
      <c r="K379" s="331" t="s">
        <v>1158</v>
      </c>
      <c r="L379" s="2"/>
      <c r="M379" s="2"/>
      <c r="N379" s="2"/>
      <c r="O379" s="2"/>
      <c r="P379" s="332" t="str">
        <f>CONCATENATE([2]Disposition!D372," ",[2]Disposition!E372," ",[2]Disposition!F372)</f>
        <v>PSMS SORIANO NEPTHALIE</v>
      </c>
      <c r="Q379" s="332" t="str">
        <f>IFERROR(VLOOKUP(P257,[1]Disposition!$AB$9:$AC$495,2,0),"NO RECORD YET")</f>
        <v>Pacao, Alamada, North Cotabato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5" customHeight="1">
      <c r="A380" s="326">
        <v>371</v>
      </c>
      <c r="B380" s="327" t="s">
        <v>1065</v>
      </c>
      <c r="C380" s="327" t="s">
        <v>19</v>
      </c>
      <c r="D380" s="326" t="s">
        <v>644</v>
      </c>
      <c r="E380" s="328" t="s">
        <v>1163</v>
      </c>
      <c r="F380" s="328" t="s">
        <v>690</v>
      </c>
      <c r="G380" s="328" t="s">
        <v>1164</v>
      </c>
      <c r="H380" s="314"/>
      <c r="I380" s="328" t="s">
        <v>2854</v>
      </c>
      <c r="J380" s="329" t="s">
        <v>1165</v>
      </c>
      <c r="K380" s="331" t="s">
        <v>1166</v>
      </c>
      <c r="L380" s="2"/>
      <c r="M380" s="2"/>
      <c r="N380" s="2"/>
      <c r="O380" s="2"/>
      <c r="P380" s="332" t="str">
        <f>CONCATENATE([2]Disposition!D374," ",[2]Disposition!E374," ",[2]Disposition!F374)</f>
        <v>PMSg TABUYO GILBERT</v>
      </c>
      <c r="Q380" s="332" t="str">
        <f>IFERROR(VLOOKUP(P377,[1]Disposition!$AB$9:$AC$495,2,0),"NO RECORD YET")</f>
        <v>NO RECORD YET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5" customHeight="1">
      <c r="A381" s="326">
        <v>372</v>
      </c>
      <c r="B381" s="327" t="s">
        <v>1065</v>
      </c>
      <c r="C381" s="327" t="s">
        <v>19</v>
      </c>
      <c r="D381" s="326" t="s">
        <v>24</v>
      </c>
      <c r="E381" s="328" t="s">
        <v>1172</v>
      </c>
      <c r="F381" s="328" t="s">
        <v>1173</v>
      </c>
      <c r="G381" s="328" t="s">
        <v>1174</v>
      </c>
      <c r="H381" s="314"/>
      <c r="I381" s="328" t="s">
        <v>2854</v>
      </c>
      <c r="J381" s="329" t="s">
        <v>1175</v>
      </c>
      <c r="K381" s="331" t="s">
        <v>1176</v>
      </c>
      <c r="L381" s="2"/>
      <c r="M381" s="2"/>
      <c r="N381" s="2"/>
      <c r="O381" s="2"/>
      <c r="P381" s="325" t="str">
        <f>CONCATENATE(E381," ",F381," ",G381)</f>
        <v>GOMEZ RICH MICHAEL LIBU</v>
      </c>
      <c r="Q381" s="332" t="str">
        <f>IFERROR(VLOOKUP(P380,[1]Disposition!$AB$9:$AC$495,2,0),"NO RECORD YET")</f>
        <v>NO RECORD YET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5" customHeight="1">
      <c r="A382" s="326">
        <v>373</v>
      </c>
      <c r="B382" s="327" t="s">
        <v>1065</v>
      </c>
      <c r="C382" s="327" t="s">
        <v>19</v>
      </c>
      <c r="D382" s="326" t="s">
        <v>28</v>
      </c>
      <c r="E382" s="328" t="s">
        <v>1177</v>
      </c>
      <c r="F382" s="328" t="s">
        <v>432</v>
      </c>
      <c r="G382" s="328" t="s">
        <v>1178</v>
      </c>
      <c r="H382" s="326" t="s">
        <v>268</v>
      </c>
      <c r="I382" s="328" t="s">
        <v>2854</v>
      </c>
      <c r="J382" s="329" t="s">
        <v>1179</v>
      </c>
      <c r="K382" s="331" t="s">
        <v>1180</v>
      </c>
      <c r="L382" s="2"/>
      <c r="M382" s="2"/>
      <c r="N382" s="2"/>
      <c r="O382" s="2"/>
      <c r="P382" s="332" t="str">
        <f>CONCATENATE([2]Disposition!D377," ",[2]Disposition!E377," ",[2]Disposition!F377)</f>
        <v>Pat CARIAGA ROBERTO</v>
      </c>
      <c r="Q382" s="332" t="str">
        <f>IFERROR(VLOOKUP(P381,[1]Disposition!$AB$9:$AC$495,2,0),"NO RECORD YET")</f>
        <v>482 Mali St., Cutcut, Angeles City, Pampanga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5" customHeight="1">
      <c r="A383" s="326">
        <v>374</v>
      </c>
      <c r="B383" s="327" t="s">
        <v>1065</v>
      </c>
      <c r="C383" s="327" t="s">
        <v>19</v>
      </c>
      <c r="D383" s="326" t="s">
        <v>28</v>
      </c>
      <c r="E383" s="328" t="s">
        <v>1181</v>
      </c>
      <c r="F383" s="328" t="s">
        <v>1182</v>
      </c>
      <c r="G383" s="328" t="s">
        <v>1183</v>
      </c>
      <c r="H383" s="314"/>
      <c r="I383" s="328" t="s">
        <v>2854</v>
      </c>
      <c r="J383" s="329" t="s">
        <v>1184</v>
      </c>
      <c r="K383" s="331" t="s">
        <v>1185</v>
      </c>
      <c r="L383" s="2"/>
      <c r="M383" s="2"/>
      <c r="N383" s="2"/>
      <c r="O383" s="2"/>
      <c r="P383" s="332" t="str">
        <f>CONCATENATE([2]Disposition!D378," ",[2]Disposition!E378," ",[2]Disposition!F378)</f>
        <v>Pat COSISI FREDERICK</v>
      </c>
      <c r="Q383" s="332" t="str">
        <f>IFERROR(VLOOKUP(P382,[1]Disposition!$AB$9:$AC$495,2,0),"NO RECORD YET")</f>
        <v>NO RECORD YET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5" customHeight="1">
      <c r="A384" s="326">
        <v>375</v>
      </c>
      <c r="B384" s="327" t="s">
        <v>1065</v>
      </c>
      <c r="C384" s="327" t="s">
        <v>19</v>
      </c>
      <c r="D384" s="326" t="s">
        <v>28</v>
      </c>
      <c r="E384" s="328" t="s">
        <v>999</v>
      </c>
      <c r="F384" s="328" t="s">
        <v>1186</v>
      </c>
      <c r="G384" s="328" t="s">
        <v>1187</v>
      </c>
      <c r="H384" s="314"/>
      <c r="I384" s="328" t="s">
        <v>2854</v>
      </c>
      <c r="J384" s="329" t="s">
        <v>1188</v>
      </c>
      <c r="K384" s="331" t="s">
        <v>1189</v>
      </c>
      <c r="L384" s="2"/>
      <c r="M384" s="2"/>
      <c r="N384" s="2"/>
      <c r="O384" s="2"/>
      <c r="P384" s="332" t="str">
        <f>CONCATENATE([2]Disposition!D379," ",[2]Disposition!E379," ",[2]Disposition!F379)</f>
        <v>Pat DE LEON CHRISTOPHER</v>
      </c>
      <c r="Q384" s="332" t="str">
        <f>IFERROR(VLOOKUP(P383,[1]Disposition!$AB$9:$AC$495,2,0),"NO RECORD YET")</f>
        <v>NO RECORD YET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5" customHeight="1">
      <c r="A385" s="326">
        <v>376</v>
      </c>
      <c r="B385" s="327" t="s">
        <v>1065</v>
      </c>
      <c r="C385" s="327" t="s">
        <v>19</v>
      </c>
      <c r="D385" s="326" t="s">
        <v>28</v>
      </c>
      <c r="E385" s="328" t="s">
        <v>135</v>
      </c>
      <c r="F385" s="328" t="s">
        <v>1190</v>
      </c>
      <c r="G385" s="328" t="s">
        <v>1191</v>
      </c>
      <c r="H385" s="314"/>
      <c r="I385" s="328" t="s">
        <v>2854</v>
      </c>
      <c r="J385" s="329" t="s">
        <v>1192</v>
      </c>
      <c r="K385" s="331" t="s">
        <v>1193</v>
      </c>
      <c r="L385" s="2"/>
      <c r="M385" s="2"/>
      <c r="N385" s="2"/>
      <c r="O385" s="2"/>
      <c r="P385" s="332" t="str">
        <f>CONCATENATE([2]Disposition!D380," ",[2]Disposition!E380," ",[2]Disposition!F380)</f>
        <v>Pat DEL ROSARIO BRIGGS</v>
      </c>
      <c r="Q385" s="332" t="str">
        <f>IFERROR(VLOOKUP(P384,[1]Disposition!$AB$9:$AC$495,2,0),"NO RECORD YET")</f>
        <v>NO RECORD YET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5" customHeight="1">
      <c r="A386" s="326">
        <v>377</v>
      </c>
      <c r="B386" s="327" t="s">
        <v>1065</v>
      </c>
      <c r="C386" s="327" t="s">
        <v>19</v>
      </c>
      <c r="D386" s="326" t="s">
        <v>28</v>
      </c>
      <c r="E386" s="328" t="s">
        <v>984</v>
      </c>
      <c r="F386" s="328" t="s">
        <v>985</v>
      </c>
      <c r="G386" s="328" t="s">
        <v>986</v>
      </c>
      <c r="H386" s="314"/>
      <c r="I386" s="328" t="s">
        <v>2854</v>
      </c>
      <c r="J386" s="329" t="s">
        <v>987</v>
      </c>
      <c r="K386" s="331" t="s">
        <v>988</v>
      </c>
      <c r="L386" s="2"/>
      <c r="M386" s="2"/>
      <c r="N386" s="2"/>
      <c r="O386" s="2"/>
      <c r="P386" s="325" t="str">
        <f t="shared" ref="P386:P388" si="16">CONCATENATE(E386," ",F386," ",G386)</f>
        <v>GUINAOWA JAYMAR GUDAREN</v>
      </c>
      <c r="Q386" s="332" t="str">
        <f>IFERROR(VLOOKUP(P385,[1]Disposition!$AB$9:$AC$495,2,0),"NO RECORD YET")</f>
        <v>NO RECORD YET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5" customHeight="1">
      <c r="A387" s="326">
        <v>378</v>
      </c>
      <c r="B387" s="327" t="s">
        <v>1065</v>
      </c>
      <c r="C387" s="327" t="s">
        <v>39</v>
      </c>
      <c r="D387" s="326" t="s">
        <v>28</v>
      </c>
      <c r="E387" s="328" t="s">
        <v>1194</v>
      </c>
      <c r="F387" s="328" t="s">
        <v>108</v>
      </c>
      <c r="G387" s="328" t="s">
        <v>822</v>
      </c>
      <c r="H387" s="314"/>
      <c r="I387" s="328" t="s">
        <v>2854</v>
      </c>
      <c r="J387" s="329" t="s">
        <v>1195</v>
      </c>
      <c r="K387" s="331" t="s">
        <v>1196</v>
      </c>
      <c r="L387" s="2"/>
      <c r="M387" s="2"/>
      <c r="N387" s="2"/>
      <c r="O387" s="2"/>
      <c r="P387" s="325" t="str">
        <f t="shared" si="16"/>
        <v>MELGAR CATHERINE MANUEL</v>
      </c>
      <c r="Q387" s="332" t="str">
        <f>IFERROR(VLOOKUP(P386,[1]Disposition!$AB$9:$AC$495,2,0),"NO RECORD YET")</f>
        <v>NO RECORD YET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5" customHeight="1">
      <c r="A388" s="326">
        <v>379</v>
      </c>
      <c r="B388" s="327" t="s">
        <v>1065</v>
      </c>
      <c r="C388" s="327" t="s">
        <v>39</v>
      </c>
      <c r="D388" s="326" t="s">
        <v>28</v>
      </c>
      <c r="E388" s="328" t="s">
        <v>80</v>
      </c>
      <c r="F388" s="328" t="s">
        <v>81</v>
      </c>
      <c r="G388" s="328" t="s">
        <v>82</v>
      </c>
      <c r="H388" s="314"/>
      <c r="I388" s="328" t="s">
        <v>2818</v>
      </c>
      <c r="J388" s="329" t="s">
        <v>83</v>
      </c>
      <c r="K388" s="331" t="s">
        <v>84</v>
      </c>
      <c r="L388" s="2"/>
      <c r="M388" s="2"/>
      <c r="N388" s="2"/>
      <c r="O388" s="2"/>
      <c r="P388" s="325" t="str">
        <f t="shared" si="16"/>
        <v>PAPA MARIZ NICOLE ENGALAN</v>
      </c>
      <c r="Q388" s="332" t="str">
        <f>IFERROR(VLOOKUP(P387,[1]Disposition!$AB$9:$AC$495,2,0),"NO RECORD YET")</f>
        <v>NO RECORD YET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5" customHeight="1">
      <c r="A389" s="326">
        <v>380</v>
      </c>
      <c r="B389" s="327" t="s">
        <v>1202</v>
      </c>
      <c r="C389" s="327" t="s">
        <v>39</v>
      </c>
      <c r="D389" s="326" t="s">
        <v>40</v>
      </c>
      <c r="E389" s="328" t="s">
        <v>1203</v>
      </c>
      <c r="F389" s="328" t="s">
        <v>1204</v>
      </c>
      <c r="G389" s="328" t="s">
        <v>1205</v>
      </c>
      <c r="H389" s="314"/>
      <c r="I389" s="328" t="s">
        <v>2706</v>
      </c>
      <c r="J389" s="329" t="s">
        <v>1206</v>
      </c>
      <c r="K389" s="331" t="s">
        <v>1207</v>
      </c>
      <c r="L389" s="2"/>
      <c r="M389" s="2"/>
      <c r="N389" s="2"/>
      <c r="O389" s="2"/>
      <c r="P389" s="332" t="str">
        <f>CONCATENATE([2]Disposition!D383," ",[2]Disposition!E383," ",[2]Disposition!F383)</f>
        <v>NUP BUSTARDE MA GOUDELIA</v>
      </c>
      <c r="Q389" s="332" t="str">
        <f>IFERROR(VLOOKUP(P388,[1]Disposition!$AB$9:$AC$495,2,0),"NO RECORD YET")</f>
        <v>NO RECORD YET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5" customHeight="1">
      <c r="A390" s="326">
        <v>381</v>
      </c>
      <c r="B390" s="327" t="s">
        <v>1065</v>
      </c>
      <c r="C390" s="327" t="s">
        <v>19</v>
      </c>
      <c r="D390" s="326" t="s">
        <v>40</v>
      </c>
      <c r="E390" s="328" t="s">
        <v>1212</v>
      </c>
      <c r="F390" s="328" t="s">
        <v>1213</v>
      </c>
      <c r="G390" s="328" t="s">
        <v>1214</v>
      </c>
      <c r="H390" s="314"/>
      <c r="I390" s="328" t="s">
        <v>2986</v>
      </c>
      <c r="J390" s="312"/>
      <c r="K390" s="333"/>
      <c r="L390" s="2"/>
      <c r="M390" s="2"/>
      <c r="N390" s="2"/>
      <c r="O390" s="2"/>
      <c r="P390" s="332" t="str">
        <f>CONCATENATE([2]Disposition!D385," ",[2]Disposition!E385," ",[2]Disposition!F385)</f>
        <v>NUP DE LANA XZYRON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5" customHeight="1">
      <c r="A391" s="326">
        <v>382</v>
      </c>
      <c r="B391" s="327" t="s">
        <v>1065</v>
      </c>
      <c r="C391" s="327" t="s">
        <v>19</v>
      </c>
      <c r="D391" s="326" t="s">
        <v>40</v>
      </c>
      <c r="E391" s="328" t="s">
        <v>1275</v>
      </c>
      <c r="F391" s="328" t="s">
        <v>1276</v>
      </c>
      <c r="G391" s="328" t="s">
        <v>1277</v>
      </c>
      <c r="H391" s="314"/>
      <c r="I391" s="328" t="s">
        <v>2781</v>
      </c>
      <c r="J391" s="329" t="s">
        <v>1278</v>
      </c>
      <c r="K391" s="331" t="s">
        <v>1279</v>
      </c>
      <c r="L391" s="2"/>
      <c r="M391" s="2"/>
      <c r="N391" s="2"/>
      <c r="O391" s="2"/>
      <c r="P391" s="325" t="str">
        <f>CONCATENATE(E73," ",F73," ",G73)</f>
        <v>PINEDA PRECIOUS PEARL  PACTAO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5" customHeight="1">
      <c r="A392" s="326">
        <v>383</v>
      </c>
      <c r="B392" s="327" t="s">
        <v>1229</v>
      </c>
      <c r="C392" s="327" t="s">
        <v>39</v>
      </c>
      <c r="D392" s="326" t="s">
        <v>96</v>
      </c>
      <c r="E392" s="328" t="s">
        <v>1230</v>
      </c>
      <c r="F392" s="328" t="s">
        <v>171</v>
      </c>
      <c r="G392" s="328" t="s">
        <v>1231</v>
      </c>
      <c r="H392" s="314"/>
      <c r="I392" s="328" t="s">
        <v>2985</v>
      </c>
      <c r="J392" s="329" t="s">
        <v>1232</v>
      </c>
      <c r="K392" s="331" t="s">
        <v>1233</v>
      </c>
      <c r="L392" s="2"/>
      <c r="M392" s="2"/>
      <c r="N392" s="2"/>
      <c r="O392" s="2"/>
      <c r="P392" s="332" t="str">
        <f>CONCATENATE([2]Disposition!D390," ",[2]Disposition!E390," ",[2]Disposition!F390)</f>
        <v>PCPT MARTINEZ ANGELICA</v>
      </c>
      <c r="Q392" s="332" t="str">
        <f>IFERROR(VLOOKUP(P393,[1]Disposition!$AB$9:$AC$495,2,0),"NO RECORD YET")</f>
        <v>NO RECORD YET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5" customHeight="1">
      <c r="A393" s="326">
        <v>384</v>
      </c>
      <c r="B393" s="327" t="s">
        <v>1229</v>
      </c>
      <c r="C393" s="327" t="s">
        <v>19</v>
      </c>
      <c r="D393" s="326" t="s">
        <v>96</v>
      </c>
      <c r="E393" s="328" t="s">
        <v>1234</v>
      </c>
      <c r="F393" s="328" t="s">
        <v>1235</v>
      </c>
      <c r="G393" s="328" t="s">
        <v>1236</v>
      </c>
      <c r="H393" s="314"/>
      <c r="I393" s="328" t="s">
        <v>2985</v>
      </c>
      <c r="J393" s="329" t="s">
        <v>1237</v>
      </c>
      <c r="K393" s="331" t="s">
        <v>1238</v>
      </c>
      <c r="L393" s="2"/>
      <c r="M393" s="2"/>
      <c r="N393" s="2"/>
      <c r="O393" s="2"/>
      <c r="P393" s="332" t="str">
        <f>CONCATENATE([2]Disposition!D391," ",[2]Disposition!E391," ",[2]Disposition!F391)</f>
        <v>PCPT PILASPILAS MARK JAYSON</v>
      </c>
      <c r="Q393" s="332" t="str">
        <f>IFERROR(VLOOKUP(P394,[1]Disposition!$AB$9:$AC$495,2,0),"NO RECORD YET")</f>
        <v>NO RECORD YET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5" customHeight="1">
      <c r="A394" s="326">
        <v>385</v>
      </c>
      <c r="B394" s="327" t="s">
        <v>1229</v>
      </c>
      <c r="C394" s="327" t="s">
        <v>19</v>
      </c>
      <c r="D394" s="326" t="s">
        <v>246</v>
      </c>
      <c r="E394" s="328" t="s">
        <v>1239</v>
      </c>
      <c r="F394" s="328" t="s">
        <v>1240</v>
      </c>
      <c r="G394" s="328" t="s">
        <v>1128</v>
      </c>
      <c r="H394" s="314"/>
      <c r="I394" s="328" t="s">
        <v>2985</v>
      </c>
      <c r="J394" s="329" t="s">
        <v>1241</v>
      </c>
      <c r="K394" s="331" t="s">
        <v>1242</v>
      </c>
      <c r="L394" s="2"/>
      <c r="M394" s="2"/>
      <c r="N394" s="2"/>
      <c r="O394" s="2"/>
      <c r="P394" s="332" t="str">
        <f>CONCATENATE([2]Disposition!D392," ",[2]Disposition!E392," ",[2]Disposition!F392)</f>
        <v>PLT BILLOTE KYLE BENEDICT</v>
      </c>
      <c r="Q394" s="332" t="str">
        <f>IFERROR(VLOOKUP(P395,[1]Disposition!$AB$9:$AC$495,2,0),"NO RECORD YET")</f>
        <v>NO RECORD YET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5" customHeight="1">
      <c r="A395" s="326">
        <v>386</v>
      </c>
      <c r="B395" s="327" t="s">
        <v>1229</v>
      </c>
      <c r="C395" s="327" t="s">
        <v>19</v>
      </c>
      <c r="D395" s="326" t="s">
        <v>28</v>
      </c>
      <c r="E395" s="328" t="s">
        <v>1243</v>
      </c>
      <c r="F395" s="328" t="s">
        <v>1244</v>
      </c>
      <c r="G395" s="328" t="s">
        <v>1245</v>
      </c>
      <c r="H395" s="314"/>
      <c r="I395" s="328" t="s">
        <v>2854</v>
      </c>
      <c r="J395" s="329" t="s">
        <v>1246</v>
      </c>
      <c r="K395" s="331" t="s">
        <v>1247</v>
      </c>
      <c r="L395" s="2"/>
      <c r="M395" s="2"/>
      <c r="N395" s="2"/>
      <c r="O395" s="2"/>
      <c r="P395" s="332" t="str">
        <f>CONCATENATE([2]Disposition!D393," ",[2]Disposition!E393," ",[2]Disposition!F393)</f>
        <v>Pat BURIGSAY MARC IVOR JAN</v>
      </c>
      <c r="Q395" s="332" t="str">
        <f>IFERROR(VLOOKUP(P396,[1]Disposition!$AB$9:$AC$495,2,0),"NO RECORD YET")</f>
        <v>NO RECORD YET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5" customHeight="1">
      <c r="A396" s="326">
        <v>387</v>
      </c>
      <c r="B396" s="327" t="s">
        <v>1229</v>
      </c>
      <c r="C396" s="327" t="s">
        <v>19</v>
      </c>
      <c r="D396" s="326" t="s">
        <v>28</v>
      </c>
      <c r="E396" s="328" t="s">
        <v>311</v>
      </c>
      <c r="F396" s="328" t="s">
        <v>1248</v>
      </c>
      <c r="G396" s="328" t="s">
        <v>1249</v>
      </c>
      <c r="H396" s="314"/>
      <c r="I396" s="328" t="s">
        <v>2854</v>
      </c>
      <c r="J396" s="329" t="s">
        <v>1250</v>
      </c>
      <c r="K396" s="331" t="s">
        <v>1251</v>
      </c>
      <c r="L396" s="2"/>
      <c r="M396" s="2"/>
      <c r="N396" s="2"/>
      <c r="O396" s="2"/>
      <c r="P396" s="332" t="str">
        <f>CONCATENATE([2]Disposition!D394," ",[2]Disposition!E394," ",[2]Disposition!F394)</f>
        <v>Pat CASTRO VOLTAIRE</v>
      </c>
      <c r="Q396" s="332" t="str">
        <f>IFERROR(VLOOKUP(P397,[1]Disposition!$AB$9:$AC$495,2,0),"NO RECORD YET")</f>
        <v>NO RECORD YET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5" customHeight="1">
      <c r="A397" s="326">
        <v>388</v>
      </c>
      <c r="B397" s="327" t="s">
        <v>1229</v>
      </c>
      <c r="C397" s="327" t="s">
        <v>19</v>
      </c>
      <c r="D397" s="326" t="s">
        <v>28</v>
      </c>
      <c r="E397" s="328" t="s">
        <v>1252</v>
      </c>
      <c r="F397" s="328" t="s">
        <v>1253</v>
      </c>
      <c r="G397" s="328" t="s">
        <v>311</v>
      </c>
      <c r="H397" s="326" t="s">
        <v>268</v>
      </c>
      <c r="I397" s="328" t="s">
        <v>2854</v>
      </c>
      <c r="J397" s="329" t="s">
        <v>1254</v>
      </c>
      <c r="K397" s="331" t="s">
        <v>1255</v>
      </c>
      <c r="L397" s="2"/>
      <c r="M397" s="2"/>
      <c r="N397" s="2"/>
      <c r="O397" s="2"/>
      <c r="P397" s="332" t="str">
        <f>CONCATENATE([2]Disposition!D395," ",[2]Disposition!E395," ",[2]Disposition!F395)</f>
        <v>Pat HERRERA EDGARDO</v>
      </c>
      <c r="Q397" s="332" t="str">
        <f>IFERROR(VLOOKUP(P398,[1]Disposition!$AB$9:$AC$495,2,0),"NO RECORD YET")</f>
        <v>NO RECORD YET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5" customHeight="1">
      <c r="A398" s="326">
        <v>389</v>
      </c>
      <c r="B398" s="327" t="s">
        <v>1229</v>
      </c>
      <c r="C398" s="327" t="s">
        <v>19</v>
      </c>
      <c r="D398" s="326" t="s">
        <v>24</v>
      </c>
      <c r="E398" s="328" t="s">
        <v>87</v>
      </c>
      <c r="F398" s="328" t="s">
        <v>1256</v>
      </c>
      <c r="G398" s="328" t="s">
        <v>914</v>
      </c>
      <c r="H398" s="314"/>
      <c r="I398" s="328" t="s">
        <v>2854</v>
      </c>
      <c r="J398" s="329" t="s">
        <v>1257</v>
      </c>
      <c r="K398" s="331" t="s">
        <v>1258</v>
      </c>
      <c r="L398" s="2"/>
      <c r="M398" s="2"/>
      <c r="N398" s="2"/>
      <c r="O398" s="2"/>
      <c r="P398" s="332" t="str">
        <f>CONCATENATE([2]Disposition!D396," ",[2]Disposition!E396," ",[2]Disposition!F396)</f>
        <v>Pat LLANEZA MARC</v>
      </c>
      <c r="Q398" s="332" t="str">
        <f>IFERROR(VLOOKUP(P399,[1]Disposition!$AB$9:$AC$495,2,0),"NO RECORD YET")</f>
        <v>NO RECORD YET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5" customHeight="1">
      <c r="A399" s="326">
        <v>390</v>
      </c>
      <c r="B399" s="327" t="s">
        <v>1229</v>
      </c>
      <c r="C399" s="327" t="s">
        <v>19</v>
      </c>
      <c r="D399" s="326" t="s">
        <v>28</v>
      </c>
      <c r="E399" s="328" t="s">
        <v>1259</v>
      </c>
      <c r="F399" s="328" t="s">
        <v>1260</v>
      </c>
      <c r="G399" s="328" t="s">
        <v>962</v>
      </c>
      <c r="H399" s="314"/>
      <c r="I399" s="328" t="s">
        <v>2854</v>
      </c>
      <c r="J399" s="329" t="s">
        <v>1261</v>
      </c>
      <c r="K399" s="331" t="s">
        <v>1262</v>
      </c>
      <c r="L399" s="2"/>
      <c r="M399" s="2"/>
      <c r="N399" s="2"/>
      <c r="O399" s="2"/>
      <c r="P399" s="332" t="str">
        <f>CONCATENATE([2]Disposition!D397," ",[2]Disposition!E397," ",[2]Disposition!F397)</f>
        <v>Pat MONTIGO MARKIN</v>
      </c>
      <c r="Q399" s="332" t="str">
        <f>IFERROR(VLOOKUP(P400,[1]Disposition!$AB$9:$AC$495,2,0),"NO RECORD YET")</f>
        <v>NO RECORD YET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5" customHeight="1">
      <c r="A400" s="326">
        <v>391</v>
      </c>
      <c r="B400" s="327" t="s">
        <v>1229</v>
      </c>
      <c r="C400" s="327" t="s">
        <v>19</v>
      </c>
      <c r="D400" s="326" t="s">
        <v>28</v>
      </c>
      <c r="E400" s="328" t="s">
        <v>423</v>
      </c>
      <c r="F400" s="328" t="s">
        <v>1263</v>
      </c>
      <c r="G400" s="328" t="s">
        <v>1264</v>
      </c>
      <c r="H400" s="314"/>
      <c r="I400" s="328" t="s">
        <v>2987</v>
      </c>
      <c r="J400" s="329" t="s">
        <v>1265</v>
      </c>
      <c r="K400" s="331" t="s">
        <v>1266</v>
      </c>
      <c r="L400" s="2"/>
      <c r="M400" s="2"/>
      <c r="N400" s="2"/>
      <c r="O400" s="2"/>
      <c r="P400" s="332" t="str">
        <f>CONCATENATE([2]Disposition!D398," ",[2]Disposition!E398," ",[2]Disposition!F398)</f>
        <v>Pat TAMONDONG ALEXIS</v>
      </c>
      <c r="Q400" s="332" t="str">
        <f>IFERROR(VLOOKUP(P401,[1]Disposition!$AB$9:$AC$495,2,0),"NO RECORD YET")</f>
        <v>34 Sto. Rosario St., Republic Avenue, Brgy. Holy Spirit, Quezon City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5" customHeight="1">
      <c r="A401" s="326">
        <v>392</v>
      </c>
      <c r="B401" s="327" t="s">
        <v>1229</v>
      </c>
      <c r="C401" s="327" t="s">
        <v>39</v>
      </c>
      <c r="D401" s="326" t="s">
        <v>40</v>
      </c>
      <c r="E401" s="328" t="s">
        <v>1267</v>
      </c>
      <c r="F401" s="328" t="s">
        <v>1268</v>
      </c>
      <c r="G401" s="328" t="s">
        <v>155</v>
      </c>
      <c r="H401" s="314"/>
      <c r="I401" s="328" t="s">
        <v>2692</v>
      </c>
      <c r="J401" s="329" t="s">
        <v>1269</v>
      </c>
      <c r="K401" s="331" t="s">
        <v>1270</v>
      </c>
      <c r="L401" s="2"/>
      <c r="M401" s="2"/>
      <c r="N401" s="2"/>
      <c r="O401" s="2"/>
      <c r="P401" s="325" t="str">
        <f>CONCATENATE(E544," ",F544," ",G544)</f>
        <v>MORALES MARIA MARGARITA ROSARIO GARCIA</v>
      </c>
      <c r="Q401" s="332" t="str">
        <f>IFERROR(VLOOKUP(P402,[1]Disposition!$AB$9:$AC$495,2,0),"NO RECORD YET")</f>
        <v>NO RECORD YET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5" customHeight="1">
      <c r="A402" s="326">
        <v>393</v>
      </c>
      <c r="B402" s="327" t="s">
        <v>1229</v>
      </c>
      <c r="C402" s="327" t="s">
        <v>19</v>
      </c>
      <c r="D402" s="326" t="s">
        <v>40</v>
      </c>
      <c r="E402" s="328" t="s">
        <v>1271</v>
      </c>
      <c r="F402" s="328" t="s">
        <v>1272</v>
      </c>
      <c r="G402" s="328" t="s">
        <v>1273</v>
      </c>
      <c r="H402" s="314"/>
      <c r="I402" s="328" t="s">
        <v>2677</v>
      </c>
      <c r="J402" s="312"/>
      <c r="K402" s="33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5" customHeight="1">
      <c r="A403" s="326">
        <v>394</v>
      </c>
      <c r="B403" s="327" t="s">
        <v>1229</v>
      </c>
      <c r="C403" s="327" t="s">
        <v>39</v>
      </c>
      <c r="D403" s="326" t="s">
        <v>40</v>
      </c>
      <c r="E403" s="328" t="s">
        <v>929</v>
      </c>
      <c r="F403" s="328" t="s">
        <v>1274</v>
      </c>
      <c r="G403" s="328" t="s">
        <v>206</v>
      </c>
      <c r="H403" s="314"/>
      <c r="I403" s="328" t="s">
        <v>2677</v>
      </c>
      <c r="J403" s="312"/>
      <c r="K403" s="333"/>
      <c r="L403" s="2"/>
      <c r="M403" s="2"/>
      <c r="N403" s="2"/>
      <c r="O403" s="2"/>
      <c r="P403" s="332" t="str">
        <f>CONCATENATE([2]Disposition!D401," ",[2]Disposition!E401," ",[2]Disposition!F401)</f>
        <v>NUP PALISOC ALYSSA ALEXANDRIA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5" customHeight="1">
      <c r="A404" s="326">
        <v>395</v>
      </c>
      <c r="B404" s="327" t="s">
        <v>1229</v>
      </c>
      <c r="C404" s="327" t="s">
        <v>39</v>
      </c>
      <c r="D404" s="326" t="s">
        <v>40</v>
      </c>
      <c r="E404" s="328" t="s">
        <v>423</v>
      </c>
      <c r="F404" s="328" t="s">
        <v>1280</v>
      </c>
      <c r="G404" s="328" t="s">
        <v>1281</v>
      </c>
      <c r="H404" s="314"/>
      <c r="I404" s="328" t="s">
        <v>2789</v>
      </c>
      <c r="J404" s="329" t="s">
        <v>1282</v>
      </c>
      <c r="K404" s="331" t="s">
        <v>1283</v>
      </c>
      <c r="L404" s="2"/>
      <c r="M404" s="2"/>
      <c r="N404" s="2"/>
      <c r="O404" s="2"/>
      <c r="P404" s="332" t="str">
        <f>CONCATENATE([2]Disposition!D402," ",[2]Disposition!E402," ",[2]Disposition!F402)</f>
        <v>NUP TAMONDONG MELANIE JANE</v>
      </c>
      <c r="Q404" s="332" t="str">
        <f>IFERROR(VLOOKUP(P405,[1]Disposition!$AB$9:$AC$495,2,0),"NO RECORD YET")</f>
        <v>57 A Delas Alas St., Zone 13, Taal, Batangas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5" customHeight="1">
      <c r="A405" s="326">
        <v>396</v>
      </c>
      <c r="B405" s="327" t="s">
        <v>1284</v>
      </c>
      <c r="C405" s="327" t="s">
        <v>19</v>
      </c>
      <c r="D405" s="326" t="s">
        <v>96</v>
      </c>
      <c r="E405" s="328" t="s">
        <v>1285</v>
      </c>
      <c r="F405" s="328" t="s">
        <v>1286</v>
      </c>
      <c r="G405" s="328" t="s">
        <v>1287</v>
      </c>
      <c r="H405" s="314"/>
      <c r="I405" s="328" t="s">
        <v>2848</v>
      </c>
      <c r="J405" s="329" t="s">
        <v>1288</v>
      </c>
      <c r="K405" s="331" t="s">
        <v>1289</v>
      </c>
      <c r="L405" s="2"/>
      <c r="M405" s="2"/>
      <c r="N405" s="2"/>
      <c r="O405" s="2"/>
      <c r="P405" s="325" t="str">
        <f t="shared" ref="P405:P431" si="17">CONCATENATE(E405," ",F405," ",G405)</f>
        <v>ANURAN ADRIAN MIRASOL</v>
      </c>
      <c r="Q405" s="332" t="str">
        <f>IFERROR(VLOOKUP(P406,[1]Disposition!$AB$9:$AC$495,2,0),"NO RECORD YET")</f>
        <v>NO RECORD YET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5" customHeight="1">
      <c r="A406" s="326">
        <v>397</v>
      </c>
      <c r="B406" s="327" t="s">
        <v>2556</v>
      </c>
      <c r="C406" s="327" t="s">
        <v>39</v>
      </c>
      <c r="D406" s="326" t="s">
        <v>160</v>
      </c>
      <c r="E406" s="328" t="s">
        <v>2604</v>
      </c>
      <c r="F406" s="328" t="s">
        <v>2605</v>
      </c>
      <c r="G406" s="328" t="s">
        <v>2606</v>
      </c>
      <c r="H406" s="314"/>
      <c r="I406" s="328" t="s">
        <v>2988</v>
      </c>
      <c r="J406" s="329" t="s">
        <v>2607</v>
      </c>
      <c r="K406" s="331" t="s">
        <v>2608</v>
      </c>
      <c r="L406" s="2"/>
      <c r="M406" s="2"/>
      <c r="N406" s="2"/>
      <c r="O406" s="2"/>
      <c r="P406" s="325" t="str">
        <f t="shared" si="17"/>
        <v>PINAGOD ANALYN  BINGWAOEL</v>
      </c>
      <c r="Q406" s="332" t="str">
        <f>IFERROR(VLOOKUP(P407,[1]Disposition!$AB$9:$AC$495,2,0),"NO RECORD YET")</f>
        <v>NO RECORD YET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5" customHeight="1">
      <c r="A407" s="326">
        <v>398</v>
      </c>
      <c r="B407" s="327" t="s">
        <v>2556</v>
      </c>
      <c r="C407" s="327" t="s">
        <v>19</v>
      </c>
      <c r="D407" s="326" t="s">
        <v>96</v>
      </c>
      <c r="E407" s="328" t="s">
        <v>2564</v>
      </c>
      <c r="F407" s="328" t="s">
        <v>2565</v>
      </c>
      <c r="G407" s="328" t="s">
        <v>2566</v>
      </c>
      <c r="H407" s="314"/>
      <c r="I407" s="328" t="s">
        <v>2985</v>
      </c>
      <c r="J407" s="329" t="s">
        <v>1510</v>
      </c>
      <c r="K407" s="331" t="s">
        <v>2567</v>
      </c>
      <c r="L407" s="2"/>
      <c r="M407" s="2"/>
      <c r="N407" s="2"/>
      <c r="O407" s="2"/>
      <c r="P407" s="325" t="str">
        <f t="shared" si="17"/>
        <v>ORENSE ANDREW AYALIN</v>
      </c>
      <c r="Q407" s="332" t="str">
        <f>IFERROR(VLOOKUP(P408,[1]Disposition!$AB$9:$AC$495,2,0),"NO RECORD YET")</f>
        <v>NO RECORD YET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5" customHeight="1">
      <c r="A408" s="326">
        <v>399</v>
      </c>
      <c r="B408" s="327" t="s">
        <v>2556</v>
      </c>
      <c r="C408" s="327" t="s">
        <v>19</v>
      </c>
      <c r="D408" s="326" t="s">
        <v>28</v>
      </c>
      <c r="E408" s="328" t="s">
        <v>2568</v>
      </c>
      <c r="F408" s="328" t="s">
        <v>1733</v>
      </c>
      <c r="G408" s="328" t="s">
        <v>2569</v>
      </c>
      <c r="H408" s="314"/>
      <c r="I408" s="328" t="s">
        <v>2854</v>
      </c>
      <c r="J408" s="329" t="s">
        <v>2570</v>
      </c>
      <c r="K408" s="331" t="s">
        <v>2571</v>
      </c>
      <c r="L408" s="2"/>
      <c r="M408" s="2"/>
      <c r="N408" s="2"/>
      <c r="O408" s="2"/>
      <c r="P408" s="325" t="str">
        <f t="shared" si="17"/>
        <v>ANGLIGEN MARLON PINANGI</v>
      </c>
      <c r="Q408" s="332" t="str">
        <f>IFERROR(VLOOKUP(P409,[1]Disposition!$AB$9:$AC$495,2,0),"NO RECORD YET")</f>
        <v>NO RECORD YET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5" customHeight="1">
      <c r="A409" s="326">
        <v>400</v>
      </c>
      <c r="B409" s="327" t="s">
        <v>2556</v>
      </c>
      <c r="C409" s="327" t="s">
        <v>19</v>
      </c>
      <c r="D409" s="326" t="s">
        <v>28</v>
      </c>
      <c r="E409" s="328" t="s">
        <v>2572</v>
      </c>
      <c r="F409" s="328" t="s">
        <v>2573</v>
      </c>
      <c r="G409" s="328" t="s">
        <v>2574</v>
      </c>
      <c r="H409" s="314"/>
      <c r="I409" s="328" t="s">
        <v>2854</v>
      </c>
      <c r="J409" s="329" t="s">
        <v>2575</v>
      </c>
      <c r="K409" s="331" t="s">
        <v>2576</v>
      </c>
      <c r="L409" s="2"/>
      <c r="M409" s="2"/>
      <c r="N409" s="2"/>
      <c r="O409" s="2"/>
      <c r="P409" s="325" t="str">
        <f t="shared" si="17"/>
        <v>APACIBLE KIM SANDELL CAMO</v>
      </c>
      <c r="Q409" s="332" t="str">
        <f>IFERROR(VLOOKUP(P410,[1]Disposition!$AB$9:$AC$495,2,0),"NO RECORD YET")</f>
        <v>NO RECORD YET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5" customHeight="1">
      <c r="A410" s="326">
        <v>401</v>
      </c>
      <c r="B410" s="327" t="s">
        <v>2556</v>
      </c>
      <c r="C410" s="327" t="s">
        <v>19</v>
      </c>
      <c r="D410" s="326" t="s">
        <v>28</v>
      </c>
      <c r="E410" s="328" t="s">
        <v>2577</v>
      </c>
      <c r="F410" s="328" t="s">
        <v>1968</v>
      </c>
      <c r="G410" s="328" t="s">
        <v>2578</v>
      </c>
      <c r="H410" s="314"/>
      <c r="I410" s="328" t="s">
        <v>2854</v>
      </c>
      <c r="J410" s="329" t="s">
        <v>2579</v>
      </c>
      <c r="K410" s="331" t="s">
        <v>2580</v>
      </c>
      <c r="L410" s="2"/>
      <c r="M410" s="2"/>
      <c r="N410" s="2"/>
      <c r="O410" s="2"/>
      <c r="P410" s="325" t="str">
        <f t="shared" si="17"/>
        <v>MACAPUNO JAMES RYAN DE SAGUN</v>
      </c>
      <c r="Q410" s="332" t="str">
        <f>IFERROR(VLOOKUP(P411,[1]Disposition!$AB$9:$AC$495,2,0),"NO RECORD YET")</f>
        <v>53 Masaya St, UP Village, Quezon City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5" customHeight="1">
      <c r="A411" s="326">
        <v>402</v>
      </c>
      <c r="B411" s="327" t="s">
        <v>2587</v>
      </c>
      <c r="C411" s="327" t="s">
        <v>19</v>
      </c>
      <c r="D411" s="326" t="s">
        <v>160</v>
      </c>
      <c r="E411" s="328" t="s">
        <v>1622</v>
      </c>
      <c r="F411" s="328" t="s">
        <v>2588</v>
      </c>
      <c r="G411" s="328" t="s">
        <v>2589</v>
      </c>
      <c r="H411" s="314"/>
      <c r="I411" s="328" t="s">
        <v>2989</v>
      </c>
      <c r="J411" s="329" t="s">
        <v>2590</v>
      </c>
      <c r="K411" s="331" t="s">
        <v>2591</v>
      </c>
      <c r="L411" s="2"/>
      <c r="M411" s="2"/>
      <c r="N411" s="2"/>
      <c r="O411" s="2"/>
      <c r="P411" s="325" t="str">
        <f t="shared" si="17"/>
        <v>RIVERA ROBIN DATUL</v>
      </c>
      <c r="Q411" s="332" t="str">
        <f>IFERROR(VLOOKUP(P412,[1]Disposition!$AB$9:$AC$495,2,0),"NO RECORD YET")</f>
        <v>Annagunan West, Tugegarao City, Cagayan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5" customHeight="1">
      <c r="A412" s="326">
        <v>403</v>
      </c>
      <c r="B412" s="327" t="s">
        <v>2592</v>
      </c>
      <c r="C412" s="327" t="s">
        <v>19</v>
      </c>
      <c r="D412" s="326" t="s">
        <v>160</v>
      </c>
      <c r="E412" s="328" t="s">
        <v>2593</v>
      </c>
      <c r="F412" s="328" t="s">
        <v>30</v>
      </c>
      <c r="G412" s="328" t="s">
        <v>2594</v>
      </c>
      <c r="H412" s="314"/>
      <c r="I412" s="328" t="s">
        <v>2989</v>
      </c>
      <c r="J412" s="329" t="s">
        <v>2595</v>
      </c>
      <c r="K412" s="331" t="s">
        <v>2596</v>
      </c>
      <c r="L412" s="2"/>
      <c r="M412" s="2"/>
      <c r="N412" s="2"/>
      <c r="O412" s="2"/>
      <c r="P412" s="325" t="str">
        <f t="shared" si="17"/>
        <v>MIGUEL GERALD POBLETE</v>
      </c>
      <c r="Q412" s="332" t="str">
        <f>IFERROR(VLOOKUP(P413,[1]Disposition!$AB$9:$AC$495,2,0),"NO RECORD YET")</f>
        <v>52 LOT 16 Stonington St., Phase 7, Dizon Estate, San Agustin, San Fernando City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5" customHeight="1">
      <c r="A413" s="326">
        <v>404</v>
      </c>
      <c r="B413" s="327" t="s">
        <v>2597</v>
      </c>
      <c r="C413" s="327" t="s">
        <v>19</v>
      </c>
      <c r="D413" s="326" t="s">
        <v>160</v>
      </c>
      <c r="E413" s="328" t="s">
        <v>2598</v>
      </c>
      <c r="F413" s="328" t="s">
        <v>2599</v>
      </c>
      <c r="G413" s="328" t="s">
        <v>2600</v>
      </c>
      <c r="H413" s="314"/>
      <c r="I413" s="328" t="s">
        <v>2989</v>
      </c>
      <c r="J413" s="329" t="s">
        <v>2601</v>
      </c>
      <c r="K413" s="331" t="s">
        <v>2602</v>
      </c>
      <c r="L413" s="2"/>
      <c r="M413" s="2"/>
      <c r="N413" s="2"/>
      <c r="O413" s="2"/>
      <c r="P413" s="325" t="str">
        <f t="shared" si="17"/>
        <v>LUMIBAO RENE JASPER CUNANAN</v>
      </c>
      <c r="Q413" s="332" t="str">
        <f>IFERROR(VLOOKUP(P161,[1]Disposition!$AB$9:$AC$495,2,0),"NO RECORD YET")</f>
        <v>#109-B Herbosa St., Tondo, Manila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5" customHeight="1">
      <c r="A414" s="326">
        <v>405</v>
      </c>
      <c r="B414" s="327" t="s">
        <v>2614</v>
      </c>
      <c r="C414" s="327" t="s">
        <v>19</v>
      </c>
      <c r="D414" s="326" t="s">
        <v>160</v>
      </c>
      <c r="E414" s="328" t="s">
        <v>2615</v>
      </c>
      <c r="F414" s="328" t="s">
        <v>2616</v>
      </c>
      <c r="G414" s="328" t="s">
        <v>2617</v>
      </c>
      <c r="H414" s="314"/>
      <c r="I414" s="328" t="s">
        <v>2989</v>
      </c>
      <c r="J414" s="329" t="s">
        <v>2990</v>
      </c>
      <c r="K414" s="331" t="s">
        <v>2618</v>
      </c>
      <c r="L414" s="2"/>
      <c r="M414" s="2"/>
      <c r="N414" s="2"/>
      <c r="O414" s="2"/>
      <c r="P414" s="325" t="str">
        <f t="shared" si="17"/>
        <v>BAUSA RIQUE ARCOS</v>
      </c>
      <c r="Q414" s="332" t="str">
        <f>IFERROR(VLOOKUP(P416,[1]Disposition!$AB$9:$AC$495,2,0),"NO RECORD YET")</f>
        <v>Brgy., Andres Bonifacio,Mayorga, Leyte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5" customHeight="1">
      <c r="A415" s="326">
        <v>406</v>
      </c>
      <c r="B415" s="327" t="s">
        <v>2991</v>
      </c>
      <c r="C415" s="327" t="s">
        <v>19</v>
      </c>
      <c r="D415" s="326" t="s">
        <v>160</v>
      </c>
      <c r="E415" s="328" t="s">
        <v>2301</v>
      </c>
      <c r="F415" s="328" t="s">
        <v>2302</v>
      </c>
      <c r="G415" s="328" t="s">
        <v>2303</v>
      </c>
      <c r="H415" s="314"/>
      <c r="I415" s="328" t="s">
        <v>2992</v>
      </c>
      <c r="J415" s="329" t="s">
        <v>2304</v>
      </c>
      <c r="K415" s="331" t="s">
        <v>2305</v>
      </c>
      <c r="L415" s="2"/>
      <c r="M415" s="2"/>
      <c r="N415" s="2"/>
      <c r="O415" s="2"/>
      <c r="P415" s="325" t="str">
        <f t="shared" si="17"/>
        <v>JAYOMA BREIZEL MENORCA</v>
      </c>
      <c r="Q415" s="332" t="str">
        <f>IFERROR(VLOOKUP(P235,[1]Disposition!$AB$9:$AC$495,2,0),"NO RECORD YET")</f>
        <v>NO RECORD YET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5" customHeight="1">
      <c r="A416" s="326">
        <v>407</v>
      </c>
      <c r="B416" s="327" t="s">
        <v>2619</v>
      </c>
      <c r="C416" s="327" t="s">
        <v>19</v>
      </c>
      <c r="D416" s="326" t="s">
        <v>160</v>
      </c>
      <c r="E416" s="328" t="s">
        <v>2620</v>
      </c>
      <c r="F416" s="328" t="s">
        <v>2621</v>
      </c>
      <c r="G416" s="328" t="s">
        <v>2622</v>
      </c>
      <c r="H416" s="314"/>
      <c r="I416" s="328" t="s">
        <v>2993</v>
      </c>
      <c r="J416" s="329" t="s">
        <v>2623</v>
      </c>
      <c r="K416" s="331" t="s">
        <v>2624</v>
      </c>
      <c r="L416" s="2"/>
      <c r="M416" s="2"/>
      <c r="N416" s="2"/>
      <c r="O416" s="2"/>
      <c r="P416" s="325" t="str">
        <f t="shared" si="17"/>
        <v>DECENA RONALD  LUCIO</v>
      </c>
      <c r="Q416" s="332" t="str">
        <f>IFERROR(VLOOKUP(P417,[1]Disposition!$AB$9:$AC$495,2,0),"NO RECORD YET")</f>
        <v>Tetuan, Zamboanga City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5" customHeight="1">
      <c r="A417" s="326">
        <v>408</v>
      </c>
      <c r="B417" s="327" t="s">
        <v>2994</v>
      </c>
      <c r="C417" s="327" t="s">
        <v>19</v>
      </c>
      <c r="D417" s="326" t="s">
        <v>253</v>
      </c>
      <c r="E417" s="328" t="s">
        <v>2626</v>
      </c>
      <c r="F417" s="328" t="s">
        <v>2627</v>
      </c>
      <c r="G417" s="328" t="s">
        <v>2628</v>
      </c>
      <c r="H417" s="314"/>
      <c r="I417" s="328" t="s">
        <v>2995</v>
      </c>
      <c r="J417" s="329" t="s">
        <v>2629</v>
      </c>
      <c r="K417" s="331" t="s">
        <v>2630</v>
      </c>
      <c r="L417" s="2"/>
      <c r="M417" s="2"/>
      <c r="N417" s="2"/>
      <c r="O417" s="2"/>
      <c r="P417" s="325" t="str">
        <f t="shared" si="17"/>
        <v>BELOYA GENESON DORIENDES</v>
      </c>
      <c r="Q417" s="332" t="str">
        <f>IFERROR(VLOOKUP(P418,[1]Disposition!$AB$9:$AC$495,2,0),"NO RECORD YET")</f>
        <v>Lot 22, Phase 1, Blue Homes Executive Subd., Cabatangan, Zamboanga City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5" customHeight="1">
      <c r="A418" s="326">
        <v>409</v>
      </c>
      <c r="B418" s="327" t="s">
        <v>2625</v>
      </c>
      <c r="C418" s="327" t="s">
        <v>19</v>
      </c>
      <c r="D418" s="326" t="s">
        <v>366</v>
      </c>
      <c r="E418" s="328" t="s">
        <v>2631</v>
      </c>
      <c r="F418" s="328" t="s">
        <v>2632</v>
      </c>
      <c r="G418" s="328" t="s">
        <v>2633</v>
      </c>
      <c r="H418" s="314"/>
      <c r="I418" s="328" t="s">
        <v>2854</v>
      </c>
      <c r="J418" s="329" t="s">
        <v>2634</v>
      </c>
      <c r="K418" s="331" t="s">
        <v>2635</v>
      </c>
      <c r="L418" s="2"/>
      <c r="M418" s="2"/>
      <c r="N418" s="2"/>
      <c r="O418" s="2"/>
      <c r="P418" s="325" t="str">
        <f t="shared" si="17"/>
        <v>MUKTAJAR GAJIR MUHARRANI</v>
      </c>
      <c r="Q418" s="332" t="str">
        <f>IFERROR(VLOOKUP(P419,[1]Disposition!$AB$9:$AC$495,2,0),"NO RECORD YET")</f>
        <v>042 Camp Alagar, Lapasan, Cagayan De Oro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5" customHeight="1">
      <c r="A419" s="326">
        <v>410</v>
      </c>
      <c r="B419" s="327" t="s">
        <v>2636</v>
      </c>
      <c r="C419" s="327" t="s">
        <v>19</v>
      </c>
      <c r="D419" s="326" t="s">
        <v>160</v>
      </c>
      <c r="E419" s="328" t="s">
        <v>834</v>
      </c>
      <c r="F419" s="328" t="s">
        <v>354</v>
      </c>
      <c r="G419" s="328" t="s">
        <v>2637</v>
      </c>
      <c r="H419" s="314"/>
      <c r="I419" s="328" t="s">
        <v>2989</v>
      </c>
      <c r="J419" s="329" t="s">
        <v>2638</v>
      </c>
      <c r="K419" s="331" t="s">
        <v>2639</v>
      </c>
      <c r="L419" s="2"/>
      <c r="M419" s="2"/>
      <c r="N419" s="2"/>
      <c r="O419" s="2"/>
      <c r="P419" s="325" t="str">
        <f t="shared" si="17"/>
        <v>FAJARDO ROY RAMA</v>
      </c>
      <c r="Q419" s="332" t="str">
        <f>IFERROR(VLOOKUP(P420,[1]Disposition!$AB$9:$AC$495,2,0),"NO RECORD YET")</f>
        <v>75 De Guzman ST., Toril, Davao City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26.25" customHeight="1">
      <c r="A420" s="326">
        <v>411</v>
      </c>
      <c r="B420" s="337" t="s">
        <v>2640</v>
      </c>
      <c r="C420" s="338" t="s">
        <v>19</v>
      </c>
      <c r="D420" s="339" t="s">
        <v>160</v>
      </c>
      <c r="E420" s="340" t="s">
        <v>2641</v>
      </c>
      <c r="F420" s="340" t="s">
        <v>2642</v>
      </c>
      <c r="G420" s="340" t="s">
        <v>2643</v>
      </c>
      <c r="H420" s="341"/>
      <c r="I420" s="340" t="s">
        <v>2996</v>
      </c>
      <c r="J420" s="329" t="s">
        <v>2644</v>
      </c>
      <c r="K420" s="331" t="s">
        <v>2645</v>
      </c>
      <c r="L420" s="2"/>
      <c r="M420" s="2"/>
      <c r="N420" s="2"/>
      <c r="O420" s="2"/>
      <c r="P420" s="325" t="str">
        <f t="shared" si="17"/>
        <v>SANTILLANA JULIUS  PASCUA</v>
      </c>
      <c r="Q420" s="332" t="str">
        <f>IFERROR(VLOOKUP(P421,[1]Disposition!$AB$9:$AC$495,2,0),"NO RECORD YET")</f>
        <v>NO RECORD YET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5" customHeight="1">
      <c r="A421" s="326">
        <v>412</v>
      </c>
      <c r="B421" s="327" t="s">
        <v>2646</v>
      </c>
      <c r="C421" s="327" t="s">
        <v>19</v>
      </c>
      <c r="D421" s="326" t="s">
        <v>246</v>
      </c>
      <c r="E421" s="328" t="s">
        <v>2647</v>
      </c>
      <c r="F421" s="328" t="s">
        <v>2648</v>
      </c>
      <c r="G421" s="328" t="s">
        <v>182</v>
      </c>
      <c r="H421" s="314"/>
      <c r="I421" s="328" t="s">
        <v>2997</v>
      </c>
      <c r="J421" s="312"/>
      <c r="K421" s="333"/>
      <c r="L421" s="2"/>
      <c r="M421" s="2"/>
      <c r="N421" s="2"/>
      <c r="O421" s="2"/>
      <c r="P421" s="325" t="str">
        <f t="shared" si="17"/>
        <v>CALENDAS RYAN ALEXANDER CASTILLO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5" customHeight="1">
      <c r="A422" s="326">
        <v>413</v>
      </c>
      <c r="B422" s="327" t="s">
        <v>2649</v>
      </c>
      <c r="C422" s="327" t="s">
        <v>19</v>
      </c>
      <c r="D422" s="326" t="s">
        <v>96</v>
      </c>
      <c r="E422" s="328" t="s">
        <v>2650</v>
      </c>
      <c r="F422" s="328" t="s">
        <v>2651</v>
      </c>
      <c r="G422" s="328" t="s">
        <v>2652</v>
      </c>
      <c r="H422" s="326" t="s">
        <v>268</v>
      </c>
      <c r="I422" s="328" t="s">
        <v>2997</v>
      </c>
      <c r="J422" s="329" t="s">
        <v>2653</v>
      </c>
      <c r="K422" s="331" t="s">
        <v>2654</v>
      </c>
      <c r="L422" s="2"/>
      <c r="M422" s="2"/>
      <c r="N422" s="2"/>
      <c r="O422" s="2"/>
      <c r="P422" s="325" t="str">
        <f t="shared" si="17"/>
        <v>CERDANA NESTOR SEMBRANO</v>
      </c>
      <c r="Q422" s="332" t="str">
        <f>IFERROR(VLOOKUP(P423,[1]Disposition!$AB$9:$AC$495,2,0),"NO RECORD YET")</f>
        <v>Purok 7, Mabuhay (Pob), Santa Monica (Sapao), Surigao Del Norte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5" customHeight="1">
      <c r="A423" s="326">
        <v>414</v>
      </c>
      <c r="B423" s="327" t="s">
        <v>2655</v>
      </c>
      <c r="C423" s="327" t="s">
        <v>19</v>
      </c>
      <c r="D423" s="326" t="s">
        <v>160</v>
      </c>
      <c r="E423" s="328" t="s">
        <v>2656</v>
      </c>
      <c r="F423" s="328" t="s">
        <v>684</v>
      </c>
      <c r="G423" s="328" t="s">
        <v>2657</v>
      </c>
      <c r="H423" s="314"/>
      <c r="I423" s="328" t="s">
        <v>2989</v>
      </c>
      <c r="J423" s="329" t="s">
        <v>2658</v>
      </c>
      <c r="K423" s="331" t="s">
        <v>2659</v>
      </c>
      <c r="L423" s="2"/>
      <c r="M423" s="2"/>
      <c r="N423" s="2"/>
      <c r="O423" s="2"/>
      <c r="P423" s="325" t="str">
        <f t="shared" si="17"/>
        <v>VIRTUDAZO MICHAEL TAREPE</v>
      </c>
      <c r="Q423" s="332" t="str">
        <f>IFERROR(VLOOKUP(P424,[1]Disposition!$AB$9:$AC$495,2,0),"NO RECORD YET")</f>
        <v>Tulingan St. Caloocan City, Brgy.16, Caloocan City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5" customHeight="1">
      <c r="A424" s="326">
        <v>415</v>
      </c>
      <c r="B424" s="327" t="s">
        <v>2660</v>
      </c>
      <c r="C424" s="327" t="s">
        <v>19</v>
      </c>
      <c r="D424" s="326" t="s">
        <v>160</v>
      </c>
      <c r="E424" s="328" t="s">
        <v>2661</v>
      </c>
      <c r="F424" s="328" t="s">
        <v>2662</v>
      </c>
      <c r="G424" s="328" t="s">
        <v>2663</v>
      </c>
      <c r="H424" s="314"/>
      <c r="I424" s="328" t="s">
        <v>2989</v>
      </c>
      <c r="J424" s="329" t="s">
        <v>2664</v>
      </c>
      <c r="K424" s="331" t="s">
        <v>2665</v>
      </c>
      <c r="L424" s="2"/>
      <c r="M424" s="2"/>
      <c r="N424" s="2"/>
      <c r="O424" s="2"/>
      <c r="P424" s="325" t="str">
        <f t="shared" si="17"/>
        <v>CARIAS NEIL CARLOS</v>
      </c>
      <c r="Q424" s="332" t="str">
        <f>IFERROR(VLOOKUP(P425,[1]Disposition!$AB$9:$AC$495,2,0),"NO RECORD YET")</f>
        <v>Block 6 Lot 2, Kingstown 2 Subdivision, Barangay 171, Caloocan City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5" customHeight="1">
      <c r="A425" s="326">
        <v>416</v>
      </c>
      <c r="B425" s="327" t="s">
        <v>1296</v>
      </c>
      <c r="C425" s="327" t="s">
        <v>39</v>
      </c>
      <c r="D425" s="326" t="s">
        <v>96</v>
      </c>
      <c r="E425" s="328" t="s">
        <v>1307</v>
      </c>
      <c r="F425" s="328" t="s">
        <v>1308</v>
      </c>
      <c r="G425" s="328" t="s">
        <v>151</v>
      </c>
      <c r="H425" s="314"/>
      <c r="I425" s="328" t="s">
        <v>2998</v>
      </c>
      <c r="J425" s="329" t="s">
        <v>1309</v>
      </c>
      <c r="K425" s="331" t="s">
        <v>1310</v>
      </c>
      <c r="L425" s="2"/>
      <c r="M425" s="2"/>
      <c r="N425" s="2"/>
      <c r="O425" s="2"/>
      <c r="P425" s="325" t="str">
        <f t="shared" si="17"/>
        <v>CAROLINO JERALYNE RAMOS</v>
      </c>
      <c r="Q425" s="332" t="str">
        <f>IFERROR(VLOOKUP(P426,[1]Disposition!$AB$9:$AC$495,2,0),"NO RECORD YET")</f>
        <v>E Glinoga, Castillo (Pob.), Pitogo, Quezon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5" customHeight="1">
      <c r="A426" s="326">
        <v>417</v>
      </c>
      <c r="B426" s="327" t="s">
        <v>1296</v>
      </c>
      <c r="C426" s="327" t="s">
        <v>19</v>
      </c>
      <c r="D426" s="326" t="s">
        <v>96</v>
      </c>
      <c r="E426" s="328" t="s">
        <v>1311</v>
      </c>
      <c r="F426" s="328" t="s">
        <v>1312</v>
      </c>
      <c r="G426" s="328" t="s">
        <v>1313</v>
      </c>
      <c r="H426" s="314"/>
      <c r="I426" s="328" t="s">
        <v>2999</v>
      </c>
      <c r="J426" s="329" t="s">
        <v>1314</v>
      </c>
      <c r="K426" s="331" t="s">
        <v>1315</v>
      </c>
      <c r="L426" s="2"/>
      <c r="M426" s="2"/>
      <c r="N426" s="2"/>
      <c r="O426" s="2"/>
      <c r="P426" s="325" t="str">
        <f t="shared" si="17"/>
        <v>PAPIÑA PATRICK LYNDON PARCAREY</v>
      </c>
      <c r="Q426" s="332" t="str">
        <f>IFERROR(VLOOKUP(P427,[1]Disposition!$AB$9:$AC$495,2,0),"NO RECORD YET")</f>
        <v>NO RECORD YET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5" customHeight="1">
      <c r="A427" s="326">
        <v>418</v>
      </c>
      <c r="B427" s="327" t="s">
        <v>1296</v>
      </c>
      <c r="C427" s="327" t="s">
        <v>19</v>
      </c>
      <c r="D427" s="326" t="s">
        <v>246</v>
      </c>
      <c r="E427" s="328" t="s">
        <v>1321</v>
      </c>
      <c r="F427" s="328" t="s">
        <v>1322</v>
      </c>
      <c r="G427" s="328" t="s">
        <v>1323</v>
      </c>
      <c r="H427" s="314"/>
      <c r="I427" s="328" t="s">
        <v>2999</v>
      </c>
      <c r="J427" s="329" t="s">
        <v>1324</v>
      </c>
      <c r="K427" s="333"/>
      <c r="L427" s="2"/>
      <c r="M427" s="2"/>
      <c r="N427" s="2"/>
      <c r="O427" s="2"/>
      <c r="P427" s="325" t="str">
        <f t="shared" si="17"/>
        <v>PARRE WINSTON SAFLOR</v>
      </c>
      <c r="Q427" s="332" t="str">
        <f>IFERROR(VLOOKUP(P429,[1]Disposition!$AB$9:$AC$495,2,0),"NO RECORD YET")</f>
        <v>3426-A-1C, Lubiran St., Bacood, Sta Mesa, Manila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5" customHeight="1">
      <c r="A428" s="326">
        <v>419</v>
      </c>
      <c r="B428" s="327" t="s">
        <v>1296</v>
      </c>
      <c r="C428" s="327" t="s">
        <v>39</v>
      </c>
      <c r="D428" s="326" t="s">
        <v>40</v>
      </c>
      <c r="E428" s="328" t="s">
        <v>1325</v>
      </c>
      <c r="F428" s="328" t="s">
        <v>1326</v>
      </c>
      <c r="G428" s="328" t="s">
        <v>1327</v>
      </c>
      <c r="H428" s="314"/>
      <c r="I428" s="328" t="s">
        <v>2745</v>
      </c>
      <c r="J428" s="329" t="s">
        <v>1328</v>
      </c>
      <c r="K428" s="331" t="s">
        <v>1329</v>
      </c>
      <c r="L428" s="2"/>
      <c r="M428" s="2"/>
      <c r="N428" s="2"/>
      <c r="O428" s="2"/>
      <c r="P428" s="325" t="str">
        <f t="shared" si="17"/>
        <v>LUANSING DIANALYN MAGLIPON</v>
      </c>
      <c r="Q428" s="332" t="str">
        <f>IFERROR(VLOOKUP(P430,[1]Disposition!$AB$9:$AC$495,2,0),"NO RECORD YET")</f>
        <v>13A 1st Avenue, Brgy Bagong Lipunan ng Crame, Quezon City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5" customHeight="1">
      <c r="A429" s="326">
        <v>420</v>
      </c>
      <c r="B429" s="327" t="s">
        <v>3000</v>
      </c>
      <c r="C429" s="327" t="s">
        <v>39</v>
      </c>
      <c r="D429" s="326" t="s">
        <v>40</v>
      </c>
      <c r="E429" s="328" t="s">
        <v>151</v>
      </c>
      <c r="F429" s="328" t="s">
        <v>1549</v>
      </c>
      <c r="G429" s="328" t="s">
        <v>1550</v>
      </c>
      <c r="H429" s="314"/>
      <c r="I429" s="328" t="s">
        <v>3001</v>
      </c>
      <c r="J429" s="329" t="s">
        <v>1551</v>
      </c>
      <c r="K429" s="331" t="s">
        <v>1552</v>
      </c>
      <c r="L429" s="2"/>
      <c r="M429" s="2"/>
      <c r="N429" s="2"/>
      <c r="O429" s="2"/>
      <c r="P429" s="325" t="str">
        <f t="shared" si="17"/>
        <v>RAMOS PRINCESS SANNY ABLOG</v>
      </c>
      <c r="Q429" s="332" t="str">
        <f>IFERROR(VLOOKUP(P502,[1]Disposition!$AB$9:$AC$495,2,0),"NO RECORD YET")</f>
        <v>B49 L15 H. Dela Costa Homes V, Brgy. Burgos, Rodriguez, Rizal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5" customHeight="1">
      <c r="A430" s="326">
        <v>421</v>
      </c>
      <c r="B430" s="327" t="s">
        <v>3002</v>
      </c>
      <c r="C430" s="327" t="s">
        <v>39</v>
      </c>
      <c r="D430" s="326" t="s">
        <v>40</v>
      </c>
      <c r="E430" s="328" t="s">
        <v>955</v>
      </c>
      <c r="F430" s="328" t="s">
        <v>956</v>
      </c>
      <c r="G430" s="328" t="s">
        <v>957</v>
      </c>
      <c r="H430" s="314"/>
      <c r="I430" s="328" t="s">
        <v>3003</v>
      </c>
      <c r="J430" s="329" t="s">
        <v>958</v>
      </c>
      <c r="K430" s="331" t="s">
        <v>959</v>
      </c>
      <c r="L430" s="2"/>
      <c r="M430" s="2"/>
      <c r="N430" s="2"/>
      <c r="O430" s="2"/>
      <c r="P430" s="325" t="str">
        <f t="shared" si="17"/>
        <v>RUMBAOA SHIRLY CABUSORA</v>
      </c>
      <c r="Q430" s="332">
        <f>IFERROR(VLOOKUP(P322,[1]Disposition!$AB$9:$AC$495,2,0),"NO RECORD YET")</f>
        <v>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5" customHeight="1">
      <c r="A431" s="326">
        <v>422</v>
      </c>
      <c r="B431" s="327" t="s">
        <v>3004</v>
      </c>
      <c r="C431" s="327" t="s">
        <v>19</v>
      </c>
      <c r="D431" s="326" t="s">
        <v>40</v>
      </c>
      <c r="E431" s="328" t="s">
        <v>387</v>
      </c>
      <c r="F431" s="328" t="s">
        <v>388</v>
      </c>
      <c r="G431" s="328" t="s">
        <v>389</v>
      </c>
      <c r="H431" s="314"/>
      <c r="I431" s="328" t="s">
        <v>2788</v>
      </c>
      <c r="J431" s="329" t="s">
        <v>390</v>
      </c>
      <c r="K431" s="331" t="s">
        <v>391</v>
      </c>
      <c r="L431" s="2"/>
      <c r="M431" s="2"/>
      <c r="N431" s="2"/>
      <c r="O431" s="2"/>
      <c r="P431" s="325" t="str">
        <f t="shared" si="17"/>
        <v>TACORDA JASON ABRAHAM ABION</v>
      </c>
      <c r="Q431" s="332" t="str">
        <f>IFERROR(VLOOKUP(P87,[1]Disposition!$AB$9:$AC$495,2,0),"NO RECORD YET")</f>
        <v>NO RECORD YET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5" customHeight="1">
      <c r="A432" s="326">
        <v>423</v>
      </c>
      <c r="B432" s="327" t="s">
        <v>3005</v>
      </c>
      <c r="C432" s="327" t="s">
        <v>39</v>
      </c>
      <c r="D432" s="326" t="s">
        <v>40</v>
      </c>
      <c r="E432" s="328" t="s">
        <v>1224</v>
      </c>
      <c r="F432" s="328" t="s">
        <v>1225</v>
      </c>
      <c r="G432" s="328" t="s">
        <v>1226</v>
      </c>
      <c r="H432" s="314"/>
      <c r="I432" s="328" t="s">
        <v>3006</v>
      </c>
      <c r="J432" s="329" t="s">
        <v>1227</v>
      </c>
      <c r="K432" s="331" t="s">
        <v>1228</v>
      </c>
      <c r="L432" s="2"/>
      <c r="M432" s="2"/>
      <c r="N432" s="2"/>
      <c r="O432" s="2"/>
      <c r="P432" s="332" t="str">
        <f>CONCATENATE([2]Disposition!D389," ",[2]Disposition!E389," ",[2]Disposition!F389)</f>
        <v>NUP VASQUEZ ANNIE</v>
      </c>
      <c r="Q432" s="332" t="str">
        <f>IFERROR(VLOOKUP(P392,[1]Disposition!$AB$9:$AC$495,2,0),"NO RECORD YET")</f>
        <v>NO RECORD YET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5" customHeight="1">
      <c r="A433" s="326">
        <v>424</v>
      </c>
      <c r="B433" s="327" t="s">
        <v>1330</v>
      </c>
      <c r="C433" s="327" t="s">
        <v>19</v>
      </c>
      <c r="D433" s="326" t="s">
        <v>40</v>
      </c>
      <c r="E433" s="328" t="s">
        <v>1331</v>
      </c>
      <c r="F433" s="328" t="s">
        <v>1332</v>
      </c>
      <c r="G433" s="328" t="s">
        <v>1333</v>
      </c>
      <c r="H433" s="314"/>
      <c r="I433" s="328" t="s">
        <v>2743</v>
      </c>
      <c r="J433" s="329" t="s">
        <v>1334</v>
      </c>
      <c r="K433" s="331" t="s">
        <v>1335</v>
      </c>
      <c r="L433" s="2"/>
      <c r="M433" s="2"/>
      <c r="N433" s="2"/>
      <c r="O433" s="2"/>
      <c r="P433" s="325" t="str">
        <f t="shared" ref="P433:P437" si="18">CONCATENATE(E433," ",F433," ",G433)</f>
        <v>LANUZA ARNOLD  ZABATE</v>
      </c>
      <c r="Q433" s="332" t="str">
        <f>IFERROR(VLOOKUP(P433,[1]Disposition!$AB$9:$AC$495,2,0),"NO RECORD YET")</f>
        <v>12 Catleya St., Macaria Village, Binan, Laguna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5" customHeight="1">
      <c r="A434" s="326">
        <v>425</v>
      </c>
      <c r="B434" s="327" t="s">
        <v>1330</v>
      </c>
      <c r="C434" s="327" t="s">
        <v>19</v>
      </c>
      <c r="D434" s="326" t="s">
        <v>28</v>
      </c>
      <c r="E434" s="328" t="s">
        <v>1336</v>
      </c>
      <c r="F434" s="328" t="s">
        <v>1337</v>
      </c>
      <c r="G434" s="328" t="s">
        <v>1338</v>
      </c>
      <c r="H434" s="314"/>
      <c r="I434" s="328" t="s">
        <v>3007</v>
      </c>
      <c r="J434" s="329" t="s">
        <v>1339</v>
      </c>
      <c r="K434" s="331" t="s">
        <v>1340</v>
      </c>
      <c r="L434" s="2"/>
      <c r="M434" s="2"/>
      <c r="N434" s="2"/>
      <c r="O434" s="2"/>
      <c r="P434" s="325" t="str">
        <f t="shared" si="18"/>
        <v>BRONZAL BRUCE KELLY  LOZANO</v>
      </c>
      <c r="Q434" s="332" t="str">
        <f>IFERROR(VLOOKUP(P434,[1]Disposition!$AB$9:$AC$495,2,0),"NO RECORD YET")</f>
        <v>NO RECORD YET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5" customHeight="1">
      <c r="A435" s="326">
        <v>426</v>
      </c>
      <c r="B435" s="327" t="s">
        <v>1330</v>
      </c>
      <c r="C435" s="327" t="s">
        <v>19</v>
      </c>
      <c r="D435" s="326" t="s">
        <v>40</v>
      </c>
      <c r="E435" s="328" t="s">
        <v>3008</v>
      </c>
      <c r="F435" s="328" t="s">
        <v>3009</v>
      </c>
      <c r="G435" s="328" t="s">
        <v>286</v>
      </c>
      <c r="H435" s="314"/>
      <c r="I435" s="328" t="s">
        <v>3010</v>
      </c>
      <c r="J435" s="312"/>
      <c r="K435" s="333"/>
      <c r="L435" s="2"/>
      <c r="M435" s="2"/>
      <c r="N435" s="2"/>
      <c r="O435" s="2"/>
      <c r="P435" s="325" t="str">
        <f t="shared" si="18"/>
        <v>AGRIPA PAUL KENNETH DE GUZMAN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5" customHeight="1">
      <c r="A436" s="326">
        <v>427</v>
      </c>
      <c r="B436" s="327" t="s">
        <v>1330</v>
      </c>
      <c r="C436" s="327" t="s">
        <v>39</v>
      </c>
      <c r="D436" s="326" t="s">
        <v>40</v>
      </c>
      <c r="E436" s="328" t="s">
        <v>1343</v>
      </c>
      <c r="F436" s="328" t="s">
        <v>1344</v>
      </c>
      <c r="G436" s="328" t="s">
        <v>1345</v>
      </c>
      <c r="H436" s="314"/>
      <c r="I436" s="328" t="s">
        <v>2684</v>
      </c>
      <c r="J436" s="329" t="s">
        <v>1346</v>
      </c>
      <c r="K436" s="331" t="s">
        <v>1347</v>
      </c>
      <c r="L436" s="2"/>
      <c r="M436" s="2"/>
      <c r="N436" s="2"/>
      <c r="O436" s="2"/>
      <c r="P436" s="325" t="str">
        <f t="shared" si="18"/>
        <v>ALMACHAR ARLENE ACIERTO</v>
      </c>
      <c r="Q436" s="332" t="str">
        <f>IFERROR(VLOOKUP(P436,[1]Disposition!$AB$9:$AC$495,2,0),"NO RECORD YET")</f>
        <v>175 Daisy St., Garden Vill., Subd, P:ilong Buhangin, Sta. Maria, Bulacan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5" customHeight="1">
      <c r="A437" s="326">
        <v>428</v>
      </c>
      <c r="B437" s="327" t="s">
        <v>1330</v>
      </c>
      <c r="C437" s="327" t="s">
        <v>39</v>
      </c>
      <c r="D437" s="326" t="s">
        <v>40</v>
      </c>
      <c r="E437" s="328" t="s">
        <v>1349</v>
      </c>
      <c r="F437" s="328" t="s">
        <v>1350</v>
      </c>
      <c r="G437" s="328" t="s">
        <v>1351</v>
      </c>
      <c r="H437" s="314"/>
      <c r="I437" s="328" t="s">
        <v>2707</v>
      </c>
      <c r="J437" s="329" t="s">
        <v>1352</v>
      </c>
      <c r="K437" s="331" t="s">
        <v>1353</v>
      </c>
      <c r="L437" s="2"/>
      <c r="M437" s="2"/>
      <c r="N437" s="2"/>
      <c r="O437" s="2"/>
      <c r="P437" s="325" t="str">
        <f t="shared" si="18"/>
        <v>CABAÑAS MARY JOY DUTERTE</v>
      </c>
      <c r="Q437" s="332" t="str">
        <f>IFERROR(VLOOKUP(P437,[1]Disposition!$AB$9:$AC$495,2,0),"NO RECORD YET")</f>
        <v>13A1 1st Ave., Brgy. Bagong Lipunan ng Crame, Quezon City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5" customHeight="1">
      <c r="A438" s="326">
        <v>429</v>
      </c>
      <c r="B438" s="327" t="s">
        <v>1330</v>
      </c>
      <c r="C438" s="327" t="s">
        <v>19</v>
      </c>
      <c r="D438" s="326" t="s">
        <v>40</v>
      </c>
      <c r="E438" s="328" t="s">
        <v>1421</v>
      </c>
      <c r="F438" s="328" t="s">
        <v>1422</v>
      </c>
      <c r="G438" s="328" t="s">
        <v>1423</v>
      </c>
      <c r="H438" s="314"/>
      <c r="I438" s="328" t="s">
        <v>3655</v>
      </c>
      <c r="J438" s="329" t="s">
        <v>1424</v>
      </c>
      <c r="K438" s="331" t="s">
        <v>1425</v>
      </c>
      <c r="L438" s="2"/>
      <c r="M438" s="2"/>
      <c r="N438" s="2"/>
      <c r="O438" s="2"/>
      <c r="P438" s="325" t="str">
        <f>CONCATENATE(E438," ",F438," ",G438)</f>
        <v>PACOL JEPHTE TENORIA</v>
      </c>
      <c r="Q438" s="332" t="str">
        <f>IFERROR(VLOOKUP(P438,[1]Disposition!$AB$9:$AC$495,2,0),"NO RECORD YET")</f>
        <v>Blk 3 Lot 10, GML Phase 1, Barcelo St., Lingunan, Valenzuela City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5" customHeight="1">
      <c r="A439" s="326">
        <v>430</v>
      </c>
      <c r="B439" s="327" t="s">
        <v>1330</v>
      </c>
      <c r="C439" s="327" t="s">
        <v>39</v>
      </c>
      <c r="D439" s="326" t="s">
        <v>40</v>
      </c>
      <c r="E439" s="328" t="s">
        <v>1358</v>
      </c>
      <c r="F439" s="328" t="s">
        <v>1359</v>
      </c>
      <c r="G439" s="328" t="s">
        <v>1360</v>
      </c>
      <c r="H439" s="314"/>
      <c r="I439" s="328" t="s">
        <v>3011</v>
      </c>
      <c r="J439" s="329" t="s">
        <v>1361</v>
      </c>
      <c r="K439" s="331" t="s">
        <v>1362</v>
      </c>
      <c r="L439" s="2"/>
      <c r="M439" s="2"/>
      <c r="N439" s="2"/>
      <c r="O439" s="2"/>
      <c r="P439" s="325" t="str">
        <f t="shared" ref="P439:P449" si="19">CONCATENATE(E439," ",F439," ",G439)</f>
        <v>SABLAY HAZEL DILLOZA</v>
      </c>
      <c r="Q439" s="332" t="str">
        <f>IFERROR(VLOOKUP(P439,[1]Disposition!$AB$9:$AC$495,2,0),"NO RECORD YET")</f>
        <v>259 IBP Road, Brgy. Commonwealth, Q.C.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5" customHeight="1">
      <c r="A440" s="326">
        <v>431</v>
      </c>
      <c r="B440" s="327" t="s">
        <v>1330</v>
      </c>
      <c r="C440" s="327" t="s">
        <v>39</v>
      </c>
      <c r="D440" s="326" t="s">
        <v>40</v>
      </c>
      <c r="E440" s="328" t="s">
        <v>1363</v>
      </c>
      <c r="F440" s="328" t="s">
        <v>1364</v>
      </c>
      <c r="G440" s="328" t="s">
        <v>1365</v>
      </c>
      <c r="H440" s="314"/>
      <c r="I440" s="328" t="s">
        <v>2786</v>
      </c>
      <c r="J440" s="329" t="s">
        <v>1366</v>
      </c>
      <c r="K440" s="331" t="s">
        <v>1367</v>
      </c>
      <c r="L440" s="2"/>
      <c r="M440" s="2"/>
      <c r="N440" s="2"/>
      <c r="O440" s="2"/>
      <c r="P440" s="325" t="str">
        <f t="shared" si="19"/>
        <v>SOLON RENA ELENA  OCCIANO</v>
      </c>
      <c r="Q440" s="332" t="str">
        <f>IFERROR(VLOOKUP(P440,[1]Disposition!$AB$9:$AC$495,2,0),"NO RECORD YET")</f>
        <v>L4 B7 Executive Homes I, Greenpark Village, Cainta, Rizal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5" customHeight="1">
      <c r="A441" s="326">
        <v>432</v>
      </c>
      <c r="B441" s="327" t="s">
        <v>1368</v>
      </c>
      <c r="C441" s="327" t="s">
        <v>19</v>
      </c>
      <c r="D441" s="326" t="s">
        <v>40</v>
      </c>
      <c r="E441" s="328" t="s">
        <v>1452</v>
      </c>
      <c r="F441" s="328" t="s">
        <v>770</v>
      </c>
      <c r="G441" s="328" t="s">
        <v>1453</v>
      </c>
      <c r="H441" s="314"/>
      <c r="I441" s="328" t="s">
        <v>3012</v>
      </c>
      <c r="J441" s="329" t="s">
        <v>1454</v>
      </c>
      <c r="K441" s="331" t="s">
        <v>1455</v>
      </c>
      <c r="L441" s="2"/>
      <c r="M441" s="2"/>
      <c r="N441" s="2"/>
      <c r="O441" s="2"/>
      <c r="P441" s="325" t="str">
        <f t="shared" si="19"/>
        <v>AGUHO MARK ANTHONY CAMBA</v>
      </c>
      <c r="Q441" s="332" t="str">
        <f>IFERROR(VLOOKUP(P441,[1]Disposition!$AB$9:$AC$495,2,0),"NO RECORD YET")</f>
        <v>#15 1ST Avenue, Brgy. Bagong Lipunan ng Crame, Quezon City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5" customHeight="1">
      <c r="A442" s="326">
        <v>433</v>
      </c>
      <c r="B442" s="327" t="s">
        <v>1368</v>
      </c>
      <c r="C442" s="327" t="s">
        <v>19</v>
      </c>
      <c r="D442" s="326" t="s">
        <v>24</v>
      </c>
      <c r="E442" s="328" t="s">
        <v>1373</v>
      </c>
      <c r="F442" s="328" t="s">
        <v>1374</v>
      </c>
      <c r="G442" s="328" t="s">
        <v>1375</v>
      </c>
      <c r="H442" s="314"/>
      <c r="I442" s="328" t="s">
        <v>3007</v>
      </c>
      <c r="J442" s="329" t="s">
        <v>1376</v>
      </c>
      <c r="K442" s="331" t="s">
        <v>1377</v>
      </c>
      <c r="L442" s="2"/>
      <c r="M442" s="2"/>
      <c r="N442" s="2"/>
      <c r="O442" s="2"/>
      <c r="P442" s="325" t="str">
        <f t="shared" si="19"/>
        <v>TOLENTINO NATHANIEL MELEGRITO</v>
      </c>
      <c r="Q442" s="332" t="str">
        <f>IFERROR(VLOOKUP(P442,[1]Disposition!$AB$9:$AC$495,2,0),"NO RECORD YET")</f>
        <v>B4 L1 Escopa IV, Project 4, Quezon City.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5" customHeight="1">
      <c r="A443" s="326">
        <v>434</v>
      </c>
      <c r="B443" s="327" t="s">
        <v>1368</v>
      </c>
      <c r="C443" s="327" t="s">
        <v>19</v>
      </c>
      <c r="D443" s="326" t="s">
        <v>28</v>
      </c>
      <c r="E443" s="328" t="s">
        <v>1378</v>
      </c>
      <c r="F443" s="328" t="s">
        <v>1379</v>
      </c>
      <c r="G443" s="328" t="s">
        <v>1380</v>
      </c>
      <c r="H443" s="314"/>
      <c r="I443" s="328" t="s">
        <v>3007</v>
      </c>
      <c r="J443" s="329" t="s">
        <v>1381</v>
      </c>
      <c r="K443" s="331" t="s">
        <v>1382</v>
      </c>
      <c r="L443" s="2"/>
      <c r="M443" s="2"/>
      <c r="N443" s="2"/>
      <c r="O443" s="2"/>
      <c r="P443" s="325" t="str">
        <f t="shared" si="19"/>
        <v>PAQUIZ JOHN ANTHONY BATO</v>
      </c>
      <c r="Q443" s="332" t="str">
        <f>IFERROR(VLOOKUP(P443,[1]Disposition!$AB$9:$AC$495,2,0),"NO RECORD YET")</f>
        <v>NO RECORD YET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5" customHeight="1">
      <c r="A444" s="326">
        <v>435</v>
      </c>
      <c r="B444" s="327" t="s">
        <v>1368</v>
      </c>
      <c r="C444" s="327" t="s">
        <v>39</v>
      </c>
      <c r="D444" s="326" t="s">
        <v>40</v>
      </c>
      <c r="E444" s="328" t="s">
        <v>999</v>
      </c>
      <c r="F444" s="328" t="s">
        <v>1354</v>
      </c>
      <c r="G444" s="328" t="s">
        <v>1355</v>
      </c>
      <c r="H444" s="314"/>
      <c r="I444" s="328" t="s">
        <v>2718</v>
      </c>
      <c r="J444" s="329" t="s">
        <v>1356</v>
      </c>
      <c r="K444" s="331" t="s">
        <v>1357</v>
      </c>
      <c r="L444" s="2"/>
      <c r="M444" s="2"/>
      <c r="N444" s="2"/>
      <c r="O444" s="2"/>
      <c r="P444" s="325" t="str">
        <f>CONCATENATE(E503," ",F503," ",G503)</f>
        <v>ROSETE ROSENA NICOLAS</v>
      </c>
      <c r="Q444" s="332" t="str">
        <f>IFERROR(VLOOKUP(P444,[1]Disposition!$AB$9:$AC$495,2,0),"NO RECORD YET")</f>
        <v>Phase 3 Blk 73 Lot 16, Eastwood Residences, Brgy. San Isidro, Rodriguez, Rizal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5" customHeight="1">
      <c r="A445" s="326">
        <v>436</v>
      </c>
      <c r="B445" s="327" t="s">
        <v>1368</v>
      </c>
      <c r="C445" s="327" t="s">
        <v>19</v>
      </c>
      <c r="D445" s="326" t="s">
        <v>40</v>
      </c>
      <c r="E445" s="328" t="s">
        <v>1383</v>
      </c>
      <c r="F445" s="328" t="s">
        <v>1384</v>
      </c>
      <c r="G445" s="328" t="s">
        <v>1061</v>
      </c>
      <c r="H445" s="314"/>
      <c r="I445" s="328" t="s">
        <v>2736</v>
      </c>
      <c r="J445" s="329" t="s">
        <v>1385</v>
      </c>
      <c r="K445" s="331" t="s">
        <v>1386</v>
      </c>
      <c r="L445" s="2"/>
      <c r="M445" s="2"/>
      <c r="N445" s="2"/>
      <c r="O445" s="2"/>
      <c r="P445" s="325" t="str">
        <f t="shared" si="19"/>
        <v>HUERNO JOHN ELMAR ALLAS</v>
      </c>
      <c r="Q445" s="332" t="str">
        <f>IFERROR(VLOOKUP(P445,[1]Disposition!$AB$9:$AC$495,2,0),"NO RECORD YET")</f>
        <v>#23 St. John St., Graceland Subd., Ampid 2, San Mateo, Rizal\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5" customHeight="1">
      <c r="A446" s="326">
        <v>437</v>
      </c>
      <c r="B446" s="327" t="s">
        <v>1368</v>
      </c>
      <c r="C446" s="327" t="s">
        <v>39</v>
      </c>
      <c r="D446" s="326" t="s">
        <v>40</v>
      </c>
      <c r="E446" s="328" t="s">
        <v>1391</v>
      </c>
      <c r="F446" s="328" t="s">
        <v>1392</v>
      </c>
      <c r="G446" s="328" t="s">
        <v>1393</v>
      </c>
      <c r="H446" s="314"/>
      <c r="I446" s="328" t="s">
        <v>2767</v>
      </c>
      <c r="J446" s="329" t="s">
        <v>1394</v>
      </c>
      <c r="K446" s="331" t="s">
        <v>1395</v>
      </c>
      <c r="L446" s="2"/>
      <c r="M446" s="2"/>
      <c r="N446" s="2"/>
      <c r="O446" s="2"/>
      <c r="P446" s="325" t="str">
        <f t="shared" si="19"/>
        <v>PARANADA DIANA VALMIDIANO</v>
      </c>
      <c r="Q446" s="332" t="str">
        <f>IFERROR(VLOOKUP(P446,[1]Disposition!$AB$9:$AC$495,2,0),"NO RECORD YET")</f>
        <v>Brgy. Taleb, Bantay, Ilocos Sur/#8 Don Jose St., Brgy. San Roque, Cubao, Quezon City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5" customHeight="1">
      <c r="A447" s="326">
        <v>438</v>
      </c>
      <c r="B447" s="327" t="s">
        <v>1396</v>
      </c>
      <c r="C447" s="327" t="s">
        <v>39</v>
      </c>
      <c r="D447" s="326" t="s">
        <v>40</v>
      </c>
      <c r="E447" s="328" t="s">
        <v>1369</v>
      </c>
      <c r="F447" s="328" t="s">
        <v>1370</v>
      </c>
      <c r="G447" s="328" t="s">
        <v>630</v>
      </c>
      <c r="H447" s="314"/>
      <c r="I447" s="328" t="s">
        <v>3656</v>
      </c>
      <c r="J447" s="329" t="s">
        <v>1371</v>
      </c>
      <c r="K447" s="331" t="s">
        <v>1372</v>
      </c>
      <c r="L447" s="2"/>
      <c r="M447" s="2"/>
      <c r="N447" s="2"/>
      <c r="O447" s="2"/>
      <c r="P447" s="325" t="str">
        <f t="shared" si="19"/>
        <v>PONCE JASMIN SEBASTIAN</v>
      </c>
      <c r="Q447" s="332" t="str">
        <f>IFERROR(VLOOKUP(P447,[1]Disposition!$AB$9:$AC$495,2,0),"NO RECORD YET")</f>
        <v>40 Bravo St., Zone 5, Central Signal Village, Taguig City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5" customHeight="1">
      <c r="A448" s="326">
        <v>439</v>
      </c>
      <c r="B448" s="327" t="s">
        <v>1396</v>
      </c>
      <c r="C448" s="327" t="s">
        <v>39</v>
      </c>
      <c r="D448" s="326" t="s">
        <v>40</v>
      </c>
      <c r="E448" s="328" t="s">
        <v>1401</v>
      </c>
      <c r="F448" s="328" t="s">
        <v>1402</v>
      </c>
      <c r="G448" s="328" t="s">
        <v>1403</v>
      </c>
      <c r="H448" s="314"/>
      <c r="I448" s="328" t="s">
        <v>2674</v>
      </c>
      <c r="J448" s="329" t="s">
        <v>1404</v>
      </c>
      <c r="K448" s="331" t="s">
        <v>1405</v>
      </c>
      <c r="L448" s="2"/>
      <c r="M448" s="2"/>
      <c r="N448" s="2"/>
      <c r="O448" s="2"/>
      <c r="P448" s="325" t="str">
        <f t="shared" si="19"/>
        <v>ACUESTA ANA JUNE FORRO</v>
      </c>
      <c r="Q448" s="332" t="str">
        <f>IFERROR(VLOOKUP(P448,[1]Disposition!$AB$9:$AC$495,2,0),"NO RECORD YET")</f>
        <v>Blk 52 Lot 5, Robinson"s Homes East, San Jose, Antipolo City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5" customHeight="1">
      <c r="A449" s="326">
        <v>440</v>
      </c>
      <c r="B449" s="327" t="s">
        <v>1396</v>
      </c>
      <c r="C449" s="327" t="s">
        <v>39</v>
      </c>
      <c r="D449" s="326" t="s">
        <v>40</v>
      </c>
      <c r="E449" s="328" t="s">
        <v>1406</v>
      </c>
      <c r="F449" s="328" t="s">
        <v>1407</v>
      </c>
      <c r="G449" s="328" t="s">
        <v>1408</v>
      </c>
      <c r="H449" s="314"/>
      <c r="I449" s="328" t="s">
        <v>3013</v>
      </c>
      <c r="J449" s="329" t="s">
        <v>1409</v>
      </c>
      <c r="K449" s="331" t="s">
        <v>1410</v>
      </c>
      <c r="L449" s="2"/>
      <c r="M449" s="2"/>
      <c r="N449" s="2"/>
      <c r="O449" s="2"/>
      <c r="P449" s="325" t="str">
        <f t="shared" si="19"/>
        <v>ARCE MARIE FRANCISSE THERESE ARMAMENTO</v>
      </c>
      <c r="Q449" s="332" t="str">
        <f>IFERROR(VLOOKUP(P449,[1]Disposition!$AB$9:$AC$495,2,0),"NO RECORD YET")</f>
        <v>Blk 8 Lot 13 Shelterville Subd., Bagumbong, Caloocan City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5" customHeight="1">
      <c r="A450" s="326">
        <v>441</v>
      </c>
      <c r="B450" s="327" t="s">
        <v>1396</v>
      </c>
      <c r="C450" s="327" t="s">
        <v>19</v>
      </c>
      <c r="D450" s="326" t="s">
        <v>40</v>
      </c>
      <c r="E450" s="328" t="s">
        <v>1411</v>
      </c>
      <c r="F450" s="328" t="s">
        <v>1412</v>
      </c>
      <c r="G450" s="328" t="s">
        <v>1413</v>
      </c>
      <c r="H450" s="314"/>
      <c r="I450" s="328" t="s">
        <v>3014</v>
      </c>
      <c r="J450" s="312"/>
      <c r="K450" s="33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5" customHeight="1">
      <c r="A451" s="326">
        <v>442</v>
      </c>
      <c r="B451" s="327" t="s">
        <v>1396</v>
      </c>
      <c r="C451" s="327" t="s">
        <v>39</v>
      </c>
      <c r="D451" s="326" t="s">
        <v>40</v>
      </c>
      <c r="E451" s="328" t="s">
        <v>256</v>
      </c>
      <c r="F451" s="328" t="s">
        <v>1414</v>
      </c>
      <c r="G451" s="328" t="s">
        <v>1415</v>
      </c>
      <c r="H451" s="314"/>
      <c r="I451" s="328" t="s">
        <v>2719</v>
      </c>
      <c r="J451" s="312"/>
      <c r="K451" s="333"/>
      <c r="L451" s="2"/>
      <c r="M451" s="2"/>
      <c r="N451" s="2"/>
      <c r="O451" s="2"/>
      <c r="P451" s="325" t="str">
        <f t="shared" ref="P451:P462" si="20">CONCATENATE(E451," ",F451," ",G451)</f>
        <v>DELA CRUZ ALTHEA CELY PARA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5" customHeight="1">
      <c r="A452" s="326">
        <v>443</v>
      </c>
      <c r="B452" s="327" t="s">
        <v>1396</v>
      </c>
      <c r="C452" s="327" t="s">
        <v>19</v>
      </c>
      <c r="D452" s="326" t="s">
        <v>40</v>
      </c>
      <c r="E452" s="328" t="s">
        <v>2915</v>
      </c>
      <c r="F452" s="328" t="s">
        <v>2916</v>
      </c>
      <c r="G452" s="328" t="s">
        <v>2917</v>
      </c>
      <c r="H452" s="314"/>
      <c r="I452" s="328" t="s">
        <v>2714</v>
      </c>
      <c r="J452" s="329" t="s">
        <v>2918</v>
      </c>
      <c r="K452" s="334">
        <v>9663862342</v>
      </c>
      <c r="L452" s="2"/>
      <c r="M452" s="2"/>
      <c r="N452" s="2"/>
      <c r="O452" s="2"/>
      <c r="P452" s="325"/>
      <c r="Q452" s="33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5" customHeight="1">
      <c r="A453" s="326">
        <v>444</v>
      </c>
      <c r="B453" s="327" t="s">
        <v>1396</v>
      </c>
      <c r="C453" s="327" t="s">
        <v>19</v>
      </c>
      <c r="D453" s="326" t="s">
        <v>40</v>
      </c>
      <c r="E453" s="328" t="s">
        <v>1416</v>
      </c>
      <c r="F453" s="328" t="s">
        <v>1417</v>
      </c>
      <c r="G453" s="328" t="s">
        <v>1418</v>
      </c>
      <c r="H453" s="314"/>
      <c r="I453" s="328" t="s">
        <v>2757</v>
      </c>
      <c r="J453" s="329" t="s">
        <v>1419</v>
      </c>
      <c r="K453" s="331" t="s">
        <v>1420</v>
      </c>
      <c r="L453" s="2"/>
      <c r="M453" s="2"/>
      <c r="N453" s="2"/>
      <c r="O453" s="2"/>
      <c r="P453" s="325" t="str">
        <f t="shared" si="20"/>
        <v>MONAR CHRISTIAN MEL OLOR</v>
      </c>
      <c r="Q453" s="332" t="str">
        <f>IFERROR(VLOOKUP(P453,[1]Disposition!$AB$9:$AC$495,2,0),"NO RECORD YET")</f>
        <v>Bagong Lipunan Ng Crame, Quezon City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5" customHeight="1">
      <c r="A454" s="326">
        <v>445</v>
      </c>
      <c r="B454" s="327" t="s">
        <v>3015</v>
      </c>
      <c r="C454" s="327" t="s">
        <v>39</v>
      </c>
      <c r="D454" s="326" t="s">
        <v>40</v>
      </c>
      <c r="E454" s="328" t="s">
        <v>1426</v>
      </c>
      <c r="F454" s="328" t="s">
        <v>1427</v>
      </c>
      <c r="G454" s="328" t="s">
        <v>1428</v>
      </c>
      <c r="H454" s="314"/>
      <c r="I454" s="328" t="s">
        <v>3657</v>
      </c>
      <c r="J454" s="329" t="s">
        <v>1429</v>
      </c>
      <c r="K454" s="331" t="s">
        <v>1430</v>
      </c>
      <c r="L454" s="2"/>
      <c r="M454" s="2"/>
      <c r="N454" s="2"/>
      <c r="O454" s="2"/>
      <c r="P454" s="325" t="str">
        <f t="shared" si="20"/>
        <v>RIDULME ANNA LEA ARCEO</v>
      </c>
      <c r="Q454" s="332" t="str">
        <f>IFERROR(VLOOKUP(P454,[1]Disposition!$AB$9:$AC$495,2,0),"NO RECORD YET")</f>
        <v>Blk 39 Lot 26 Soldiers Hills, Muntilupa City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5" customHeight="1">
      <c r="A455" s="326">
        <v>446</v>
      </c>
      <c r="B455" s="327" t="s">
        <v>1348</v>
      </c>
      <c r="C455" s="327" t="s">
        <v>19</v>
      </c>
      <c r="D455" s="326" t="s">
        <v>28</v>
      </c>
      <c r="E455" s="328" t="s">
        <v>973</v>
      </c>
      <c r="F455" s="328" t="s">
        <v>1341</v>
      </c>
      <c r="G455" s="328" t="s">
        <v>1342</v>
      </c>
      <c r="H455" s="314"/>
      <c r="I455" s="328" t="s">
        <v>3007</v>
      </c>
      <c r="J455" s="312"/>
      <c r="K455" s="333"/>
      <c r="L455" s="2"/>
      <c r="M455" s="2"/>
      <c r="N455" s="2"/>
      <c r="O455" s="2"/>
      <c r="P455" s="325" t="str">
        <f>CONCATENATE(E455," ",F455," ",G455)</f>
        <v>GALVEZ MARK RHOMMEL  MDRIAGA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5" customHeight="1">
      <c r="A456" s="326">
        <v>447</v>
      </c>
      <c r="B456" s="327" t="s">
        <v>1348</v>
      </c>
      <c r="C456" s="327" t="s">
        <v>19</v>
      </c>
      <c r="D456" s="326" t="s">
        <v>40</v>
      </c>
      <c r="E456" s="328" t="s">
        <v>1434</v>
      </c>
      <c r="F456" s="328" t="s">
        <v>1435</v>
      </c>
      <c r="G456" s="328" t="s">
        <v>1436</v>
      </c>
      <c r="H456" s="314"/>
      <c r="I456" s="328" t="s">
        <v>2729</v>
      </c>
      <c r="J456" s="329" t="s">
        <v>1437</v>
      </c>
      <c r="K456" s="331" t="s">
        <v>1438</v>
      </c>
      <c r="L456" s="2"/>
      <c r="M456" s="2"/>
      <c r="N456" s="2"/>
      <c r="O456" s="2"/>
      <c r="P456" s="325" t="str">
        <f t="shared" si="20"/>
        <v>ESTIPONA MICHAEL GERARD PEDRO</v>
      </c>
      <c r="Q456" s="332" t="str">
        <f>IFERROR(VLOOKUP(P456,[1]Disposition!$AB$9:$AC$495,2,0),"NO RECORD YET")</f>
        <v>107 Kentwood Heights, 23 Mariposa St., Brgy. Bagong Lipunan ng Crame, Quezon City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5" customHeight="1">
      <c r="A457" s="326">
        <v>448</v>
      </c>
      <c r="B457" s="327" t="s">
        <v>1348</v>
      </c>
      <c r="C457" s="327" t="s">
        <v>19</v>
      </c>
      <c r="D457" s="326" t="s">
        <v>40</v>
      </c>
      <c r="E457" s="328" t="s">
        <v>1439</v>
      </c>
      <c r="F457" s="328" t="s">
        <v>1440</v>
      </c>
      <c r="G457" s="328" t="s">
        <v>1441</v>
      </c>
      <c r="H457" s="314"/>
      <c r="I457" s="328" t="s">
        <v>2718</v>
      </c>
      <c r="J457" s="312"/>
      <c r="K457" s="333"/>
      <c r="L457" s="2"/>
      <c r="M457" s="2"/>
      <c r="N457" s="2"/>
      <c r="O457" s="2"/>
      <c r="P457" s="325" t="str">
        <f t="shared" si="20"/>
        <v>FERRER JOSHUA OLGINA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5" customHeight="1">
      <c r="A458" s="326">
        <v>449</v>
      </c>
      <c r="B458" s="327" t="s">
        <v>1348</v>
      </c>
      <c r="C458" s="327" t="s">
        <v>39</v>
      </c>
      <c r="D458" s="326" t="s">
        <v>40</v>
      </c>
      <c r="E458" s="328" t="s">
        <v>1442</v>
      </c>
      <c r="F458" s="328" t="s">
        <v>1443</v>
      </c>
      <c r="G458" s="328" t="s">
        <v>1439</v>
      </c>
      <c r="H458" s="314"/>
      <c r="I458" s="328" t="s">
        <v>2766</v>
      </c>
      <c r="J458" s="329" t="s">
        <v>1444</v>
      </c>
      <c r="K458" s="331" t="s">
        <v>1445</v>
      </c>
      <c r="L458" s="2"/>
      <c r="M458" s="2"/>
      <c r="N458" s="2"/>
      <c r="O458" s="2"/>
      <c r="P458" s="325" t="str">
        <f t="shared" si="20"/>
        <v>PANIZA ADELWISA FERRER</v>
      </c>
      <c r="Q458" s="332" t="str">
        <f>IFERROR(VLOOKUP(P458,[1]Disposition!$AB$9:$AC$495,2,0),"NO RECORD YET")</f>
        <v>1772 Miracle St., Graceville Subd., Brgy. Pag-Asa, Binangonan, Rizal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5" customHeight="1">
      <c r="A459" s="326">
        <v>450</v>
      </c>
      <c r="B459" s="327" t="s">
        <v>1348</v>
      </c>
      <c r="C459" s="327" t="s">
        <v>19</v>
      </c>
      <c r="D459" s="326" t="s">
        <v>40</v>
      </c>
      <c r="E459" s="328" t="s">
        <v>1446</v>
      </c>
      <c r="F459" s="328" t="s">
        <v>1447</v>
      </c>
      <c r="G459" s="328" t="s">
        <v>1448</v>
      </c>
      <c r="H459" s="314"/>
      <c r="I459" s="328" t="s">
        <v>2752</v>
      </c>
      <c r="J459" s="329" t="s">
        <v>1449</v>
      </c>
      <c r="K459" s="331" t="s">
        <v>1450</v>
      </c>
      <c r="L459" s="2"/>
      <c r="M459" s="2"/>
      <c r="N459" s="2"/>
      <c r="O459" s="2"/>
      <c r="P459" s="325" t="str">
        <f t="shared" si="20"/>
        <v>MASAGANDA AARON  BANAG</v>
      </c>
      <c r="Q459" s="332" t="str">
        <f>IFERROR(VLOOKUP(P459,[1]Disposition!$AB$9:$AC$495,2,0),"NO RECORD YET")</f>
        <v>100 Tanguile St., Marikina Heights, Marikina City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5" customHeight="1">
      <c r="A460" s="326">
        <v>451</v>
      </c>
      <c r="B460" s="327" t="s">
        <v>1451</v>
      </c>
      <c r="C460" s="327" t="s">
        <v>19</v>
      </c>
      <c r="D460" s="326" t="s">
        <v>40</v>
      </c>
      <c r="E460" s="328" t="s">
        <v>774</v>
      </c>
      <c r="F460" s="328" t="s">
        <v>1397</v>
      </c>
      <c r="G460" s="328" t="s">
        <v>1398</v>
      </c>
      <c r="H460" s="314"/>
      <c r="I460" s="328" t="s">
        <v>3658</v>
      </c>
      <c r="J460" s="329" t="s">
        <v>1399</v>
      </c>
      <c r="K460" s="331" t="s">
        <v>1400</v>
      </c>
      <c r="L460" s="2"/>
      <c r="M460" s="2"/>
      <c r="N460" s="2"/>
      <c r="O460" s="2"/>
      <c r="P460" s="325" t="str">
        <f t="shared" si="20"/>
        <v>MALLILLIN MARVIN SALINAS</v>
      </c>
      <c r="Q460" s="332" t="str">
        <f>IFERROR(VLOOKUP(P460,[1]Disposition!$AB$9:$AC$495,2,0),"NO RECORD YET")</f>
        <v>10 Longhorn St., Rancho Estate IV East, Concepcion Dos, Marikina City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5" customHeight="1">
      <c r="A461" s="326">
        <v>452</v>
      </c>
      <c r="B461" s="327" t="s">
        <v>1451</v>
      </c>
      <c r="C461" s="327" t="s">
        <v>19</v>
      </c>
      <c r="D461" s="326" t="s">
        <v>28</v>
      </c>
      <c r="E461" s="328" t="s">
        <v>1456</v>
      </c>
      <c r="F461" s="328" t="s">
        <v>1457</v>
      </c>
      <c r="G461" s="328" t="s">
        <v>934</v>
      </c>
      <c r="H461" s="314"/>
      <c r="I461" s="328" t="s">
        <v>3007</v>
      </c>
      <c r="J461" s="329" t="s">
        <v>1458</v>
      </c>
      <c r="K461" s="331" t="s">
        <v>1459</v>
      </c>
      <c r="L461" s="2"/>
      <c r="M461" s="2"/>
      <c r="N461" s="2"/>
      <c r="O461" s="2"/>
      <c r="P461" s="325" t="str">
        <f t="shared" si="20"/>
        <v>MOSLARES CHARLES BRYAN MOLINA</v>
      </c>
      <c r="Q461" s="332" t="str">
        <f>IFERROR(VLOOKUP(P461,[1]Disposition!$AB$9:$AC$495,2,0),"NO RECORD YET")</f>
        <v>NO RECORD YET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5" customHeight="1">
      <c r="A462" s="326">
        <v>453</v>
      </c>
      <c r="B462" s="327" t="s">
        <v>1451</v>
      </c>
      <c r="C462" s="327" t="s">
        <v>19</v>
      </c>
      <c r="D462" s="326" t="s">
        <v>40</v>
      </c>
      <c r="E462" s="328" t="s">
        <v>1460</v>
      </c>
      <c r="F462" s="328" t="s">
        <v>1461</v>
      </c>
      <c r="G462" s="328" t="s">
        <v>1462</v>
      </c>
      <c r="H462" s="314"/>
      <c r="I462" s="328" t="s">
        <v>2696</v>
      </c>
      <c r="J462" s="312"/>
      <c r="K462" s="333"/>
      <c r="L462" s="2"/>
      <c r="M462" s="2"/>
      <c r="N462" s="2"/>
      <c r="O462" s="2"/>
      <c r="P462" s="325" t="str">
        <f t="shared" si="20"/>
        <v>BAJAMONDE CHRISTIAN JOHN  PLAZA</v>
      </c>
      <c r="Q462" s="332" t="str">
        <f>IFERROR(VLOOKUP(P462,[1]Disposition!$AB$9:$AC$495,2,0),"NO RECORD YET")</f>
        <v>NO RECORD YET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5" customHeight="1">
      <c r="A463" s="326">
        <v>454</v>
      </c>
      <c r="B463" s="327" t="s">
        <v>1451</v>
      </c>
      <c r="C463" s="327" t="s">
        <v>39</v>
      </c>
      <c r="D463" s="326" t="s">
        <v>40</v>
      </c>
      <c r="E463" s="328" t="s">
        <v>1463</v>
      </c>
      <c r="F463" s="328" t="s">
        <v>1464</v>
      </c>
      <c r="G463" s="328" t="s">
        <v>1024</v>
      </c>
      <c r="H463" s="314"/>
      <c r="I463" s="328" t="s">
        <v>3659</v>
      </c>
      <c r="J463" s="329" t="s">
        <v>1465</v>
      </c>
      <c r="K463" s="331" t="s">
        <v>1466</v>
      </c>
      <c r="L463" s="2"/>
      <c r="M463" s="2"/>
      <c r="N463" s="2"/>
      <c r="O463" s="2"/>
      <c r="P463" s="325" t="str">
        <f>CONCATENATE(E174," ",F174," ",G174)</f>
        <v>MALANI JOAN MAT-AN</v>
      </c>
      <c r="Q463" s="332" t="str">
        <f>IFERROR(VLOOKUP(P463,[1]Disposition!$AB$9:$AC$495,2,0),"NO RECORD YET")</f>
        <v>B5L13 Sammar1 Luzon Avenure, Old Balara, Quezon City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5" customHeight="1">
      <c r="A464" s="326">
        <v>455</v>
      </c>
      <c r="B464" s="327" t="s">
        <v>1451</v>
      </c>
      <c r="C464" s="327" t="s">
        <v>19</v>
      </c>
      <c r="D464" s="326" t="s">
        <v>40</v>
      </c>
      <c r="E464" s="328" t="s">
        <v>1467</v>
      </c>
      <c r="F464" s="328" t="s">
        <v>1468</v>
      </c>
      <c r="G464" s="328" t="s">
        <v>1469</v>
      </c>
      <c r="H464" s="314"/>
      <c r="I464" s="328" t="s">
        <v>3016</v>
      </c>
      <c r="J464" s="312"/>
      <c r="K464" s="333"/>
      <c r="L464" s="2"/>
      <c r="M464" s="2"/>
      <c r="N464" s="2"/>
      <c r="O464" s="2"/>
      <c r="P464" s="325" t="str">
        <f t="shared" ref="P464:P483" si="21">CONCATENATE(E464," ",F464," ",G464)</f>
        <v>PORNIA CRIASANTO HURBAN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5" customHeight="1">
      <c r="A465" s="326">
        <v>456</v>
      </c>
      <c r="B465" s="327" t="s">
        <v>1451</v>
      </c>
      <c r="C465" s="327" t="s">
        <v>39</v>
      </c>
      <c r="D465" s="326" t="s">
        <v>40</v>
      </c>
      <c r="E465" s="328" t="s">
        <v>1470</v>
      </c>
      <c r="F465" s="328" t="s">
        <v>1471</v>
      </c>
      <c r="G465" s="328" t="s">
        <v>1472</v>
      </c>
      <c r="H465" s="314"/>
      <c r="I465" s="328" t="s">
        <v>2787</v>
      </c>
      <c r="J465" s="329" t="s">
        <v>1473</v>
      </c>
      <c r="K465" s="331" t="s">
        <v>1474</v>
      </c>
      <c r="L465" s="2"/>
      <c r="M465" s="2"/>
      <c r="N465" s="2"/>
      <c r="O465" s="2"/>
      <c r="P465" s="325" t="str">
        <f t="shared" si="21"/>
        <v>TABIO HONEY LETH PALOMO</v>
      </c>
      <c r="Q465" s="332" t="str">
        <f>IFERROR(VLOOKUP(P465,[1]Disposition!$AB$9:$AC$495,2,0),"NO RECORD YET")</f>
        <v>179 RLJ Bldg, 9th St., East Grace Park, Caloocan City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5" customHeight="1">
      <c r="A466" s="326">
        <v>457</v>
      </c>
      <c r="B466" s="327" t="s">
        <v>1451</v>
      </c>
      <c r="C466" s="327" t="s">
        <v>19</v>
      </c>
      <c r="D466" s="326" t="s">
        <v>40</v>
      </c>
      <c r="E466" s="328" t="s">
        <v>1475</v>
      </c>
      <c r="F466" s="328" t="s">
        <v>1476</v>
      </c>
      <c r="G466" s="328" t="s">
        <v>1477</v>
      </c>
      <c r="H466" s="314"/>
      <c r="I466" s="328" t="s">
        <v>2674</v>
      </c>
      <c r="J466" s="329" t="s">
        <v>1478</v>
      </c>
      <c r="K466" s="331" t="s">
        <v>1479</v>
      </c>
      <c r="L466" s="2"/>
      <c r="M466" s="2"/>
      <c r="N466" s="2"/>
      <c r="O466" s="2"/>
      <c r="P466" s="325" t="str">
        <f t="shared" si="21"/>
        <v>VIGILANCIA SIXTO KATALBAS</v>
      </c>
      <c r="Q466" s="332" t="str">
        <f>IFERROR(VLOOKUP(P466,[1]Disposition!$AB$9:$AC$495,2,0),"NO RECORD YET")</f>
        <v>1 San Venancio St., San Juan, Metro Manila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5" customHeight="1">
      <c r="A467" s="326">
        <v>458</v>
      </c>
      <c r="B467" s="327" t="s">
        <v>1486</v>
      </c>
      <c r="C467" s="327" t="s">
        <v>19</v>
      </c>
      <c r="D467" s="326" t="s">
        <v>40</v>
      </c>
      <c r="E467" s="328" t="s">
        <v>1297</v>
      </c>
      <c r="F467" s="328" t="s">
        <v>1298</v>
      </c>
      <c r="G467" s="328" t="s">
        <v>1299</v>
      </c>
      <c r="H467" s="326" t="s">
        <v>268</v>
      </c>
      <c r="I467" s="328" t="s">
        <v>3017</v>
      </c>
      <c r="J467" s="329" t="s">
        <v>1300</v>
      </c>
      <c r="K467" s="331" t="s">
        <v>1301</v>
      </c>
      <c r="L467" s="2"/>
      <c r="M467" s="2"/>
      <c r="N467" s="2"/>
      <c r="O467" s="2"/>
      <c r="P467" s="325" t="str">
        <f t="shared" si="21"/>
        <v>RARO EMILIO GARADO</v>
      </c>
      <c r="Q467" s="332" t="str">
        <f>IFERROR(VLOOKUP(P467,[1]Disposition!$AB$9:$AC$495,2,0),"NO RECORD YET")</f>
        <v>12W RD 8, 1st West, Crame, San Juan City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5" customHeight="1">
      <c r="A468" s="326">
        <v>459</v>
      </c>
      <c r="B468" s="327" t="s">
        <v>1486</v>
      </c>
      <c r="C468" s="327" t="s">
        <v>19</v>
      </c>
      <c r="D468" s="326" t="s">
        <v>40</v>
      </c>
      <c r="E468" s="328" t="s">
        <v>1487</v>
      </c>
      <c r="F468" s="328" t="s">
        <v>553</v>
      </c>
      <c r="G468" s="328" t="s">
        <v>1488</v>
      </c>
      <c r="H468" s="314"/>
      <c r="I468" s="328" t="s">
        <v>2761</v>
      </c>
      <c r="J468" s="329" t="s">
        <v>1489</v>
      </c>
      <c r="K468" s="331" t="s">
        <v>1490</v>
      </c>
      <c r="L468" s="2"/>
      <c r="M468" s="2"/>
      <c r="N468" s="2"/>
      <c r="O468" s="2"/>
      <c r="P468" s="325" t="str">
        <f t="shared" si="21"/>
        <v>NAVARRO ERIC BARCELONA</v>
      </c>
      <c r="Q468" s="332" t="str">
        <f>IFERROR(VLOOKUP(P468,[1]Disposition!$AB$9:$AC$495,2,0),"NO RECORD YET")</f>
        <v>4H Balaoan St. New Haven Village, Kaligayahan, Quezon City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5" customHeight="1">
      <c r="A469" s="326">
        <v>460</v>
      </c>
      <c r="B469" s="327" t="s">
        <v>1486</v>
      </c>
      <c r="C469" s="327" t="s">
        <v>19</v>
      </c>
      <c r="D469" s="326" t="s">
        <v>96</v>
      </c>
      <c r="E469" s="328" t="s">
        <v>741</v>
      </c>
      <c r="F469" s="328" t="s">
        <v>742</v>
      </c>
      <c r="G469" s="328" t="s">
        <v>743</v>
      </c>
      <c r="H469" s="314"/>
      <c r="I469" s="328" t="s">
        <v>3018</v>
      </c>
      <c r="J469" s="329" t="s">
        <v>744</v>
      </c>
      <c r="K469" s="331" t="s">
        <v>745</v>
      </c>
      <c r="L469" s="2"/>
      <c r="M469" s="2"/>
      <c r="N469" s="2"/>
      <c r="O469" s="2"/>
      <c r="P469" s="325" t="str">
        <f t="shared" si="21"/>
        <v>BAYAUA ANGELO ZALUN</v>
      </c>
      <c r="Q469" s="332" t="str">
        <f>IFERROR(VLOOKUP(P469,[1]Disposition!$AB$9:$AC$495,2,0),"NO RECORD YET")</f>
        <v>B10 L23 P-H Guijo, Francisco Homes , SJDM, Bulacan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5" customHeight="1">
      <c r="A470" s="326">
        <v>461</v>
      </c>
      <c r="B470" s="327" t="s">
        <v>1486</v>
      </c>
      <c r="C470" s="327" t="s">
        <v>19</v>
      </c>
      <c r="D470" s="326" t="s">
        <v>96</v>
      </c>
      <c r="E470" s="328" t="s">
        <v>715</v>
      </c>
      <c r="F470" s="328" t="s">
        <v>716</v>
      </c>
      <c r="G470" s="328" t="s">
        <v>717</v>
      </c>
      <c r="H470" s="314"/>
      <c r="I470" s="328" t="s">
        <v>3018</v>
      </c>
      <c r="J470" s="329" t="s">
        <v>718</v>
      </c>
      <c r="K470" s="330" t="s">
        <v>3019</v>
      </c>
      <c r="L470" s="2"/>
      <c r="M470" s="2"/>
      <c r="N470" s="2"/>
      <c r="O470" s="2"/>
      <c r="P470" s="325" t="str">
        <f t="shared" si="21"/>
        <v>AREVALO RALPH LYNDON RESUELLO</v>
      </c>
      <c r="Q470" s="332" t="str">
        <f>IFERROR(VLOOKUP(P470,[1]Disposition!$AB$9:$AC$495,2,0),"NO RECORD YET")</f>
        <v>NO RECORD YET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5" customHeight="1">
      <c r="A471" s="326">
        <v>462</v>
      </c>
      <c r="B471" s="327" t="s">
        <v>1486</v>
      </c>
      <c r="C471" s="327" t="s">
        <v>19</v>
      </c>
      <c r="D471" s="326" t="s">
        <v>366</v>
      </c>
      <c r="E471" s="328" t="s">
        <v>1732</v>
      </c>
      <c r="F471" s="328" t="s">
        <v>1733</v>
      </c>
      <c r="G471" s="328" t="s">
        <v>1734</v>
      </c>
      <c r="H471" s="314"/>
      <c r="I471" s="328" t="s">
        <v>2802</v>
      </c>
      <c r="J471" s="329" t="s">
        <v>1735</v>
      </c>
      <c r="K471" s="331" t="s">
        <v>1736</v>
      </c>
      <c r="L471" s="2"/>
      <c r="M471" s="2"/>
      <c r="N471" s="2"/>
      <c r="O471" s="2"/>
      <c r="P471" s="325" t="str">
        <f>CONCATENATE(E479," ",F479," ",G479)</f>
        <v>MANIQUIZ JEREMY BINUYA</v>
      </c>
      <c r="Q471" s="332" t="str">
        <f>IFERROR(VLOOKUP(P368,[1]Disposition!$AB$9:$AC$495,2,0),"NO RECORD YET")</f>
        <v>NO RECORD YET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5" customHeight="1">
      <c r="A472" s="326">
        <v>463</v>
      </c>
      <c r="B472" s="327" t="s">
        <v>1486</v>
      </c>
      <c r="C472" s="327" t="s">
        <v>19</v>
      </c>
      <c r="D472" s="326" t="s">
        <v>366</v>
      </c>
      <c r="E472" s="328" t="s">
        <v>1462</v>
      </c>
      <c r="F472" s="328" t="s">
        <v>1496</v>
      </c>
      <c r="G472" s="328" t="s">
        <v>1497</v>
      </c>
      <c r="H472" s="314"/>
      <c r="I472" s="328" t="s">
        <v>2818</v>
      </c>
      <c r="J472" s="329" t="s">
        <v>1498</v>
      </c>
      <c r="K472" s="331" t="s">
        <v>1499</v>
      </c>
      <c r="L472" s="2"/>
      <c r="M472" s="2"/>
      <c r="N472" s="2"/>
      <c r="O472" s="2"/>
      <c r="P472" s="325" t="str">
        <f t="shared" si="21"/>
        <v>PLAZA ERVIN TELAPER</v>
      </c>
      <c r="Q472" s="332" t="str">
        <f>IFERROR(VLOOKUP(P472,[1]Disposition!$AB$9:$AC$495,2,0),"NO RECORD YET")</f>
        <v>Purok 6, Amaga, Barobo, Surigao Del Sur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5" customHeight="1">
      <c r="A473" s="326">
        <v>464</v>
      </c>
      <c r="B473" s="327" t="s">
        <v>1486</v>
      </c>
      <c r="C473" s="327" t="s">
        <v>19</v>
      </c>
      <c r="D473" s="326" t="s">
        <v>644</v>
      </c>
      <c r="E473" s="328" t="s">
        <v>822</v>
      </c>
      <c r="F473" s="328" t="s">
        <v>1082</v>
      </c>
      <c r="G473" s="328" t="s">
        <v>824</v>
      </c>
      <c r="H473" s="314"/>
      <c r="I473" s="328" t="s">
        <v>2818</v>
      </c>
      <c r="J473" s="312"/>
      <c r="K473" s="333"/>
      <c r="L473" s="2"/>
      <c r="M473" s="2"/>
      <c r="N473" s="2"/>
      <c r="O473" s="2"/>
      <c r="P473" s="325" t="str">
        <f t="shared" si="21"/>
        <v>MANUEL MARK ALMONTE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5" customHeight="1">
      <c r="A474" s="326">
        <v>465</v>
      </c>
      <c r="B474" s="327" t="s">
        <v>1486</v>
      </c>
      <c r="C474" s="327" t="s">
        <v>19</v>
      </c>
      <c r="D474" s="326" t="s">
        <v>28</v>
      </c>
      <c r="E474" s="328" t="s">
        <v>336</v>
      </c>
      <c r="F474" s="328" t="s">
        <v>337</v>
      </c>
      <c r="G474" s="328" t="s">
        <v>338</v>
      </c>
      <c r="H474" s="314"/>
      <c r="I474" s="328" t="s">
        <v>2802</v>
      </c>
      <c r="J474" s="329" t="s">
        <v>339</v>
      </c>
      <c r="K474" s="331" t="s">
        <v>340</v>
      </c>
      <c r="L474" s="2"/>
      <c r="M474" s="2"/>
      <c r="N474" s="2"/>
      <c r="O474" s="2"/>
      <c r="P474" s="325" t="str">
        <f t="shared" si="21"/>
        <v>CAGUITE JOHN REX ALIDO</v>
      </c>
      <c r="Q474" s="332" t="str">
        <f>IFERROR(VLOOKUP(P474,[1]Disposition!$AB$9:$AC$495,2,0),"NO RECORD YET")</f>
        <v>NO RECORD YET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5" customHeight="1">
      <c r="A475" s="326">
        <v>466</v>
      </c>
      <c r="B475" s="327" t="s">
        <v>1486</v>
      </c>
      <c r="C475" s="327" t="s">
        <v>19</v>
      </c>
      <c r="D475" s="326" t="s">
        <v>28</v>
      </c>
      <c r="E475" s="328" t="s">
        <v>316</v>
      </c>
      <c r="F475" s="328" t="s">
        <v>317</v>
      </c>
      <c r="G475" s="328" t="s">
        <v>318</v>
      </c>
      <c r="H475" s="314"/>
      <c r="I475" s="328" t="s">
        <v>2802</v>
      </c>
      <c r="J475" s="329" t="s">
        <v>344</v>
      </c>
      <c r="K475" s="331" t="s">
        <v>345</v>
      </c>
      <c r="L475" s="2"/>
      <c r="M475" s="2"/>
      <c r="N475" s="2"/>
      <c r="O475" s="2"/>
      <c r="P475" s="325" t="str">
        <f t="shared" si="21"/>
        <v>CORTEZ JERWIN AQUINO</v>
      </c>
      <c r="Q475" s="332" t="str">
        <f>IFERROR(VLOOKUP(P475,[1]Disposition!$AB$9:$AC$495,2,0),"NO RECORD YET")</f>
        <v>NO RECORD YET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5" customHeight="1">
      <c r="A476" s="326">
        <v>467</v>
      </c>
      <c r="B476" s="327" t="s">
        <v>1486</v>
      </c>
      <c r="C476" s="327" t="s">
        <v>19</v>
      </c>
      <c r="D476" s="326" t="s">
        <v>28</v>
      </c>
      <c r="E476" s="328" t="s">
        <v>1504</v>
      </c>
      <c r="F476" s="328" t="s">
        <v>1505</v>
      </c>
      <c r="G476" s="328" t="s">
        <v>1506</v>
      </c>
      <c r="H476" s="314"/>
      <c r="I476" s="328" t="s">
        <v>2818</v>
      </c>
      <c r="J476" s="312"/>
      <c r="K476" s="333"/>
      <c r="L476" s="2"/>
      <c r="M476" s="2"/>
      <c r="N476" s="2"/>
      <c r="O476" s="2"/>
      <c r="P476" s="325" t="str">
        <f t="shared" si="21"/>
        <v>ESTACIO NEIL BRYAN ALARIN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5" customHeight="1">
      <c r="A477" s="326">
        <v>468</v>
      </c>
      <c r="B477" s="327" t="s">
        <v>3020</v>
      </c>
      <c r="C477" s="327" t="s">
        <v>39</v>
      </c>
      <c r="D477" s="326" t="s">
        <v>28</v>
      </c>
      <c r="E477" s="328" t="s">
        <v>436</v>
      </c>
      <c r="F477" s="328" t="s">
        <v>437</v>
      </c>
      <c r="G477" s="328" t="s">
        <v>438</v>
      </c>
      <c r="H477" s="314"/>
      <c r="I477" s="328" t="s">
        <v>3021</v>
      </c>
      <c r="J477" s="329" t="s">
        <v>439</v>
      </c>
      <c r="K477" s="331" t="s">
        <v>440</v>
      </c>
      <c r="L477" s="2"/>
      <c r="M477" s="2"/>
      <c r="N477" s="2"/>
      <c r="O477" s="2"/>
      <c r="P477" s="325" t="str">
        <f t="shared" si="21"/>
        <v>GUAVINO CHE-YENNE LAZARITO</v>
      </c>
      <c r="Q477" s="332" t="str">
        <f>IFERROR(VLOOKUP(P477,[1]Disposition!$AB$9:$AC$495,2,0),"NO RECORD YET")</f>
        <v>Apartment 23, EMQ Camp Crame, Bagong Lipunan ng Crame, Qauezon City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5" customHeight="1">
      <c r="A478" s="326">
        <v>469</v>
      </c>
      <c r="B478" s="327" t="s">
        <v>3022</v>
      </c>
      <c r="C478" s="327" t="s">
        <v>19</v>
      </c>
      <c r="D478" s="326" t="s">
        <v>28</v>
      </c>
      <c r="E478" s="328" t="s">
        <v>441</v>
      </c>
      <c r="F478" s="328" t="s">
        <v>442</v>
      </c>
      <c r="G478" s="328" t="s">
        <v>443</v>
      </c>
      <c r="H478" s="314"/>
      <c r="I478" s="328" t="s">
        <v>3021</v>
      </c>
      <c r="J478" s="329" t="s">
        <v>444</v>
      </c>
      <c r="K478" s="331" t="s">
        <v>445</v>
      </c>
      <c r="L478" s="2"/>
      <c r="M478" s="2"/>
      <c r="N478" s="2"/>
      <c r="O478" s="2"/>
      <c r="P478" s="325" t="str">
        <f t="shared" si="21"/>
        <v>INALVEZ NEIL ADRIAN NUCOM</v>
      </c>
      <c r="Q478" s="332" t="str">
        <f>IFERROR(VLOOKUP(P478,[1]Disposition!$AB$9:$AC$495,2,0),"NO RECORD YET")</f>
        <v>676 Purok KB3, Maugat, San Antonio, Nueva Ecija,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5" customHeight="1">
      <c r="A479" s="326">
        <v>470</v>
      </c>
      <c r="B479" s="327" t="s">
        <v>1486</v>
      </c>
      <c r="C479" s="327" t="s">
        <v>19</v>
      </c>
      <c r="D479" s="326" t="s">
        <v>28</v>
      </c>
      <c r="E479" s="328" t="s">
        <v>321</v>
      </c>
      <c r="F479" s="328" t="s">
        <v>322</v>
      </c>
      <c r="G479" s="328" t="s">
        <v>323</v>
      </c>
      <c r="H479" s="314"/>
      <c r="I479" s="328" t="s">
        <v>2802</v>
      </c>
      <c r="J479" s="329" t="s">
        <v>319</v>
      </c>
      <c r="K479" s="331" t="s">
        <v>320</v>
      </c>
      <c r="L479" s="2"/>
      <c r="M479" s="2"/>
      <c r="N479" s="2"/>
      <c r="O479" s="2"/>
      <c r="P479" s="325" t="str">
        <f t="shared" si="21"/>
        <v>MANIQUIZ JEREMY BINUYA</v>
      </c>
      <c r="Q479" s="332" t="str">
        <f>IFERROR(VLOOKUP(P479,[1]Disposition!$AB$9:$AC$495,2,0),"NO RECORD YET")</f>
        <v>NO RECORD YET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5" customHeight="1">
      <c r="A480" s="326">
        <v>471</v>
      </c>
      <c r="B480" s="327" t="s">
        <v>1486</v>
      </c>
      <c r="C480" s="327" t="s">
        <v>19</v>
      </c>
      <c r="D480" s="326" t="s">
        <v>28</v>
      </c>
      <c r="E480" s="328" t="s">
        <v>341</v>
      </c>
      <c r="F480" s="328" t="s">
        <v>342</v>
      </c>
      <c r="G480" s="328" t="s">
        <v>343</v>
      </c>
      <c r="H480" s="314"/>
      <c r="I480" s="328" t="s">
        <v>2802</v>
      </c>
      <c r="J480" s="329" t="s">
        <v>324</v>
      </c>
      <c r="K480" s="331" t="s">
        <v>325</v>
      </c>
      <c r="L480" s="2"/>
      <c r="M480" s="2"/>
      <c r="N480" s="2"/>
      <c r="O480" s="2"/>
      <c r="P480" s="325" t="str">
        <f t="shared" si="21"/>
        <v>TAGPAO RAFAEL ALUNDAY</v>
      </c>
      <c r="Q480" s="332" t="str">
        <f>IFERROR(VLOOKUP(P480,[1]Disposition!$AB$9:$AC$495,2,0),"NO RECORD YET")</f>
        <v>NO RECORD YET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5" customHeight="1">
      <c r="A481" s="326">
        <v>472</v>
      </c>
      <c r="B481" s="327" t="s">
        <v>3023</v>
      </c>
      <c r="C481" s="327" t="s">
        <v>19</v>
      </c>
      <c r="D481" s="326" t="s">
        <v>28</v>
      </c>
      <c r="E481" s="328" t="s">
        <v>1501</v>
      </c>
      <c r="F481" s="328" t="s">
        <v>3024</v>
      </c>
      <c r="G481" s="328" t="s">
        <v>3025</v>
      </c>
      <c r="H481" s="314"/>
      <c r="I481" s="328" t="s">
        <v>3026</v>
      </c>
      <c r="J481" s="312"/>
      <c r="K481" s="333"/>
      <c r="L481" s="2"/>
      <c r="M481" s="2"/>
      <c r="N481" s="2"/>
      <c r="O481" s="2"/>
      <c r="P481" s="325" t="str">
        <f t="shared" si="21"/>
        <v>COPRADA ROMUALDO JULES OSMUND CAMPOSANO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5" customHeight="1">
      <c r="A482" s="326">
        <v>473</v>
      </c>
      <c r="B482" s="327" t="s">
        <v>1486</v>
      </c>
      <c r="C482" s="327" t="s">
        <v>19</v>
      </c>
      <c r="D482" s="326" t="s">
        <v>28</v>
      </c>
      <c r="E482" s="328" t="s">
        <v>1507</v>
      </c>
      <c r="F482" s="328" t="s">
        <v>1508</v>
      </c>
      <c r="G482" s="328" t="s">
        <v>1509</v>
      </c>
      <c r="H482" s="314"/>
      <c r="I482" s="328" t="s">
        <v>2818</v>
      </c>
      <c r="J482" s="329" t="s">
        <v>1510</v>
      </c>
      <c r="K482" s="331" t="s">
        <v>1511</v>
      </c>
      <c r="L482" s="2"/>
      <c r="M482" s="2"/>
      <c r="N482" s="2"/>
      <c r="O482" s="2"/>
      <c r="P482" s="325" t="str">
        <f t="shared" si="21"/>
        <v>PARANE DETANIL COROCOTO</v>
      </c>
      <c r="Q482" s="332" t="str">
        <f>IFERROR(VLOOKUP(P482,[1]Disposition!$AB$9:$AC$495,2,0),"NO RECORD YET")</f>
        <v>NO RECORD YET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5" customHeight="1">
      <c r="A483" s="326">
        <v>474</v>
      </c>
      <c r="B483" s="327" t="s">
        <v>1486</v>
      </c>
      <c r="C483" s="327" t="s">
        <v>19</v>
      </c>
      <c r="D483" s="326" t="s">
        <v>28</v>
      </c>
      <c r="E483" s="328" t="s">
        <v>1512</v>
      </c>
      <c r="F483" s="328" t="s">
        <v>1513</v>
      </c>
      <c r="G483" s="328" t="s">
        <v>1514</v>
      </c>
      <c r="H483" s="314"/>
      <c r="I483" s="328" t="s">
        <v>2818</v>
      </c>
      <c r="J483" s="329" t="s">
        <v>1515</v>
      </c>
      <c r="K483" s="331" t="s">
        <v>1516</v>
      </c>
      <c r="L483" s="2"/>
      <c r="M483" s="2"/>
      <c r="N483" s="2"/>
      <c r="O483" s="2"/>
      <c r="P483" s="325" t="str">
        <f t="shared" si="21"/>
        <v>ROVIRA CRISMUNDO PADULLO</v>
      </c>
      <c r="Q483" s="332" t="str">
        <f>IFERROR(VLOOKUP(P483,[1]Disposition!$AB$9:$AC$495,2,0),"NO RECORD YET")</f>
        <v>511 Barcelona St., Binondo, Manila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5" customHeight="1">
      <c r="A484" s="326">
        <v>475</v>
      </c>
      <c r="B484" s="327" t="s">
        <v>1486</v>
      </c>
      <c r="C484" s="327" t="s">
        <v>39</v>
      </c>
      <c r="D484" s="326" t="s">
        <v>40</v>
      </c>
      <c r="E484" s="328" t="s">
        <v>1517</v>
      </c>
      <c r="F484" s="328" t="s">
        <v>1518</v>
      </c>
      <c r="G484" s="328" t="s">
        <v>1519</v>
      </c>
      <c r="H484" s="314"/>
      <c r="I484" s="328" t="s">
        <v>2679</v>
      </c>
      <c r="J484" s="312"/>
      <c r="K484" s="333"/>
      <c r="L484" s="2"/>
      <c r="M484" s="2"/>
      <c r="N484" s="2"/>
      <c r="O484" s="2"/>
      <c r="P484" s="332" t="e">
        <f>CONCATENATE(#REF!," ",#REF!," ",#REF!)</f>
        <v>#REF!</v>
      </c>
      <c r="Q484" s="332" t="str">
        <f>IFERROR(VLOOKUP(P484,[1]Disposition!$AB$9:$AC$495,2,0),"NO RECORD YET")</f>
        <v>NO RECORD YET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326">
        <v>476</v>
      </c>
      <c r="B485" s="327" t="s">
        <v>3027</v>
      </c>
      <c r="C485" s="327" t="s">
        <v>19</v>
      </c>
      <c r="D485" s="326" t="s">
        <v>40</v>
      </c>
      <c r="E485" s="328" t="s">
        <v>1520</v>
      </c>
      <c r="F485" s="328" t="s">
        <v>1521</v>
      </c>
      <c r="G485" s="328" t="s">
        <v>1522</v>
      </c>
      <c r="H485" s="314"/>
      <c r="I485" s="328" t="s">
        <v>3028</v>
      </c>
      <c r="J485" s="312"/>
      <c r="K485" s="333"/>
      <c r="L485" s="2"/>
      <c r="M485" s="2"/>
      <c r="N485" s="2"/>
      <c r="O485" s="2"/>
      <c r="P485" s="332" t="e">
        <f>CONCATENATE(#REF!," ",#REF!," ",#REF!)</f>
        <v>#REF!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5" customHeight="1">
      <c r="A486" s="326">
        <v>477</v>
      </c>
      <c r="B486" s="327" t="s">
        <v>3029</v>
      </c>
      <c r="C486" s="327" t="s">
        <v>39</v>
      </c>
      <c r="D486" s="326" t="s">
        <v>40</v>
      </c>
      <c r="E486" s="328" t="s">
        <v>1197</v>
      </c>
      <c r="F486" s="328" t="s">
        <v>1198</v>
      </c>
      <c r="G486" s="328" t="s">
        <v>1199</v>
      </c>
      <c r="H486" s="314"/>
      <c r="I486" s="328" t="s">
        <v>3030</v>
      </c>
      <c r="J486" s="329" t="s">
        <v>1200</v>
      </c>
      <c r="K486" s="331" t="s">
        <v>1201</v>
      </c>
      <c r="L486" s="2"/>
      <c r="M486" s="2"/>
      <c r="N486" s="2"/>
      <c r="O486" s="2"/>
      <c r="P486" s="332" t="str">
        <f>CONCATENATE([2]Disposition!D382," ",[2]Disposition!E382," ",[2]Disposition!F382)</f>
        <v>NUP ALFONSO IRANIE</v>
      </c>
      <c r="Q486" s="332" t="str">
        <f>IFERROR(VLOOKUP(P486,[1]Disposition!$AB$9:$AC$495,2,0),"NO RECORD YET")</f>
        <v>NO RECORD YET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5" customHeight="1">
      <c r="A487" s="326">
        <v>478</v>
      </c>
      <c r="B487" s="327" t="s">
        <v>1486</v>
      </c>
      <c r="C487" s="327" t="s">
        <v>19</v>
      </c>
      <c r="D487" s="326" t="s">
        <v>40</v>
      </c>
      <c r="E487" s="328" t="s">
        <v>1307</v>
      </c>
      <c r="F487" s="328" t="s">
        <v>3031</v>
      </c>
      <c r="G487" s="328" t="s">
        <v>3032</v>
      </c>
      <c r="H487" s="314"/>
      <c r="I487" s="328" t="s">
        <v>2830</v>
      </c>
      <c r="J487" s="312"/>
      <c r="K487" s="33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5" customHeight="1">
      <c r="A488" s="326">
        <v>479</v>
      </c>
      <c r="B488" s="327" t="s">
        <v>1486</v>
      </c>
      <c r="C488" s="327" t="s">
        <v>19</v>
      </c>
      <c r="D488" s="326" t="s">
        <v>40</v>
      </c>
      <c r="E488" s="328" t="s">
        <v>1523</v>
      </c>
      <c r="F488" s="328" t="s">
        <v>1524</v>
      </c>
      <c r="G488" s="328" t="s">
        <v>1525</v>
      </c>
      <c r="H488" s="314"/>
      <c r="I488" s="328" t="s">
        <v>2716</v>
      </c>
      <c r="J488" s="329" t="s">
        <v>1526</v>
      </c>
      <c r="K488" s="331" t="s">
        <v>1527</v>
      </c>
      <c r="L488" s="2"/>
      <c r="M488" s="2"/>
      <c r="N488" s="2"/>
      <c r="O488" s="2"/>
      <c r="P488" s="325" t="str">
        <f>CONCATENATE(E488," ",F488," ",G488)</f>
        <v>DALISAY MARIETTO CASPE</v>
      </c>
      <c r="Q488" s="332" t="str">
        <f>IFERROR(VLOOKUP(P488,[1]Disposition!$AB$9:$AC$495,2,0),"NO RECORD YET")</f>
        <v>Blk 12 Lot 47 Phase 1, Northgate Park Executive Vill, Brgy. Sto Cristo, SJDM, Bulacan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5" customHeight="1">
      <c r="A489" s="326">
        <v>480</v>
      </c>
      <c r="B489" s="327" t="s">
        <v>1486</v>
      </c>
      <c r="C489" s="327" t="s">
        <v>39</v>
      </c>
      <c r="D489" s="326" t="s">
        <v>40</v>
      </c>
      <c r="E489" s="328" t="s">
        <v>256</v>
      </c>
      <c r="F489" s="328" t="s">
        <v>1528</v>
      </c>
      <c r="G489" s="328" t="s">
        <v>1529</v>
      </c>
      <c r="H489" s="314"/>
      <c r="I489" s="328" t="s">
        <v>2721</v>
      </c>
      <c r="J489" s="329" t="s">
        <v>1530</v>
      </c>
      <c r="K489" s="331" t="s">
        <v>1531</v>
      </c>
      <c r="L489" s="2"/>
      <c r="M489" s="2"/>
      <c r="N489" s="2"/>
      <c r="O489" s="2"/>
      <c r="P489" s="325" t="str">
        <f>CONCATENATE(E463," ",F463," ",G463)</f>
        <v>NOVIDA MARILOU FERNANDEZ</v>
      </c>
      <c r="Q489" s="332" t="str">
        <f>IFERROR(VLOOKUP(P489,[1]Disposition!$AB$9:$AC$495,2,0),"NO RECORD YET")</f>
        <v>Blk 3 Lot 28 Cedar Residences Phase 1, Carmona Estates, Carmona, Cavite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5" customHeight="1">
      <c r="A490" s="326">
        <v>481</v>
      </c>
      <c r="B490" s="327" t="s">
        <v>1486</v>
      </c>
      <c r="C490" s="327" t="s">
        <v>19</v>
      </c>
      <c r="D490" s="326" t="s">
        <v>40</v>
      </c>
      <c r="E490" s="328" t="s">
        <v>1532</v>
      </c>
      <c r="F490" s="328" t="s">
        <v>1533</v>
      </c>
      <c r="G490" s="328" t="s">
        <v>1534</v>
      </c>
      <c r="H490" s="314"/>
      <c r="I490" s="328" t="s">
        <v>2679</v>
      </c>
      <c r="J490" s="312"/>
      <c r="K490" s="333"/>
      <c r="L490" s="2"/>
      <c r="M490" s="2"/>
      <c r="N490" s="2"/>
      <c r="O490" s="2"/>
      <c r="P490" s="325" t="str">
        <f t="shared" ref="P490:P493" si="22">CONCATENATE(E490," ",F490," ",G490)</f>
        <v>DELA PERI CHRISTOPHER  TOGONON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5" customHeight="1">
      <c r="A491" s="326">
        <v>482</v>
      </c>
      <c r="B491" s="327" t="s">
        <v>3033</v>
      </c>
      <c r="C491" s="327" t="s">
        <v>19</v>
      </c>
      <c r="D491" s="326" t="s">
        <v>40</v>
      </c>
      <c r="E491" s="328" t="s">
        <v>628</v>
      </c>
      <c r="F491" s="328" t="s">
        <v>629</v>
      </c>
      <c r="G491" s="328" t="s">
        <v>630</v>
      </c>
      <c r="H491" s="314"/>
      <c r="I491" s="328" t="s">
        <v>3034</v>
      </c>
      <c r="J491" s="329" t="s">
        <v>631</v>
      </c>
      <c r="K491" s="331" t="s">
        <v>632</v>
      </c>
      <c r="L491" s="2"/>
      <c r="M491" s="2"/>
      <c r="N491" s="2"/>
      <c r="O491" s="2"/>
      <c r="P491" s="325" t="str">
        <f t="shared" si="22"/>
        <v>DIÑO ELVIN ELDEN SEBASTIAN</v>
      </c>
      <c r="Q491" s="332" t="str">
        <f>IFERROR(VLOOKUP(P491,[1]Disposition!$AB$9:$AC$495,2,0),"NO RECORD YET")</f>
        <v>Blk6 Lot 26 Adelina Homes, Brgy San isidro, Cainta, Rizal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5" customHeight="1">
      <c r="A492" s="326">
        <v>483</v>
      </c>
      <c r="B492" s="327" t="s">
        <v>1486</v>
      </c>
      <c r="C492" s="327" t="s">
        <v>19</v>
      </c>
      <c r="D492" s="326" t="s">
        <v>40</v>
      </c>
      <c r="E492" s="328" t="s">
        <v>3035</v>
      </c>
      <c r="F492" s="328" t="s">
        <v>3036</v>
      </c>
      <c r="G492" s="328" t="s">
        <v>3037</v>
      </c>
      <c r="H492" s="314"/>
      <c r="I492" s="328" t="s">
        <v>2974</v>
      </c>
      <c r="J492" s="312"/>
      <c r="K492" s="333"/>
      <c r="L492" s="2"/>
      <c r="M492" s="2"/>
      <c r="N492" s="2"/>
      <c r="O492" s="2"/>
      <c r="P492" s="325" t="str">
        <f t="shared" si="22"/>
        <v>FABIAN KHEN GOBANGCO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5" customHeight="1">
      <c r="A493" s="326">
        <v>484</v>
      </c>
      <c r="B493" s="327" t="s">
        <v>1486</v>
      </c>
      <c r="C493" s="327" t="s">
        <v>19</v>
      </c>
      <c r="D493" s="326" t="s">
        <v>40</v>
      </c>
      <c r="E493" s="328" t="s">
        <v>1535</v>
      </c>
      <c r="F493" s="328" t="s">
        <v>1536</v>
      </c>
      <c r="G493" s="328" t="s">
        <v>93</v>
      </c>
      <c r="H493" s="314"/>
      <c r="I493" s="328" t="s">
        <v>2680</v>
      </c>
      <c r="J493" s="312"/>
      <c r="K493" s="333"/>
      <c r="L493" s="2"/>
      <c r="M493" s="2"/>
      <c r="N493" s="2"/>
      <c r="O493" s="2"/>
      <c r="P493" s="325" t="str">
        <f t="shared" si="22"/>
        <v>HERNANDEZ CYRUS MANZANO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5" customHeight="1">
      <c r="A494" s="326">
        <v>485</v>
      </c>
      <c r="B494" s="327" t="s">
        <v>1486</v>
      </c>
      <c r="C494" s="327" t="s">
        <v>19</v>
      </c>
      <c r="D494" s="326" t="s">
        <v>40</v>
      </c>
      <c r="E494" s="328" t="s">
        <v>3038</v>
      </c>
      <c r="F494" s="328" t="s">
        <v>3039</v>
      </c>
      <c r="G494" s="328" t="s">
        <v>3040</v>
      </c>
      <c r="H494" s="314"/>
      <c r="I494" s="328" t="s">
        <v>2830</v>
      </c>
      <c r="J494" s="312"/>
      <c r="K494" s="33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5" customHeight="1">
      <c r="A495" s="326">
        <v>486</v>
      </c>
      <c r="B495" s="327" t="s">
        <v>1486</v>
      </c>
      <c r="C495" s="327" t="s">
        <v>19</v>
      </c>
      <c r="D495" s="326" t="s">
        <v>40</v>
      </c>
      <c r="E495" s="328" t="s">
        <v>3041</v>
      </c>
      <c r="F495" s="328" t="s">
        <v>3042</v>
      </c>
      <c r="G495" s="328" t="s">
        <v>1224</v>
      </c>
      <c r="H495" s="314"/>
      <c r="I495" s="328" t="s">
        <v>3043</v>
      </c>
      <c r="J495" s="312"/>
      <c r="K495" s="33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5" customHeight="1">
      <c r="A496" s="326">
        <v>487</v>
      </c>
      <c r="B496" s="327" t="s">
        <v>3029</v>
      </c>
      <c r="C496" s="327" t="s">
        <v>39</v>
      </c>
      <c r="D496" s="326" t="s">
        <v>40</v>
      </c>
      <c r="E496" s="328" t="s">
        <v>1215</v>
      </c>
      <c r="F496" s="328" t="s">
        <v>1216</v>
      </c>
      <c r="G496" s="328" t="s">
        <v>1217</v>
      </c>
      <c r="H496" s="314"/>
      <c r="I496" s="328" t="s">
        <v>3044</v>
      </c>
      <c r="J496" s="329" t="s">
        <v>1218</v>
      </c>
      <c r="K496" s="331" t="s">
        <v>1219</v>
      </c>
      <c r="L496" s="2"/>
      <c r="M496" s="2"/>
      <c r="N496" s="2"/>
      <c r="O496" s="2"/>
      <c r="P496" s="325" t="s">
        <v>3045</v>
      </c>
      <c r="Q496" s="325" t="s">
        <v>3045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5" customHeight="1">
      <c r="A497" s="326">
        <v>488</v>
      </c>
      <c r="B497" s="327" t="s">
        <v>1486</v>
      </c>
      <c r="C497" s="327" t="s">
        <v>39</v>
      </c>
      <c r="D497" s="326" t="s">
        <v>40</v>
      </c>
      <c r="E497" s="328" t="s">
        <v>1781</v>
      </c>
      <c r="F497" s="328" t="s">
        <v>1782</v>
      </c>
      <c r="G497" s="328" t="s">
        <v>1783</v>
      </c>
      <c r="H497" s="314"/>
      <c r="I497" s="328" t="s">
        <v>3046</v>
      </c>
      <c r="J497" s="312"/>
      <c r="K497" s="33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5" customHeight="1">
      <c r="A498" s="326">
        <v>489</v>
      </c>
      <c r="B498" s="327" t="s">
        <v>1486</v>
      </c>
      <c r="C498" s="327" t="s">
        <v>19</v>
      </c>
      <c r="D498" s="326" t="s">
        <v>40</v>
      </c>
      <c r="E498" s="328" t="s">
        <v>3047</v>
      </c>
      <c r="F498" s="328" t="s">
        <v>3048</v>
      </c>
      <c r="G498" s="328" t="s">
        <v>636</v>
      </c>
      <c r="H498" s="314"/>
      <c r="I498" s="328" t="s">
        <v>2974</v>
      </c>
      <c r="J498" s="312"/>
      <c r="K498" s="333"/>
      <c r="L498" s="2"/>
      <c r="M498" s="2"/>
      <c r="N498" s="2"/>
      <c r="O498" s="2"/>
      <c r="P498" s="325" t="str">
        <f t="shared" ref="P498:P502" si="23">CONCATENATE(E498," ",F498," ",G498)</f>
        <v>ZAFE PRINCE ANDREI SANTOS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5" customHeight="1">
      <c r="A499" s="326">
        <v>490</v>
      </c>
      <c r="B499" s="327" t="s">
        <v>3049</v>
      </c>
      <c r="C499" s="327" t="s">
        <v>19</v>
      </c>
      <c r="D499" s="326" t="s">
        <v>160</v>
      </c>
      <c r="E499" s="328" t="s">
        <v>2137</v>
      </c>
      <c r="F499" s="328" t="s">
        <v>2138</v>
      </c>
      <c r="G499" s="328" t="s">
        <v>2139</v>
      </c>
      <c r="H499" s="314"/>
      <c r="I499" s="328" t="s">
        <v>3050</v>
      </c>
      <c r="J499" s="329" t="s">
        <v>2140</v>
      </c>
      <c r="K499" s="331" t="s">
        <v>2141</v>
      </c>
      <c r="L499" s="2"/>
      <c r="M499" s="2"/>
      <c r="N499" s="2"/>
      <c r="O499" s="2"/>
      <c r="P499" s="325" t="str">
        <f t="shared" si="23"/>
        <v>ANDRES JOSE WILSON HACIÑAS</v>
      </c>
      <c r="Q499" s="332" t="str">
        <f>IFERROR(VLOOKUP(P245,[1]Disposition!$AB$9:$AC$495,2,0),"NO RECORD YET")</f>
        <v>NO RECORD YET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5" customHeight="1">
      <c r="A500" s="326">
        <v>491</v>
      </c>
      <c r="B500" s="327" t="s">
        <v>1537</v>
      </c>
      <c r="C500" s="327" t="s">
        <v>19</v>
      </c>
      <c r="D500" s="326" t="s">
        <v>644</v>
      </c>
      <c r="E500" s="328" t="s">
        <v>1538</v>
      </c>
      <c r="F500" s="328" t="s">
        <v>646</v>
      </c>
      <c r="G500" s="328" t="s">
        <v>1539</v>
      </c>
      <c r="H500" s="314"/>
      <c r="I500" s="328" t="s">
        <v>3051</v>
      </c>
      <c r="J500" s="329" t="s">
        <v>1540</v>
      </c>
      <c r="K500" s="333"/>
      <c r="L500" s="2"/>
      <c r="M500" s="2"/>
      <c r="N500" s="2"/>
      <c r="O500" s="2"/>
      <c r="P500" s="325" t="str">
        <f t="shared" si="23"/>
        <v>CALAPANO MELVIN AVILA</v>
      </c>
      <c r="Q500" s="332" t="str">
        <f>IFERROR(VLOOKUP(P498,[1]Disposition!$AB$9:$AC$495,2,0),"NO RECORD YET")</f>
        <v>NO RECORD YET</v>
      </c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5" customHeight="1">
      <c r="A501" s="326">
        <v>492</v>
      </c>
      <c r="B501" s="327" t="s">
        <v>1537</v>
      </c>
      <c r="C501" s="327" t="s">
        <v>39</v>
      </c>
      <c r="D501" s="326" t="s">
        <v>40</v>
      </c>
      <c r="E501" s="328" t="s">
        <v>294</v>
      </c>
      <c r="F501" s="328" t="s">
        <v>1541</v>
      </c>
      <c r="G501" s="328" t="s">
        <v>1169</v>
      </c>
      <c r="H501" s="314"/>
      <c r="I501" s="328" t="s">
        <v>2703</v>
      </c>
      <c r="J501" s="329" t="s">
        <v>1542</v>
      </c>
      <c r="K501" s="331" t="s">
        <v>1543</v>
      </c>
      <c r="L501" s="2"/>
      <c r="M501" s="2"/>
      <c r="N501" s="2"/>
      <c r="O501" s="2"/>
      <c r="P501" s="325" t="str">
        <f t="shared" si="23"/>
        <v>BINARAO SUNSHINE GARCIA</v>
      </c>
      <c r="Q501" s="332">
        <f>IFERROR(VLOOKUP(P500,[1]Disposition!$AB$9:$AC$495,2,0),"NO RECORD YET")</f>
        <v>0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5" customHeight="1">
      <c r="A502" s="326">
        <v>493</v>
      </c>
      <c r="B502" s="327" t="s">
        <v>1537</v>
      </c>
      <c r="C502" s="327" t="s">
        <v>39</v>
      </c>
      <c r="D502" s="326" t="s">
        <v>40</v>
      </c>
      <c r="E502" s="328" t="s">
        <v>1544</v>
      </c>
      <c r="F502" s="328" t="s">
        <v>1545</v>
      </c>
      <c r="G502" s="328" t="s">
        <v>1546</v>
      </c>
      <c r="H502" s="314"/>
      <c r="I502" s="328" t="s">
        <v>2723</v>
      </c>
      <c r="J502" s="329" t="s">
        <v>1547</v>
      </c>
      <c r="K502" s="331" t="s">
        <v>1548</v>
      </c>
      <c r="L502" s="2"/>
      <c r="M502" s="2"/>
      <c r="N502" s="2"/>
      <c r="O502" s="2"/>
      <c r="P502" s="325" t="str">
        <f t="shared" si="23"/>
        <v>DIMACULANGAN MARLYN LAGULA</v>
      </c>
      <c r="Q502" s="332" t="str">
        <f>IFERROR(VLOOKUP(P501,[1]Disposition!$AB$9:$AC$495,2,0),"NO RECORD YET")</f>
        <v>120 D Julian Felipe St., Sangandaan, Caloocan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5" customHeight="1">
      <c r="A503" s="326">
        <v>494</v>
      </c>
      <c r="B503" s="327" t="s">
        <v>1537</v>
      </c>
      <c r="C503" s="327" t="s">
        <v>39</v>
      </c>
      <c r="D503" s="326" t="s">
        <v>40</v>
      </c>
      <c r="E503" s="328" t="s">
        <v>1553</v>
      </c>
      <c r="F503" s="328" t="s">
        <v>1554</v>
      </c>
      <c r="G503" s="328" t="s">
        <v>393</v>
      </c>
      <c r="H503" s="314"/>
      <c r="I503" s="328" t="s">
        <v>2682</v>
      </c>
      <c r="J503" s="329" t="s">
        <v>1555</v>
      </c>
      <c r="K503" s="331" t="s">
        <v>1556</v>
      </c>
      <c r="L503" s="2"/>
      <c r="M503" s="2"/>
      <c r="N503" s="2"/>
      <c r="O503" s="2"/>
      <c r="P503" s="332" t="e">
        <f>CONCATENATE(G536," ",F536," ",#REF!)</f>
        <v>#REF!</v>
      </c>
      <c r="Q503" s="332" t="str">
        <f>IFERROR(VLOOKUP(P503,[1]Disposition!$AB$9:$AC$495,2,0),"NO RECORD YET")</f>
        <v>NO RECORD YET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5" customHeight="1">
      <c r="A504" s="326">
        <v>495</v>
      </c>
      <c r="B504" s="327" t="s">
        <v>1557</v>
      </c>
      <c r="C504" s="327" t="s">
        <v>19</v>
      </c>
      <c r="D504" s="326" t="s">
        <v>24</v>
      </c>
      <c r="E504" s="328" t="s">
        <v>1558</v>
      </c>
      <c r="F504" s="328" t="s">
        <v>1559</v>
      </c>
      <c r="G504" s="328" t="s">
        <v>1560</v>
      </c>
      <c r="H504" s="314"/>
      <c r="I504" s="328" t="s">
        <v>3052</v>
      </c>
      <c r="J504" s="329" t="s">
        <v>1561</v>
      </c>
      <c r="K504" s="331" t="s">
        <v>1562</v>
      </c>
      <c r="L504" s="2"/>
      <c r="M504" s="2"/>
      <c r="N504" s="2"/>
      <c r="O504" s="2"/>
      <c r="P504" s="325" t="str">
        <f t="shared" ref="P504:P521" si="24">CONCATENATE(E504," ",F504," ",G504)</f>
        <v>CAMFOLI GLENMORE ONNAN</v>
      </c>
      <c r="Q504" s="332" t="str">
        <f>IFERROR(VLOOKUP(P504,[1]Disposition!$AB$9:$AC$495,2,0),"NO RECORD YET")</f>
        <v>B43 L11 Adrian St., Fairmoint Subd., North Fairview, Quezon City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5" customHeight="1">
      <c r="A505" s="326">
        <v>496</v>
      </c>
      <c r="B505" s="327" t="s">
        <v>1563</v>
      </c>
      <c r="C505" s="327" t="s">
        <v>19</v>
      </c>
      <c r="D505" s="326" t="s">
        <v>28</v>
      </c>
      <c r="E505" s="328" t="s">
        <v>1083</v>
      </c>
      <c r="F505" s="328" t="s">
        <v>1569</v>
      </c>
      <c r="G505" s="328" t="s">
        <v>1570</v>
      </c>
      <c r="H505" s="314"/>
      <c r="I505" s="328" t="s">
        <v>2802</v>
      </c>
      <c r="J505" s="329" t="s">
        <v>1571</v>
      </c>
      <c r="K505" s="331" t="s">
        <v>1572</v>
      </c>
      <c r="L505" s="2"/>
      <c r="M505" s="2"/>
      <c r="N505" s="2"/>
      <c r="O505" s="2"/>
      <c r="P505" s="325" t="str">
        <f t="shared" si="24"/>
        <v>REYES AVELINO MORO</v>
      </c>
      <c r="Q505" s="332" t="str">
        <f>IFERROR(VLOOKUP(P505,[1]Disposition!$AB$9:$AC$495,2,0),"NO RECORD YET")</f>
        <v>NO RECORD YET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5" customHeight="1">
      <c r="A506" s="326">
        <v>497</v>
      </c>
      <c r="B506" s="327" t="s">
        <v>1563</v>
      </c>
      <c r="C506" s="327" t="s">
        <v>19</v>
      </c>
      <c r="D506" s="326" t="s">
        <v>40</v>
      </c>
      <c r="E506" s="328" t="s">
        <v>1573</v>
      </c>
      <c r="F506" s="328" t="s">
        <v>1113</v>
      </c>
      <c r="G506" s="328" t="s">
        <v>1574</v>
      </c>
      <c r="H506" s="314"/>
      <c r="I506" s="328" t="s">
        <v>2714</v>
      </c>
      <c r="J506" s="329" t="s">
        <v>1575</v>
      </c>
      <c r="K506" s="331" t="s">
        <v>1576</v>
      </c>
      <c r="L506" s="2"/>
      <c r="M506" s="2"/>
      <c r="N506" s="2"/>
      <c r="O506" s="2"/>
      <c r="P506" s="325" t="str">
        <f t="shared" si="24"/>
        <v>ESMERO VICENTE NEQUIA</v>
      </c>
      <c r="Q506" s="332" t="str">
        <f>IFERROR(VLOOKUP(P506,[1]Disposition!$AB$9:$AC$495,2,0),"NO RECORD YET")</f>
        <v>Blk 1 Lot 10, Grotto View Homes, BRGY. Graceville, SJDM, BULacan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5" customHeight="1">
      <c r="A507" s="326">
        <v>498</v>
      </c>
      <c r="B507" s="327" t="s">
        <v>1563</v>
      </c>
      <c r="C507" s="327" t="s">
        <v>19</v>
      </c>
      <c r="D507" s="326" t="s">
        <v>40</v>
      </c>
      <c r="E507" s="328" t="s">
        <v>1577</v>
      </c>
      <c r="F507" s="328" t="s">
        <v>1578</v>
      </c>
      <c r="G507" s="328" t="s">
        <v>1579</v>
      </c>
      <c r="H507" s="314"/>
      <c r="I507" s="328" t="s">
        <v>2700</v>
      </c>
      <c r="J507" s="329" t="s">
        <v>1580</v>
      </c>
      <c r="K507" s="331" t="s">
        <v>1581</v>
      </c>
      <c r="L507" s="2"/>
      <c r="M507" s="2"/>
      <c r="N507" s="2"/>
      <c r="O507" s="2"/>
      <c r="P507" s="325" t="str">
        <f t="shared" si="24"/>
        <v>FLORO JOVENCIO FARIÑAS</v>
      </c>
      <c r="Q507" s="332" t="str">
        <f>IFERROR(VLOOKUP(P507,[1]Disposition!$AB$9:$AC$495,2,0),"NO RECORD YET")</f>
        <v>49 C 6TH Ave., Murph, Cubao, Quezon City</v>
      </c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5" customHeight="1">
      <c r="A508" s="326">
        <v>499</v>
      </c>
      <c r="B508" s="327" t="s">
        <v>1563</v>
      </c>
      <c r="C508" s="327" t="s">
        <v>39</v>
      </c>
      <c r="D508" s="326" t="s">
        <v>40</v>
      </c>
      <c r="E508" s="328" t="s">
        <v>1456</v>
      </c>
      <c r="F508" s="328" t="s">
        <v>1582</v>
      </c>
      <c r="G508" s="328" t="s">
        <v>1583</v>
      </c>
      <c r="H508" s="314"/>
      <c r="I508" s="328" t="s">
        <v>2759</v>
      </c>
      <c r="J508" s="329" t="s">
        <v>1584</v>
      </c>
      <c r="K508" s="331" t="s">
        <v>1585</v>
      </c>
      <c r="L508" s="2"/>
      <c r="M508" s="2"/>
      <c r="N508" s="2"/>
      <c r="O508" s="2"/>
      <c r="P508" s="325" t="str">
        <f t="shared" si="24"/>
        <v>MOSLARES ALPHA RIZZA ZARSATA</v>
      </c>
      <c r="Q508" s="332" t="str">
        <f>IFERROR(VLOOKUP(P508,[1]Disposition!$AB$9:$AC$495,2,0),"NO RECORD YET")</f>
        <v>14-F, 13th Avenue, Brgy. Socorro, Quezon City</v>
      </c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5" customHeight="1">
      <c r="A509" s="326">
        <v>500</v>
      </c>
      <c r="B509" s="327" t="s">
        <v>1563</v>
      </c>
      <c r="C509" s="327" t="s">
        <v>19</v>
      </c>
      <c r="D509" s="326" t="s">
        <v>40</v>
      </c>
      <c r="E509" s="328" t="s">
        <v>151</v>
      </c>
      <c r="F509" s="328" t="s">
        <v>1586</v>
      </c>
      <c r="G509" s="328" t="s">
        <v>1587</v>
      </c>
      <c r="H509" s="314"/>
      <c r="I509" s="328" t="s">
        <v>3053</v>
      </c>
      <c r="J509" s="312"/>
      <c r="K509" s="333"/>
      <c r="L509" s="2"/>
      <c r="M509" s="2"/>
      <c r="N509" s="2"/>
      <c r="O509" s="2"/>
      <c r="P509" s="325" t="str">
        <f t="shared" si="24"/>
        <v>RAMOS ERNESTO POQUIS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5" customHeight="1">
      <c r="A510" s="326">
        <v>501</v>
      </c>
      <c r="B510" s="327" t="s">
        <v>1588</v>
      </c>
      <c r="C510" s="327" t="s">
        <v>19</v>
      </c>
      <c r="D510" s="326" t="s">
        <v>40</v>
      </c>
      <c r="E510" s="328" t="s">
        <v>1589</v>
      </c>
      <c r="F510" s="328" t="s">
        <v>1590</v>
      </c>
      <c r="G510" s="328" t="s">
        <v>151</v>
      </c>
      <c r="H510" s="314"/>
      <c r="I510" s="328" t="s">
        <v>2683</v>
      </c>
      <c r="J510" s="329" t="s">
        <v>1591</v>
      </c>
      <c r="K510" s="331" t="s">
        <v>1592</v>
      </c>
      <c r="L510" s="2"/>
      <c r="M510" s="2"/>
      <c r="N510" s="2"/>
      <c r="O510" s="2"/>
      <c r="P510" s="325" t="str">
        <f t="shared" si="24"/>
        <v>ALI HUSSEIN RAMOS</v>
      </c>
      <c r="Q510" s="332" t="str">
        <f>IFERROR(VLOOKUP(P510,[1]Disposition!$AB$9:$AC$495,2,0),"NO RECORD YET")</f>
        <v>1A Mirasol St., San Roque, Cubao, Quezon City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5" customHeight="1">
      <c r="A511" s="326">
        <v>502</v>
      </c>
      <c r="B511" s="327" t="s">
        <v>1588</v>
      </c>
      <c r="C511" s="327" t="s">
        <v>19</v>
      </c>
      <c r="D511" s="326" t="s">
        <v>40</v>
      </c>
      <c r="E511" s="328" t="s">
        <v>1593</v>
      </c>
      <c r="F511" s="328" t="s">
        <v>1594</v>
      </c>
      <c r="G511" s="328" t="s">
        <v>1595</v>
      </c>
      <c r="H511" s="314"/>
      <c r="I511" s="328" t="s">
        <v>2742</v>
      </c>
      <c r="J511" s="329" t="s">
        <v>1596</v>
      </c>
      <c r="K511" s="331" t="s">
        <v>1597</v>
      </c>
      <c r="L511" s="2"/>
      <c r="M511" s="2"/>
      <c r="N511" s="2"/>
      <c r="O511" s="2"/>
      <c r="P511" s="325" t="str">
        <f t="shared" si="24"/>
        <v>LAMPA ENGELBERT VALERA</v>
      </c>
      <c r="Q511" s="332" t="str">
        <f>IFERROR(VLOOKUP(P511,[1]Disposition!$AB$9:$AC$495,2,0),"NO RECORD YET")</f>
        <v>12C 8th  Avenue, Brgy. Socorro, Cubao, Quezon City</v>
      </c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5" customHeight="1">
      <c r="A512" s="326">
        <v>503</v>
      </c>
      <c r="B512" s="327" t="s">
        <v>1588</v>
      </c>
      <c r="C512" s="327" t="s">
        <v>19</v>
      </c>
      <c r="D512" s="326" t="s">
        <v>40</v>
      </c>
      <c r="E512" s="328" t="s">
        <v>1598</v>
      </c>
      <c r="F512" s="328" t="s">
        <v>1599</v>
      </c>
      <c r="G512" s="328" t="s">
        <v>1600</v>
      </c>
      <c r="H512" s="314"/>
      <c r="I512" s="328" t="s">
        <v>2675</v>
      </c>
      <c r="J512" s="329" t="s">
        <v>1601</v>
      </c>
      <c r="K512" s="331" t="s">
        <v>1602</v>
      </c>
      <c r="L512" s="2"/>
      <c r="M512" s="2"/>
      <c r="N512" s="2"/>
      <c r="O512" s="2"/>
      <c r="P512" s="325" t="str">
        <f t="shared" si="24"/>
        <v>ADULTA ARREN LEE CHACON</v>
      </c>
      <c r="Q512" s="332" t="str">
        <f>IFERROR(VLOOKUP(P512,[1]Disposition!$AB$9:$AC$495,2,0),"NO RECORD YET")</f>
        <v>49 Aralar St., Pilapila, Binangonan, Rizal</v>
      </c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5" customHeight="1">
      <c r="A513" s="326">
        <v>504</v>
      </c>
      <c r="B513" s="327" t="s">
        <v>1588</v>
      </c>
      <c r="C513" s="327" t="s">
        <v>19</v>
      </c>
      <c r="D513" s="326" t="s">
        <v>40</v>
      </c>
      <c r="E513" s="328" t="s">
        <v>904</v>
      </c>
      <c r="F513" s="328" t="s">
        <v>684</v>
      </c>
      <c r="G513" s="328" t="s">
        <v>256</v>
      </c>
      <c r="H513" s="314"/>
      <c r="I513" s="328" t="s">
        <v>3054</v>
      </c>
      <c r="J513" s="329" t="s">
        <v>1603</v>
      </c>
      <c r="K513" s="331" t="s">
        <v>1604</v>
      </c>
      <c r="L513" s="2"/>
      <c r="M513" s="2"/>
      <c r="N513" s="2"/>
      <c r="O513" s="2"/>
      <c r="P513" s="325" t="str">
        <f t="shared" si="24"/>
        <v>BACLIG MICHAEL DELA CRUZ</v>
      </c>
      <c r="Q513" s="332" t="str">
        <f>IFERROR(VLOOKUP(P513,[1]Disposition!$AB$9:$AC$495,2,0),"NO RECORD YET")</f>
        <v>Blk 9 Lot 19 Our Lady of Fathima St., Rosario Complex, Brgy Rosario, San Pedro , Laguna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5" customHeight="1">
      <c r="A514" s="326">
        <v>505</v>
      </c>
      <c r="B514" s="327" t="s">
        <v>1588</v>
      </c>
      <c r="C514" s="327" t="s">
        <v>19</v>
      </c>
      <c r="D514" s="326" t="s">
        <v>40</v>
      </c>
      <c r="E514" s="328" t="s">
        <v>1605</v>
      </c>
      <c r="F514" s="328" t="s">
        <v>1606</v>
      </c>
      <c r="G514" s="328" t="s">
        <v>1607</v>
      </c>
      <c r="H514" s="314"/>
      <c r="I514" s="328" t="s">
        <v>2732</v>
      </c>
      <c r="J514" s="329" t="s">
        <v>1608</v>
      </c>
      <c r="K514" s="331" t="s">
        <v>1609</v>
      </c>
      <c r="L514" s="2"/>
      <c r="M514" s="2"/>
      <c r="N514" s="2"/>
      <c r="O514" s="2"/>
      <c r="P514" s="325" t="str">
        <f t="shared" si="24"/>
        <v>GAJO ELMAN ABAJA</v>
      </c>
      <c r="Q514" s="332" t="str">
        <f>IFERROR(VLOOKUP(P514,[1]Disposition!$AB$9:$AC$495,2,0),"NO RECORD YET")</f>
        <v>15 Wild Cat Village, C5 Road, Ususan, Taguing CityY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5" customHeight="1">
      <c r="A515" s="326">
        <v>506</v>
      </c>
      <c r="B515" s="327" t="s">
        <v>1588</v>
      </c>
      <c r="C515" s="327" t="s">
        <v>19</v>
      </c>
      <c r="D515" s="326" t="s">
        <v>40</v>
      </c>
      <c r="E515" s="328" t="s">
        <v>1610</v>
      </c>
      <c r="F515" s="328" t="s">
        <v>293</v>
      </c>
      <c r="G515" s="328" t="s">
        <v>1611</v>
      </c>
      <c r="H515" s="314"/>
      <c r="I515" s="328" t="s">
        <v>2751</v>
      </c>
      <c r="J515" s="329" t="s">
        <v>1612</v>
      </c>
      <c r="K515" s="331" t="s">
        <v>1613</v>
      </c>
      <c r="L515" s="2"/>
      <c r="M515" s="2"/>
      <c r="N515" s="2"/>
      <c r="O515" s="2"/>
      <c r="P515" s="325" t="str">
        <f t="shared" si="24"/>
        <v>MARINTES JOEY MANUGUID</v>
      </c>
      <c r="Q515" s="332" t="str">
        <f>IFERROR(VLOOKUP(P515,[1]Disposition!$AB$9:$AC$495,2,0),"NO RECORD YET")</f>
        <v>11 Sta. Isabel St., Sto. Rosario Village, Baritan, Malabon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5" customHeight="1">
      <c r="A516" s="326">
        <v>507</v>
      </c>
      <c r="B516" s="327" t="s">
        <v>1588</v>
      </c>
      <c r="C516" s="327" t="s">
        <v>39</v>
      </c>
      <c r="D516" s="326" t="s">
        <v>40</v>
      </c>
      <c r="E516" s="328" t="s">
        <v>1614</v>
      </c>
      <c r="F516" s="328" t="s">
        <v>1615</v>
      </c>
      <c r="G516" s="328" t="s">
        <v>365</v>
      </c>
      <c r="H516" s="314"/>
      <c r="I516" s="328" t="s">
        <v>2679</v>
      </c>
      <c r="J516" s="329" t="s">
        <v>1616</v>
      </c>
      <c r="K516" s="331" t="s">
        <v>1617</v>
      </c>
      <c r="L516" s="2"/>
      <c r="M516" s="2"/>
      <c r="N516" s="2"/>
      <c r="O516" s="2"/>
      <c r="P516" s="325" t="str">
        <f t="shared" si="24"/>
        <v>PIMENTEL MARGIE DIAZ</v>
      </c>
      <c r="Q516" s="332" t="str">
        <f>IFERROR(VLOOKUP(P516,[1]Disposition!$AB$9:$AC$495,2,0),"NO RECORD YET")</f>
        <v>12-C 8th Avenue, Brgy Socorro, Murphy, Cubao, Quezon City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5" customHeight="1">
      <c r="A517" s="326">
        <v>508</v>
      </c>
      <c r="B517" s="327" t="s">
        <v>1588</v>
      </c>
      <c r="C517" s="327" t="s">
        <v>19</v>
      </c>
      <c r="D517" s="326" t="s">
        <v>40</v>
      </c>
      <c r="E517" s="328" t="s">
        <v>151</v>
      </c>
      <c r="F517" s="328" t="s">
        <v>1618</v>
      </c>
      <c r="G517" s="328" t="s">
        <v>1619</v>
      </c>
      <c r="H517" s="314"/>
      <c r="I517" s="328" t="s">
        <v>3055</v>
      </c>
      <c r="J517" s="329" t="s">
        <v>1620</v>
      </c>
      <c r="K517" s="331" t="s">
        <v>1621</v>
      </c>
      <c r="L517" s="2"/>
      <c r="M517" s="2"/>
      <c r="N517" s="2"/>
      <c r="O517" s="2"/>
      <c r="P517" s="325" t="str">
        <f t="shared" si="24"/>
        <v>RAMOS JOHN ERIK MAYORGA</v>
      </c>
      <c r="Q517" s="332" t="str">
        <f>IFERROR(VLOOKUP(P517,[1]Disposition!$AB$9:$AC$495,2,0),"NO RECORD YET")</f>
        <v>Inicbulan, Bauan, Batangas</v>
      </c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5" customHeight="1">
      <c r="A518" s="326">
        <v>509</v>
      </c>
      <c r="B518" s="327" t="s">
        <v>1588</v>
      </c>
      <c r="C518" s="327" t="s">
        <v>19</v>
      </c>
      <c r="D518" s="326" t="s">
        <v>40</v>
      </c>
      <c r="E518" s="328" t="s">
        <v>1622</v>
      </c>
      <c r="F518" s="328" t="s">
        <v>1623</v>
      </c>
      <c r="G518" s="328" t="s">
        <v>1624</v>
      </c>
      <c r="H518" s="314"/>
      <c r="I518" s="328" t="s">
        <v>2679</v>
      </c>
      <c r="J518" s="329" t="s">
        <v>1625</v>
      </c>
      <c r="K518" s="331" t="s">
        <v>1626</v>
      </c>
      <c r="L518" s="2"/>
      <c r="M518" s="2"/>
      <c r="N518" s="2"/>
      <c r="O518" s="2"/>
      <c r="P518" s="325" t="str">
        <f t="shared" si="24"/>
        <v>RIVERA EDMUND MALBARTINO</v>
      </c>
      <c r="Q518" s="332" t="str">
        <f>IFERROR(VLOOKUP(P518,[1]Disposition!$AB$9:$AC$495,2,0),"NO RECORD YET")</f>
        <v>Blk 9 Lot 9, Victory Ville 2, Llano, Caloocan City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5" customHeight="1">
      <c r="A519" s="326">
        <v>510</v>
      </c>
      <c r="B519" s="327" t="s">
        <v>1588</v>
      </c>
      <c r="C519" s="327" t="s">
        <v>39</v>
      </c>
      <c r="D519" s="326" t="s">
        <v>40</v>
      </c>
      <c r="E519" s="328" t="s">
        <v>1627</v>
      </c>
      <c r="F519" s="328" t="s">
        <v>1628</v>
      </c>
      <c r="G519" s="328" t="s">
        <v>1629</v>
      </c>
      <c r="H519" s="314"/>
      <c r="I519" s="328" t="s">
        <v>3649</v>
      </c>
      <c r="J519" s="329" t="s">
        <v>1630</v>
      </c>
      <c r="K519" s="331" t="s">
        <v>1631</v>
      </c>
      <c r="L519" s="2"/>
      <c r="M519" s="2"/>
      <c r="N519" s="2"/>
      <c r="O519" s="2"/>
      <c r="P519" s="325" t="str">
        <f t="shared" si="24"/>
        <v>RUARO ANN MARGARETH PERGIS</v>
      </c>
      <c r="Q519" s="332" t="str">
        <f>IFERROR(VLOOKUP(P519,[1]Disposition!$AB$9:$AC$495,2,0),"NO RECORD YET")</f>
        <v>Blk 4 ot Lot 13 Phase B, Francisco Homes, Brgy., Mulawin, SJDM, BULACAN</v>
      </c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5" customHeight="1">
      <c r="A520" s="326">
        <v>511</v>
      </c>
      <c r="B520" s="327" t="s">
        <v>1632</v>
      </c>
      <c r="C520" s="327" t="s">
        <v>19</v>
      </c>
      <c r="D520" s="326" t="s">
        <v>96</v>
      </c>
      <c r="E520" s="328" t="s">
        <v>1633</v>
      </c>
      <c r="F520" s="328" t="s">
        <v>1634</v>
      </c>
      <c r="G520" s="328" t="s">
        <v>1635</v>
      </c>
      <c r="H520" s="314"/>
      <c r="I520" s="328" t="s">
        <v>3056</v>
      </c>
      <c r="J520" s="329" t="s">
        <v>1636</v>
      </c>
      <c r="K520" s="331" t="s">
        <v>1637</v>
      </c>
      <c r="L520" s="2"/>
      <c r="M520" s="2"/>
      <c r="N520" s="2"/>
      <c r="O520" s="2"/>
      <c r="P520" s="325" t="str">
        <f t="shared" si="24"/>
        <v>CABILES FIDEL VALEROS</v>
      </c>
      <c r="Q520" s="332" t="str">
        <f>IFERROR(VLOOKUP(P520,[1]Disposition!$AB$9:$AC$495,2,0),"NO RECORD YET")</f>
        <v>918 T2 Grace Residences, Taguig City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5" customHeight="1">
      <c r="A521" s="326">
        <v>512</v>
      </c>
      <c r="B521" s="327" t="s">
        <v>1638</v>
      </c>
      <c r="C521" s="327" t="s">
        <v>19</v>
      </c>
      <c r="D521" s="326" t="s">
        <v>28</v>
      </c>
      <c r="E521" s="328" t="s">
        <v>1024</v>
      </c>
      <c r="F521" s="328" t="s">
        <v>553</v>
      </c>
      <c r="G521" s="328" t="s">
        <v>934</v>
      </c>
      <c r="H521" s="314"/>
      <c r="I521" s="328" t="s">
        <v>2802</v>
      </c>
      <c r="J521" s="329" t="s">
        <v>1639</v>
      </c>
      <c r="K521" s="331" t="s">
        <v>1640</v>
      </c>
      <c r="L521" s="2"/>
      <c r="M521" s="2"/>
      <c r="N521" s="2"/>
      <c r="O521" s="2"/>
      <c r="P521" s="325" t="str">
        <f t="shared" si="24"/>
        <v>FERNANDEZ ERIC MOLINA</v>
      </c>
      <c r="Q521" s="332" t="str">
        <f>IFERROR(VLOOKUP(P521,[1]Disposition!$AB$9:$AC$495,2,0),"NO RECORD YET")</f>
        <v>NO RECORD YET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5" customHeight="1">
      <c r="A522" s="326">
        <v>513</v>
      </c>
      <c r="B522" s="327" t="s">
        <v>1638</v>
      </c>
      <c r="C522" s="327" t="s">
        <v>39</v>
      </c>
      <c r="D522" s="326" t="s">
        <v>40</v>
      </c>
      <c r="E522" s="328" t="s">
        <v>1641</v>
      </c>
      <c r="F522" s="328" t="s">
        <v>1642</v>
      </c>
      <c r="G522" s="328" t="s">
        <v>1197</v>
      </c>
      <c r="H522" s="314"/>
      <c r="I522" s="328" t="s">
        <v>2714</v>
      </c>
      <c r="J522" s="329" t="s">
        <v>1643</v>
      </c>
      <c r="K522" s="331" t="s">
        <v>1644</v>
      </c>
      <c r="L522" s="2"/>
      <c r="M522" s="2"/>
      <c r="N522" s="2"/>
      <c r="O522" s="2"/>
      <c r="P522" s="332" t="e">
        <f>CONCATENATE(#REF!," ",#REF!," ",#REF!)</f>
        <v>#REF!</v>
      </c>
      <c r="Q522" s="332" t="str">
        <f>IFERROR(VLOOKUP(P522,[1]Disposition!$AB$9:$AC$495,2,0),"NO RECORD YET")</f>
        <v>NO RECORD YET</v>
      </c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5" customHeight="1">
      <c r="A523" s="326">
        <v>514</v>
      </c>
      <c r="B523" s="327" t="s">
        <v>1638</v>
      </c>
      <c r="C523" s="327" t="s">
        <v>19</v>
      </c>
      <c r="D523" s="326" t="s">
        <v>40</v>
      </c>
      <c r="E523" s="328" t="s">
        <v>1645</v>
      </c>
      <c r="F523" s="328" t="s">
        <v>1646</v>
      </c>
      <c r="G523" s="328" t="s">
        <v>347</v>
      </c>
      <c r="H523" s="314"/>
      <c r="I523" s="328" t="s">
        <v>2750</v>
      </c>
      <c r="J523" s="329" t="s">
        <v>1647</v>
      </c>
      <c r="K523" s="331" t="s">
        <v>1648</v>
      </c>
      <c r="L523" s="2"/>
      <c r="M523" s="2"/>
      <c r="N523" s="2"/>
      <c r="O523" s="2"/>
      <c r="P523" s="325" t="str">
        <f>CONCATENATE(E522," ",F522," ",G522)</f>
        <v>GABRIEL ROSALYN ALFONSO</v>
      </c>
      <c r="Q523" s="332" t="str">
        <f>IFERROR(VLOOKUP(P523,[1]Disposition!$AB$9:$AC$495,2,0),"NO RECORD YET")</f>
        <v>#09 Pulong Buli, Sto. Domingo, Nueva Ecija</v>
      </c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5" customHeight="1">
      <c r="A524" s="326">
        <v>515</v>
      </c>
      <c r="B524" s="327" t="s">
        <v>1638</v>
      </c>
      <c r="C524" s="327" t="s">
        <v>39</v>
      </c>
      <c r="D524" s="326" t="s">
        <v>40</v>
      </c>
      <c r="E524" s="328" t="s">
        <v>1649</v>
      </c>
      <c r="F524" s="328" t="s">
        <v>1650</v>
      </c>
      <c r="G524" s="328" t="s">
        <v>1651</v>
      </c>
      <c r="H524" s="314"/>
      <c r="I524" s="328" t="s">
        <v>2682</v>
      </c>
      <c r="J524" s="329" t="s">
        <v>1652</v>
      </c>
      <c r="K524" s="331" t="s">
        <v>1031</v>
      </c>
      <c r="L524" s="2"/>
      <c r="M524" s="2"/>
      <c r="N524" s="2"/>
      <c r="O524" s="2"/>
      <c r="P524" s="325" t="str">
        <f t="shared" ref="P524:P529" si="25">CONCATENATE(E524," ",F524," ",G524)</f>
        <v>SECULLES LILIBETH VERANO</v>
      </c>
      <c r="Q524" s="332" t="str">
        <f>IFERROR(VLOOKUP(P524,[1]Disposition!$AB$9:$AC$495,2,0),"NO RECORD YET")</f>
        <v>Lot 230 East Bank Road, Soldiers Village, Sta. Lucia, Pasig City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5" customHeight="1">
      <c r="A525" s="326">
        <v>516</v>
      </c>
      <c r="B525" s="327" t="s">
        <v>1656</v>
      </c>
      <c r="C525" s="327" t="s">
        <v>39</v>
      </c>
      <c r="D525" s="326" t="s">
        <v>20</v>
      </c>
      <c r="E525" s="328" t="s">
        <v>1654</v>
      </c>
      <c r="F525" s="328" t="s">
        <v>1655</v>
      </c>
      <c r="G525" s="328" t="s">
        <v>1205</v>
      </c>
      <c r="H525" s="314"/>
      <c r="I525" s="328" t="s">
        <v>3057</v>
      </c>
      <c r="J525" s="329" t="s">
        <v>3058</v>
      </c>
      <c r="K525" s="330" t="s">
        <v>3059</v>
      </c>
      <c r="L525" s="2"/>
      <c r="M525" s="2"/>
      <c r="N525" s="2"/>
      <c r="O525" s="2"/>
      <c r="P525" s="325" t="str">
        <f t="shared" si="25"/>
        <v>SALAYA MA ANGELA MIRABEL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5" customHeight="1">
      <c r="A526" s="326">
        <v>517</v>
      </c>
      <c r="B526" s="327" t="s">
        <v>3060</v>
      </c>
      <c r="C526" s="327" t="s">
        <v>19</v>
      </c>
      <c r="D526" s="326" t="s">
        <v>160</v>
      </c>
      <c r="E526" s="328" t="s">
        <v>1291</v>
      </c>
      <c r="F526" s="328" t="s">
        <v>1292</v>
      </c>
      <c r="G526" s="328" t="s">
        <v>1293</v>
      </c>
      <c r="H526" s="314"/>
      <c r="I526" s="328" t="s">
        <v>3061</v>
      </c>
      <c r="J526" s="329" t="s">
        <v>1294</v>
      </c>
      <c r="K526" s="331" t="s">
        <v>1295</v>
      </c>
      <c r="L526" s="2"/>
      <c r="M526" s="2"/>
      <c r="N526" s="2"/>
      <c r="O526" s="2"/>
      <c r="P526" s="325" t="str">
        <f t="shared" si="25"/>
        <v>RIMANDO JUVENAL AFOS</v>
      </c>
      <c r="Q526" s="332" t="str">
        <f>IFERROR(VLOOKUP(P526,[1]Disposition!$AB$9:$AC$495,2,0),"NO RECORD YET")</f>
        <v>B12 L5 Phase M, Francisco Homes, SJDM, Bulacan</v>
      </c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5" customHeight="1">
      <c r="A527" s="326">
        <v>518</v>
      </c>
      <c r="B527" s="327" t="s">
        <v>1656</v>
      </c>
      <c r="C527" s="327" t="s">
        <v>19</v>
      </c>
      <c r="D527" s="326" t="s">
        <v>96</v>
      </c>
      <c r="E527" s="328" t="s">
        <v>1338</v>
      </c>
      <c r="F527" s="328" t="s">
        <v>400</v>
      </c>
      <c r="G527" s="328" t="s">
        <v>2044</v>
      </c>
      <c r="H527" s="314"/>
      <c r="I527" s="328" t="s">
        <v>3018</v>
      </c>
      <c r="J527" s="329" t="s">
        <v>2045</v>
      </c>
      <c r="K527" s="330" t="s">
        <v>2882</v>
      </c>
      <c r="L527" s="2"/>
      <c r="M527" s="2"/>
      <c r="N527" s="2"/>
      <c r="O527" s="2"/>
      <c r="P527" s="325" t="str">
        <f>CONCATENATE(E527," ",F527," ",G527)</f>
        <v>LOZANO CHRISTIAN MARQUEZ</v>
      </c>
      <c r="Q527" s="332" t="str">
        <f>IFERROR(VLOOKUP(P177,[1]Disposition!$AB$9:$AC$495,2,0),"NO RECORD YET")</f>
        <v>615 Everlasting St., La Colina Subd, Mambugan, Antipolo City, Rizal</v>
      </c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5" customHeight="1">
      <c r="A528" s="326">
        <v>519</v>
      </c>
      <c r="B528" s="327" t="s">
        <v>3062</v>
      </c>
      <c r="C528" s="327" t="s">
        <v>39</v>
      </c>
      <c r="D528" s="326" t="s">
        <v>40</v>
      </c>
      <c r="E528" s="328" t="s">
        <v>774</v>
      </c>
      <c r="F528" s="328" t="s">
        <v>775</v>
      </c>
      <c r="G528" s="328" t="s">
        <v>776</v>
      </c>
      <c r="H528" s="314"/>
      <c r="I528" s="328" t="s">
        <v>3063</v>
      </c>
      <c r="J528" s="329" t="s">
        <v>777</v>
      </c>
      <c r="K528" s="331" t="s">
        <v>778</v>
      </c>
      <c r="L528" s="2"/>
      <c r="M528" s="2"/>
      <c r="N528" s="2"/>
      <c r="O528" s="2"/>
      <c r="P528" s="325" t="str">
        <f t="shared" si="25"/>
        <v>MALLILLIN MARICAR CABIGAS</v>
      </c>
      <c r="Q528" s="332" t="str">
        <f>IFERROR(VLOOKUP(P162,[1]Disposition!$AB$9:$AC$495,2,0),"NO RECORD YET")</f>
        <v>B153 L9 Amorseco St., Rizal, Makati City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5" customHeight="1">
      <c r="A529" s="326">
        <v>520</v>
      </c>
      <c r="B529" s="327" t="s">
        <v>3064</v>
      </c>
      <c r="C529" s="327" t="s">
        <v>19</v>
      </c>
      <c r="D529" s="326" t="s">
        <v>40</v>
      </c>
      <c r="E529" s="328" t="s">
        <v>1690</v>
      </c>
      <c r="F529" s="328" t="s">
        <v>1691</v>
      </c>
      <c r="G529" s="328" t="s">
        <v>1692</v>
      </c>
      <c r="H529" s="314"/>
      <c r="I529" s="328" t="s">
        <v>3065</v>
      </c>
      <c r="J529" s="329" t="s">
        <v>1693</v>
      </c>
      <c r="K529" s="331" t="s">
        <v>1694</v>
      </c>
      <c r="L529" s="2"/>
      <c r="M529" s="2"/>
      <c r="N529" s="2"/>
      <c r="O529" s="2"/>
      <c r="P529" s="325" t="str">
        <f t="shared" si="25"/>
        <v>OÑA ERNANI WILSON</v>
      </c>
      <c r="Q529" s="332" t="str">
        <f>IFERROR(VLOOKUP(P529,[1]Disposition!$AB$9:$AC$495,2,0),"NO RECORD YET")</f>
        <v>57 Ramon Jabson St., Brgy. Bambang, Pasig Ciity</v>
      </c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5" customHeight="1">
      <c r="A530" s="326">
        <v>521</v>
      </c>
      <c r="B530" s="327" t="s">
        <v>1698</v>
      </c>
      <c r="C530" s="327" t="s">
        <v>39</v>
      </c>
      <c r="D530" s="326" t="s">
        <v>40</v>
      </c>
      <c r="E530" s="328" t="s">
        <v>1705</v>
      </c>
      <c r="F530" s="328" t="s">
        <v>1706</v>
      </c>
      <c r="G530" s="328" t="s">
        <v>1224</v>
      </c>
      <c r="H530" s="314"/>
      <c r="I530" s="328" t="s">
        <v>3066</v>
      </c>
      <c r="J530" s="329" t="s">
        <v>1707</v>
      </c>
      <c r="K530" s="331" t="s">
        <v>1708</v>
      </c>
      <c r="L530" s="2"/>
      <c r="M530" s="2"/>
      <c r="N530" s="2"/>
      <c r="O530" s="2"/>
      <c r="P530" s="325" t="str">
        <f>CONCATENATE(E534," ",F534," ",G534)</f>
        <v>FRIAS KIM ANTHONY NICOLAS</v>
      </c>
      <c r="Q530" s="332" t="str">
        <f>IFERROR(VLOOKUP(P530,[1]Disposition!$AB$9:$AC$495,2,0),"NO RECORD YET")</f>
        <v>1234 Katipunan St., Calumpang, Binangonan, Rizal</v>
      </c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5" customHeight="1">
      <c r="A531" s="326">
        <v>522</v>
      </c>
      <c r="B531" s="327" t="s">
        <v>1698</v>
      </c>
      <c r="C531" s="327" t="s">
        <v>39</v>
      </c>
      <c r="D531" s="326" t="s">
        <v>40</v>
      </c>
      <c r="E531" s="328" t="s">
        <v>1684</v>
      </c>
      <c r="F531" s="328" t="s">
        <v>1685</v>
      </c>
      <c r="G531" s="328" t="s">
        <v>1686</v>
      </c>
      <c r="H531" s="314"/>
      <c r="I531" s="328" t="s">
        <v>2679</v>
      </c>
      <c r="J531" s="312"/>
      <c r="K531" s="333"/>
      <c r="L531" s="2"/>
      <c r="M531" s="2"/>
      <c r="N531" s="2"/>
      <c r="O531" s="2"/>
      <c r="P531" s="325" t="str">
        <f t="shared" ref="P531:P532" si="26">CONCATENATE(E531," ",F531," ",G531)</f>
        <v>DACIR DANIELLE ZCHEA GACUTE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5" customHeight="1">
      <c r="A532" s="326">
        <v>523</v>
      </c>
      <c r="B532" s="327" t="s">
        <v>1698</v>
      </c>
      <c r="C532" s="327" t="s">
        <v>19</v>
      </c>
      <c r="D532" s="326" t="s">
        <v>40</v>
      </c>
      <c r="E532" s="328" t="s">
        <v>1695</v>
      </c>
      <c r="F532" s="328" t="s">
        <v>1696</v>
      </c>
      <c r="G532" s="328" t="s">
        <v>1697</v>
      </c>
      <c r="H532" s="314"/>
      <c r="I532" s="328" t="s">
        <v>2714</v>
      </c>
      <c r="J532" s="312"/>
      <c r="K532" s="333"/>
      <c r="L532" s="2"/>
      <c r="M532" s="2"/>
      <c r="N532" s="2"/>
      <c r="O532" s="2"/>
      <c r="P532" s="325" t="str">
        <f t="shared" si="26"/>
        <v>SOCORRO GIBSON TOBIAS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5" customHeight="1">
      <c r="A533" s="326">
        <v>524</v>
      </c>
      <c r="B533" s="327" t="s">
        <v>1698</v>
      </c>
      <c r="C533" s="327" t="s">
        <v>19</v>
      </c>
      <c r="D533" s="326" t="s">
        <v>40</v>
      </c>
      <c r="E533" s="328" t="s">
        <v>1701</v>
      </c>
      <c r="F533" s="328" t="s">
        <v>1702</v>
      </c>
      <c r="G533" s="328" t="s">
        <v>1703</v>
      </c>
      <c r="H533" s="314"/>
      <c r="I533" s="328" t="s">
        <v>2714</v>
      </c>
      <c r="J533" s="312"/>
      <c r="K533" s="33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5" customHeight="1">
      <c r="A534" s="326">
        <v>525</v>
      </c>
      <c r="B534" s="327" t="s">
        <v>1704</v>
      </c>
      <c r="C534" s="327" t="s">
        <v>19</v>
      </c>
      <c r="D534" s="326" t="s">
        <v>366</v>
      </c>
      <c r="E534" s="328" t="s">
        <v>581</v>
      </c>
      <c r="F534" s="328" t="s">
        <v>582</v>
      </c>
      <c r="G534" s="328" t="s">
        <v>393</v>
      </c>
      <c r="H534" s="314"/>
      <c r="I534" s="328" t="s">
        <v>3067</v>
      </c>
      <c r="J534" s="329" t="s">
        <v>583</v>
      </c>
      <c r="K534" s="331" t="s">
        <v>584</v>
      </c>
      <c r="L534" s="2"/>
      <c r="M534" s="2"/>
      <c r="N534" s="2"/>
      <c r="O534" s="2"/>
      <c r="P534" s="325" t="str">
        <f>CONCATENATE(E372," ",F372," ",G372)</f>
        <v>LOPEZ JOEL MORATALLA</v>
      </c>
      <c r="Q534" s="332" t="str">
        <f>IFERROR(VLOOKUP(P534,[1]Disposition!$AB$9:$AC$495,2,0),"NO RECORD YET")</f>
        <v>Block 9 396 Kalayaan Avenue, West Rembo, Makati, Metro Manila</v>
      </c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5" customHeight="1">
      <c r="A535" s="326">
        <v>526</v>
      </c>
      <c r="B535" s="327" t="s">
        <v>1704</v>
      </c>
      <c r="C535" s="327" t="s">
        <v>19</v>
      </c>
      <c r="D535" s="326" t="s">
        <v>28</v>
      </c>
      <c r="E535" s="328" t="s">
        <v>1674</v>
      </c>
      <c r="F535" s="328" t="s">
        <v>1675</v>
      </c>
      <c r="G535" s="328" t="s">
        <v>1676</v>
      </c>
      <c r="H535" s="314"/>
      <c r="I535" s="328" t="s">
        <v>3068</v>
      </c>
      <c r="J535" s="329" t="s">
        <v>1677</v>
      </c>
      <c r="K535" s="331" t="s">
        <v>1678</v>
      </c>
      <c r="L535" s="2"/>
      <c r="M535" s="2"/>
      <c r="N535" s="2"/>
      <c r="O535" s="2"/>
      <c r="P535" s="325" t="str">
        <f>CONCATENATE(E535," ",F535," ",G535)</f>
        <v>PANSOY LEX LEVIN JUEGOS</v>
      </c>
      <c r="Q535" s="332" t="str">
        <f>IFERROR(VLOOKUP(P535,[1]Disposition!$AB$9:$AC$495,2,0),"NO RECORD YET")</f>
        <v>NO RECORD YET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5" customHeight="1">
      <c r="A536" s="326">
        <v>527</v>
      </c>
      <c r="B536" s="327" t="s">
        <v>1704</v>
      </c>
      <c r="C536" s="327" t="s">
        <v>39</v>
      </c>
      <c r="D536" s="326" t="s">
        <v>40</v>
      </c>
      <c r="E536" s="328" t="s">
        <v>1239</v>
      </c>
      <c r="F536" s="328" t="s">
        <v>145</v>
      </c>
      <c r="G536" s="328" t="s">
        <v>720</v>
      </c>
      <c r="H536" s="314"/>
      <c r="I536" s="328" t="s">
        <v>3069</v>
      </c>
      <c r="J536" s="329" t="s">
        <v>1699</v>
      </c>
      <c r="K536" s="331" t="s">
        <v>1700</v>
      </c>
      <c r="L536" s="2"/>
      <c r="M536" s="2"/>
      <c r="N536" s="2"/>
      <c r="O536" s="2"/>
      <c r="P536" s="325" t="str">
        <f>CONCATENATE(E484," ",F484," ",G484)</f>
        <v>ALDE MILA BERNADAS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5" customHeight="1">
      <c r="A537" s="326">
        <v>528</v>
      </c>
      <c r="B537" s="327" t="s">
        <v>1704</v>
      </c>
      <c r="C537" s="327" t="s">
        <v>19</v>
      </c>
      <c r="D537" s="326" t="s">
        <v>40</v>
      </c>
      <c r="E537" s="328" t="s">
        <v>3070</v>
      </c>
      <c r="F537" s="328" t="s">
        <v>3071</v>
      </c>
      <c r="G537" s="328" t="s">
        <v>1024</v>
      </c>
      <c r="H537" s="314"/>
      <c r="I537" s="328" t="s">
        <v>2680</v>
      </c>
      <c r="J537" s="312"/>
      <c r="K537" s="333"/>
      <c r="L537" s="2"/>
      <c r="M537" s="2"/>
      <c r="N537" s="2"/>
      <c r="O537" s="2"/>
      <c r="P537" s="325" t="str">
        <f t="shared" ref="P537:P538" si="27">CONCATENATE(E537," ",F537," ",G537)</f>
        <v>DIMACULANGAN  PAUL JANSEN FERNANDEZ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5" customHeight="1">
      <c r="A538" s="326">
        <v>529</v>
      </c>
      <c r="B538" s="327" t="s">
        <v>1709</v>
      </c>
      <c r="C538" s="327" t="s">
        <v>19</v>
      </c>
      <c r="D538" s="326" t="s">
        <v>96</v>
      </c>
      <c r="E538" s="328" t="s">
        <v>1660</v>
      </c>
      <c r="F538" s="328" t="s">
        <v>1661</v>
      </c>
      <c r="G538" s="328" t="s">
        <v>1662</v>
      </c>
      <c r="H538" s="314"/>
      <c r="I538" s="328" t="s">
        <v>3072</v>
      </c>
      <c r="J538" s="329" t="s">
        <v>1663</v>
      </c>
      <c r="K538" s="331" t="s">
        <v>1664</v>
      </c>
      <c r="L538" s="2"/>
      <c r="M538" s="2"/>
      <c r="N538" s="2"/>
      <c r="O538" s="2"/>
      <c r="P538" s="325" t="str">
        <f t="shared" si="27"/>
        <v>ONIL RELLON SUAYAN</v>
      </c>
      <c r="Q538" s="332" t="str">
        <f>IFERROR(VLOOKUP(P538,[1]Disposition!$AB$9:$AC$495,2,0),"NO RECORD YET")</f>
        <v>774 Oroqueta St., Dagupan Weste, City of Tabuk (Capital), Kalinga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5" customHeight="1">
      <c r="A539" s="326">
        <v>530</v>
      </c>
      <c r="B539" s="327" t="s">
        <v>1709</v>
      </c>
      <c r="C539" s="327" t="s">
        <v>39</v>
      </c>
      <c r="D539" s="326" t="s">
        <v>28</v>
      </c>
      <c r="E539" s="328" t="s">
        <v>286</v>
      </c>
      <c r="F539" s="328" t="s">
        <v>1672</v>
      </c>
      <c r="G539" s="328" t="s">
        <v>1671</v>
      </c>
      <c r="H539" s="314"/>
      <c r="I539" s="328" t="s">
        <v>3068</v>
      </c>
      <c r="J539" s="312"/>
      <c r="K539" s="333"/>
      <c r="L539" s="2"/>
      <c r="M539" s="2"/>
      <c r="N539" s="2"/>
      <c r="O539" s="2"/>
      <c r="P539" s="332" t="e">
        <f>CONCATENATE(G539," ",F539," ",#REF!)</f>
        <v>#REF!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5" customHeight="1">
      <c r="A540" s="326">
        <v>531</v>
      </c>
      <c r="B540" s="327" t="s">
        <v>1709</v>
      </c>
      <c r="C540" s="327" t="s">
        <v>19</v>
      </c>
      <c r="D540" s="326" t="s">
        <v>40</v>
      </c>
      <c r="E540" s="328" t="s">
        <v>3073</v>
      </c>
      <c r="F540" s="328" t="s">
        <v>1766</v>
      </c>
      <c r="G540" s="328" t="s">
        <v>3074</v>
      </c>
      <c r="H540" s="326" t="s">
        <v>268</v>
      </c>
      <c r="I540" s="328" t="s">
        <v>3075</v>
      </c>
      <c r="J540" s="312"/>
      <c r="K540" s="33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5" customHeight="1">
      <c r="A541" s="326">
        <v>532</v>
      </c>
      <c r="B541" s="327" t="s">
        <v>1714</v>
      </c>
      <c r="C541" s="327" t="s">
        <v>39</v>
      </c>
      <c r="D541" s="326" t="s">
        <v>40</v>
      </c>
      <c r="E541" s="328" t="s">
        <v>563</v>
      </c>
      <c r="F541" s="328" t="s">
        <v>1715</v>
      </c>
      <c r="G541" s="328" t="s">
        <v>1716</v>
      </c>
      <c r="H541" s="314"/>
      <c r="I541" s="328" t="s">
        <v>3076</v>
      </c>
      <c r="J541" s="329" t="s">
        <v>1717</v>
      </c>
      <c r="K541" s="331" t="s">
        <v>1718</v>
      </c>
      <c r="L541" s="2"/>
      <c r="M541" s="2"/>
      <c r="N541" s="2"/>
      <c r="O541" s="2"/>
      <c r="P541" s="325" t="str">
        <f>CONCATENATE(E541," ",F541," ",G541)</f>
        <v>INCISO MAY ANN CABARDO</v>
      </c>
      <c r="Q541" s="332" t="str">
        <f>IFERROR(VLOOKUP(P541,[1]Disposition!$AB$9:$AC$495,2,0),"NO RECORD YET")</f>
        <v>41 Xavierville Ave., Loyola Heights, Quezon City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5" customHeight="1">
      <c r="A542" s="326">
        <v>533</v>
      </c>
      <c r="B542" s="327" t="s">
        <v>1714</v>
      </c>
      <c r="C542" s="327" t="s">
        <v>19</v>
      </c>
      <c r="D542" s="326" t="s">
        <v>40</v>
      </c>
      <c r="E542" s="328" t="s">
        <v>1719</v>
      </c>
      <c r="F542" s="328" t="s">
        <v>1720</v>
      </c>
      <c r="G542" s="328" t="s">
        <v>1721</v>
      </c>
      <c r="H542" s="314"/>
      <c r="I542" s="328" t="s">
        <v>2714</v>
      </c>
      <c r="J542" s="329" t="s">
        <v>1722</v>
      </c>
      <c r="K542" s="331" t="s">
        <v>50</v>
      </c>
      <c r="L542" s="2"/>
      <c r="M542" s="2"/>
      <c r="N542" s="2"/>
      <c r="O542" s="2"/>
      <c r="P542" s="332" t="str">
        <f>CONCATENATE([2]Disposition!D399," ",[2]Disposition!E399," ",[2]Disposition!F399)</f>
        <v>NUP LACHICA LOLITA</v>
      </c>
      <c r="Q542" s="332" t="str">
        <f>IFERROR(VLOOKUP(P542,[1]Disposition!$AB$9:$AC$495,2,0),"NO RECORD YET")</f>
        <v>NO RECORD YET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5" customHeight="1">
      <c r="A543" s="326">
        <v>534</v>
      </c>
      <c r="B543" s="327" t="s">
        <v>1714</v>
      </c>
      <c r="C543" s="327" t="s">
        <v>39</v>
      </c>
      <c r="D543" s="326" t="s">
        <v>40</v>
      </c>
      <c r="E543" s="328" t="s">
        <v>1679</v>
      </c>
      <c r="F543" s="328" t="s">
        <v>1680</v>
      </c>
      <c r="G543" s="328" t="s">
        <v>1681</v>
      </c>
      <c r="H543" s="314"/>
      <c r="I543" s="328" t="s">
        <v>2714</v>
      </c>
      <c r="J543" s="329" t="s">
        <v>1682</v>
      </c>
      <c r="K543" s="331" t="s">
        <v>1683</v>
      </c>
      <c r="L543" s="2"/>
      <c r="M543" s="2"/>
      <c r="N543" s="2"/>
      <c r="O543" s="2"/>
      <c r="P543" s="325" t="str">
        <f>CONCATENATE(E543," ",F543," ",G543)</f>
        <v>CUETO NOEME MAMON</v>
      </c>
      <c r="Q543" s="332" t="str">
        <f>IFERROR(VLOOKUP(P543,[1]Disposition!$AB$9:$AC$495,2,0),"NO RECORD YET")</f>
        <v>B8 L6 Phase 5, Sta Barbara Villas I, Brgy. Silangan, San Mateo, Rizal</v>
      </c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5" customHeight="1">
      <c r="A544" s="326">
        <v>535</v>
      </c>
      <c r="B544" s="327" t="s">
        <v>1714</v>
      </c>
      <c r="C544" s="327" t="s">
        <v>39</v>
      </c>
      <c r="D544" s="326" t="s">
        <v>40</v>
      </c>
      <c r="E544" s="328" t="s">
        <v>1710</v>
      </c>
      <c r="F544" s="328" t="s">
        <v>1711</v>
      </c>
      <c r="G544" s="328" t="s">
        <v>1169</v>
      </c>
      <c r="H544" s="314"/>
      <c r="I544" s="328" t="s">
        <v>2682</v>
      </c>
      <c r="J544" s="329" t="s">
        <v>1712</v>
      </c>
      <c r="K544" s="331" t="s">
        <v>1713</v>
      </c>
      <c r="L544" s="2"/>
      <c r="M544" s="2"/>
      <c r="N544" s="2"/>
      <c r="O544" s="2"/>
      <c r="P544" s="325" t="str">
        <f>CONCATENATE(E586," ",F586," ",G586)</f>
        <v>MADAYAG ROY IBARRA</v>
      </c>
      <c r="Q544" s="332" t="str">
        <f>IFERROR(VLOOKUP(P544,[1]Disposition!$AB$9:$AC$495,2,0),"NO RECORD YET")</f>
        <v>Blk 28 Lot , 29 Sunflower St., Liora Homes Subd., PASCAM 2, General Trias, Cavite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5" customHeight="1">
      <c r="A545" s="326">
        <v>536</v>
      </c>
      <c r="B545" s="327" t="s">
        <v>1723</v>
      </c>
      <c r="C545" s="327" t="s">
        <v>39</v>
      </c>
      <c r="D545" s="326" t="s">
        <v>20</v>
      </c>
      <c r="E545" s="328" t="s">
        <v>1589</v>
      </c>
      <c r="F545" s="328" t="s">
        <v>1724</v>
      </c>
      <c r="G545" s="328" t="s">
        <v>242</v>
      </c>
      <c r="H545" s="314"/>
      <c r="I545" s="328" t="s">
        <v>3077</v>
      </c>
      <c r="J545" s="329" t="s">
        <v>1725</v>
      </c>
      <c r="K545" s="331" t="s">
        <v>1726</v>
      </c>
      <c r="L545" s="2"/>
      <c r="M545" s="2"/>
      <c r="N545" s="2"/>
      <c r="O545" s="2"/>
      <c r="P545" s="325" t="str">
        <f>CONCATENATE(E545," ",F545," ",G545)</f>
        <v>ALI SHIRLEY MAE SALVADOR</v>
      </c>
      <c r="Q545" s="332" t="str">
        <f>IFERROR(VLOOKUP(P545,[1]Disposition!$AB$9:$AC$495,2,0),"NO RECORD YET")</f>
        <v>2384 STVE St., Brgy. Commonwealth, Quezon City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5" customHeight="1">
      <c r="A546" s="326">
        <v>537</v>
      </c>
      <c r="B546" s="327" t="s">
        <v>1723</v>
      </c>
      <c r="C546" s="327" t="s">
        <v>39</v>
      </c>
      <c r="D546" s="326" t="s">
        <v>40</v>
      </c>
      <c r="E546" s="328" t="s">
        <v>1727</v>
      </c>
      <c r="F546" s="328" t="s">
        <v>1728</v>
      </c>
      <c r="G546" s="328" t="s">
        <v>1729</v>
      </c>
      <c r="H546" s="314"/>
      <c r="I546" s="328" t="s">
        <v>2697</v>
      </c>
      <c r="J546" s="329" t="s">
        <v>1730</v>
      </c>
      <c r="K546" s="331" t="s">
        <v>1731</v>
      </c>
      <c r="L546" s="2"/>
      <c r="M546" s="2"/>
      <c r="N546" s="2"/>
      <c r="O546" s="2"/>
      <c r="P546" s="325" t="str">
        <f>CONCATENATE(E294," ",F294," ",G294)</f>
        <v>DELA PEÑA VICTORIO MENDIOLA</v>
      </c>
      <c r="Q546" s="332" t="str">
        <f>IFERROR(VLOOKUP(P546,[1]Disposition!$AB$9:$AC$495,2,0),"NO RECORD YET")</f>
        <v>Blk 1 Lot 41, Green Leaf Classic I , SJDM, Bulacan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5" customHeight="1">
      <c r="A547" s="326">
        <v>538</v>
      </c>
      <c r="B547" s="327" t="s">
        <v>1723</v>
      </c>
      <c r="C547" s="327" t="s">
        <v>39</v>
      </c>
      <c r="D547" s="326" t="s">
        <v>40</v>
      </c>
      <c r="E547" s="328" t="s">
        <v>3078</v>
      </c>
      <c r="F547" s="328" t="s">
        <v>3079</v>
      </c>
      <c r="G547" s="328" t="s">
        <v>3080</v>
      </c>
      <c r="H547" s="314"/>
      <c r="I547" s="328" t="s">
        <v>2974</v>
      </c>
      <c r="J547" s="312"/>
      <c r="K547" s="333"/>
      <c r="L547" s="2"/>
      <c r="M547" s="2"/>
      <c r="N547" s="2"/>
      <c r="O547" s="2"/>
      <c r="P547" s="325" t="str">
        <f>CONCATENATE(E547," ",F547," ",G547)</f>
        <v>PARAZO MA. REGINA RABINA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5" customHeight="1">
      <c r="A548" s="326">
        <v>539</v>
      </c>
      <c r="B548" s="327" t="s">
        <v>1723</v>
      </c>
      <c r="C548" s="327" t="s">
        <v>39</v>
      </c>
      <c r="D548" s="326" t="s">
        <v>40</v>
      </c>
      <c r="E548" s="328" t="s">
        <v>1187</v>
      </c>
      <c r="F548" s="328" t="s">
        <v>1737</v>
      </c>
      <c r="G548" s="328" t="s">
        <v>1589</v>
      </c>
      <c r="H548" s="314"/>
      <c r="I548" s="328" t="s">
        <v>2771</v>
      </c>
      <c r="J548" s="329" t="s">
        <v>1738</v>
      </c>
      <c r="K548" s="331" t="s">
        <v>1739</v>
      </c>
      <c r="L548" s="2"/>
      <c r="M548" s="2"/>
      <c r="N548" s="2"/>
      <c r="O548" s="2"/>
      <c r="P548" s="325" t="str">
        <f>CONCATENATE(E555," ",F555," ",G555)</f>
        <v>ARGETE GRACIANO ROSILLO</v>
      </c>
      <c r="Q548" s="332" t="str">
        <f>IFERROR(VLOOKUP(P548,[1]Disposition!$AB$9:$AC$495,2,0),"NO RECORD YET")</f>
        <v>6 Angel Townhomes, Ramos St. extension, Brgy. Tandang Sora, Quezon City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5" customHeight="1">
      <c r="A549" s="326">
        <v>540</v>
      </c>
      <c r="B549" s="327" t="s">
        <v>1723</v>
      </c>
      <c r="C549" s="327" t="s">
        <v>39</v>
      </c>
      <c r="D549" s="326" t="s">
        <v>40</v>
      </c>
      <c r="E549" s="328" t="s">
        <v>3081</v>
      </c>
      <c r="F549" s="328" t="s">
        <v>3082</v>
      </c>
      <c r="G549" s="328" t="s">
        <v>3083</v>
      </c>
      <c r="H549" s="314"/>
      <c r="I549" s="328" t="s">
        <v>2974</v>
      </c>
      <c r="J549" s="312"/>
      <c r="K549" s="333"/>
      <c r="L549" s="2"/>
      <c r="M549" s="2"/>
      <c r="N549" s="2"/>
      <c r="O549" s="2"/>
      <c r="P549" s="325" t="str">
        <f t="shared" ref="P549:P553" si="28">CONCATENATE(E549," ",F549," ",G549)</f>
        <v>TALLONGAN MADELIENE GUILLO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5" customHeight="1">
      <c r="A550" s="326">
        <v>541</v>
      </c>
      <c r="B550" s="327" t="s">
        <v>1723</v>
      </c>
      <c r="C550" s="327" t="s">
        <v>39</v>
      </c>
      <c r="D550" s="326" t="s">
        <v>28</v>
      </c>
      <c r="E550" s="328" t="s">
        <v>506</v>
      </c>
      <c r="F550" s="328" t="s">
        <v>507</v>
      </c>
      <c r="G550" s="328" t="s">
        <v>508</v>
      </c>
      <c r="H550" s="314"/>
      <c r="I550" s="328" t="s">
        <v>2849</v>
      </c>
      <c r="J550" s="329" t="s">
        <v>509</v>
      </c>
      <c r="K550" s="331" t="s">
        <v>510</v>
      </c>
      <c r="L550" s="2"/>
      <c r="M550" s="2"/>
      <c r="N550" s="2"/>
      <c r="O550" s="2"/>
      <c r="P550" s="325" t="str">
        <f t="shared" si="28"/>
        <v>MARASIGAN MIA ANGELA CORNEJO</v>
      </c>
      <c r="Q550" s="332" t="str">
        <f>IFERROR(VLOOKUP(P550,[1]Disposition!$AB$9:$AC$495,2,0),"NO RECORD YET")</f>
        <v>121G 14TH Ave., Socorro, Quezon City</v>
      </c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5" customHeight="1">
      <c r="A551" s="326">
        <v>542</v>
      </c>
      <c r="B551" s="327" t="s">
        <v>1740</v>
      </c>
      <c r="C551" s="327" t="s">
        <v>19</v>
      </c>
      <c r="D551" s="326" t="s">
        <v>246</v>
      </c>
      <c r="E551" s="328" t="s">
        <v>1741</v>
      </c>
      <c r="F551" s="328" t="s">
        <v>1742</v>
      </c>
      <c r="G551" s="328" t="s">
        <v>1743</v>
      </c>
      <c r="H551" s="314"/>
      <c r="I551" s="328" t="s">
        <v>3084</v>
      </c>
      <c r="J551" s="312"/>
      <c r="K551" s="330" t="s">
        <v>1744</v>
      </c>
      <c r="L551" s="2"/>
      <c r="M551" s="2"/>
      <c r="N551" s="2"/>
      <c r="O551" s="2"/>
      <c r="P551" s="325" t="str">
        <f t="shared" si="28"/>
        <v>VALLE MARK LAWRENCE ABENOJAR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5" customHeight="1">
      <c r="A552" s="326">
        <v>543</v>
      </c>
      <c r="B552" s="327" t="s">
        <v>1740</v>
      </c>
      <c r="C552" s="327" t="s">
        <v>19</v>
      </c>
      <c r="D552" s="326" t="s">
        <v>57</v>
      </c>
      <c r="E552" s="328" t="s">
        <v>1745</v>
      </c>
      <c r="F552" s="328" t="s">
        <v>1746</v>
      </c>
      <c r="G552" s="328" t="s">
        <v>1747</v>
      </c>
      <c r="H552" s="314"/>
      <c r="I552" s="328" t="s">
        <v>3085</v>
      </c>
      <c r="J552" s="312"/>
      <c r="K552" s="333"/>
      <c r="L552" s="2"/>
      <c r="M552" s="2"/>
      <c r="N552" s="2"/>
      <c r="O552" s="2"/>
      <c r="P552" s="325" t="str">
        <f t="shared" si="28"/>
        <v>OLOJAN CHRISTOPHER BRIAN ASTUDILLO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5" customHeight="1">
      <c r="A553" s="326">
        <v>544</v>
      </c>
      <c r="B553" s="327" t="s">
        <v>1740</v>
      </c>
      <c r="C553" s="327" t="s">
        <v>39</v>
      </c>
      <c r="D553" s="326" t="s">
        <v>28</v>
      </c>
      <c r="E553" s="328" t="s">
        <v>1748</v>
      </c>
      <c r="F553" s="328" t="s">
        <v>1749</v>
      </c>
      <c r="G553" s="328" t="s">
        <v>1750</v>
      </c>
      <c r="H553" s="314"/>
      <c r="I553" s="328" t="s">
        <v>3085</v>
      </c>
      <c r="J553" s="329" t="s">
        <v>1751</v>
      </c>
      <c r="K553" s="331" t="s">
        <v>1752</v>
      </c>
      <c r="L553" s="2"/>
      <c r="M553" s="2"/>
      <c r="N553" s="2"/>
      <c r="O553" s="2"/>
      <c r="P553" s="325" t="str">
        <f t="shared" si="28"/>
        <v>GUNNACAO LOVELYN KATE LEGMAN</v>
      </c>
      <c r="Q553" s="332" t="str">
        <f>IFERROR(VLOOKUP(P553,[1]Disposition!$AB$9:$AC$495,2,0),"NO RECORD YET")</f>
        <v>NO RECORD YET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5" customHeight="1">
      <c r="A554" s="326">
        <v>545</v>
      </c>
      <c r="B554" s="327" t="s">
        <v>1740</v>
      </c>
      <c r="C554" s="327" t="s">
        <v>19</v>
      </c>
      <c r="D554" s="326" t="s">
        <v>40</v>
      </c>
      <c r="E554" s="328" t="s">
        <v>1753</v>
      </c>
      <c r="F554" s="328" t="s">
        <v>1754</v>
      </c>
      <c r="G554" s="328" t="s">
        <v>759</v>
      </c>
      <c r="H554" s="314"/>
      <c r="I554" s="328" t="s">
        <v>2764</v>
      </c>
      <c r="J554" s="329" t="s">
        <v>1755</v>
      </c>
      <c r="K554" s="331" t="s">
        <v>1756</v>
      </c>
      <c r="L554" s="2"/>
      <c r="M554" s="2"/>
      <c r="N554" s="2"/>
      <c r="O554" s="2"/>
      <c r="P554" s="325" t="str">
        <f>CONCATENATE(E557," ",F557," ",G557)</f>
        <v>AGUSTIN RIZELLE INALDO</v>
      </c>
      <c r="Q554" s="332" t="str">
        <f>IFERROR(VLOOKUP(P554,[1]Disposition!$AB$9:$AC$495,2,0),"NO RECORD YET")</f>
        <v>78 Zorra Street, Brgy Paltok, Quezon City</v>
      </c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5" customHeight="1">
      <c r="A555" s="326">
        <v>546</v>
      </c>
      <c r="B555" s="327" t="s">
        <v>1740</v>
      </c>
      <c r="C555" s="327" t="s">
        <v>19</v>
      </c>
      <c r="D555" s="326" t="s">
        <v>40</v>
      </c>
      <c r="E555" s="328" t="s">
        <v>1757</v>
      </c>
      <c r="F555" s="328" t="s">
        <v>1758</v>
      </c>
      <c r="G555" s="328" t="s">
        <v>1759</v>
      </c>
      <c r="H555" s="314"/>
      <c r="I555" s="328" t="s">
        <v>2764</v>
      </c>
      <c r="J555" s="329" t="s">
        <v>1760</v>
      </c>
      <c r="K555" s="331" t="s">
        <v>1761</v>
      </c>
      <c r="L555" s="2"/>
      <c r="M555" s="2"/>
      <c r="N555" s="2"/>
      <c r="O555" s="2"/>
      <c r="P555" s="325" t="str">
        <f>CONCATENATE(E554," ",F554," ",G554)</f>
        <v>OREVILLO CARLO JOHN GUEVARRA</v>
      </c>
      <c r="Q555" s="332" t="str">
        <f>IFERROR(VLOOKUP(P555,[1]Disposition!$AB$9:$AC$495,2,0),"NO RECORD YET")</f>
        <v>35 Gualdalupe St., Morning Breeze Subd., Caloocan City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5" customHeight="1">
      <c r="A556" s="326">
        <v>547</v>
      </c>
      <c r="B556" s="327" t="s">
        <v>1740</v>
      </c>
      <c r="C556" s="327" t="s">
        <v>39</v>
      </c>
      <c r="D556" s="326" t="s">
        <v>40</v>
      </c>
      <c r="E556" s="328" t="s">
        <v>1762</v>
      </c>
      <c r="F556" s="328" t="s">
        <v>1763</v>
      </c>
      <c r="G556" s="328" t="s">
        <v>1764</v>
      </c>
      <c r="H556" s="314"/>
      <c r="I556" s="328" t="s">
        <v>3640</v>
      </c>
      <c r="J556" s="312"/>
      <c r="K556" s="33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5" customHeight="1">
      <c r="A557" s="326">
        <v>548</v>
      </c>
      <c r="B557" s="327" t="s">
        <v>1765</v>
      </c>
      <c r="C557" s="327" t="s">
        <v>39</v>
      </c>
      <c r="D557" s="326" t="s">
        <v>96</v>
      </c>
      <c r="E557" s="328" t="s">
        <v>1766</v>
      </c>
      <c r="F557" s="328" t="s">
        <v>1767</v>
      </c>
      <c r="G557" s="328" t="s">
        <v>1768</v>
      </c>
      <c r="H557" s="314"/>
      <c r="I557" s="328" t="s">
        <v>3086</v>
      </c>
      <c r="J557" s="329" t="s">
        <v>1769</v>
      </c>
      <c r="K557" s="331" t="s">
        <v>1770</v>
      </c>
      <c r="L557" s="2"/>
      <c r="M557" s="2"/>
      <c r="N557" s="2"/>
      <c r="O557" s="2"/>
      <c r="P557" s="332" t="e">
        <f>CONCATENATE(#REF!," ",#REF!," ",#REF!)</f>
        <v>#REF!</v>
      </c>
      <c r="Q557" s="332" t="str">
        <f>IFERROR(VLOOKUP(P557,[1]Disposition!$AB$9:$AC$495,2,0),"NO RECORD YET")</f>
        <v>NO RECORD YET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5" customHeight="1">
      <c r="A558" s="326">
        <v>549</v>
      </c>
      <c r="B558" s="327" t="s">
        <v>1765</v>
      </c>
      <c r="C558" s="327" t="s">
        <v>39</v>
      </c>
      <c r="D558" s="326" t="s">
        <v>28</v>
      </c>
      <c r="E558" s="328" t="s">
        <v>1771</v>
      </c>
      <c r="F558" s="328" t="s">
        <v>1772</v>
      </c>
      <c r="G558" s="328" t="s">
        <v>1773</v>
      </c>
      <c r="H558" s="314"/>
      <c r="I558" s="328" t="s">
        <v>3087</v>
      </c>
      <c r="J558" s="329" t="s">
        <v>1774</v>
      </c>
      <c r="K558" s="331" t="s">
        <v>1775</v>
      </c>
      <c r="L558" s="2"/>
      <c r="M558" s="2"/>
      <c r="N558" s="2"/>
      <c r="O558" s="2"/>
      <c r="P558" s="325" t="str">
        <f>CONCATENATE(E558," ",F558," ",G558)</f>
        <v>YAGO SHARMEN BALLEBAR</v>
      </c>
      <c r="Q558" s="332" t="str">
        <f>IFERROR(VLOOKUP(P558,[1]Disposition!$AB$9:$AC$495,2,0),"NO RECORD YET")</f>
        <v>NO RECORD YET</v>
      </c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5" customHeight="1">
      <c r="A559" s="326">
        <v>550</v>
      </c>
      <c r="B559" s="327" t="s">
        <v>1765</v>
      </c>
      <c r="C559" s="327" t="s">
        <v>19</v>
      </c>
      <c r="D559" s="326" t="s">
        <v>40</v>
      </c>
      <c r="E559" s="328" t="s">
        <v>1776</v>
      </c>
      <c r="F559" s="328" t="s">
        <v>1777</v>
      </c>
      <c r="G559" s="328" t="s">
        <v>1778</v>
      </c>
      <c r="H559" s="314"/>
      <c r="I559" s="328" t="s">
        <v>2724</v>
      </c>
      <c r="J559" s="329" t="s">
        <v>1779</v>
      </c>
      <c r="K559" s="331" t="s">
        <v>1780</v>
      </c>
      <c r="L559" s="2"/>
      <c r="M559" s="2"/>
      <c r="N559" s="2"/>
      <c r="O559" s="2"/>
      <c r="P559" s="325" t="str">
        <f>CONCATENATE(E563," ",F563," ",G563)</f>
        <v>JORDA ROUMELLIA ROBLES</v>
      </c>
      <c r="Q559" s="332" t="str">
        <f>IFERROR(VLOOKUP(P559,[1]Disposition!$AB$9:$AC$495,2,0),"NO RECORD YET")</f>
        <v>Blk 10 Lot 27 Bonifacio St., Phase 3, Soldiers Hill 4, Molino 6, Bacoor, Cavite</v>
      </c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5" customHeight="1">
      <c r="A560" s="326">
        <v>551</v>
      </c>
      <c r="B560" s="327" t="s">
        <v>1765</v>
      </c>
      <c r="C560" s="327" t="s">
        <v>39</v>
      </c>
      <c r="D560" s="326" t="s">
        <v>40</v>
      </c>
      <c r="E560" s="328" t="s">
        <v>1784</v>
      </c>
      <c r="F560" s="328" t="s">
        <v>1785</v>
      </c>
      <c r="G560" s="328" t="s">
        <v>311</v>
      </c>
      <c r="H560" s="314"/>
      <c r="I560" s="328" t="s">
        <v>2747</v>
      </c>
      <c r="J560" s="329" t="s">
        <v>1786</v>
      </c>
      <c r="K560" s="331" t="s">
        <v>1787</v>
      </c>
      <c r="L560" s="2"/>
      <c r="M560" s="2"/>
      <c r="N560" s="2"/>
      <c r="O560" s="2"/>
      <c r="P560" s="325" t="str">
        <f t="shared" ref="P560:P561" si="29">CONCATENATE(E560," ",F560," ",G560)</f>
        <v>MAGBANUA RACHELLE CASTRO</v>
      </c>
      <c r="Q560" s="332" t="str">
        <f>IFERROR(VLOOKUP(P560,[1]Disposition!$AB$9:$AC$495,2,0),"NO RECORD YET")</f>
        <v>5-P Road 7, First West Crame, San Juan City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5" customHeight="1">
      <c r="A561" s="326">
        <v>552</v>
      </c>
      <c r="B561" s="327" t="s">
        <v>1788</v>
      </c>
      <c r="C561" s="327" t="s">
        <v>19</v>
      </c>
      <c r="D561" s="326" t="s">
        <v>246</v>
      </c>
      <c r="E561" s="328" t="s">
        <v>1789</v>
      </c>
      <c r="F561" s="328" t="s">
        <v>1790</v>
      </c>
      <c r="G561" s="328" t="s">
        <v>1791</v>
      </c>
      <c r="H561" s="314"/>
      <c r="I561" s="328" t="s">
        <v>3088</v>
      </c>
      <c r="J561" s="312"/>
      <c r="K561" s="333"/>
      <c r="L561" s="2"/>
      <c r="M561" s="2"/>
      <c r="N561" s="2"/>
      <c r="O561" s="2"/>
      <c r="P561" s="325" t="str">
        <f t="shared" si="29"/>
        <v>ARIAS AUDEN  GOZUM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5" customHeight="1">
      <c r="A562" s="326">
        <v>553</v>
      </c>
      <c r="B562" s="327" t="s">
        <v>1788</v>
      </c>
      <c r="C562" s="327" t="s">
        <v>19</v>
      </c>
      <c r="D562" s="326" t="s">
        <v>40</v>
      </c>
      <c r="E562" s="328" t="s">
        <v>1792</v>
      </c>
      <c r="F562" s="328" t="s">
        <v>400</v>
      </c>
      <c r="G562" s="328" t="s">
        <v>1793</v>
      </c>
      <c r="H562" s="314"/>
      <c r="I562" s="328" t="s">
        <v>2691</v>
      </c>
      <c r="J562" s="312"/>
      <c r="K562" s="333"/>
      <c r="L562" s="2"/>
      <c r="M562" s="2"/>
      <c r="N562" s="2"/>
      <c r="O562" s="2"/>
      <c r="P562" s="332" t="e">
        <f>CONCATENATE(#REF!," ",#REF!," ",#REF!)</f>
        <v>#REF!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5" customHeight="1">
      <c r="A563" s="326">
        <v>554</v>
      </c>
      <c r="B563" s="327" t="s">
        <v>1788</v>
      </c>
      <c r="C563" s="327" t="s">
        <v>39</v>
      </c>
      <c r="D563" s="326" t="s">
        <v>40</v>
      </c>
      <c r="E563" s="328" t="s">
        <v>1794</v>
      </c>
      <c r="F563" s="328" t="s">
        <v>1795</v>
      </c>
      <c r="G563" s="328" t="s">
        <v>1796</v>
      </c>
      <c r="H563" s="314"/>
      <c r="I563" s="328" t="s">
        <v>2740</v>
      </c>
      <c r="J563" s="329" t="s">
        <v>1797</v>
      </c>
      <c r="K563" s="331" t="s">
        <v>1798</v>
      </c>
      <c r="L563" s="2"/>
      <c r="M563" s="2"/>
      <c r="N563" s="2"/>
      <c r="O563" s="2"/>
      <c r="P563" s="325" t="str">
        <f>CONCATENATE(E489," ",F489," ",G489)</f>
        <v>DELA CRUZ MARIA CRISTINA DOMONDON</v>
      </c>
      <c r="Q563" s="332" t="str">
        <f>IFERROR(VLOOKUP(P563,[1]Disposition!$AB$9:$AC$495,2,0),"NO RECORD YET")</f>
        <v>4 R Road  8,  1st West, Crame, San Juan City</v>
      </c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5" customHeight="1">
      <c r="A564" s="326">
        <v>555</v>
      </c>
      <c r="B564" s="327" t="s">
        <v>1788</v>
      </c>
      <c r="C564" s="327" t="s">
        <v>39</v>
      </c>
      <c r="D564" s="326" t="s">
        <v>40</v>
      </c>
      <c r="E564" s="328" t="s">
        <v>191</v>
      </c>
      <c r="F564" s="328" t="s">
        <v>1799</v>
      </c>
      <c r="G564" s="328" t="s">
        <v>146</v>
      </c>
      <c r="H564" s="314"/>
      <c r="I564" s="328" t="s">
        <v>2770</v>
      </c>
      <c r="J564" s="329" t="s">
        <v>1800</v>
      </c>
      <c r="K564" s="331" t="s">
        <v>194</v>
      </c>
      <c r="L564" s="2"/>
      <c r="M564" s="2"/>
      <c r="N564" s="2"/>
      <c r="O564" s="2"/>
      <c r="P564" s="325" t="str">
        <f>CONCATENATE(E559," ",F559," ",G559)</f>
        <v>DOMINGO KARL LOUIE CARDENAS</v>
      </c>
      <c r="Q564" s="332" t="str">
        <f>IFERROR(VLOOKUP(P564,[1]Disposition!$AB$9:$AC$495,2,0),"NO RECORD YET")</f>
        <v>Vivaldi Residences, 628 EDSA cor. Auora Blvd., Cubao, Quezon City</v>
      </c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5" customHeight="1">
      <c r="A565" s="326">
        <v>556</v>
      </c>
      <c r="B565" s="327" t="s">
        <v>1788</v>
      </c>
      <c r="C565" s="327" t="s">
        <v>19</v>
      </c>
      <c r="D565" s="326" t="s">
        <v>40</v>
      </c>
      <c r="E565" s="328" t="s">
        <v>1801</v>
      </c>
      <c r="F565" s="328" t="s">
        <v>1802</v>
      </c>
      <c r="G565" s="328" t="s">
        <v>1803</v>
      </c>
      <c r="H565" s="314"/>
      <c r="I565" s="328" t="s">
        <v>2782</v>
      </c>
      <c r="J565" s="312"/>
      <c r="K565" s="333"/>
      <c r="L565" s="2"/>
      <c r="M565" s="2"/>
      <c r="N565" s="2"/>
      <c r="O565" s="2"/>
      <c r="P565" s="325" t="str">
        <f>CONCATENATE(E563," ",F563," ",G563)</f>
        <v>JORDA ROUMELLIA ROBLES</v>
      </c>
      <c r="Q565" s="332" t="str">
        <f>IFERROR(VLOOKUP(P565,[1]Disposition!$AB$9:$AC$495,2,0),"NO RECORD YET")</f>
        <v>Blk 10 Lot 27 Bonifacio St., Phase 3, Soldiers Hill 4, Molino 6, Bacoor, Cavite</v>
      </c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5" customHeight="1">
      <c r="A566" s="326">
        <v>557</v>
      </c>
      <c r="B566" s="327" t="s">
        <v>1804</v>
      </c>
      <c r="C566" s="327" t="s">
        <v>19</v>
      </c>
      <c r="D566" s="326" t="s">
        <v>20</v>
      </c>
      <c r="E566" s="328" t="s">
        <v>1589</v>
      </c>
      <c r="F566" s="328" t="s">
        <v>2557</v>
      </c>
      <c r="G566" s="328" t="s">
        <v>151</v>
      </c>
      <c r="H566" s="314"/>
      <c r="I566" s="328" t="s">
        <v>3089</v>
      </c>
      <c r="J566" s="329" t="s">
        <v>2558</v>
      </c>
      <c r="K566" s="331" t="s">
        <v>2559</v>
      </c>
      <c r="L566" s="2"/>
      <c r="M566" s="2"/>
      <c r="N566" s="2"/>
      <c r="O566" s="2"/>
      <c r="P566" s="325" t="str">
        <f>CONCATENATE(E523," ",F523," ",G523)</f>
        <v>MANANON ALBERT VILLEGAS</v>
      </c>
      <c r="Q566" s="332" t="str">
        <f>IFERROR(VLOOKUP(P566,[1]Disposition!$AB$9:$AC$495,2,0),"NO RECORD YET")</f>
        <v>63 Bautista St., AFPOVAI, Taguig City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5" customHeight="1">
      <c r="A567" s="326">
        <v>558</v>
      </c>
      <c r="B567" s="327" t="s">
        <v>3090</v>
      </c>
      <c r="C567" s="327" t="s">
        <v>19</v>
      </c>
      <c r="D567" s="326" t="s">
        <v>246</v>
      </c>
      <c r="E567" s="328" t="s">
        <v>577</v>
      </c>
      <c r="F567" s="328" t="s">
        <v>578</v>
      </c>
      <c r="G567" s="328" t="s">
        <v>579</v>
      </c>
      <c r="H567" s="314"/>
      <c r="I567" s="328" t="s">
        <v>3091</v>
      </c>
      <c r="J567" s="312"/>
      <c r="K567" s="333"/>
      <c r="L567" s="2"/>
      <c r="M567" s="2"/>
      <c r="N567" s="2"/>
      <c r="O567" s="2"/>
      <c r="P567" s="325" t="str">
        <f t="shared" ref="P567:P569" si="30">CONCATENATE(E567," ",F567," ",G567)</f>
        <v>RETAZO RIZALDY ISIDORO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5" customHeight="1">
      <c r="A568" s="326">
        <v>559</v>
      </c>
      <c r="B568" s="327" t="s">
        <v>3090</v>
      </c>
      <c r="C568" s="327" t="s">
        <v>19</v>
      </c>
      <c r="D568" s="326" t="s">
        <v>28</v>
      </c>
      <c r="E568" s="328" t="s">
        <v>585</v>
      </c>
      <c r="F568" s="328" t="s">
        <v>586</v>
      </c>
      <c r="G568" s="328" t="s">
        <v>587</v>
      </c>
      <c r="H568" s="326" t="s">
        <v>268</v>
      </c>
      <c r="I568" s="328" t="s">
        <v>3052</v>
      </c>
      <c r="J568" s="312"/>
      <c r="K568" s="333"/>
      <c r="L568" s="2"/>
      <c r="M568" s="2"/>
      <c r="N568" s="2"/>
      <c r="O568" s="2"/>
      <c r="P568" s="325" t="str">
        <f t="shared" si="30"/>
        <v>AGOS CELSO TAPONG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5" customHeight="1">
      <c r="A569" s="326">
        <v>560</v>
      </c>
      <c r="B569" s="327" t="s">
        <v>1804</v>
      </c>
      <c r="C569" s="327" t="s">
        <v>19</v>
      </c>
      <c r="D569" s="326" t="s">
        <v>28</v>
      </c>
      <c r="E569" s="328" t="s">
        <v>980</v>
      </c>
      <c r="F569" s="328" t="s">
        <v>981</v>
      </c>
      <c r="G569" s="328" t="s">
        <v>982</v>
      </c>
      <c r="H569" s="314"/>
      <c r="I569" s="328" t="s">
        <v>2818</v>
      </c>
      <c r="J569" s="329" t="s">
        <v>126</v>
      </c>
      <c r="K569" s="331" t="s">
        <v>983</v>
      </c>
      <c r="L569" s="2"/>
      <c r="M569" s="2"/>
      <c r="N569" s="2"/>
      <c r="O569" s="2"/>
      <c r="P569" s="325" t="str">
        <f t="shared" si="30"/>
        <v>BARQUIN CHRISTIAN PAUL SAN VICENTE</v>
      </c>
      <c r="Q569" s="332" t="str">
        <f>IFERROR(VLOOKUP(P569,[1]Disposition!$AB$9:$AC$495,2,0),"NO RECORD YET")</f>
        <v>NO RECORD YET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5" customHeight="1">
      <c r="A570" s="326">
        <v>561</v>
      </c>
      <c r="B570" s="327" t="s">
        <v>1804</v>
      </c>
      <c r="C570" s="327" t="s">
        <v>39</v>
      </c>
      <c r="D570" s="326" t="s">
        <v>40</v>
      </c>
      <c r="E570" s="328" t="s">
        <v>549</v>
      </c>
      <c r="F570" s="328" t="s">
        <v>2908</v>
      </c>
      <c r="G570" s="328" t="s">
        <v>2909</v>
      </c>
      <c r="H570" s="314"/>
      <c r="I570" s="328" t="s">
        <v>2679</v>
      </c>
      <c r="J570" s="329" t="s">
        <v>2910</v>
      </c>
      <c r="K570" s="334">
        <v>9692300633</v>
      </c>
      <c r="L570" s="2"/>
      <c r="M570" s="2"/>
      <c r="N570" s="2"/>
      <c r="O570" s="2"/>
      <c r="P570" s="325"/>
      <c r="Q570" s="33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5" customHeight="1">
      <c r="A571" s="326">
        <v>562</v>
      </c>
      <c r="B571" s="327" t="s">
        <v>3092</v>
      </c>
      <c r="C571" s="327" t="s">
        <v>19</v>
      </c>
      <c r="D571" s="326" t="s">
        <v>40</v>
      </c>
      <c r="E571" s="328" t="s">
        <v>1822</v>
      </c>
      <c r="F571" s="328" t="s">
        <v>1823</v>
      </c>
      <c r="G571" s="328" t="s">
        <v>1824</v>
      </c>
      <c r="H571" s="314"/>
      <c r="I571" s="328" t="s">
        <v>2701</v>
      </c>
      <c r="J571" s="312"/>
      <c r="K571" s="33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5" customHeight="1">
      <c r="A572" s="326">
        <v>563</v>
      </c>
      <c r="B572" s="327" t="s">
        <v>3093</v>
      </c>
      <c r="C572" s="327" t="s">
        <v>19</v>
      </c>
      <c r="D572" s="326" t="s">
        <v>40</v>
      </c>
      <c r="E572" s="328" t="s">
        <v>2453</v>
      </c>
      <c r="F572" s="328" t="s">
        <v>2454</v>
      </c>
      <c r="G572" s="328" t="s">
        <v>2455</v>
      </c>
      <c r="H572" s="314"/>
      <c r="I572" s="328" t="s">
        <v>2682</v>
      </c>
      <c r="J572" s="329" t="s">
        <v>2456</v>
      </c>
      <c r="K572" s="331" t="s">
        <v>2457</v>
      </c>
      <c r="L572" s="2"/>
      <c r="M572" s="2"/>
      <c r="N572" s="2"/>
      <c r="O572" s="2"/>
      <c r="P572" s="325" t="str">
        <f t="shared" ref="P572:P573" si="31">CONCATENATE(E572," ",F572," ",G572)</f>
        <v>CHIDROME JAES ALLAN CHANTENGCO</v>
      </c>
      <c r="Q572" s="332" t="str">
        <f>IFERROR(VLOOKUP(P572,[1]Disposition!$AB$9:$AC$495,2,0),"NO RECORD YET")</f>
        <v>38A 5th Avenue, Brgy. Socorro, CUBao, Quezon City</v>
      </c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5" customHeight="1">
      <c r="A573" s="326">
        <v>564</v>
      </c>
      <c r="B573" s="327" t="s">
        <v>1804</v>
      </c>
      <c r="C573" s="327" t="s">
        <v>39</v>
      </c>
      <c r="D573" s="326" t="s">
        <v>40</v>
      </c>
      <c r="E573" s="328" t="s">
        <v>256</v>
      </c>
      <c r="F573" s="328" t="s">
        <v>1825</v>
      </c>
      <c r="G573" s="328" t="s">
        <v>410</v>
      </c>
      <c r="H573" s="314"/>
      <c r="I573" s="328" t="s">
        <v>2714</v>
      </c>
      <c r="J573" s="312"/>
      <c r="K573" s="333"/>
      <c r="L573" s="2"/>
      <c r="M573" s="2"/>
      <c r="N573" s="2"/>
      <c r="O573" s="2"/>
      <c r="P573" s="325" t="str">
        <f t="shared" si="31"/>
        <v>DELA CRUZ JESSICA BAUTISTA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5" customHeight="1">
      <c r="A574" s="326">
        <v>565</v>
      </c>
      <c r="B574" s="327" t="s">
        <v>1804</v>
      </c>
      <c r="C574" s="327" t="s">
        <v>19</v>
      </c>
      <c r="D574" s="326" t="s">
        <v>40</v>
      </c>
      <c r="E574" s="328" t="s">
        <v>3094</v>
      </c>
      <c r="F574" s="328" t="s">
        <v>3095</v>
      </c>
      <c r="G574" s="328" t="s">
        <v>3096</v>
      </c>
      <c r="H574" s="314"/>
      <c r="I574" s="328" t="s">
        <v>2830</v>
      </c>
      <c r="J574" s="312"/>
      <c r="K574" s="33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5" customHeight="1">
      <c r="A575" s="326">
        <v>566</v>
      </c>
      <c r="B575" s="327" t="s">
        <v>1804</v>
      </c>
      <c r="C575" s="327" t="s">
        <v>39</v>
      </c>
      <c r="D575" s="326" t="s">
        <v>40</v>
      </c>
      <c r="E575" s="328" t="s">
        <v>543</v>
      </c>
      <c r="F575" s="328" t="s">
        <v>1845</v>
      </c>
      <c r="G575" s="328" t="s">
        <v>1846</v>
      </c>
      <c r="H575" s="314"/>
      <c r="I575" s="328" t="s">
        <v>3097</v>
      </c>
      <c r="J575" s="312"/>
      <c r="K575" s="33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5" customHeight="1">
      <c r="A576" s="326">
        <v>567</v>
      </c>
      <c r="B576" s="327" t="s">
        <v>3643</v>
      </c>
      <c r="C576" s="327" t="s">
        <v>39</v>
      </c>
      <c r="D576" s="326" t="s">
        <v>40</v>
      </c>
      <c r="E576" s="328" t="s">
        <v>2919</v>
      </c>
      <c r="F576" s="328" t="s">
        <v>2920</v>
      </c>
      <c r="G576" s="328" t="s">
        <v>2921</v>
      </c>
      <c r="H576" s="314"/>
      <c r="I576" s="328" t="s">
        <v>3644</v>
      </c>
      <c r="J576" s="329" t="s">
        <v>2922</v>
      </c>
      <c r="K576" s="344" t="s">
        <v>2923</v>
      </c>
      <c r="L576" s="2"/>
      <c r="M576" s="2"/>
      <c r="N576" s="2"/>
      <c r="O576" s="2"/>
      <c r="P576" s="325"/>
      <c r="Q576" s="33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5" customHeight="1">
      <c r="A577" s="326">
        <v>568</v>
      </c>
      <c r="B577" s="327" t="s">
        <v>1804</v>
      </c>
      <c r="C577" s="327" t="s">
        <v>39</v>
      </c>
      <c r="D577" s="326" t="s">
        <v>40</v>
      </c>
      <c r="E577" s="328" t="s">
        <v>1829</v>
      </c>
      <c r="F577" s="328" t="s">
        <v>1830</v>
      </c>
      <c r="G577" s="328" t="s">
        <v>1831</v>
      </c>
      <c r="H577" s="314"/>
      <c r="I577" s="328" t="s">
        <v>2679</v>
      </c>
      <c r="J577" s="312"/>
      <c r="K577" s="333"/>
      <c r="L577" s="2"/>
      <c r="M577" s="2"/>
      <c r="N577" s="2"/>
      <c r="O577" s="2"/>
      <c r="P577" s="325" t="str">
        <f t="shared" ref="P577:P579" si="32">CONCATENATE(E577," ",F577," ",G577)</f>
        <v>MULANO MARY MICHELLE FULGENCIO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5" customHeight="1">
      <c r="A578" s="326">
        <v>569</v>
      </c>
      <c r="B578" s="327" t="s">
        <v>1804</v>
      </c>
      <c r="C578" s="327" t="s">
        <v>39</v>
      </c>
      <c r="D578" s="326" t="s">
        <v>40</v>
      </c>
      <c r="E578" s="328" t="s">
        <v>1832</v>
      </c>
      <c r="F578" s="328" t="s">
        <v>1833</v>
      </c>
      <c r="G578" s="328" t="s">
        <v>1834</v>
      </c>
      <c r="H578" s="314"/>
      <c r="I578" s="328" t="s">
        <v>2679</v>
      </c>
      <c r="J578" s="312"/>
      <c r="K578" s="333"/>
      <c r="L578" s="2"/>
      <c r="M578" s="2"/>
      <c r="N578" s="2"/>
      <c r="O578" s="2"/>
      <c r="P578" s="325" t="str">
        <f t="shared" si="32"/>
        <v>OLIVAR CHARLENE LAURESTA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5" customHeight="1">
      <c r="A579" s="326">
        <v>570</v>
      </c>
      <c r="B579" s="327" t="s">
        <v>1804</v>
      </c>
      <c r="C579" s="327" t="s">
        <v>19</v>
      </c>
      <c r="D579" s="326" t="s">
        <v>40</v>
      </c>
      <c r="E579" s="328" t="s">
        <v>1899</v>
      </c>
      <c r="F579" s="328" t="s">
        <v>1900</v>
      </c>
      <c r="G579" s="328" t="s">
        <v>1901</v>
      </c>
      <c r="H579" s="314"/>
      <c r="I579" s="328" t="s">
        <v>2679</v>
      </c>
      <c r="J579" s="312"/>
      <c r="K579" s="333"/>
      <c r="L579" s="2"/>
      <c r="M579" s="2"/>
      <c r="N579" s="2"/>
      <c r="O579" s="2"/>
      <c r="P579" s="325" t="str">
        <f t="shared" si="32"/>
        <v>ONGKINGCO RAMIL MADRID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5" customHeight="1">
      <c r="A580" s="326">
        <v>571</v>
      </c>
      <c r="B580" s="327" t="s">
        <v>1804</v>
      </c>
      <c r="C580" s="327" t="s">
        <v>19</v>
      </c>
      <c r="D580" s="326" t="s">
        <v>40</v>
      </c>
      <c r="E580" s="328" t="s">
        <v>1835</v>
      </c>
      <c r="F580" s="328" t="s">
        <v>1836</v>
      </c>
      <c r="G580" s="328" t="s">
        <v>1837</v>
      </c>
      <c r="H580" s="314"/>
      <c r="I580" s="328" t="s">
        <v>2677</v>
      </c>
      <c r="J580" s="329" t="s">
        <v>1838</v>
      </c>
      <c r="K580" s="331" t="s">
        <v>1839</v>
      </c>
      <c r="L580" s="2"/>
      <c r="M580" s="2"/>
      <c r="N580" s="2"/>
      <c r="O580" s="2"/>
      <c r="P580" s="332" t="str">
        <f>CONCATENATE([2]Disposition!D388," ",[2]Disposition!E388," ",[2]Disposition!F388)</f>
        <v>NUP RAYMUNDO DANIEL JOSHUA</v>
      </c>
      <c r="Q580" s="332" t="str">
        <f>IFERROR(VLOOKUP(P580,[1]Disposition!$AB$9:$AC$495,2,0),"NO RECORD YET")</f>
        <v>NO RECORD YET</v>
      </c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5" customHeight="1">
      <c r="A581" s="326">
        <v>572</v>
      </c>
      <c r="B581" s="327" t="s">
        <v>1804</v>
      </c>
      <c r="C581" s="327" t="s">
        <v>19</v>
      </c>
      <c r="D581" s="326" t="s">
        <v>40</v>
      </c>
      <c r="E581" s="328" t="s">
        <v>1002</v>
      </c>
      <c r="F581" s="328" t="s">
        <v>1840</v>
      </c>
      <c r="G581" s="328" t="s">
        <v>1841</v>
      </c>
      <c r="H581" s="314"/>
      <c r="I581" s="328" t="s">
        <v>2679</v>
      </c>
      <c r="J581" s="312"/>
      <c r="K581" s="333"/>
      <c r="L581" s="2"/>
      <c r="M581" s="2"/>
      <c r="N581" s="2"/>
      <c r="O581" s="2"/>
      <c r="P581" s="325" t="str">
        <f t="shared" ref="P581:P584" si="33">CONCATENATE(E581," ",F581," ",G581)</f>
        <v>VILLANUEVA MARCELINO VIERNES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5" customHeight="1">
      <c r="A582" s="326">
        <v>573</v>
      </c>
      <c r="B582" s="327" t="s">
        <v>1804</v>
      </c>
      <c r="C582" s="327" t="s">
        <v>19</v>
      </c>
      <c r="D582" s="326" t="s">
        <v>40</v>
      </c>
      <c r="E582" s="328" t="s">
        <v>1842</v>
      </c>
      <c r="F582" s="328" t="s">
        <v>1843</v>
      </c>
      <c r="G582" s="328" t="s">
        <v>920</v>
      </c>
      <c r="H582" s="314"/>
      <c r="I582" s="328" t="s">
        <v>2679</v>
      </c>
      <c r="J582" s="312"/>
      <c r="K582" s="333"/>
      <c r="L582" s="2"/>
      <c r="M582" s="2"/>
      <c r="N582" s="2"/>
      <c r="O582" s="2"/>
      <c r="P582" s="325" t="str">
        <f t="shared" si="33"/>
        <v>VILLAS JOHN MICHAEL BALMACEDA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5" customHeight="1">
      <c r="A583" s="326">
        <v>574</v>
      </c>
      <c r="B583" s="327" t="s">
        <v>1844</v>
      </c>
      <c r="C583" s="327" t="s">
        <v>39</v>
      </c>
      <c r="D583" s="326" t="s">
        <v>40</v>
      </c>
      <c r="E583" s="328" t="s">
        <v>1776</v>
      </c>
      <c r="F583" s="328" t="s">
        <v>1847</v>
      </c>
      <c r="G583" s="328" t="s">
        <v>1848</v>
      </c>
      <c r="H583" s="314"/>
      <c r="I583" s="328" t="s">
        <v>2725</v>
      </c>
      <c r="J583" s="329" t="s">
        <v>1849</v>
      </c>
      <c r="K583" s="331" t="s">
        <v>1850</v>
      </c>
      <c r="L583" s="2"/>
      <c r="M583" s="2"/>
      <c r="N583" s="2"/>
      <c r="O583" s="2"/>
      <c r="P583" s="325" t="str">
        <f t="shared" si="33"/>
        <v>DOMINGO MISCHELL ALOR</v>
      </c>
      <c r="Q583" s="332" t="str">
        <f>IFERROR(VLOOKUP(P583,[1]Disposition!$AB$9:$AC$495,2,0),"NO RECORD YET")</f>
        <v>Blk 2 Lot 6, Urban Bliss, Barangka, Marikina City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5" customHeight="1">
      <c r="A584" s="326">
        <v>575</v>
      </c>
      <c r="B584" s="327" t="s">
        <v>1844</v>
      </c>
      <c r="C584" s="327" t="s">
        <v>39</v>
      </c>
      <c r="D584" s="326" t="s">
        <v>40</v>
      </c>
      <c r="E584" s="328" t="s">
        <v>3098</v>
      </c>
      <c r="F584" s="328" t="s">
        <v>3099</v>
      </c>
      <c r="G584" s="328" t="s">
        <v>240</v>
      </c>
      <c r="H584" s="314"/>
      <c r="I584" s="328" t="s">
        <v>2680</v>
      </c>
      <c r="J584" s="312"/>
      <c r="K584" s="333"/>
      <c r="L584" s="2"/>
      <c r="M584" s="2"/>
      <c r="N584" s="2"/>
      <c r="O584" s="2"/>
      <c r="P584" s="325" t="str">
        <f t="shared" si="33"/>
        <v>GALBAN  JANE SALAS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5" customHeight="1">
      <c r="A585" s="326">
        <v>576</v>
      </c>
      <c r="B585" s="327" t="s">
        <v>1844</v>
      </c>
      <c r="C585" s="327" t="s">
        <v>39</v>
      </c>
      <c r="D585" s="326" t="s">
        <v>40</v>
      </c>
      <c r="E585" s="328" t="s">
        <v>1383</v>
      </c>
      <c r="F585" s="328" t="s">
        <v>1851</v>
      </c>
      <c r="G585" s="328" t="s">
        <v>1852</v>
      </c>
      <c r="H585" s="314"/>
      <c r="I585" s="328" t="s">
        <v>2735</v>
      </c>
      <c r="J585" s="329" t="s">
        <v>1853</v>
      </c>
      <c r="K585" s="331" t="s">
        <v>1854</v>
      </c>
      <c r="L585" s="2"/>
      <c r="M585" s="2"/>
      <c r="N585" s="2"/>
      <c r="O585" s="2"/>
      <c r="P585" s="325" t="str">
        <f>CONCATENATE(E485," ",F485," ",G485)</f>
        <v>ALEGRE JAYBEE BALASE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5" customHeight="1">
      <c r="A586" s="326">
        <v>577</v>
      </c>
      <c r="B586" s="327" t="s">
        <v>3100</v>
      </c>
      <c r="C586" s="327" t="s">
        <v>19</v>
      </c>
      <c r="D586" s="326" t="s">
        <v>40</v>
      </c>
      <c r="E586" s="328" t="s">
        <v>1902</v>
      </c>
      <c r="F586" s="328" t="s">
        <v>354</v>
      </c>
      <c r="G586" s="328" t="s">
        <v>1903</v>
      </c>
      <c r="H586" s="314"/>
      <c r="I586" s="328" t="s">
        <v>2746</v>
      </c>
      <c r="J586" s="329" t="s">
        <v>1904</v>
      </c>
      <c r="K586" s="331" t="s">
        <v>1905</v>
      </c>
      <c r="L586" s="2"/>
      <c r="M586" s="2"/>
      <c r="N586" s="2"/>
      <c r="O586" s="2"/>
      <c r="P586" s="332" t="e">
        <f>CONCATENATE(#REF!," ",#REF!," ",#REF!)</f>
        <v>#REF!</v>
      </c>
      <c r="Q586" s="332" t="str">
        <f>IFERROR(VLOOKUP(P586,[1]Disposition!$AB$9:$AC$495,2,0),"NO RECORD YET")</f>
        <v>NO RECORD YET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5" customHeight="1">
      <c r="A587" s="326">
        <v>578</v>
      </c>
      <c r="B587" s="327" t="s">
        <v>1844</v>
      </c>
      <c r="C587" s="327" t="s">
        <v>19</v>
      </c>
      <c r="D587" s="326" t="s">
        <v>40</v>
      </c>
      <c r="E587" s="328" t="s">
        <v>1826</v>
      </c>
      <c r="F587" s="328" t="s">
        <v>1827</v>
      </c>
      <c r="G587" s="328" t="s">
        <v>1828</v>
      </c>
      <c r="H587" s="314"/>
      <c r="I587" s="328" t="s">
        <v>2679</v>
      </c>
      <c r="J587" s="312"/>
      <c r="K587" s="333"/>
      <c r="L587" s="2"/>
      <c r="M587" s="2"/>
      <c r="N587" s="2"/>
      <c r="O587" s="2"/>
      <c r="P587" s="325" t="str">
        <f>CONCATENATE(E587," ",F587," ",G587)</f>
        <v>MESA JOHN RICK ELUMBA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5" customHeight="1">
      <c r="A588" s="326">
        <v>579</v>
      </c>
      <c r="B588" s="327" t="s">
        <v>1858</v>
      </c>
      <c r="C588" s="327" t="s">
        <v>39</v>
      </c>
      <c r="D588" s="326" t="s">
        <v>40</v>
      </c>
      <c r="E588" s="328" t="s">
        <v>604</v>
      </c>
      <c r="F588" s="328" t="s">
        <v>1859</v>
      </c>
      <c r="G588" s="328" t="s">
        <v>916</v>
      </c>
      <c r="H588" s="314"/>
      <c r="I588" s="328" t="s">
        <v>2769</v>
      </c>
      <c r="J588" s="329" t="s">
        <v>1860</v>
      </c>
      <c r="K588" s="331" t="s">
        <v>1861</v>
      </c>
      <c r="L588" s="2"/>
      <c r="M588" s="2"/>
      <c r="N588" s="2"/>
      <c r="O588" s="2"/>
      <c r="P588" s="325" t="str">
        <f>CONCATENATE(E391," ",F391," ",G391)</f>
        <v>ROQUE ARISTOTLE GARSIN</v>
      </c>
      <c r="Q588" s="332" t="str">
        <f>IFERROR(VLOOKUP(P588,[1]Disposition!$AB$9:$AC$495,2,0),"NO RECORD YET")</f>
        <v>65 Pall Mall St., East Fairview, Quezon City</v>
      </c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5" customHeight="1">
      <c r="A589" s="326">
        <v>580</v>
      </c>
      <c r="B589" s="327" t="s">
        <v>1858</v>
      </c>
      <c r="C589" s="327" t="s">
        <v>19</v>
      </c>
      <c r="D589" s="326" t="s">
        <v>40</v>
      </c>
      <c r="E589" s="328" t="s">
        <v>1862</v>
      </c>
      <c r="F589" s="328" t="s">
        <v>690</v>
      </c>
      <c r="G589" s="328" t="s">
        <v>1863</v>
      </c>
      <c r="H589" s="314"/>
      <c r="I589" s="328" t="s">
        <v>2685</v>
      </c>
      <c r="J589" s="329" t="s">
        <v>1864</v>
      </c>
      <c r="K589" s="331" t="s">
        <v>1865</v>
      </c>
      <c r="L589" s="2"/>
      <c r="M589" s="2"/>
      <c r="N589" s="2"/>
      <c r="O589" s="2"/>
      <c r="P589" s="325" t="str">
        <f>CONCATENATE(E48," ",F48," ",G48)</f>
        <v>GONZALES NECILDA JAVINIAR</v>
      </c>
      <c r="Q589" s="332" t="str">
        <f>IFERROR(VLOOKUP(P589,[1]Disposition!$AB$9:$AC$495,2,0),"NO RECORD YET")</f>
        <v>641 Blk 22 Kabisig Floodway, San Andres, Cainta, Rizal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5" customHeight="1">
      <c r="A590" s="326">
        <v>581</v>
      </c>
      <c r="B590" s="327" t="s">
        <v>1858</v>
      </c>
      <c r="C590" s="327" t="s">
        <v>39</v>
      </c>
      <c r="D590" s="326" t="s">
        <v>40</v>
      </c>
      <c r="E590" s="328" t="s">
        <v>256</v>
      </c>
      <c r="F590" s="328" t="s">
        <v>1866</v>
      </c>
      <c r="G590" s="328" t="s">
        <v>1867</v>
      </c>
      <c r="H590" s="314"/>
      <c r="I590" s="328" t="s">
        <v>3101</v>
      </c>
      <c r="J590" s="329" t="s">
        <v>1868</v>
      </c>
      <c r="K590" s="331" t="s">
        <v>1869</v>
      </c>
      <c r="L590" s="2"/>
      <c r="M590" s="2"/>
      <c r="N590" s="2"/>
      <c r="O590" s="2"/>
      <c r="P590" s="325" t="str">
        <f t="shared" ref="P590:P591" si="34">CONCATENATE(E590," ",F590," ",G590)</f>
        <v>DELA CRUZ ROSELYN CARTAGENA</v>
      </c>
      <c r="Q590" s="332" t="str">
        <f>IFERROR(VLOOKUP(P590,[1]Disposition!$AB$9:$AC$495,2,0),"NO RECORD YET")</f>
        <v>16-B Buenmar St., Santolan, Pasig City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5" customHeight="1">
      <c r="A591" s="326">
        <v>582</v>
      </c>
      <c r="B591" s="327" t="s">
        <v>1858</v>
      </c>
      <c r="C591" s="327" t="s">
        <v>39</v>
      </c>
      <c r="D591" s="326" t="s">
        <v>40</v>
      </c>
      <c r="E591" s="328" t="s">
        <v>997</v>
      </c>
      <c r="F591" s="328" t="s">
        <v>1871</v>
      </c>
      <c r="G591" s="328" t="s">
        <v>1872</v>
      </c>
      <c r="H591" s="314"/>
      <c r="I591" s="328" t="s">
        <v>2726</v>
      </c>
      <c r="J591" s="329" t="s">
        <v>1873</v>
      </c>
      <c r="K591" s="331" t="s">
        <v>1874</v>
      </c>
      <c r="L591" s="2"/>
      <c r="M591" s="2"/>
      <c r="N591" s="2"/>
      <c r="O591" s="2"/>
      <c r="P591" s="325" t="str">
        <f t="shared" si="34"/>
        <v>ENRIQUEZ MA VICTORIA  DONES</v>
      </c>
      <c r="Q591" s="332" t="str">
        <f>IFERROR(VLOOKUP(P591,[1]Disposition!$AB$9:$AC$495,2,0),"NO RECORD YET")</f>
        <v>001 Estanislao St., Brgy. Ibayo, Tipas, Taguig City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5" customHeight="1">
      <c r="A592" s="326">
        <v>583</v>
      </c>
      <c r="B592" s="327" t="s">
        <v>1858</v>
      </c>
      <c r="C592" s="327" t="s">
        <v>19</v>
      </c>
      <c r="D592" s="326" t="s">
        <v>40</v>
      </c>
      <c r="E592" s="328" t="s">
        <v>151</v>
      </c>
      <c r="F592" s="328" t="s">
        <v>1878</v>
      </c>
      <c r="G592" s="328" t="s">
        <v>971</v>
      </c>
      <c r="H592" s="314"/>
      <c r="I592" s="328" t="s">
        <v>2776</v>
      </c>
      <c r="J592" s="329" t="s">
        <v>1879</v>
      </c>
      <c r="K592" s="331" t="s">
        <v>1880</v>
      </c>
      <c r="L592" s="2"/>
      <c r="M592" s="2"/>
      <c r="N592" s="2"/>
      <c r="O592" s="2"/>
      <c r="P592" s="325" t="str">
        <f>CONCATENATE(E588," ",F588," ",G588)</f>
        <v>PAZ VIRGINIA SUERO</v>
      </c>
      <c r="Q592" s="332" t="str">
        <f>IFERROR(VLOOKUP(P592,[1]Disposition!$AB$9:$AC$495,2,0),"NO RECORD YET")</f>
        <v>3B 2nd Camarilla St., Murphy, Quezon City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5" customHeight="1">
      <c r="A593" s="326">
        <v>584</v>
      </c>
      <c r="B593" s="327" t="s">
        <v>1858</v>
      </c>
      <c r="C593" s="327" t="s">
        <v>39</v>
      </c>
      <c r="D593" s="326" t="s">
        <v>40</v>
      </c>
      <c r="E593" s="328" t="s">
        <v>1881</v>
      </c>
      <c r="F593" s="328" t="s">
        <v>1882</v>
      </c>
      <c r="G593" s="328" t="s">
        <v>1883</v>
      </c>
      <c r="H593" s="314"/>
      <c r="I593" s="328" t="s">
        <v>2779</v>
      </c>
      <c r="J593" s="329" t="s">
        <v>1884</v>
      </c>
      <c r="K593" s="331" t="s">
        <v>1885</v>
      </c>
      <c r="L593" s="2"/>
      <c r="M593" s="2"/>
      <c r="N593" s="2"/>
      <c r="O593" s="2"/>
      <c r="P593" s="325" t="str">
        <f>CONCATENATE(E46," ",F46," ",G46)</f>
        <v>BERENGUEL LUCHIE RELOYA</v>
      </c>
      <c r="Q593" s="332" t="str">
        <f>IFERROR(VLOOKUP(P593,[1]Disposition!$AB$9:$AC$495,2,0),"NO RECORD YET")</f>
        <v>#2 Alley 15,  P. Rosales St., Sta. Ana Kaliwa, Pateros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5" customHeight="1">
      <c r="A594" s="326">
        <v>585</v>
      </c>
      <c r="B594" s="327" t="s">
        <v>1858</v>
      </c>
      <c r="C594" s="327" t="s">
        <v>39</v>
      </c>
      <c r="D594" s="326" t="s">
        <v>40</v>
      </c>
      <c r="E594" s="328" t="s">
        <v>1886</v>
      </c>
      <c r="F594" s="328" t="s">
        <v>1887</v>
      </c>
      <c r="G594" s="328" t="s">
        <v>1689</v>
      </c>
      <c r="H594" s="314"/>
      <c r="I594" s="328" t="s">
        <v>2794</v>
      </c>
      <c r="J594" s="329" t="s">
        <v>1888</v>
      </c>
      <c r="K594" s="331" t="s">
        <v>1889</v>
      </c>
      <c r="L594" s="2"/>
      <c r="M594" s="2"/>
      <c r="N594" s="2"/>
      <c r="O594" s="2"/>
      <c r="P594" s="325" t="str">
        <f>CONCATENATE(E593," ",F593," ",G593)</f>
        <v>RECUENCO GEMMA CLEOFE</v>
      </c>
      <c r="Q594" s="332" t="str">
        <f>IFERROR(VLOOKUP(P594,[1]Disposition!$AB$9:$AC$495,2,0),"NO RECORD YET")</f>
        <v>Blk13 Lot 38 Phase 1, Norhtgate Exec., Brgy. Sto. Cristo, SJDM, Bulacan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5" customHeight="1">
      <c r="A595" s="326">
        <v>586</v>
      </c>
      <c r="B595" s="327" t="s">
        <v>3102</v>
      </c>
      <c r="C595" s="327" t="s">
        <v>19</v>
      </c>
      <c r="D595" s="326" t="s">
        <v>246</v>
      </c>
      <c r="E595" s="328" t="s">
        <v>1891</v>
      </c>
      <c r="F595" s="328" t="s">
        <v>1892</v>
      </c>
      <c r="G595" s="328" t="s">
        <v>1893</v>
      </c>
      <c r="H595" s="326" t="s">
        <v>268</v>
      </c>
      <c r="I595" s="328" t="s">
        <v>3103</v>
      </c>
      <c r="J595" s="312"/>
      <c r="K595" s="333"/>
      <c r="L595" s="2"/>
      <c r="M595" s="2"/>
      <c r="N595" s="2"/>
      <c r="O595" s="2"/>
      <c r="P595" s="325" t="str">
        <f>CONCATENATE(E595," ",F595," ",G595)</f>
        <v>DAVID EDUARDO  BALATIAN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5" customHeight="1">
      <c r="A596" s="326">
        <v>587</v>
      </c>
      <c r="B596" s="327" t="s">
        <v>1890</v>
      </c>
      <c r="C596" s="327" t="s">
        <v>39</v>
      </c>
      <c r="D596" s="326" t="s">
        <v>40</v>
      </c>
      <c r="E596" s="328" t="s">
        <v>1894</v>
      </c>
      <c r="F596" s="328" t="s">
        <v>1895</v>
      </c>
      <c r="G596" s="328" t="s">
        <v>1896</v>
      </c>
      <c r="H596" s="314"/>
      <c r="I596" s="328" t="s">
        <v>2698</v>
      </c>
      <c r="J596" s="329" t="s">
        <v>1897</v>
      </c>
      <c r="K596" s="331" t="s">
        <v>1898</v>
      </c>
      <c r="L596" s="2"/>
      <c r="M596" s="2"/>
      <c r="N596" s="2"/>
      <c r="O596" s="2"/>
      <c r="P596" s="325" t="str">
        <f>CONCATENATE(E589," ",F589," ",G589)</f>
        <v>ALMADEN GILBERT CABACANG</v>
      </c>
      <c r="Q596" s="332" t="str">
        <f>IFERROR(VLOOKUP(P596,[1]Disposition!$AB$9:$AC$495,2,0),"NO RECORD YET")</f>
        <v>B3 L5 Dama De Noche St. Salinas 2, Camella Homes,  Bacoor, Cavite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5" customHeight="1">
      <c r="A597" s="326">
        <v>588</v>
      </c>
      <c r="B597" s="327" t="s">
        <v>1890</v>
      </c>
      <c r="C597" s="327" t="s">
        <v>39</v>
      </c>
      <c r="D597" s="326" t="s">
        <v>40</v>
      </c>
      <c r="E597" s="328" t="s">
        <v>1875</v>
      </c>
      <c r="F597" s="328" t="s">
        <v>1876</v>
      </c>
      <c r="G597" s="328" t="s">
        <v>1877</v>
      </c>
      <c r="H597" s="314"/>
      <c r="I597" s="328" t="s">
        <v>2720</v>
      </c>
      <c r="J597" s="312"/>
      <c r="K597" s="33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5" customHeight="1">
      <c r="A598" s="326">
        <v>589</v>
      </c>
      <c r="B598" s="327" t="s">
        <v>1890</v>
      </c>
      <c r="C598" s="327" t="s">
        <v>19</v>
      </c>
      <c r="D598" s="326" t="s">
        <v>40</v>
      </c>
      <c r="E598" s="328" t="s">
        <v>1187</v>
      </c>
      <c r="F598" s="328" t="s">
        <v>646</v>
      </c>
      <c r="G598" s="328" t="s">
        <v>1906</v>
      </c>
      <c r="H598" s="314"/>
      <c r="I598" s="328" t="s">
        <v>3104</v>
      </c>
      <c r="J598" s="312"/>
      <c r="K598" s="33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5" customHeight="1">
      <c r="A599" s="2"/>
      <c r="B599" s="345"/>
      <c r="C599" s="345"/>
      <c r="D599" s="2"/>
      <c r="E599" s="2"/>
      <c r="F599" s="2"/>
      <c r="G599" s="2"/>
      <c r="H599" s="2"/>
      <c r="I599" s="2"/>
      <c r="J599" s="2"/>
      <c r="K599" s="31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5" customHeight="1">
      <c r="A600" s="346" t="s">
        <v>1907</v>
      </c>
      <c r="B600" s="2"/>
      <c r="C600" s="2"/>
      <c r="D600" s="2"/>
      <c r="E600" s="2"/>
      <c r="F600" s="2"/>
      <c r="G600" s="2"/>
      <c r="H600" s="2"/>
      <c r="I600" s="2"/>
      <c r="J600" s="2"/>
      <c r="K600" s="31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39" customHeight="1">
      <c r="A601" s="393" t="s">
        <v>9</v>
      </c>
      <c r="B601" s="394"/>
      <c r="C601" s="347"/>
      <c r="D601" s="348" t="s">
        <v>1908</v>
      </c>
      <c r="E601" s="348" t="s">
        <v>2666</v>
      </c>
      <c r="F601" s="349" t="s">
        <v>2667</v>
      </c>
      <c r="G601" s="395" t="s">
        <v>3105</v>
      </c>
      <c r="H601" s="394"/>
      <c r="I601" s="350" t="s">
        <v>1912</v>
      </c>
      <c r="J601" s="2"/>
      <c r="K601" s="31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5" customHeight="1">
      <c r="A602" s="389" t="s">
        <v>1913</v>
      </c>
      <c r="B602" s="390"/>
      <c r="C602" s="313"/>
      <c r="D602" s="351">
        <v>31</v>
      </c>
      <c r="E602" s="352">
        <v>142</v>
      </c>
      <c r="F602" s="352">
        <v>1</v>
      </c>
      <c r="G602" s="391">
        <v>6</v>
      </c>
      <c r="H602" s="390"/>
      <c r="I602" s="352">
        <f t="shared" ref="I602:I604" si="35">SUM(D602:H602)</f>
        <v>180</v>
      </c>
      <c r="J602" s="2"/>
      <c r="K602" s="31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customHeight="1">
      <c r="A603" s="389" t="s">
        <v>1914</v>
      </c>
      <c r="B603" s="390"/>
      <c r="C603" s="313"/>
      <c r="D603" s="351">
        <v>58</v>
      </c>
      <c r="E603" s="352">
        <v>151</v>
      </c>
      <c r="F603" s="352">
        <v>0</v>
      </c>
      <c r="G603" s="391">
        <v>0</v>
      </c>
      <c r="H603" s="390"/>
      <c r="I603" s="352">
        <f t="shared" si="35"/>
        <v>209</v>
      </c>
      <c r="J603" s="2"/>
      <c r="K603" s="31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8" customHeight="1">
      <c r="A604" s="389" t="s">
        <v>1915</v>
      </c>
      <c r="B604" s="390"/>
      <c r="C604" s="313"/>
      <c r="D604" s="351">
        <v>168</v>
      </c>
      <c r="E604" s="352">
        <v>31</v>
      </c>
      <c r="F604" s="352">
        <v>1</v>
      </c>
      <c r="G604" s="391">
        <v>0</v>
      </c>
      <c r="H604" s="390"/>
      <c r="I604" s="352">
        <f t="shared" si="35"/>
        <v>200</v>
      </c>
      <c r="J604" s="2"/>
      <c r="K604" s="31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.25" customHeight="1">
      <c r="A605" s="389" t="s">
        <v>1916</v>
      </c>
      <c r="B605" s="390"/>
      <c r="C605" s="313"/>
      <c r="D605" s="351">
        <f t="shared" ref="D605:G605" si="36">SUM(D602:D604)</f>
        <v>257</v>
      </c>
      <c r="E605" s="351">
        <f t="shared" si="36"/>
        <v>324</v>
      </c>
      <c r="F605" s="351">
        <f t="shared" si="36"/>
        <v>2</v>
      </c>
      <c r="G605" s="389">
        <f t="shared" si="36"/>
        <v>6</v>
      </c>
      <c r="H605" s="390"/>
      <c r="I605" s="351">
        <f>SUM(I602:I604)</f>
        <v>589</v>
      </c>
      <c r="J605" s="2"/>
      <c r="K605" s="31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1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1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1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1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1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1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1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1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1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5" customHeight="1">
      <c r="A615" s="2"/>
      <c r="B615" s="353" t="s">
        <v>1917</v>
      </c>
      <c r="C615" s="2"/>
      <c r="D615" s="2"/>
      <c r="E615" s="2" t="s">
        <v>1918</v>
      </c>
      <c r="F615" s="2"/>
      <c r="G615" s="2"/>
      <c r="H615" s="2" t="s">
        <v>1919</v>
      </c>
      <c r="I615" s="2"/>
      <c r="J615" s="2"/>
      <c r="K615" s="317"/>
      <c r="L615" s="2"/>
      <c r="M615" s="2"/>
      <c r="N615" s="2"/>
      <c r="O615" s="376"/>
      <c r="P615" s="376"/>
      <c r="Q615" s="376"/>
      <c r="R615" s="376"/>
      <c r="S615" s="380"/>
      <c r="T615" s="380"/>
      <c r="U615" s="380"/>
      <c r="V615" s="380"/>
      <c r="W615" s="376"/>
      <c r="X615" s="376"/>
      <c r="Y615" s="380"/>
      <c r="Z615" s="376"/>
      <c r="AA615" s="376"/>
    </row>
    <row r="616" spans="1:27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17"/>
      <c r="L616" s="2"/>
      <c r="M616" s="2"/>
      <c r="N616" s="2"/>
      <c r="O616" s="380"/>
      <c r="P616" s="380"/>
      <c r="Q616" s="380"/>
      <c r="R616" s="2"/>
      <c r="S616" s="2"/>
      <c r="T616" s="2"/>
      <c r="U616" s="376"/>
      <c r="V616" s="380"/>
      <c r="W616" s="380"/>
      <c r="X616" s="380"/>
      <c r="Y616" s="380"/>
      <c r="Z616" s="380"/>
      <c r="AA616" s="380"/>
    </row>
    <row r="617" spans="1:2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376"/>
      <c r="V617" s="380"/>
      <c r="W617" s="2"/>
      <c r="X617" s="376"/>
      <c r="Y617" s="380"/>
      <c r="Z617" s="2"/>
      <c r="AA617" s="2"/>
    </row>
    <row r="618" spans="1:27" ht="13.5" customHeight="1">
      <c r="A618" s="2"/>
      <c r="B618" s="354" t="s">
        <v>1920</v>
      </c>
      <c r="C618" s="2"/>
      <c r="D618" s="2"/>
      <c r="E618" s="354" t="s">
        <v>1921</v>
      </c>
      <c r="F618" s="2"/>
      <c r="G618" s="2"/>
      <c r="H618" s="354" t="s">
        <v>1922</v>
      </c>
      <c r="I618" s="2"/>
      <c r="J618" s="2"/>
      <c r="K618" s="317"/>
      <c r="L618" s="2"/>
      <c r="M618" s="2"/>
      <c r="N618" s="2"/>
      <c r="O618" s="2"/>
      <c r="P618" s="2"/>
      <c r="Q618" s="2"/>
      <c r="R618" s="2"/>
      <c r="S618" s="2"/>
      <c r="T618" s="2"/>
      <c r="U618" s="376"/>
      <c r="V618" s="380"/>
      <c r="W618" s="2"/>
      <c r="X618" s="376"/>
      <c r="Y618" s="380"/>
      <c r="Z618" s="2"/>
      <c r="AA618" s="2"/>
    </row>
    <row r="619" spans="1:27" ht="13.5" customHeight="1">
      <c r="A619" s="2"/>
      <c r="B619" s="353" t="s">
        <v>1923</v>
      </c>
      <c r="C619" s="2"/>
      <c r="D619" s="2"/>
      <c r="E619" s="353" t="s">
        <v>1924</v>
      </c>
      <c r="F619" s="2"/>
      <c r="G619" s="2"/>
      <c r="H619" s="353" t="s">
        <v>1925</v>
      </c>
      <c r="I619" s="2"/>
      <c r="J619" s="2"/>
      <c r="K619" s="317"/>
      <c r="L619" s="2"/>
      <c r="M619" s="2"/>
      <c r="N619" s="2"/>
      <c r="O619" s="2"/>
      <c r="P619" s="2"/>
      <c r="Q619" s="2"/>
      <c r="R619" s="2"/>
      <c r="S619" s="2"/>
      <c r="T619" s="2"/>
      <c r="U619" s="376"/>
      <c r="V619" s="380"/>
      <c r="W619" s="2"/>
      <c r="X619" s="376"/>
      <c r="Y619" s="380"/>
      <c r="Z619" s="2"/>
      <c r="AA619" s="2"/>
    </row>
    <row r="620" spans="1:27" ht="12" customHeight="1">
      <c r="A620" s="2"/>
      <c r="B620" s="353" t="s">
        <v>1926</v>
      </c>
      <c r="C620" s="2"/>
      <c r="D620" s="2"/>
      <c r="E620" s="353" t="s">
        <v>1927</v>
      </c>
      <c r="F620" s="2"/>
      <c r="G620" s="2"/>
      <c r="H620" s="353" t="s">
        <v>1928</v>
      </c>
      <c r="I620" s="2"/>
      <c r="J620" s="2"/>
      <c r="K620" s="317"/>
      <c r="L620" s="2"/>
      <c r="M620" s="2"/>
      <c r="N620" s="2"/>
      <c r="O620" s="2"/>
      <c r="P620" s="2"/>
      <c r="Q620" s="2"/>
      <c r="R620" s="2"/>
      <c r="S620" s="2"/>
      <c r="T620" s="2"/>
      <c r="U620" s="376"/>
      <c r="V620" s="380"/>
      <c r="W620" s="2"/>
      <c r="X620" s="376"/>
      <c r="Y620" s="380"/>
      <c r="Z620" s="2"/>
      <c r="AA620" s="2"/>
    </row>
    <row r="621" spans="1:27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1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" customHeight="1">
      <c r="A622" s="2"/>
      <c r="B622" s="2"/>
      <c r="C622" s="2"/>
      <c r="D622" s="2"/>
      <c r="E622" s="355"/>
      <c r="F622" s="2"/>
      <c r="G622" s="2"/>
      <c r="H622" s="2"/>
      <c r="I622" s="2"/>
      <c r="J622" s="2"/>
      <c r="K622" s="31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17"/>
      <c r="L623" s="2"/>
      <c r="M623" s="2"/>
      <c r="N623" s="2"/>
      <c r="O623" s="384"/>
      <c r="P623" s="384"/>
      <c r="Q623" s="385" t="s">
        <v>1929</v>
      </c>
      <c r="R623" s="388" t="s">
        <v>1930</v>
      </c>
      <c r="S623" s="371"/>
      <c r="T623" s="381" t="s">
        <v>1931</v>
      </c>
      <c r="U623" s="388" t="s">
        <v>1932</v>
      </c>
      <c r="V623" s="372"/>
      <c r="W623" s="372"/>
      <c r="X623" s="372"/>
      <c r="Y623" s="371"/>
      <c r="Z623" s="381" t="s">
        <v>1933</v>
      </c>
      <c r="AA623" s="381" t="s">
        <v>1934</v>
      </c>
    </row>
    <row r="624" spans="1:27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17"/>
      <c r="L624" s="2"/>
      <c r="M624" s="2"/>
      <c r="N624" s="2"/>
      <c r="O624" s="382"/>
      <c r="P624" s="382"/>
      <c r="Q624" s="382"/>
      <c r="R624" s="356" t="s">
        <v>3106</v>
      </c>
      <c r="S624" s="356" t="s">
        <v>3107</v>
      </c>
      <c r="T624" s="382"/>
      <c r="U624" s="357" t="s">
        <v>3108</v>
      </c>
      <c r="V624" s="356" t="s">
        <v>3109</v>
      </c>
      <c r="W624" s="356" t="s">
        <v>3110</v>
      </c>
      <c r="X624" s="383" t="s">
        <v>3111</v>
      </c>
      <c r="Y624" s="371"/>
      <c r="Z624" s="382"/>
      <c r="AA624" s="382"/>
    </row>
    <row r="625" spans="1:27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17"/>
      <c r="L625" s="2"/>
      <c r="M625" s="2"/>
      <c r="N625" s="2"/>
      <c r="O625" s="358"/>
      <c r="P625" s="358"/>
      <c r="Q625" s="359">
        <v>30</v>
      </c>
      <c r="R625" s="359">
        <v>10</v>
      </c>
      <c r="S625" s="359">
        <v>21</v>
      </c>
      <c r="T625" s="360">
        <f t="shared" ref="T625:T628" si="37">SUM(P625:S625)</f>
        <v>61</v>
      </c>
      <c r="U625" s="360">
        <v>1</v>
      </c>
      <c r="V625" s="359">
        <v>5</v>
      </c>
      <c r="W625" s="359">
        <v>2</v>
      </c>
      <c r="X625" s="386">
        <v>49</v>
      </c>
      <c r="Y625" s="371"/>
      <c r="Z625" s="361">
        <f>SUM(U625:Y625)</f>
        <v>57</v>
      </c>
      <c r="AA625" s="360">
        <f t="shared" ref="AA625:AA628" si="38">T625+Z625</f>
        <v>118</v>
      </c>
    </row>
    <row r="626" spans="1:27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17"/>
      <c r="L626" s="2"/>
      <c r="M626" s="2"/>
      <c r="N626" s="2"/>
      <c r="O626" s="358"/>
      <c r="P626" s="358"/>
      <c r="Q626" s="359">
        <v>23</v>
      </c>
      <c r="R626" s="359">
        <v>1</v>
      </c>
      <c r="S626" s="359">
        <v>4</v>
      </c>
      <c r="T626" s="360">
        <f t="shared" si="37"/>
        <v>28</v>
      </c>
      <c r="U626" s="360">
        <v>0</v>
      </c>
      <c r="V626" s="359">
        <v>4</v>
      </c>
      <c r="W626" s="359">
        <v>0</v>
      </c>
      <c r="X626" s="386">
        <v>44</v>
      </c>
      <c r="Y626" s="371"/>
      <c r="Z626" s="361">
        <f t="shared" ref="Z626:Z627" si="39">SUM(V626:Y626)</f>
        <v>48</v>
      </c>
      <c r="AA626" s="360">
        <f t="shared" si="38"/>
        <v>76</v>
      </c>
    </row>
    <row r="627" spans="1: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17"/>
      <c r="L627" s="2"/>
      <c r="M627" s="2"/>
      <c r="N627" s="2"/>
      <c r="O627" s="358"/>
      <c r="P627" s="358"/>
      <c r="Q627" s="359">
        <v>14</v>
      </c>
      <c r="R627" s="359">
        <v>4</v>
      </c>
      <c r="S627" s="359">
        <v>3</v>
      </c>
      <c r="T627" s="360">
        <f t="shared" si="37"/>
        <v>21</v>
      </c>
      <c r="U627" s="360">
        <v>0</v>
      </c>
      <c r="V627" s="359">
        <v>0</v>
      </c>
      <c r="W627" s="359">
        <v>0</v>
      </c>
      <c r="X627" s="386">
        <v>0</v>
      </c>
      <c r="Y627" s="371"/>
      <c r="Z627" s="361">
        <f t="shared" si="39"/>
        <v>0</v>
      </c>
      <c r="AA627" s="360">
        <f t="shared" si="38"/>
        <v>21</v>
      </c>
    </row>
    <row r="628" spans="1:27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17"/>
      <c r="L628" s="2"/>
      <c r="M628" s="2"/>
      <c r="N628" s="2"/>
      <c r="O628" s="358"/>
      <c r="P628" s="358"/>
      <c r="Q628" s="362">
        <f t="shared" ref="Q628:S628" si="40">SUM(Q625:Q627)</f>
        <v>67</v>
      </c>
      <c r="R628" s="362">
        <f t="shared" si="40"/>
        <v>15</v>
      </c>
      <c r="S628" s="362">
        <f t="shared" si="40"/>
        <v>28</v>
      </c>
      <c r="T628" s="360">
        <f t="shared" si="37"/>
        <v>110</v>
      </c>
      <c r="U628" s="362">
        <f t="shared" ref="U628:X628" si="41">SUM(U625:U627)</f>
        <v>1</v>
      </c>
      <c r="V628" s="362">
        <f t="shared" si="41"/>
        <v>9</v>
      </c>
      <c r="W628" s="362">
        <f t="shared" si="41"/>
        <v>2</v>
      </c>
      <c r="X628" s="387">
        <f t="shared" si="41"/>
        <v>93</v>
      </c>
      <c r="Y628" s="371"/>
      <c r="Z628" s="361">
        <f>SUM(Z625:Z627)</f>
        <v>105</v>
      </c>
      <c r="AA628" s="360">
        <f t="shared" si="38"/>
        <v>215</v>
      </c>
    </row>
    <row r="629" spans="1:27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1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1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1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1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1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1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1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1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1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1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1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1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1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1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1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1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1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1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1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1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1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1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1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1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1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1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1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1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1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1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1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1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1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1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1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1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1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1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1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1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1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1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1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1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1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1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1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1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1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1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1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1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1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1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1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1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1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1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1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1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1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1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1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1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1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1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1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1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1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1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1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1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1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1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1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1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1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1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1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1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1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1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1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1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1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1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1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1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1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1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1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1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1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1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1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1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1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1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1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1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1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1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1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1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1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1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1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1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1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1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1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1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1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1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1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1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1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1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1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1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1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1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1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1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1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1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1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1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1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1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1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1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1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1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1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1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1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1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1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1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1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1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1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1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1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1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1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1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1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1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1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1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1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1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1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1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1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1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1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1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1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1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1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1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1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1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1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1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1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1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1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1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1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1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1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1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1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1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1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1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1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1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1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1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1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1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1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1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1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1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1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1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1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1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1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1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1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1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1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1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1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1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1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1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1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1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1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1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1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1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1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1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1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1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1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1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1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1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1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1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1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1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1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1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1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1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1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1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1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1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1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1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1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1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1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1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1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1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1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1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1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1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1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1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1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1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1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1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1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1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1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1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1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1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1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1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1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1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1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1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1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1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1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1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1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1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1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1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1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1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1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1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1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1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1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1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1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1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1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1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1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1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1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1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1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1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1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1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1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1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1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1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1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1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1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1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1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1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1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1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1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1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1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1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1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1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1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1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1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1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1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1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1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1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1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1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1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1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1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1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1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1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1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1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1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1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1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1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1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1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1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1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1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1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1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1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1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1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1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1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1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1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1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1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1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1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1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1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1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1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1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1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1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1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1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1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1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1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1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1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1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1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1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1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1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1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1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1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1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1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autoFilter ref="A9:AA598" xr:uid="{00000000-0009-0000-0000-000004000000}"/>
  <mergeCells count="47">
    <mergeCell ref="A1:I1"/>
    <mergeCell ref="A2:I2"/>
    <mergeCell ref="A3:I3"/>
    <mergeCell ref="A4:I4"/>
    <mergeCell ref="A5:I5"/>
    <mergeCell ref="A6:I6"/>
    <mergeCell ref="A7:I7"/>
    <mergeCell ref="A601:B601"/>
    <mergeCell ref="G601:H601"/>
    <mergeCell ref="A602:B602"/>
    <mergeCell ref="G602:H602"/>
    <mergeCell ref="A603:B603"/>
    <mergeCell ref="G603:H603"/>
    <mergeCell ref="A604:B604"/>
    <mergeCell ref="G604:H604"/>
    <mergeCell ref="A605:B605"/>
    <mergeCell ref="G605:H605"/>
    <mergeCell ref="R623:S623"/>
    <mergeCell ref="U623:Y623"/>
    <mergeCell ref="T623:T624"/>
    <mergeCell ref="R615:V615"/>
    <mergeCell ref="U616:V616"/>
    <mergeCell ref="U617:V617"/>
    <mergeCell ref="X617:Y617"/>
    <mergeCell ref="U618:V618"/>
    <mergeCell ref="X618:Y618"/>
    <mergeCell ref="W615:W616"/>
    <mergeCell ref="X625:Y625"/>
    <mergeCell ref="X626:Y626"/>
    <mergeCell ref="X627:Y627"/>
    <mergeCell ref="X628:Y628"/>
    <mergeCell ref="U619:V619"/>
    <mergeCell ref="X619:Y619"/>
    <mergeCell ref="U620:V620"/>
    <mergeCell ref="X620:Y620"/>
    <mergeCell ref="O615:O616"/>
    <mergeCell ref="O623:O624"/>
    <mergeCell ref="P615:P616"/>
    <mergeCell ref="P623:P624"/>
    <mergeCell ref="Q615:Q616"/>
    <mergeCell ref="Q623:Q624"/>
    <mergeCell ref="Z615:Z616"/>
    <mergeCell ref="Z623:Z624"/>
    <mergeCell ref="AA615:AA616"/>
    <mergeCell ref="AA623:AA624"/>
    <mergeCell ref="X615:Y616"/>
    <mergeCell ref="X624:Y624"/>
  </mergeCells>
  <printOptions horizontalCentered="1"/>
  <pageMargins left="0.43307086614173229" right="0.43307086614173229" top="0.39370078740157483" bottom="0.39370078740157483" header="0" footer="0"/>
  <pageSetup paperSize="9" scale="6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abSelected="1" view="pageBreakPreview" zoomScale="91" zoomScaleNormal="100" workbookViewId="0">
      <pane ySplit="8" topLeftCell="A541" activePane="bottomLeft" state="frozen"/>
      <selection pane="bottomLeft" activeCell="E549" sqref="E549"/>
    </sheetView>
  </sheetViews>
  <sheetFormatPr defaultColWidth="12.5703125" defaultRowHeight="15" customHeight="1"/>
  <cols>
    <col min="1" max="1" width="6.140625" customWidth="1"/>
    <col min="2" max="2" width="8.5703125" customWidth="1"/>
    <col min="3" max="3" width="8.7109375" customWidth="1"/>
    <col min="4" max="4" width="10.140625" customWidth="1"/>
    <col min="5" max="5" width="15.7109375" customWidth="1"/>
    <col min="6" max="6" width="18.7109375" customWidth="1"/>
    <col min="7" max="7" width="15.85546875" customWidth="1"/>
    <col min="8" max="8" width="6.28515625" customWidth="1"/>
    <col min="9" max="9" width="25.5703125" customWidth="1"/>
    <col min="10" max="10" width="12.28515625" customWidth="1"/>
    <col min="11" max="11" width="29.5703125" customWidth="1"/>
    <col min="12" max="12" width="13" customWidth="1"/>
    <col min="13" max="13" width="9.28515625" customWidth="1"/>
    <col min="14" max="14" width="8.85546875" customWidth="1"/>
    <col min="15" max="15" width="27.85546875" customWidth="1"/>
    <col min="16" max="16" width="30.140625" customWidth="1"/>
    <col min="17" max="26" width="9.140625" customWidth="1"/>
  </cols>
  <sheetData>
    <row r="1" spans="1:26" ht="12.75" customHeight="1">
      <c r="A1" s="396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>
      <c r="A2" s="396" t="s">
        <v>2796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>
      <c r="A3" s="396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>
      <c r="A4" s="396" t="s">
        <v>2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>
      <c r="A5" s="397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.75" customHeight="1">
      <c r="A6" s="396" t="s">
        <v>3112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7.25" customHeight="1">
      <c r="A7" s="396" t="s">
        <v>3662</v>
      </c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.75" customHeight="1">
      <c r="A8" s="233" t="s">
        <v>6</v>
      </c>
      <c r="B8" s="233" t="s">
        <v>9</v>
      </c>
      <c r="C8" s="233" t="s">
        <v>3113</v>
      </c>
      <c r="D8" s="234" t="s">
        <v>3114</v>
      </c>
      <c r="E8" s="235" t="s">
        <v>3115</v>
      </c>
      <c r="F8" s="233" t="s">
        <v>3116</v>
      </c>
      <c r="G8" s="233" t="s">
        <v>12</v>
      </c>
      <c r="H8" s="233" t="s">
        <v>3117</v>
      </c>
      <c r="I8" s="233" t="s">
        <v>3118</v>
      </c>
      <c r="J8" s="236" t="s">
        <v>3119</v>
      </c>
      <c r="K8" s="233" t="s">
        <v>3120</v>
      </c>
      <c r="L8" s="236" t="s">
        <v>3121</v>
      </c>
      <c r="M8" s="236" t="s">
        <v>3122</v>
      </c>
      <c r="N8" s="236" t="s">
        <v>40</v>
      </c>
      <c r="O8" s="233" t="s">
        <v>7</v>
      </c>
      <c r="P8" s="233" t="s">
        <v>2797</v>
      </c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25.5" customHeight="1">
      <c r="A9" s="190">
        <v>1</v>
      </c>
      <c r="B9" s="190" t="s">
        <v>96</v>
      </c>
      <c r="C9" s="190" t="s">
        <v>3123</v>
      </c>
      <c r="D9" s="190" t="s">
        <v>3124</v>
      </c>
      <c r="E9" s="237" t="s">
        <v>1937</v>
      </c>
      <c r="F9" s="237" t="s">
        <v>1938</v>
      </c>
      <c r="G9" s="237" t="s">
        <v>410</v>
      </c>
      <c r="H9" s="238"/>
      <c r="I9" s="239" t="str">
        <f t="shared" ref="I9:I72" si="0">DATEDIF(J9,DATE(2026,4,30),"y")&amp;" years, "&amp;DATEDIF(J9,DATE(2026,4,30),"ym")&amp;" month(s), "&amp;DATEDIF(J9,DATE(2026,4,30),"md")&amp;" day(s)"</f>
        <v>34 years, 7 month(s), 19 day(s)</v>
      </c>
      <c r="J9" s="240">
        <v>33492</v>
      </c>
      <c r="K9" s="239" t="str">
        <f t="shared" ref="K9:K72" si="1">DATEDIF(L9,DATE(2026,4,30),"y")&amp;" years, "&amp;DATEDIF(L9,DATE(2026,4,30),"ym")&amp;" month(s), "&amp;DATEDIF(L9,DATE(2026,4,30),"md")&amp;" day(s)"</f>
        <v>4 years, 5 month(s), 26 day(s)</v>
      </c>
      <c r="L9" s="240">
        <v>44504</v>
      </c>
      <c r="M9" s="240">
        <v>41619</v>
      </c>
      <c r="N9" s="241"/>
      <c r="O9" s="193" t="s">
        <v>1936</v>
      </c>
      <c r="P9" s="242" t="s">
        <v>2848</v>
      </c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25.5" customHeight="1">
      <c r="A10" s="190">
        <v>2</v>
      </c>
      <c r="B10" s="190" t="s">
        <v>24</v>
      </c>
      <c r="C10" s="190" t="s">
        <v>3123</v>
      </c>
      <c r="D10" s="190">
        <v>311622</v>
      </c>
      <c r="E10" s="237" t="s">
        <v>2363</v>
      </c>
      <c r="F10" s="237" t="s">
        <v>2364</v>
      </c>
      <c r="G10" s="237" t="s">
        <v>2365</v>
      </c>
      <c r="H10" s="238"/>
      <c r="I10" s="239" t="str">
        <f t="shared" si="0"/>
        <v>38 years, 6 month(s), 6 day(s)</v>
      </c>
      <c r="J10" s="240">
        <v>32074</v>
      </c>
      <c r="K10" s="239" t="str">
        <f t="shared" si="1"/>
        <v>8 years, 7 month(s), 14 day(s)</v>
      </c>
      <c r="L10" s="240">
        <v>42994</v>
      </c>
      <c r="M10" s="241"/>
      <c r="N10" s="241"/>
      <c r="O10" s="193" t="s">
        <v>2348</v>
      </c>
      <c r="P10" s="242" t="s">
        <v>2849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25.5" customHeight="1">
      <c r="A11" s="190">
        <v>3</v>
      </c>
      <c r="B11" s="190" t="s">
        <v>96</v>
      </c>
      <c r="C11" s="190" t="s">
        <v>3123</v>
      </c>
      <c r="D11" s="190" t="s">
        <v>3125</v>
      </c>
      <c r="E11" s="237" t="s">
        <v>358</v>
      </c>
      <c r="F11" s="237" t="s">
        <v>359</v>
      </c>
      <c r="G11" s="237" t="s">
        <v>360</v>
      </c>
      <c r="H11" s="238"/>
      <c r="I11" s="239" t="str">
        <f t="shared" si="0"/>
        <v>31 years, 1 month(s), 27 day(s)</v>
      </c>
      <c r="J11" s="240">
        <v>34761</v>
      </c>
      <c r="K11" s="239" t="str">
        <f t="shared" si="1"/>
        <v>6 years, 6 month(s), 9 day(s)</v>
      </c>
      <c r="L11" s="240">
        <v>43759</v>
      </c>
      <c r="M11" s="241"/>
      <c r="N11" s="241"/>
      <c r="O11" s="193" t="s">
        <v>352</v>
      </c>
      <c r="P11" s="242" t="s">
        <v>2848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25.5" customHeight="1">
      <c r="A12" s="190">
        <v>4</v>
      </c>
      <c r="B12" s="190" t="s">
        <v>28</v>
      </c>
      <c r="C12" s="190" t="s">
        <v>3123</v>
      </c>
      <c r="D12" s="190">
        <v>376371</v>
      </c>
      <c r="E12" s="237" t="s">
        <v>2295</v>
      </c>
      <c r="F12" s="237" t="s">
        <v>2296</v>
      </c>
      <c r="G12" s="237" t="s">
        <v>2297</v>
      </c>
      <c r="H12" s="238"/>
      <c r="I12" s="239" t="str">
        <f t="shared" si="0"/>
        <v>28 years, 3 month(s), 28 day(s)</v>
      </c>
      <c r="J12" s="240">
        <v>35797</v>
      </c>
      <c r="K12" s="239" t="str">
        <f t="shared" si="1"/>
        <v>3 years, 4 month(s), 3 day(s)</v>
      </c>
      <c r="L12" s="240">
        <v>44922</v>
      </c>
      <c r="M12" s="241"/>
      <c r="N12" s="241"/>
      <c r="O12" s="193" t="s">
        <v>2279</v>
      </c>
      <c r="P12" s="242" t="s">
        <v>2849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25.5" customHeight="1">
      <c r="A13" s="190">
        <v>5</v>
      </c>
      <c r="B13" s="190" t="s">
        <v>28</v>
      </c>
      <c r="C13" s="190" t="s">
        <v>3123</v>
      </c>
      <c r="D13" s="190">
        <v>375615</v>
      </c>
      <c r="E13" s="237" t="s">
        <v>372</v>
      </c>
      <c r="F13" s="237" t="s">
        <v>373</v>
      </c>
      <c r="G13" s="237" t="s">
        <v>374</v>
      </c>
      <c r="H13" s="238"/>
      <c r="I13" s="239" t="str">
        <f t="shared" si="0"/>
        <v>28 years, 4 month(s), 4 day(s)</v>
      </c>
      <c r="J13" s="240">
        <v>35790</v>
      </c>
      <c r="K13" s="239" t="str">
        <f t="shared" si="1"/>
        <v>3 years, 5 month(s), 16 day(s)</v>
      </c>
      <c r="L13" s="240">
        <v>44879</v>
      </c>
      <c r="M13" s="241"/>
      <c r="N13" s="241"/>
      <c r="O13" s="193" t="s">
        <v>352</v>
      </c>
      <c r="P13" s="242" t="s">
        <v>2849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25.5" customHeight="1">
      <c r="A14" s="190">
        <v>6</v>
      </c>
      <c r="B14" s="190" t="s">
        <v>96</v>
      </c>
      <c r="C14" s="190" t="s">
        <v>3123</v>
      </c>
      <c r="D14" s="190" t="s">
        <v>3126</v>
      </c>
      <c r="E14" s="237" t="s">
        <v>677</v>
      </c>
      <c r="F14" s="237" t="s">
        <v>678</v>
      </c>
      <c r="G14" s="237" t="s">
        <v>679</v>
      </c>
      <c r="H14" s="238"/>
      <c r="I14" s="239" t="str">
        <f t="shared" si="0"/>
        <v>34 years, 1 month(s), 13 day(s)</v>
      </c>
      <c r="J14" s="240">
        <v>33680</v>
      </c>
      <c r="K14" s="239" t="str">
        <f t="shared" si="1"/>
        <v>4 years, 7 month(s), 14 day(s)</v>
      </c>
      <c r="L14" s="240">
        <v>44455</v>
      </c>
      <c r="M14" s="240">
        <v>42562</v>
      </c>
      <c r="N14" s="241"/>
      <c r="O14" s="193" t="s">
        <v>676</v>
      </c>
      <c r="P14" s="242" t="s">
        <v>2848</v>
      </c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25.5" customHeight="1">
      <c r="A15" s="190">
        <v>7</v>
      </c>
      <c r="B15" s="190" t="s">
        <v>40</v>
      </c>
      <c r="C15" s="190" t="s">
        <v>3123</v>
      </c>
      <c r="D15" s="190">
        <v>7</v>
      </c>
      <c r="E15" s="237" t="s">
        <v>899</v>
      </c>
      <c r="F15" s="237" t="s">
        <v>900</v>
      </c>
      <c r="G15" s="237" t="s">
        <v>901</v>
      </c>
      <c r="H15" s="238"/>
      <c r="I15" s="239" t="str">
        <f t="shared" si="0"/>
        <v>63 years, 2 month(s), 12 day(s)</v>
      </c>
      <c r="J15" s="240">
        <v>23060</v>
      </c>
      <c r="K15" s="239" t="str">
        <f t="shared" si="1"/>
        <v>43 years, 11 month(s), 29 day(s)</v>
      </c>
      <c r="L15" s="240">
        <v>30072</v>
      </c>
      <c r="M15" s="241"/>
      <c r="N15" s="241"/>
      <c r="O15" s="193" t="s">
        <v>891</v>
      </c>
      <c r="P15" s="242" t="s">
        <v>2673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25.5" customHeight="1">
      <c r="A16" s="190">
        <v>8</v>
      </c>
      <c r="B16" s="190" t="s">
        <v>40</v>
      </c>
      <c r="C16" s="190" t="s">
        <v>3123</v>
      </c>
      <c r="D16" s="190">
        <v>17</v>
      </c>
      <c r="E16" s="237" t="s">
        <v>1401</v>
      </c>
      <c r="F16" s="237" t="s">
        <v>1402</v>
      </c>
      <c r="G16" s="237" t="s">
        <v>1403</v>
      </c>
      <c r="H16" s="238"/>
      <c r="I16" s="239" t="str">
        <f t="shared" si="0"/>
        <v>37 years, 10 month(s), 19 day(s)</v>
      </c>
      <c r="J16" s="240">
        <v>32305</v>
      </c>
      <c r="K16" s="239" t="str">
        <f t="shared" si="1"/>
        <v>14 years, 6 month(s), 16 day(s)</v>
      </c>
      <c r="L16" s="240">
        <v>40830</v>
      </c>
      <c r="M16" s="241"/>
      <c r="N16" s="241"/>
      <c r="O16" s="193" t="s">
        <v>1396</v>
      </c>
      <c r="P16" s="242" t="s">
        <v>2674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25.5" customHeight="1">
      <c r="A17" s="190">
        <v>9</v>
      </c>
      <c r="B17" s="190" t="s">
        <v>40</v>
      </c>
      <c r="C17" s="190" t="s">
        <v>3123</v>
      </c>
      <c r="D17" s="190">
        <v>15</v>
      </c>
      <c r="E17" s="237" t="s">
        <v>1598</v>
      </c>
      <c r="F17" s="237" t="s">
        <v>1599</v>
      </c>
      <c r="G17" s="237" t="s">
        <v>1600</v>
      </c>
      <c r="H17" s="238"/>
      <c r="I17" s="239" t="str">
        <f t="shared" si="0"/>
        <v>40 years, 11 month(s), 20 day(s)</v>
      </c>
      <c r="J17" s="240">
        <v>31177</v>
      </c>
      <c r="K17" s="239" t="str">
        <f t="shared" si="1"/>
        <v>12 years, 5 month(s), 9 day(s)</v>
      </c>
      <c r="L17" s="240">
        <v>41599</v>
      </c>
      <c r="M17" s="241"/>
      <c r="N17" s="241"/>
      <c r="O17" s="193" t="s">
        <v>1588</v>
      </c>
      <c r="P17" s="242" t="s">
        <v>2675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25.5" customHeight="1">
      <c r="A18" s="190">
        <v>10</v>
      </c>
      <c r="B18" s="190" t="s">
        <v>24</v>
      </c>
      <c r="C18" s="190" t="s">
        <v>3123</v>
      </c>
      <c r="D18" s="190">
        <v>196791</v>
      </c>
      <c r="E18" s="237" t="s">
        <v>102</v>
      </c>
      <c r="F18" s="237" t="s">
        <v>103</v>
      </c>
      <c r="G18" s="237" t="s">
        <v>104</v>
      </c>
      <c r="H18" s="238"/>
      <c r="I18" s="239" t="str">
        <f t="shared" si="0"/>
        <v>42 years, 10 month(s), 13 day(s)</v>
      </c>
      <c r="J18" s="240">
        <v>30484</v>
      </c>
      <c r="K18" s="239" t="str">
        <f t="shared" si="1"/>
        <v>16 years, 9 month(s), 29 day(s)</v>
      </c>
      <c r="L18" s="240">
        <v>39995</v>
      </c>
      <c r="M18" s="241"/>
      <c r="N18" s="241"/>
      <c r="O18" s="193" t="s">
        <v>90</v>
      </c>
      <c r="P18" s="242" t="s">
        <v>2818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25.5" customHeight="1">
      <c r="A19" s="190">
        <v>11</v>
      </c>
      <c r="B19" s="190" t="s">
        <v>28</v>
      </c>
      <c r="C19" s="190" t="s">
        <v>3123</v>
      </c>
      <c r="D19" s="190">
        <v>382567</v>
      </c>
      <c r="E19" s="237" t="s">
        <v>585</v>
      </c>
      <c r="F19" s="237" t="s">
        <v>586</v>
      </c>
      <c r="G19" s="237" t="s">
        <v>587</v>
      </c>
      <c r="H19" s="243" t="s">
        <v>268</v>
      </c>
      <c r="I19" s="239" t="str">
        <f t="shared" si="0"/>
        <v>32 years, 11 month(s), 29 day(s)</v>
      </c>
      <c r="J19" s="240">
        <v>34090</v>
      </c>
      <c r="K19" s="239" t="str">
        <f t="shared" si="1"/>
        <v>1 years, 4 month(s), 15 day(s)</v>
      </c>
      <c r="L19" s="240">
        <v>45641</v>
      </c>
      <c r="M19" s="241"/>
      <c r="N19" s="240">
        <v>44935</v>
      </c>
      <c r="O19" s="193" t="s">
        <v>3127</v>
      </c>
      <c r="P19" s="242" t="s">
        <v>3052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25.5" customHeight="1">
      <c r="A20" s="190">
        <v>12</v>
      </c>
      <c r="B20" s="190" t="s">
        <v>40</v>
      </c>
      <c r="C20" s="190" t="s">
        <v>3123</v>
      </c>
      <c r="D20" s="190">
        <v>6</v>
      </c>
      <c r="E20" s="237" t="s">
        <v>3008</v>
      </c>
      <c r="F20" s="237" t="s">
        <v>3009</v>
      </c>
      <c r="G20" s="237" t="s">
        <v>286</v>
      </c>
      <c r="H20" s="238"/>
      <c r="I20" s="239" t="str">
        <f t="shared" si="0"/>
        <v>21 years, 10 month(s), 8 day(s)</v>
      </c>
      <c r="J20" s="240">
        <v>38160</v>
      </c>
      <c r="K20" s="239" t="str">
        <f t="shared" si="1"/>
        <v>0 years, 1 month(s), 5 day(s)</v>
      </c>
      <c r="L20" s="240">
        <v>46106</v>
      </c>
      <c r="M20" s="241"/>
      <c r="N20" s="241"/>
      <c r="O20" s="193" t="s">
        <v>1330</v>
      </c>
      <c r="P20" s="242" t="s">
        <v>3010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25.5" customHeight="1">
      <c r="A21" s="190">
        <v>13</v>
      </c>
      <c r="B21" s="190" t="s">
        <v>40</v>
      </c>
      <c r="C21" s="190" t="s">
        <v>3123</v>
      </c>
      <c r="D21" s="190">
        <v>18</v>
      </c>
      <c r="E21" s="237" t="s">
        <v>1452</v>
      </c>
      <c r="F21" s="237" t="s">
        <v>770</v>
      </c>
      <c r="G21" s="237" t="s">
        <v>1453</v>
      </c>
      <c r="H21" s="238"/>
      <c r="I21" s="239" t="str">
        <f t="shared" si="0"/>
        <v>34 years, 11 month(s), 8 day(s)</v>
      </c>
      <c r="J21" s="240">
        <v>33380</v>
      </c>
      <c r="K21" s="239" t="str">
        <f t="shared" si="1"/>
        <v>13 years, 0 month(s), 5 day(s)</v>
      </c>
      <c r="L21" s="240">
        <v>41389</v>
      </c>
      <c r="M21" s="241"/>
      <c r="N21" s="241"/>
      <c r="O21" s="193" t="s">
        <v>1451</v>
      </c>
      <c r="P21" s="242" t="s">
        <v>3012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25.5" customHeight="1">
      <c r="A22" s="190">
        <v>14</v>
      </c>
      <c r="B22" s="190" t="s">
        <v>28</v>
      </c>
      <c r="C22" s="190" t="s">
        <v>3123</v>
      </c>
      <c r="D22" s="190">
        <v>376372</v>
      </c>
      <c r="E22" s="237" t="s">
        <v>259</v>
      </c>
      <c r="F22" s="237" t="s">
        <v>260</v>
      </c>
      <c r="G22" s="237" t="s">
        <v>261</v>
      </c>
      <c r="H22" s="238"/>
      <c r="I22" s="239" t="str">
        <f t="shared" si="0"/>
        <v>30 years, 10 month(s), 24 day(s)</v>
      </c>
      <c r="J22" s="240">
        <v>34856</v>
      </c>
      <c r="K22" s="239" t="str">
        <f t="shared" si="1"/>
        <v>3 years, 4 month(s), 3 day(s)</v>
      </c>
      <c r="L22" s="240">
        <v>44922</v>
      </c>
      <c r="M22" s="241"/>
      <c r="N22" s="241"/>
      <c r="O22" s="193" t="s">
        <v>252</v>
      </c>
      <c r="P22" s="242" t="s">
        <v>2849</v>
      </c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25.5" customHeight="1">
      <c r="A23" s="190">
        <v>15</v>
      </c>
      <c r="B23" s="190" t="s">
        <v>40</v>
      </c>
      <c r="C23" s="190" t="s">
        <v>3123</v>
      </c>
      <c r="D23" s="190">
        <v>7</v>
      </c>
      <c r="E23" s="237" t="s">
        <v>971</v>
      </c>
      <c r="F23" s="237" t="s">
        <v>1388</v>
      </c>
      <c r="G23" s="237" t="s">
        <v>636</v>
      </c>
      <c r="H23" s="238"/>
      <c r="I23" s="239" t="str">
        <f t="shared" si="0"/>
        <v>57 years, 8 month(s), 16 day(s)</v>
      </c>
      <c r="J23" s="240">
        <v>25064</v>
      </c>
      <c r="K23" s="239" t="str">
        <f t="shared" si="1"/>
        <v>96 years, 3 month(s), 14 day(s)</v>
      </c>
      <c r="L23" s="240">
        <v>10974</v>
      </c>
      <c r="M23" s="241"/>
      <c r="N23" s="241"/>
      <c r="O23" s="193" t="s">
        <v>2850</v>
      </c>
      <c r="P23" s="242" t="s">
        <v>2716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25.5" customHeight="1">
      <c r="A24" s="190">
        <v>16</v>
      </c>
      <c r="B24" s="190" t="s">
        <v>644</v>
      </c>
      <c r="C24" s="190" t="s">
        <v>3123</v>
      </c>
      <c r="D24" s="190">
        <v>260764</v>
      </c>
      <c r="E24" s="237" t="s">
        <v>971</v>
      </c>
      <c r="F24" s="237" t="s">
        <v>972</v>
      </c>
      <c r="G24" s="237" t="s">
        <v>973</v>
      </c>
      <c r="H24" s="238"/>
      <c r="I24" s="239" t="str">
        <f t="shared" si="0"/>
        <v>41 years, 8 month(s), 2 day(s)</v>
      </c>
      <c r="J24" s="240">
        <v>30922</v>
      </c>
      <c r="K24" s="239" t="str">
        <f t="shared" si="1"/>
        <v>11 years, 4 month(s), 1 day(s)</v>
      </c>
      <c r="L24" s="240">
        <v>42002</v>
      </c>
      <c r="M24" s="241"/>
      <c r="N24" s="241"/>
      <c r="O24" s="193" t="s">
        <v>965</v>
      </c>
      <c r="P24" s="242" t="s">
        <v>2967</v>
      </c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25.5" customHeight="1">
      <c r="A25" s="190">
        <v>17</v>
      </c>
      <c r="B25" s="190" t="s">
        <v>160</v>
      </c>
      <c r="C25" s="190" t="s">
        <v>3123</v>
      </c>
      <c r="D25" s="190" t="s">
        <v>3128</v>
      </c>
      <c r="E25" s="237" t="s">
        <v>1980</v>
      </c>
      <c r="F25" s="237" t="s">
        <v>1981</v>
      </c>
      <c r="G25" s="237" t="s">
        <v>1982</v>
      </c>
      <c r="H25" s="243" t="s">
        <v>268</v>
      </c>
      <c r="I25" s="239" t="str">
        <f t="shared" si="0"/>
        <v>52 years, 2 month(s), 2 day(s)</v>
      </c>
      <c r="J25" s="240">
        <v>27088</v>
      </c>
      <c r="K25" s="239" t="str">
        <f t="shared" si="1"/>
        <v>22 years, 11 month(s), 14 day(s)</v>
      </c>
      <c r="L25" s="240">
        <v>37757</v>
      </c>
      <c r="M25" s="241"/>
      <c r="N25" s="241"/>
      <c r="O25" s="193" t="s">
        <v>2880</v>
      </c>
      <c r="P25" s="242" t="s">
        <v>2881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25.5" customHeight="1">
      <c r="A26" s="190">
        <v>18</v>
      </c>
      <c r="B26" s="190" t="s">
        <v>96</v>
      </c>
      <c r="C26" s="190" t="s">
        <v>3123</v>
      </c>
      <c r="D26" s="190" t="s">
        <v>3129</v>
      </c>
      <c r="E26" s="237" t="s">
        <v>1766</v>
      </c>
      <c r="F26" s="237" t="s">
        <v>1767</v>
      </c>
      <c r="G26" s="237" t="s">
        <v>1768</v>
      </c>
      <c r="H26" s="238"/>
      <c r="I26" s="239" t="str">
        <f t="shared" si="0"/>
        <v>41 years, 10 month(s), 11 day(s)</v>
      </c>
      <c r="J26" s="240">
        <v>30852</v>
      </c>
      <c r="K26" s="239" t="str">
        <f t="shared" si="1"/>
        <v>4 years, 5 month(s), 26 day(s)</v>
      </c>
      <c r="L26" s="240">
        <v>44504</v>
      </c>
      <c r="M26" s="240">
        <v>38297</v>
      </c>
      <c r="N26" s="241"/>
      <c r="O26" s="193" t="s">
        <v>1765</v>
      </c>
      <c r="P26" s="242" t="s">
        <v>3086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25.5" customHeight="1">
      <c r="A27" s="190">
        <v>19</v>
      </c>
      <c r="B27" s="190" t="s">
        <v>28</v>
      </c>
      <c r="C27" s="190" t="s">
        <v>3123</v>
      </c>
      <c r="D27" s="190">
        <v>339461</v>
      </c>
      <c r="E27" s="237" t="s">
        <v>2483</v>
      </c>
      <c r="F27" s="237" t="s">
        <v>2484</v>
      </c>
      <c r="G27" s="237" t="s">
        <v>2485</v>
      </c>
      <c r="H27" s="238"/>
      <c r="I27" s="239" t="str">
        <f t="shared" si="0"/>
        <v>29 years, 6 month(s), 16 day(s)</v>
      </c>
      <c r="J27" s="240">
        <v>35352</v>
      </c>
      <c r="K27" s="239" t="str">
        <f t="shared" si="1"/>
        <v>6 years, 6 month(s), 9 day(s)</v>
      </c>
      <c r="L27" s="240">
        <v>43759</v>
      </c>
      <c r="M27" s="241"/>
      <c r="N27" s="241"/>
      <c r="O27" s="193" t="s">
        <v>2473</v>
      </c>
      <c r="P27" s="242" t="s">
        <v>2849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25.5" customHeight="1">
      <c r="A28" s="190">
        <v>20</v>
      </c>
      <c r="B28" s="190" t="s">
        <v>28</v>
      </c>
      <c r="C28" s="190" t="s">
        <v>3123</v>
      </c>
      <c r="D28" s="190">
        <v>339462</v>
      </c>
      <c r="E28" s="237" t="s">
        <v>2368</v>
      </c>
      <c r="F28" s="237" t="s">
        <v>2369</v>
      </c>
      <c r="G28" s="237" t="s">
        <v>2370</v>
      </c>
      <c r="H28" s="238"/>
      <c r="I28" s="239" t="str">
        <f t="shared" si="0"/>
        <v>30 years, 7 month(s), 11 day(s)</v>
      </c>
      <c r="J28" s="240">
        <v>34961</v>
      </c>
      <c r="K28" s="239" t="str">
        <f t="shared" si="1"/>
        <v>6 years, 6 month(s), 9 day(s)</v>
      </c>
      <c r="L28" s="240">
        <v>43759</v>
      </c>
      <c r="M28" s="241"/>
      <c r="N28" s="241"/>
      <c r="O28" s="193" t="s">
        <v>2348</v>
      </c>
      <c r="P28" s="242" t="s">
        <v>2849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25.5" customHeight="1">
      <c r="A29" s="190">
        <v>21</v>
      </c>
      <c r="B29" s="190" t="s">
        <v>40</v>
      </c>
      <c r="C29" s="190" t="s">
        <v>3123</v>
      </c>
      <c r="D29" s="190">
        <v>7</v>
      </c>
      <c r="E29" s="237" t="s">
        <v>939</v>
      </c>
      <c r="F29" s="237" t="s">
        <v>940</v>
      </c>
      <c r="G29" s="237" t="s">
        <v>941</v>
      </c>
      <c r="H29" s="238"/>
      <c r="I29" s="239" t="str">
        <f t="shared" si="0"/>
        <v>28 years, 8 month(s), 21 day(s)</v>
      </c>
      <c r="J29" s="240">
        <v>35651</v>
      </c>
      <c r="K29" s="239" t="str">
        <f t="shared" si="1"/>
        <v>3 years, 2 month(s), 16 day(s)</v>
      </c>
      <c r="L29" s="240">
        <v>44971</v>
      </c>
      <c r="M29" s="241"/>
      <c r="N29" s="241"/>
      <c r="O29" s="193" t="s">
        <v>919</v>
      </c>
      <c r="P29" s="242" t="s">
        <v>2678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5.5" customHeight="1">
      <c r="A30" s="190">
        <v>22</v>
      </c>
      <c r="B30" s="190" t="s">
        <v>40</v>
      </c>
      <c r="C30" s="190" t="s">
        <v>3123</v>
      </c>
      <c r="D30" s="190">
        <v>6</v>
      </c>
      <c r="E30" s="237" t="s">
        <v>1517</v>
      </c>
      <c r="F30" s="237" t="s">
        <v>1518</v>
      </c>
      <c r="G30" s="237" t="s">
        <v>1519</v>
      </c>
      <c r="H30" s="238"/>
      <c r="I30" s="239" t="str">
        <f t="shared" si="0"/>
        <v>41 years, 7 month(s), 14 day(s)</v>
      </c>
      <c r="J30" s="240">
        <v>30941</v>
      </c>
      <c r="K30" s="239" t="str">
        <f t="shared" si="1"/>
        <v>1 years, 1 month(s), 13 day(s)</v>
      </c>
      <c r="L30" s="240">
        <v>45733</v>
      </c>
      <c r="M30" s="241"/>
      <c r="N30" s="241"/>
      <c r="O30" s="193" t="s">
        <v>1486</v>
      </c>
      <c r="P30" s="242" t="s">
        <v>2679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5.5" customHeight="1">
      <c r="A31" s="190">
        <v>23</v>
      </c>
      <c r="B31" s="190" t="s">
        <v>40</v>
      </c>
      <c r="C31" s="190" t="s">
        <v>3123</v>
      </c>
      <c r="D31" s="190">
        <v>7</v>
      </c>
      <c r="E31" s="237" t="s">
        <v>1520</v>
      </c>
      <c r="F31" s="237" t="s">
        <v>1521</v>
      </c>
      <c r="G31" s="237" t="s">
        <v>1522</v>
      </c>
      <c r="H31" s="238"/>
      <c r="I31" s="239" t="str">
        <f t="shared" si="0"/>
        <v>32 years, 3 month(s), 15 day(s)</v>
      </c>
      <c r="J31" s="240">
        <v>34349</v>
      </c>
      <c r="K31" s="239" t="str">
        <f t="shared" si="1"/>
        <v>3 years, 3 month(s), 21 day(s)</v>
      </c>
      <c r="L31" s="240">
        <v>44935</v>
      </c>
      <c r="M31" s="241"/>
      <c r="N31" s="241"/>
      <c r="O31" s="193" t="s">
        <v>3027</v>
      </c>
      <c r="P31" s="237" t="s">
        <v>3028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25.5" customHeight="1">
      <c r="A32" s="190">
        <v>24</v>
      </c>
      <c r="B32" s="190" t="s">
        <v>96</v>
      </c>
      <c r="C32" s="190" t="s">
        <v>3123</v>
      </c>
      <c r="D32" s="190" t="s">
        <v>3130</v>
      </c>
      <c r="E32" s="237" t="s">
        <v>1520</v>
      </c>
      <c r="F32" s="237" t="s">
        <v>1117</v>
      </c>
      <c r="G32" s="237" t="s">
        <v>1116</v>
      </c>
      <c r="H32" s="238"/>
      <c r="I32" s="239" t="str">
        <f t="shared" si="0"/>
        <v>34 years, 4 month(s), 15 day(s)</v>
      </c>
      <c r="J32" s="240">
        <v>33587</v>
      </c>
      <c r="K32" s="239" t="str">
        <f t="shared" si="1"/>
        <v>4 years, 5 month(s), 26 day(s)</v>
      </c>
      <c r="L32" s="240">
        <v>44504</v>
      </c>
      <c r="M32" s="240">
        <v>43759</v>
      </c>
      <c r="N32" s="241"/>
      <c r="O32" s="193" t="s">
        <v>1065</v>
      </c>
      <c r="P32" s="242" t="s">
        <v>2985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25.5" customHeight="1">
      <c r="A33" s="190">
        <v>25</v>
      </c>
      <c r="B33" s="190" t="s">
        <v>40</v>
      </c>
      <c r="C33" s="190" t="s">
        <v>3123</v>
      </c>
      <c r="D33" s="190">
        <v>7</v>
      </c>
      <c r="E33" s="237" t="s">
        <v>1719</v>
      </c>
      <c r="F33" s="237" t="s">
        <v>1720</v>
      </c>
      <c r="G33" s="237" t="s">
        <v>1721</v>
      </c>
      <c r="H33" s="238"/>
      <c r="I33" s="239" t="str">
        <f t="shared" si="0"/>
        <v>36 years, 11 month(s), 9 day(s)</v>
      </c>
      <c r="J33" s="240">
        <v>32649</v>
      </c>
      <c r="K33" s="239" t="str">
        <f t="shared" si="1"/>
        <v>9 years, 11 month(s), 20 day(s)</v>
      </c>
      <c r="L33" s="240">
        <v>42500</v>
      </c>
      <c r="M33" s="241"/>
      <c r="N33" s="241"/>
      <c r="O33" s="193" t="s">
        <v>1714</v>
      </c>
      <c r="P33" s="242" t="s">
        <v>2714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25.5" customHeight="1">
      <c r="A34" s="190">
        <v>26</v>
      </c>
      <c r="B34" s="190" t="s">
        <v>40</v>
      </c>
      <c r="C34" s="190" t="s">
        <v>3123</v>
      </c>
      <c r="D34" s="190">
        <v>9</v>
      </c>
      <c r="E34" s="237" t="s">
        <v>1197</v>
      </c>
      <c r="F34" s="237" t="s">
        <v>1198</v>
      </c>
      <c r="G34" s="237" t="s">
        <v>1199</v>
      </c>
      <c r="H34" s="238"/>
      <c r="I34" s="239" t="str">
        <f t="shared" si="0"/>
        <v>59 years, 2 month(s), 15 day(s)</v>
      </c>
      <c r="J34" s="240">
        <v>24518</v>
      </c>
      <c r="K34" s="239" t="str">
        <f t="shared" si="1"/>
        <v>34 years, 3 month(s), 29 day(s)</v>
      </c>
      <c r="L34" s="240">
        <v>33604</v>
      </c>
      <c r="M34" s="241"/>
      <c r="N34" s="241"/>
      <c r="O34" s="193" t="s">
        <v>3131</v>
      </c>
      <c r="P34" s="242" t="s">
        <v>3030</v>
      </c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25.5" customHeight="1">
      <c r="A35" s="190">
        <v>27</v>
      </c>
      <c r="B35" s="190" t="s">
        <v>20</v>
      </c>
      <c r="C35" s="190" t="s">
        <v>3123</v>
      </c>
      <c r="D35" s="190" t="s">
        <v>3132</v>
      </c>
      <c r="E35" s="237" t="s">
        <v>1589</v>
      </c>
      <c r="F35" s="237" t="s">
        <v>2557</v>
      </c>
      <c r="G35" s="237" t="s">
        <v>151</v>
      </c>
      <c r="H35" s="238"/>
      <c r="I35" s="239" t="str">
        <f t="shared" si="0"/>
        <v>46 years, 7 month(s), 2 day(s)</v>
      </c>
      <c r="J35" s="240">
        <v>29126</v>
      </c>
      <c r="K35" s="239" t="str">
        <f t="shared" si="1"/>
        <v>25 years, 5 month(s), 3 day(s)</v>
      </c>
      <c r="L35" s="240">
        <v>36857</v>
      </c>
      <c r="M35" s="241"/>
      <c r="N35" s="241"/>
      <c r="O35" s="193" t="s">
        <v>1804</v>
      </c>
      <c r="P35" s="242" t="s">
        <v>3089</v>
      </c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25.5" customHeight="1">
      <c r="A36" s="190">
        <v>28</v>
      </c>
      <c r="B36" s="190" t="s">
        <v>40</v>
      </c>
      <c r="C36" s="190" t="s">
        <v>3123</v>
      </c>
      <c r="D36" s="190">
        <v>19</v>
      </c>
      <c r="E36" s="237" t="s">
        <v>1589</v>
      </c>
      <c r="F36" s="237" t="s">
        <v>1590</v>
      </c>
      <c r="G36" s="237" t="s">
        <v>151</v>
      </c>
      <c r="H36" s="238"/>
      <c r="I36" s="239" t="str">
        <f t="shared" si="0"/>
        <v>43 years, 6 month(s), 19 day(s)</v>
      </c>
      <c r="J36" s="240">
        <v>30235</v>
      </c>
      <c r="K36" s="239" t="str">
        <f t="shared" si="1"/>
        <v>15 years, 1 month(s), 6 day(s)</v>
      </c>
      <c r="L36" s="240">
        <v>40626</v>
      </c>
      <c r="M36" s="241"/>
      <c r="N36" s="241"/>
      <c r="O36" s="193" t="s">
        <v>1588</v>
      </c>
      <c r="P36" s="242" t="s">
        <v>2683</v>
      </c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25.5" customHeight="1">
      <c r="A37" s="190">
        <v>29</v>
      </c>
      <c r="B37" s="190" t="s">
        <v>20</v>
      </c>
      <c r="C37" s="190" t="s">
        <v>3123</v>
      </c>
      <c r="D37" s="190" t="s">
        <v>3133</v>
      </c>
      <c r="E37" s="237" t="s">
        <v>1589</v>
      </c>
      <c r="F37" s="237" t="s">
        <v>1724</v>
      </c>
      <c r="G37" s="237" t="s">
        <v>242</v>
      </c>
      <c r="H37" s="238"/>
      <c r="I37" s="239" t="str">
        <f t="shared" si="0"/>
        <v>47 years, 7 month(s), 11 day(s)</v>
      </c>
      <c r="J37" s="240">
        <v>28752</v>
      </c>
      <c r="K37" s="239" t="str">
        <f t="shared" si="1"/>
        <v>24 years, 5 month(s), 24 day(s)</v>
      </c>
      <c r="L37" s="240">
        <v>37201</v>
      </c>
      <c r="M37" s="241"/>
      <c r="N37" s="241"/>
      <c r="O37" s="193" t="s">
        <v>1723</v>
      </c>
      <c r="P37" s="242" t="s">
        <v>3077</v>
      </c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25.5" customHeight="1">
      <c r="A38" s="190">
        <v>30</v>
      </c>
      <c r="B38" s="190" t="s">
        <v>96</v>
      </c>
      <c r="C38" s="190" t="s">
        <v>3123</v>
      </c>
      <c r="D38" s="190" t="s">
        <v>3134</v>
      </c>
      <c r="E38" s="237" t="s">
        <v>222</v>
      </c>
      <c r="F38" s="237" t="s">
        <v>223</v>
      </c>
      <c r="G38" s="237" t="s">
        <v>224</v>
      </c>
      <c r="H38" s="238"/>
      <c r="I38" s="239" t="str">
        <f t="shared" si="0"/>
        <v>34 years, 7 month(s), 17 day(s)</v>
      </c>
      <c r="J38" s="240">
        <v>33494</v>
      </c>
      <c r="K38" s="239" t="str">
        <f t="shared" si="1"/>
        <v>4 years, 7 month(s), 15 day(s)</v>
      </c>
      <c r="L38" s="240">
        <v>44454</v>
      </c>
      <c r="M38" s="240">
        <v>42562</v>
      </c>
      <c r="N38" s="241"/>
      <c r="O38" s="193" t="s">
        <v>221</v>
      </c>
      <c r="P38" s="242" t="s">
        <v>2848</v>
      </c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25.5" customHeight="1">
      <c r="A39" s="190">
        <v>31</v>
      </c>
      <c r="B39" s="190" t="s">
        <v>40</v>
      </c>
      <c r="C39" s="190" t="s">
        <v>3123</v>
      </c>
      <c r="D39" s="190">
        <v>12</v>
      </c>
      <c r="E39" s="237" t="s">
        <v>1343</v>
      </c>
      <c r="F39" s="237" t="s">
        <v>1344</v>
      </c>
      <c r="G39" s="237" t="s">
        <v>1345</v>
      </c>
      <c r="H39" s="238"/>
      <c r="I39" s="239" t="str">
        <f t="shared" si="0"/>
        <v>53 years, 7 month(s), 3 day(s)</v>
      </c>
      <c r="J39" s="240">
        <v>26569</v>
      </c>
      <c r="K39" s="239" t="str">
        <f t="shared" si="1"/>
        <v>28 years, 1 month(s), 14 day(s)</v>
      </c>
      <c r="L39" s="240">
        <v>35870</v>
      </c>
      <c r="M39" s="241"/>
      <c r="N39" s="241"/>
      <c r="O39" s="193" t="s">
        <v>1330</v>
      </c>
      <c r="P39" s="242" t="s">
        <v>2684</v>
      </c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25.5" customHeight="1">
      <c r="A40" s="190">
        <v>32</v>
      </c>
      <c r="B40" s="190" t="s">
        <v>40</v>
      </c>
      <c r="C40" s="190" t="s">
        <v>3123</v>
      </c>
      <c r="D40" s="190">
        <v>7</v>
      </c>
      <c r="E40" s="237" t="s">
        <v>1862</v>
      </c>
      <c r="F40" s="237" t="s">
        <v>690</v>
      </c>
      <c r="G40" s="237" t="s">
        <v>1863</v>
      </c>
      <c r="H40" s="238"/>
      <c r="I40" s="239" t="str">
        <f t="shared" si="0"/>
        <v>53 years, 8 month(s), 6 day(s)</v>
      </c>
      <c r="J40" s="240">
        <v>26535</v>
      </c>
      <c r="K40" s="239" t="str">
        <f t="shared" si="1"/>
        <v>9 years, 6 month(s), 23 day(s)</v>
      </c>
      <c r="L40" s="240">
        <v>42650</v>
      </c>
      <c r="M40" s="241"/>
      <c r="N40" s="241"/>
      <c r="O40" s="193" t="s">
        <v>1858</v>
      </c>
      <c r="P40" s="242" t="s">
        <v>2685</v>
      </c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25.5" customHeight="1">
      <c r="A41" s="190">
        <v>33</v>
      </c>
      <c r="B41" s="190" t="s">
        <v>40</v>
      </c>
      <c r="C41" s="190" t="s">
        <v>3123</v>
      </c>
      <c r="D41" s="190">
        <v>7</v>
      </c>
      <c r="E41" s="237" t="s">
        <v>128</v>
      </c>
      <c r="F41" s="237" t="s">
        <v>129</v>
      </c>
      <c r="G41" s="237" t="s">
        <v>130</v>
      </c>
      <c r="H41" s="238"/>
      <c r="I41" s="239" t="str">
        <f t="shared" si="0"/>
        <v>52 years, 3 month(s), 3 day(s)</v>
      </c>
      <c r="J41" s="240">
        <v>27056</v>
      </c>
      <c r="K41" s="239" t="str">
        <f t="shared" si="1"/>
        <v>14 years, 5 month(s), 1 day(s)</v>
      </c>
      <c r="L41" s="240">
        <v>40876</v>
      </c>
      <c r="M41" s="241"/>
      <c r="N41" s="241"/>
      <c r="O41" s="193" t="s">
        <v>122</v>
      </c>
      <c r="P41" s="242" t="s">
        <v>2686</v>
      </c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25.5" customHeight="1">
      <c r="A42" s="190">
        <v>34</v>
      </c>
      <c r="B42" s="190" t="s">
        <v>253</v>
      </c>
      <c r="C42" s="190" t="s">
        <v>3123</v>
      </c>
      <c r="D42" s="190" t="s">
        <v>3135</v>
      </c>
      <c r="E42" s="237" t="s">
        <v>284</v>
      </c>
      <c r="F42" s="237" t="s">
        <v>285</v>
      </c>
      <c r="G42" s="237" t="s">
        <v>286</v>
      </c>
      <c r="H42" s="238"/>
      <c r="I42" s="239" t="str">
        <f t="shared" si="0"/>
        <v>51 years, 1 month(s), 19 day(s)</v>
      </c>
      <c r="J42" s="240">
        <v>27464</v>
      </c>
      <c r="K42" s="239" t="str">
        <f t="shared" si="1"/>
        <v>8 years, 2 month(s), 14 day(s)</v>
      </c>
      <c r="L42" s="240">
        <v>43147</v>
      </c>
      <c r="M42" s="241"/>
      <c r="N42" s="240">
        <v>38604</v>
      </c>
      <c r="O42" s="193" t="s">
        <v>283</v>
      </c>
      <c r="P42" s="242" t="s">
        <v>2848</v>
      </c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25.5" customHeight="1">
      <c r="A43" s="190">
        <v>35</v>
      </c>
      <c r="B43" s="190" t="s">
        <v>160</v>
      </c>
      <c r="C43" s="190" t="s">
        <v>3123</v>
      </c>
      <c r="D43" s="190" t="s">
        <v>3136</v>
      </c>
      <c r="E43" s="237" t="s">
        <v>2196</v>
      </c>
      <c r="F43" s="237" t="s">
        <v>3137</v>
      </c>
      <c r="G43" s="237" t="s">
        <v>2198</v>
      </c>
      <c r="H43" s="238"/>
      <c r="I43" s="239" t="str">
        <f t="shared" si="0"/>
        <v>47 years, 9 month(s), 20 day(s)</v>
      </c>
      <c r="J43" s="240">
        <v>28681</v>
      </c>
      <c r="K43" s="239" t="str">
        <f t="shared" si="1"/>
        <v>21 years, 7 month(s), 24 day(s)</v>
      </c>
      <c r="L43" s="240">
        <v>38236</v>
      </c>
      <c r="M43" s="241"/>
      <c r="N43" s="241"/>
      <c r="O43" s="193" t="s">
        <v>2195</v>
      </c>
      <c r="P43" s="242" t="s">
        <v>2848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25.5" customHeight="1">
      <c r="A44" s="190">
        <v>36</v>
      </c>
      <c r="B44" s="190" t="s">
        <v>28</v>
      </c>
      <c r="C44" s="190" t="s">
        <v>3123</v>
      </c>
      <c r="D44" s="190">
        <v>376373</v>
      </c>
      <c r="E44" s="237" t="s">
        <v>735</v>
      </c>
      <c r="F44" s="237" t="s">
        <v>736</v>
      </c>
      <c r="G44" s="237" t="s">
        <v>737</v>
      </c>
      <c r="H44" s="238"/>
      <c r="I44" s="239" t="str">
        <f t="shared" si="0"/>
        <v>28 years, 8 month(s), 6 day(s)</v>
      </c>
      <c r="J44" s="240">
        <v>35666</v>
      </c>
      <c r="K44" s="239" t="str">
        <f t="shared" si="1"/>
        <v>3 years, 4 month(s), 3 day(s)</v>
      </c>
      <c r="L44" s="240">
        <v>44922</v>
      </c>
      <c r="M44" s="241"/>
      <c r="N44" s="241"/>
      <c r="O44" s="193" t="s">
        <v>729</v>
      </c>
      <c r="P44" s="242" t="s">
        <v>2849</v>
      </c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25.5" customHeight="1">
      <c r="A45" s="190">
        <v>37</v>
      </c>
      <c r="B45" s="190" t="s">
        <v>40</v>
      </c>
      <c r="C45" s="190" t="s">
        <v>3123</v>
      </c>
      <c r="D45" s="190">
        <v>11</v>
      </c>
      <c r="E45" s="237" t="s">
        <v>861</v>
      </c>
      <c r="F45" s="237" t="s">
        <v>862</v>
      </c>
      <c r="G45" s="237" t="s">
        <v>863</v>
      </c>
      <c r="H45" s="238"/>
      <c r="I45" s="239" t="str">
        <f t="shared" si="0"/>
        <v>49 years, 6 month(s), 5 day(s)</v>
      </c>
      <c r="J45" s="240">
        <v>28058</v>
      </c>
      <c r="K45" s="239" t="str">
        <f t="shared" si="1"/>
        <v>14 years, 2 month(s), 7 day(s)</v>
      </c>
      <c r="L45" s="240">
        <v>40962</v>
      </c>
      <c r="M45" s="241"/>
      <c r="N45" s="241"/>
      <c r="O45" s="193" t="s">
        <v>837</v>
      </c>
      <c r="P45" s="242" t="s">
        <v>3138</v>
      </c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5.5" customHeight="1">
      <c r="A46" s="190">
        <v>38</v>
      </c>
      <c r="B46" s="190" t="s">
        <v>28</v>
      </c>
      <c r="C46" s="190" t="s">
        <v>3123</v>
      </c>
      <c r="D46" s="190">
        <v>376374</v>
      </c>
      <c r="E46" s="237" t="s">
        <v>2338</v>
      </c>
      <c r="F46" s="237" t="s">
        <v>2339</v>
      </c>
      <c r="G46" s="237" t="s">
        <v>2340</v>
      </c>
      <c r="H46" s="238"/>
      <c r="I46" s="239" t="str">
        <f t="shared" si="0"/>
        <v>28 years, 2 month(s), 10 day(s)</v>
      </c>
      <c r="J46" s="240">
        <v>35846</v>
      </c>
      <c r="K46" s="239" t="str">
        <f t="shared" si="1"/>
        <v>3 years, 4 month(s), 3 day(s)</v>
      </c>
      <c r="L46" s="240">
        <v>44922</v>
      </c>
      <c r="M46" s="241"/>
      <c r="N46" s="241"/>
      <c r="O46" s="193" t="s">
        <v>2324</v>
      </c>
      <c r="P46" s="242" t="s">
        <v>2849</v>
      </c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25.5" customHeight="1">
      <c r="A47" s="190">
        <v>39</v>
      </c>
      <c r="B47" s="190" t="s">
        <v>253</v>
      </c>
      <c r="C47" s="190" t="s">
        <v>3123</v>
      </c>
      <c r="D47" s="190" t="s">
        <v>3139</v>
      </c>
      <c r="E47" s="237" t="s">
        <v>780</v>
      </c>
      <c r="F47" s="237" t="s">
        <v>781</v>
      </c>
      <c r="G47" s="237" t="s">
        <v>782</v>
      </c>
      <c r="H47" s="238"/>
      <c r="I47" s="239" t="str">
        <f t="shared" si="0"/>
        <v>45 years, 6 month(s), 1 day(s)</v>
      </c>
      <c r="J47" s="240">
        <v>29523</v>
      </c>
      <c r="K47" s="239" t="str">
        <f t="shared" si="1"/>
        <v>8 years, 2 month(s), 14 day(s)</v>
      </c>
      <c r="L47" s="240">
        <v>43147</v>
      </c>
      <c r="M47" s="240">
        <v>37830</v>
      </c>
      <c r="N47" s="241"/>
      <c r="O47" s="193" t="s">
        <v>779</v>
      </c>
      <c r="P47" s="242" t="s">
        <v>2877</v>
      </c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25.5" customHeight="1">
      <c r="A48" s="190">
        <v>40</v>
      </c>
      <c r="B48" s="190" t="s">
        <v>160</v>
      </c>
      <c r="C48" s="190" t="s">
        <v>3123</v>
      </c>
      <c r="D48" s="190" t="s">
        <v>3140</v>
      </c>
      <c r="E48" s="237" t="s">
        <v>2137</v>
      </c>
      <c r="F48" s="237" t="s">
        <v>2138</v>
      </c>
      <c r="G48" s="237" t="s">
        <v>2139</v>
      </c>
      <c r="H48" s="238"/>
      <c r="I48" s="239" t="str">
        <f t="shared" si="0"/>
        <v>48 years, 0 month(s), 30 day(s)</v>
      </c>
      <c r="J48" s="240">
        <v>28580</v>
      </c>
      <c r="K48" s="239" t="str">
        <f t="shared" si="1"/>
        <v>21 years, 7 month(s), 24 day(s)</v>
      </c>
      <c r="L48" s="240">
        <v>38236</v>
      </c>
      <c r="M48" s="240">
        <v>37757</v>
      </c>
      <c r="N48" s="241"/>
      <c r="O48" s="193" t="s">
        <v>3049</v>
      </c>
      <c r="P48" s="242" t="s">
        <v>3141</v>
      </c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25.5" customHeight="1">
      <c r="A49" s="190">
        <v>41</v>
      </c>
      <c r="B49" s="190" t="s">
        <v>24</v>
      </c>
      <c r="C49" s="190" t="s">
        <v>3123</v>
      </c>
      <c r="D49" s="190">
        <v>311625</v>
      </c>
      <c r="E49" s="237" t="s">
        <v>2431</v>
      </c>
      <c r="F49" s="237" t="s">
        <v>2432</v>
      </c>
      <c r="G49" s="237" t="s">
        <v>2433</v>
      </c>
      <c r="H49" s="238"/>
      <c r="I49" s="239" t="str">
        <f t="shared" si="0"/>
        <v>33 years, 6 month(s), 24 day(s)</v>
      </c>
      <c r="J49" s="240">
        <v>33883</v>
      </c>
      <c r="K49" s="239" t="str">
        <f t="shared" si="1"/>
        <v>8 years, 7 month(s), 14 day(s)</v>
      </c>
      <c r="L49" s="240">
        <v>42994</v>
      </c>
      <c r="M49" s="241"/>
      <c r="N49" s="241"/>
      <c r="O49" s="193" t="s">
        <v>2420</v>
      </c>
      <c r="P49" s="242" t="s">
        <v>2849</v>
      </c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25.5" customHeight="1">
      <c r="A50" s="190">
        <v>42</v>
      </c>
      <c r="B50" s="190" t="s">
        <v>28</v>
      </c>
      <c r="C50" s="190" t="s">
        <v>3123</v>
      </c>
      <c r="D50" s="190">
        <v>376375</v>
      </c>
      <c r="E50" s="237" t="s">
        <v>2568</v>
      </c>
      <c r="F50" s="237" t="s">
        <v>1733</v>
      </c>
      <c r="G50" s="237" t="s">
        <v>2569</v>
      </c>
      <c r="H50" s="238"/>
      <c r="I50" s="239" t="str">
        <f t="shared" si="0"/>
        <v>29 years, 8 month(s), 15 day(s)</v>
      </c>
      <c r="J50" s="240">
        <v>35292</v>
      </c>
      <c r="K50" s="239" t="str">
        <f t="shared" si="1"/>
        <v>3 years, 4 month(s), 3 day(s)</v>
      </c>
      <c r="L50" s="240">
        <v>44922</v>
      </c>
      <c r="M50" s="241"/>
      <c r="N50" s="241"/>
      <c r="O50" s="193" t="s">
        <v>2556</v>
      </c>
      <c r="P50" s="242" t="s">
        <v>2854</v>
      </c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25.5" customHeight="1">
      <c r="A51" s="190">
        <v>43</v>
      </c>
      <c r="B51" s="190" t="s">
        <v>96</v>
      </c>
      <c r="C51" s="190" t="s">
        <v>3123</v>
      </c>
      <c r="D51" s="190" t="s">
        <v>3142</v>
      </c>
      <c r="E51" s="237" t="s">
        <v>1302</v>
      </c>
      <c r="F51" s="237" t="s">
        <v>1303</v>
      </c>
      <c r="G51" s="237" t="s">
        <v>1304</v>
      </c>
      <c r="H51" s="238"/>
      <c r="I51" s="239" t="str">
        <f t="shared" si="0"/>
        <v>46 years, 10 month(s), 4 day(s)</v>
      </c>
      <c r="J51" s="240">
        <v>29032</v>
      </c>
      <c r="K51" s="239" t="str">
        <f t="shared" si="1"/>
        <v>4 years, 5 month(s), 26 day(s)</v>
      </c>
      <c r="L51" s="240">
        <v>44504</v>
      </c>
      <c r="M51" s="240">
        <v>39995</v>
      </c>
      <c r="N51" s="241"/>
      <c r="O51" s="193" t="s">
        <v>2873</v>
      </c>
      <c r="P51" s="242" t="s">
        <v>2848</v>
      </c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25.5" customHeight="1">
      <c r="A52" s="190">
        <v>44</v>
      </c>
      <c r="B52" s="190" t="s">
        <v>160</v>
      </c>
      <c r="C52" s="190" t="s">
        <v>3123</v>
      </c>
      <c r="D52" s="190" t="s">
        <v>3143</v>
      </c>
      <c r="E52" s="237" t="s">
        <v>2582</v>
      </c>
      <c r="F52" s="237" t="s">
        <v>2583</v>
      </c>
      <c r="G52" s="237" t="s">
        <v>2584</v>
      </c>
      <c r="H52" s="238"/>
      <c r="I52" s="239" t="str">
        <f t="shared" si="0"/>
        <v>51 years, 11 month(s), 15 day(s)</v>
      </c>
      <c r="J52" s="240">
        <v>27164</v>
      </c>
      <c r="K52" s="239" t="str">
        <f t="shared" si="1"/>
        <v>17 years, 7 month(s), 29 day(s)</v>
      </c>
      <c r="L52" s="240">
        <v>39692</v>
      </c>
      <c r="M52" s="241"/>
      <c r="N52" s="240">
        <v>38913</v>
      </c>
      <c r="O52" s="193" t="s">
        <v>1037</v>
      </c>
      <c r="P52" s="242" t="s">
        <v>2975</v>
      </c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25.5" customHeight="1">
      <c r="A53" s="190">
        <v>45</v>
      </c>
      <c r="B53" s="190" t="s">
        <v>96</v>
      </c>
      <c r="C53" s="190" t="s">
        <v>3123</v>
      </c>
      <c r="D53" s="190" t="s">
        <v>3144</v>
      </c>
      <c r="E53" s="237" t="s">
        <v>1285</v>
      </c>
      <c r="F53" s="237" t="s">
        <v>3145</v>
      </c>
      <c r="G53" s="237" t="s">
        <v>1287</v>
      </c>
      <c r="H53" s="238"/>
      <c r="I53" s="239" t="str">
        <f t="shared" si="0"/>
        <v>40 years, 3 month(s), 6 day(s)</v>
      </c>
      <c r="J53" s="240">
        <v>31436</v>
      </c>
      <c r="K53" s="239" t="str">
        <f t="shared" si="1"/>
        <v>7 years, 1 month(s), 12 day(s)</v>
      </c>
      <c r="L53" s="240">
        <v>43542</v>
      </c>
      <c r="M53" s="240">
        <v>39995</v>
      </c>
      <c r="N53" s="241"/>
      <c r="O53" s="193" t="s">
        <v>1284</v>
      </c>
      <c r="P53" s="242" t="s">
        <v>2848</v>
      </c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25.5" customHeight="1">
      <c r="A54" s="190">
        <v>46</v>
      </c>
      <c r="B54" s="190" t="s">
        <v>28</v>
      </c>
      <c r="C54" s="190" t="s">
        <v>3123</v>
      </c>
      <c r="D54" s="190">
        <v>376376</v>
      </c>
      <c r="E54" s="237" t="s">
        <v>2572</v>
      </c>
      <c r="F54" s="237" t="s">
        <v>2573</v>
      </c>
      <c r="G54" s="237" t="s">
        <v>2574</v>
      </c>
      <c r="H54" s="238"/>
      <c r="I54" s="239" t="str">
        <f t="shared" si="0"/>
        <v>28 years, 0 month(s), 21 day(s)</v>
      </c>
      <c r="J54" s="240">
        <v>35894</v>
      </c>
      <c r="K54" s="239" t="str">
        <f t="shared" si="1"/>
        <v>3 years, 4 month(s), 3 day(s)</v>
      </c>
      <c r="L54" s="240">
        <v>44922</v>
      </c>
      <c r="M54" s="241"/>
      <c r="N54" s="241"/>
      <c r="O54" s="193" t="s">
        <v>2556</v>
      </c>
      <c r="P54" s="242" t="s">
        <v>2854</v>
      </c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25.5" customHeight="1">
      <c r="A55" s="190">
        <v>47</v>
      </c>
      <c r="B55" s="190" t="s">
        <v>28</v>
      </c>
      <c r="C55" s="190" t="s">
        <v>3123</v>
      </c>
      <c r="D55" s="190">
        <v>376377</v>
      </c>
      <c r="E55" s="237" t="s">
        <v>843</v>
      </c>
      <c r="F55" s="237" t="s">
        <v>844</v>
      </c>
      <c r="G55" s="237" t="s">
        <v>845</v>
      </c>
      <c r="H55" s="238"/>
      <c r="I55" s="239" t="str">
        <f t="shared" si="0"/>
        <v>28 years, 9 month(s), 16 day(s)</v>
      </c>
      <c r="J55" s="240">
        <v>35625</v>
      </c>
      <c r="K55" s="239" t="str">
        <f t="shared" si="1"/>
        <v>3 years, 4 month(s), 3 day(s)</v>
      </c>
      <c r="L55" s="240">
        <v>44922</v>
      </c>
      <c r="M55" s="241"/>
      <c r="N55" s="241"/>
      <c r="O55" s="193" t="s">
        <v>837</v>
      </c>
      <c r="P55" s="237" t="s">
        <v>2931</v>
      </c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25.5" customHeight="1">
      <c r="A56" s="190">
        <v>48</v>
      </c>
      <c r="B56" s="190" t="s">
        <v>160</v>
      </c>
      <c r="C56" s="190" t="s">
        <v>3123</v>
      </c>
      <c r="D56" s="190" t="s">
        <v>3146</v>
      </c>
      <c r="E56" s="237" t="s">
        <v>318</v>
      </c>
      <c r="F56" s="237" t="s">
        <v>925</v>
      </c>
      <c r="G56" s="237" t="s">
        <v>926</v>
      </c>
      <c r="H56" s="238"/>
      <c r="I56" s="239" t="str">
        <f t="shared" si="0"/>
        <v>46 years, 3 month(s), 25 day(s)</v>
      </c>
      <c r="J56" s="240">
        <v>29225</v>
      </c>
      <c r="K56" s="239" t="str">
        <f t="shared" si="1"/>
        <v>21 years, 7 month(s), 14 day(s)</v>
      </c>
      <c r="L56" s="240">
        <v>38246</v>
      </c>
      <c r="M56" s="241"/>
      <c r="N56" s="241"/>
      <c r="O56" s="193" t="s">
        <v>2962</v>
      </c>
      <c r="P56" s="242" t="s">
        <v>3147</v>
      </c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25.5" customHeight="1">
      <c r="A57" s="190">
        <v>49</v>
      </c>
      <c r="B57" s="190" t="s">
        <v>40</v>
      </c>
      <c r="C57" s="190" t="s">
        <v>3123</v>
      </c>
      <c r="D57" s="190">
        <v>4</v>
      </c>
      <c r="E57" s="237" t="s">
        <v>318</v>
      </c>
      <c r="F57" s="237" t="s">
        <v>1015</v>
      </c>
      <c r="G57" s="237" t="s">
        <v>91</v>
      </c>
      <c r="H57" s="238"/>
      <c r="I57" s="239" t="str">
        <f t="shared" si="0"/>
        <v>55 years, 5 month(s), 3 day(s)</v>
      </c>
      <c r="J57" s="240">
        <v>25899</v>
      </c>
      <c r="K57" s="239" t="str">
        <f t="shared" si="1"/>
        <v>15 years, 1 month(s), 6 day(s)</v>
      </c>
      <c r="L57" s="240">
        <v>40626</v>
      </c>
      <c r="M57" s="241"/>
      <c r="N57" s="241"/>
      <c r="O57" s="193" t="s">
        <v>1008</v>
      </c>
      <c r="P57" s="242" t="s">
        <v>2688</v>
      </c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25.5" customHeight="1">
      <c r="A58" s="190">
        <v>50</v>
      </c>
      <c r="B58" s="190" t="s">
        <v>24</v>
      </c>
      <c r="C58" s="190" t="s">
        <v>3123</v>
      </c>
      <c r="D58" s="190">
        <v>311626</v>
      </c>
      <c r="E58" s="237" t="s">
        <v>1167</v>
      </c>
      <c r="F58" s="237" t="s">
        <v>1168</v>
      </c>
      <c r="G58" s="237" t="s">
        <v>1169</v>
      </c>
      <c r="H58" s="238"/>
      <c r="I58" s="239" t="str">
        <f t="shared" si="0"/>
        <v>39 years, 3 month(s), 10 day(s)</v>
      </c>
      <c r="J58" s="240">
        <v>31797</v>
      </c>
      <c r="K58" s="239" t="str">
        <f t="shared" si="1"/>
        <v>8 years, 7 month(s), 14 day(s)</v>
      </c>
      <c r="L58" s="240">
        <v>42994</v>
      </c>
      <c r="M58" s="241"/>
      <c r="N58" s="241"/>
      <c r="O58" s="193" t="s">
        <v>965</v>
      </c>
      <c r="P58" s="242" t="s">
        <v>2818</v>
      </c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25.5" customHeight="1">
      <c r="A59" s="190">
        <v>51</v>
      </c>
      <c r="B59" s="190" t="s">
        <v>40</v>
      </c>
      <c r="C59" s="190" t="s">
        <v>3123</v>
      </c>
      <c r="D59" s="190">
        <v>15</v>
      </c>
      <c r="E59" s="237" t="s">
        <v>1406</v>
      </c>
      <c r="F59" s="237" t="s">
        <v>1407</v>
      </c>
      <c r="G59" s="237" t="s">
        <v>1408</v>
      </c>
      <c r="H59" s="238"/>
      <c r="I59" s="239" t="str">
        <f t="shared" si="0"/>
        <v>44 years, 10 month(s), 5 day(s)</v>
      </c>
      <c r="J59" s="240">
        <v>29762</v>
      </c>
      <c r="K59" s="239" t="str">
        <f t="shared" si="1"/>
        <v>10 years, 1 month(s), 20 day(s)</v>
      </c>
      <c r="L59" s="240">
        <v>42439</v>
      </c>
      <c r="M59" s="241"/>
      <c r="N59" s="241"/>
      <c r="O59" s="193" t="s">
        <v>1396</v>
      </c>
      <c r="P59" s="242" t="s">
        <v>2689</v>
      </c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25.5" customHeight="1">
      <c r="A60" s="190">
        <v>52</v>
      </c>
      <c r="B60" s="190" t="s">
        <v>28</v>
      </c>
      <c r="C60" s="190" t="s">
        <v>3123</v>
      </c>
      <c r="D60" s="190">
        <v>375616</v>
      </c>
      <c r="E60" s="237" t="s">
        <v>2078</v>
      </c>
      <c r="F60" s="237" t="s">
        <v>2079</v>
      </c>
      <c r="G60" s="237" t="s">
        <v>2080</v>
      </c>
      <c r="H60" s="238"/>
      <c r="I60" s="239" t="str">
        <f t="shared" si="0"/>
        <v>33 years, 9 month(s), 27 day(s)</v>
      </c>
      <c r="J60" s="240">
        <v>33788</v>
      </c>
      <c r="K60" s="239" t="str">
        <f t="shared" si="1"/>
        <v>3 years, 5 month(s), 16 day(s)</v>
      </c>
      <c r="L60" s="240">
        <v>44879</v>
      </c>
      <c r="M60" s="241"/>
      <c r="N60" s="241"/>
      <c r="O60" s="193" t="s">
        <v>2051</v>
      </c>
      <c r="P60" s="242" t="s">
        <v>2849</v>
      </c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25.5" customHeight="1">
      <c r="A61" s="190">
        <v>53</v>
      </c>
      <c r="B61" s="190" t="s">
        <v>96</v>
      </c>
      <c r="C61" s="190" t="s">
        <v>3123</v>
      </c>
      <c r="D61" s="190" t="s">
        <v>3148</v>
      </c>
      <c r="E61" s="237" t="s">
        <v>715</v>
      </c>
      <c r="F61" s="237" t="s">
        <v>716</v>
      </c>
      <c r="G61" s="237" t="s">
        <v>717</v>
      </c>
      <c r="H61" s="238"/>
      <c r="I61" s="239" t="str">
        <f t="shared" si="0"/>
        <v>35 years, 8 month(s), 7 day(s)</v>
      </c>
      <c r="J61" s="240">
        <v>33108</v>
      </c>
      <c r="K61" s="239" t="str">
        <f t="shared" si="1"/>
        <v>10 years, 8 month(s), 2 day(s)</v>
      </c>
      <c r="L61" s="240">
        <v>42244</v>
      </c>
      <c r="M61" s="241"/>
      <c r="N61" s="241"/>
      <c r="O61" s="193" t="s">
        <v>1486</v>
      </c>
      <c r="P61" s="242" t="s">
        <v>3018</v>
      </c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25.5" customHeight="1">
      <c r="A62" s="190">
        <v>54</v>
      </c>
      <c r="B62" s="190" t="s">
        <v>28</v>
      </c>
      <c r="C62" s="190" t="s">
        <v>3123</v>
      </c>
      <c r="D62" s="190">
        <v>376378</v>
      </c>
      <c r="E62" s="237" t="s">
        <v>557</v>
      </c>
      <c r="F62" s="237" t="s">
        <v>558</v>
      </c>
      <c r="G62" s="237" t="s">
        <v>559</v>
      </c>
      <c r="H62" s="238"/>
      <c r="I62" s="239" t="str">
        <f t="shared" si="0"/>
        <v>30 years, 2 month(s), 19 day(s)</v>
      </c>
      <c r="J62" s="240">
        <v>35106</v>
      </c>
      <c r="K62" s="239" t="str">
        <f t="shared" si="1"/>
        <v>3 years, 4 month(s), 3 day(s)</v>
      </c>
      <c r="L62" s="240">
        <v>44922</v>
      </c>
      <c r="M62" s="241"/>
      <c r="N62" s="241"/>
      <c r="O62" s="193" t="s">
        <v>531</v>
      </c>
      <c r="P62" s="242" t="s">
        <v>2849</v>
      </c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25.5" customHeight="1">
      <c r="A63" s="190">
        <v>55</v>
      </c>
      <c r="B63" s="190" t="s">
        <v>40</v>
      </c>
      <c r="C63" s="190" t="s">
        <v>3123</v>
      </c>
      <c r="D63" s="190">
        <v>11</v>
      </c>
      <c r="E63" s="237" t="s">
        <v>1757</v>
      </c>
      <c r="F63" s="237" t="s">
        <v>1758</v>
      </c>
      <c r="G63" s="237" t="s">
        <v>1759</v>
      </c>
      <c r="H63" s="238"/>
      <c r="I63" s="239" t="str">
        <f t="shared" si="0"/>
        <v>38 years, 7 month(s), 29 day(s)</v>
      </c>
      <c r="J63" s="240">
        <v>32021</v>
      </c>
      <c r="K63" s="239" t="str">
        <f t="shared" si="1"/>
        <v>15 years, 1 month(s), 6 day(s)</v>
      </c>
      <c r="L63" s="240">
        <v>40626</v>
      </c>
      <c r="M63" s="241"/>
      <c r="N63" s="241"/>
      <c r="O63" s="193" t="s">
        <v>1740</v>
      </c>
      <c r="P63" s="242" t="s">
        <v>3149</v>
      </c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25.5" customHeight="1">
      <c r="A64" s="190">
        <v>56</v>
      </c>
      <c r="B64" s="190" t="s">
        <v>246</v>
      </c>
      <c r="C64" s="190" t="s">
        <v>3123</v>
      </c>
      <c r="D64" s="190" t="s">
        <v>3150</v>
      </c>
      <c r="E64" s="237" t="s">
        <v>1789</v>
      </c>
      <c r="F64" s="237" t="s">
        <v>1790</v>
      </c>
      <c r="G64" s="237" t="s">
        <v>1791</v>
      </c>
      <c r="H64" s="238"/>
      <c r="I64" s="239" t="str">
        <f t="shared" si="0"/>
        <v>37 years, 1 month(s), 15 day(s)</v>
      </c>
      <c r="J64" s="240">
        <v>32582</v>
      </c>
      <c r="K64" s="239" t="str">
        <f t="shared" si="1"/>
        <v>8 years, 7 month(s), 14 day(s)</v>
      </c>
      <c r="L64" s="240">
        <v>42994</v>
      </c>
      <c r="M64" s="241"/>
      <c r="N64" s="241"/>
      <c r="O64" s="193" t="s">
        <v>1788</v>
      </c>
      <c r="P64" s="242" t="s">
        <v>3088</v>
      </c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25.5" customHeight="1">
      <c r="A65" s="190">
        <v>57</v>
      </c>
      <c r="B65" s="190" t="s">
        <v>28</v>
      </c>
      <c r="C65" s="190" t="s">
        <v>3123</v>
      </c>
      <c r="D65" s="190">
        <v>375629</v>
      </c>
      <c r="E65" s="237" t="s">
        <v>2436</v>
      </c>
      <c r="F65" s="237" t="s">
        <v>2437</v>
      </c>
      <c r="G65" s="237" t="s">
        <v>2438</v>
      </c>
      <c r="H65" s="238"/>
      <c r="I65" s="239" t="str">
        <f t="shared" si="0"/>
        <v>29 years, 2 month(s), 6 day(s)</v>
      </c>
      <c r="J65" s="240">
        <v>35485</v>
      </c>
      <c r="K65" s="239" t="str">
        <f t="shared" si="1"/>
        <v>3 years, 5 month(s), 16 day(s)</v>
      </c>
      <c r="L65" s="240">
        <v>44879</v>
      </c>
      <c r="M65" s="241"/>
      <c r="N65" s="241"/>
      <c r="O65" s="193" t="s">
        <v>2420</v>
      </c>
      <c r="P65" s="242" t="s">
        <v>2849</v>
      </c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25.5" customHeight="1">
      <c r="A66" s="190">
        <v>58</v>
      </c>
      <c r="B66" s="190" t="s">
        <v>40</v>
      </c>
      <c r="C66" s="190" t="s">
        <v>3123</v>
      </c>
      <c r="D66" s="190">
        <v>7</v>
      </c>
      <c r="E66" s="237" t="s">
        <v>1792</v>
      </c>
      <c r="F66" s="237" t="s">
        <v>400</v>
      </c>
      <c r="G66" s="237" t="s">
        <v>1793</v>
      </c>
      <c r="H66" s="238"/>
      <c r="I66" s="239" t="str">
        <f t="shared" si="0"/>
        <v>40 years, 11 month(s), 27 day(s)</v>
      </c>
      <c r="J66" s="240">
        <v>31170</v>
      </c>
      <c r="K66" s="239" t="str">
        <f t="shared" si="1"/>
        <v>3 years, 3 month(s), 21 day(s)</v>
      </c>
      <c r="L66" s="240">
        <v>44935</v>
      </c>
      <c r="M66" s="241"/>
      <c r="N66" s="241"/>
      <c r="O66" s="193" t="s">
        <v>1788</v>
      </c>
      <c r="P66" s="242" t="s">
        <v>2691</v>
      </c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25.5" customHeight="1">
      <c r="A67" s="190">
        <v>59</v>
      </c>
      <c r="B67" s="190" t="s">
        <v>28</v>
      </c>
      <c r="C67" s="190" t="s">
        <v>3123</v>
      </c>
      <c r="D67" s="190">
        <v>376379</v>
      </c>
      <c r="E67" s="237" t="s">
        <v>1792</v>
      </c>
      <c r="F67" s="237" t="s">
        <v>2406</v>
      </c>
      <c r="G67" s="237" t="s">
        <v>2407</v>
      </c>
      <c r="H67" s="243" t="s">
        <v>268</v>
      </c>
      <c r="I67" s="239" t="str">
        <f t="shared" si="0"/>
        <v>30 years, 0 month(s), 0 day(s)</v>
      </c>
      <c r="J67" s="240">
        <v>35185</v>
      </c>
      <c r="K67" s="239" t="str">
        <f t="shared" si="1"/>
        <v>3 years, 4 month(s), 3 day(s)</v>
      </c>
      <c r="L67" s="240">
        <v>44922</v>
      </c>
      <c r="M67" s="241"/>
      <c r="N67" s="241"/>
      <c r="O67" s="193" t="s">
        <v>2386</v>
      </c>
      <c r="P67" s="242" t="s">
        <v>2849</v>
      </c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25.5" customHeight="1">
      <c r="A68" s="190">
        <v>60</v>
      </c>
      <c r="B68" s="190" t="s">
        <v>28</v>
      </c>
      <c r="C68" s="190" t="s">
        <v>3123</v>
      </c>
      <c r="D68" s="190">
        <v>375617</v>
      </c>
      <c r="E68" s="237" t="s">
        <v>2377</v>
      </c>
      <c r="F68" s="237" t="s">
        <v>2378</v>
      </c>
      <c r="G68" s="237" t="s">
        <v>2379</v>
      </c>
      <c r="H68" s="238"/>
      <c r="I68" s="239" t="str">
        <f t="shared" si="0"/>
        <v>28 years, 6 month(s), 19 day(s)</v>
      </c>
      <c r="J68" s="240">
        <v>35714</v>
      </c>
      <c r="K68" s="239" t="str">
        <f t="shared" si="1"/>
        <v>3 years, 5 month(s), 16 day(s)</v>
      </c>
      <c r="L68" s="240">
        <v>44879</v>
      </c>
      <c r="M68" s="241"/>
      <c r="N68" s="241"/>
      <c r="O68" s="193" t="s">
        <v>2348</v>
      </c>
      <c r="P68" s="242" t="s">
        <v>2849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25.5" customHeight="1">
      <c r="A69" s="190">
        <v>61</v>
      </c>
      <c r="B69" s="190" t="s">
        <v>40</v>
      </c>
      <c r="C69" s="190" t="s">
        <v>3123</v>
      </c>
      <c r="D69" s="190">
        <v>14</v>
      </c>
      <c r="E69" s="237" t="s">
        <v>41</v>
      </c>
      <c r="F69" s="237" t="s">
        <v>42</v>
      </c>
      <c r="G69" s="237" t="s">
        <v>43</v>
      </c>
      <c r="H69" s="238"/>
      <c r="I69" s="239" t="str">
        <f t="shared" si="0"/>
        <v>28 years, 7 month(s), 22 day(s)</v>
      </c>
      <c r="J69" s="240">
        <v>35681</v>
      </c>
      <c r="K69" s="239" t="str">
        <f t="shared" si="1"/>
        <v>7 years, 4 month(s), 26 day(s)</v>
      </c>
      <c r="L69" s="240">
        <v>43438</v>
      </c>
      <c r="M69" s="241"/>
      <c r="N69" s="241"/>
      <c r="O69" s="193" t="s">
        <v>18</v>
      </c>
      <c r="P69" s="242" t="s">
        <v>2692</v>
      </c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25.5" customHeight="1">
      <c r="A70" s="190">
        <v>62</v>
      </c>
      <c r="B70" s="190" t="s">
        <v>366</v>
      </c>
      <c r="C70" s="190" t="s">
        <v>3123</v>
      </c>
      <c r="D70" s="190">
        <v>203704</v>
      </c>
      <c r="E70" s="237" t="s">
        <v>1539</v>
      </c>
      <c r="F70" s="237" t="s">
        <v>1186</v>
      </c>
      <c r="G70" s="237" t="s">
        <v>2330</v>
      </c>
      <c r="H70" s="238"/>
      <c r="I70" s="239" t="str">
        <f t="shared" si="0"/>
        <v>41 years, 9 month(s), 13 day(s)</v>
      </c>
      <c r="J70" s="240">
        <v>30880</v>
      </c>
      <c r="K70" s="239" t="str">
        <f t="shared" si="1"/>
        <v>16 years, 2 month(s), 29 day(s)</v>
      </c>
      <c r="L70" s="240">
        <v>40210</v>
      </c>
      <c r="M70" s="241"/>
      <c r="N70" s="241"/>
      <c r="O70" s="193" t="s">
        <v>2324</v>
      </c>
      <c r="P70" s="242" t="s">
        <v>2849</v>
      </c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25.5" customHeight="1">
      <c r="A71" s="190">
        <v>63</v>
      </c>
      <c r="B71" s="190" t="s">
        <v>28</v>
      </c>
      <c r="C71" s="190" t="s">
        <v>3123</v>
      </c>
      <c r="D71" s="190">
        <v>376380</v>
      </c>
      <c r="E71" s="237" t="s">
        <v>1815</v>
      </c>
      <c r="F71" s="237" t="s">
        <v>1816</v>
      </c>
      <c r="G71" s="237" t="s">
        <v>1817</v>
      </c>
      <c r="H71" s="238"/>
      <c r="I71" s="239" t="str">
        <f t="shared" si="0"/>
        <v>28 years, 7 month(s), 17 day(s)</v>
      </c>
      <c r="J71" s="240">
        <v>35686</v>
      </c>
      <c r="K71" s="239" t="str">
        <f t="shared" si="1"/>
        <v>3 years, 4 month(s), 3 day(s)</v>
      </c>
      <c r="L71" s="240">
        <v>44922</v>
      </c>
      <c r="M71" s="241"/>
      <c r="N71" s="241"/>
      <c r="O71" s="193" t="s">
        <v>1804</v>
      </c>
      <c r="P71" s="242" t="s">
        <v>2802</v>
      </c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25.5" customHeight="1">
      <c r="A72" s="190">
        <v>64</v>
      </c>
      <c r="B72" s="190" t="s">
        <v>96</v>
      </c>
      <c r="C72" s="190" t="s">
        <v>3123</v>
      </c>
      <c r="D72" s="190" t="s">
        <v>3151</v>
      </c>
      <c r="E72" s="237" t="s">
        <v>2093</v>
      </c>
      <c r="F72" s="237" t="s">
        <v>2094</v>
      </c>
      <c r="G72" s="237" t="s">
        <v>2095</v>
      </c>
      <c r="H72" s="238"/>
      <c r="I72" s="239" t="str">
        <f t="shared" si="0"/>
        <v>36 years, 3 month(s), 6 day(s)</v>
      </c>
      <c r="J72" s="240">
        <v>32897</v>
      </c>
      <c r="K72" s="239" t="str">
        <f t="shared" si="1"/>
        <v>4 years, 7 month(s), 14 day(s)</v>
      </c>
      <c r="L72" s="240">
        <v>44455</v>
      </c>
      <c r="M72" s="240">
        <v>42002</v>
      </c>
      <c r="N72" s="241"/>
      <c r="O72" s="193" t="s">
        <v>2088</v>
      </c>
      <c r="P72" s="242" t="s">
        <v>2848</v>
      </c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25.5" customHeight="1">
      <c r="A73" s="190">
        <v>65</v>
      </c>
      <c r="B73" s="190" t="s">
        <v>28</v>
      </c>
      <c r="C73" s="190" t="s">
        <v>3123</v>
      </c>
      <c r="D73" s="190">
        <v>376381</v>
      </c>
      <c r="E73" s="237" t="s">
        <v>265</v>
      </c>
      <c r="F73" s="237" t="s">
        <v>266</v>
      </c>
      <c r="G73" s="237" t="s">
        <v>267</v>
      </c>
      <c r="H73" s="243" t="s">
        <v>268</v>
      </c>
      <c r="I73" s="239" t="str">
        <f t="shared" ref="I73:I136" si="2">DATEDIF(J73,DATE(2026,4,30),"y")&amp;" years, "&amp;DATEDIF(J73,DATE(2026,4,30),"ym")&amp;" month(s), "&amp;DATEDIF(J73,DATE(2026,4,30),"md")&amp;" day(s)"</f>
        <v>29 years, 5 month(s), 19 day(s)</v>
      </c>
      <c r="J73" s="240">
        <v>35380</v>
      </c>
      <c r="K73" s="239" t="str">
        <f t="shared" ref="K73:K97" si="3">DATEDIF(L73,DATE(2026,4,30),"y")&amp;" years, "&amp;DATEDIF(L73,DATE(2026,4,30),"ym")&amp;" month(s), "&amp;DATEDIF(L73,DATE(2026,4,30),"md")&amp;" day(s)"</f>
        <v>3 years, 4 month(s), 3 day(s)</v>
      </c>
      <c r="L73" s="240">
        <v>44922</v>
      </c>
      <c r="M73" s="241"/>
      <c r="N73" s="241"/>
      <c r="O73" s="193" t="s">
        <v>264</v>
      </c>
      <c r="P73" s="242" t="s">
        <v>2849</v>
      </c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25.5" customHeight="1">
      <c r="A74" s="190">
        <v>66</v>
      </c>
      <c r="B74" s="190" t="s">
        <v>160</v>
      </c>
      <c r="C74" s="190" t="s">
        <v>3123</v>
      </c>
      <c r="D74" s="190" t="s">
        <v>3152</v>
      </c>
      <c r="E74" s="237" t="s">
        <v>2089</v>
      </c>
      <c r="F74" s="237" t="s">
        <v>1436</v>
      </c>
      <c r="G74" s="237" t="s">
        <v>2090</v>
      </c>
      <c r="H74" s="238"/>
      <c r="I74" s="239" t="str">
        <f t="shared" si="2"/>
        <v>52 years, 9 month(s), 0 day(s)</v>
      </c>
      <c r="J74" s="240">
        <v>26875</v>
      </c>
      <c r="K74" s="239" t="str">
        <f t="shared" si="3"/>
        <v>17 years, 3 month(s), 25 day(s)</v>
      </c>
      <c r="L74" s="240">
        <v>39818</v>
      </c>
      <c r="M74" s="241"/>
      <c r="N74" s="240">
        <v>34335</v>
      </c>
      <c r="O74" s="193" t="s">
        <v>2088</v>
      </c>
      <c r="P74" s="242" t="s">
        <v>2848</v>
      </c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25.5" customHeight="1">
      <c r="A75" s="190">
        <v>67</v>
      </c>
      <c r="B75" s="190" t="s">
        <v>40</v>
      </c>
      <c r="C75" s="190" t="s">
        <v>3123</v>
      </c>
      <c r="D75" s="190">
        <v>8</v>
      </c>
      <c r="E75" s="237" t="s">
        <v>904</v>
      </c>
      <c r="F75" s="237" t="s">
        <v>684</v>
      </c>
      <c r="G75" s="237" t="s">
        <v>256</v>
      </c>
      <c r="H75" s="238"/>
      <c r="I75" s="239" t="str">
        <f t="shared" si="2"/>
        <v>50 years, 11 month(s), 22 day(s)</v>
      </c>
      <c r="J75" s="240">
        <v>27522</v>
      </c>
      <c r="K75" s="239" t="str">
        <f t="shared" si="3"/>
        <v>26 years, 0 month(s), 12 day(s)</v>
      </c>
      <c r="L75" s="240">
        <v>36634</v>
      </c>
      <c r="M75" s="241"/>
      <c r="N75" s="241"/>
      <c r="O75" s="193" t="s">
        <v>1588</v>
      </c>
      <c r="P75" s="242" t="s">
        <v>2693</v>
      </c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25.5" customHeight="1">
      <c r="A76" s="190">
        <v>68</v>
      </c>
      <c r="B76" s="190" t="s">
        <v>40</v>
      </c>
      <c r="C76" s="190" t="s">
        <v>3123</v>
      </c>
      <c r="D76" s="190">
        <v>8</v>
      </c>
      <c r="E76" s="237" t="s">
        <v>904</v>
      </c>
      <c r="F76" s="237" t="s">
        <v>905</v>
      </c>
      <c r="G76" s="237" t="s">
        <v>906</v>
      </c>
      <c r="H76" s="238"/>
      <c r="I76" s="239" t="str">
        <f t="shared" si="2"/>
        <v>44 years, 3 month(s), 29 day(s)</v>
      </c>
      <c r="J76" s="240">
        <v>29952</v>
      </c>
      <c r="K76" s="239" t="str">
        <f t="shared" si="3"/>
        <v>14 years, 6 month(s), 16 day(s)</v>
      </c>
      <c r="L76" s="240">
        <v>40830</v>
      </c>
      <c r="M76" s="241"/>
      <c r="N76" s="241"/>
      <c r="O76" s="193" t="s">
        <v>891</v>
      </c>
      <c r="P76" s="242" t="s">
        <v>2953</v>
      </c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25.5" customHeight="1">
      <c r="A77" s="190">
        <v>69</v>
      </c>
      <c r="B77" s="190" t="s">
        <v>40</v>
      </c>
      <c r="C77" s="190" t="s">
        <v>3123</v>
      </c>
      <c r="D77" s="190">
        <v>12</v>
      </c>
      <c r="E77" s="237" t="s">
        <v>85</v>
      </c>
      <c r="F77" s="237" t="s">
        <v>86</v>
      </c>
      <c r="G77" s="237" t="s">
        <v>87</v>
      </c>
      <c r="H77" s="238"/>
      <c r="I77" s="239" t="str">
        <f t="shared" si="2"/>
        <v>63 years, 10 month(s), 24 day(s)</v>
      </c>
      <c r="J77" s="240">
        <v>22803</v>
      </c>
      <c r="K77" s="239" t="str">
        <f t="shared" si="3"/>
        <v>41 years, 3 month(s), 29 day(s)</v>
      </c>
      <c r="L77" s="240">
        <v>31048</v>
      </c>
      <c r="M77" s="241"/>
      <c r="N77" s="241"/>
      <c r="O77" s="193" t="s">
        <v>79</v>
      </c>
      <c r="P77" s="242" t="s">
        <v>2695</v>
      </c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25.5" customHeight="1">
      <c r="A78" s="190">
        <v>70</v>
      </c>
      <c r="B78" s="190" t="s">
        <v>40</v>
      </c>
      <c r="C78" s="190" t="s">
        <v>3123</v>
      </c>
      <c r="D78" s="190">
        <v>7</v>
      </c>
      <c r="E78" s="237" t="s">
        <v>1460</v>
      </c>
      <c r="F78" s="237" t="s">
        <v>1461</v>
      </c>
      <c r="G78" s="237" t="s">
        <v>1462</v>
      </c>
      <c r="H78" s="238"/>
      <c r="I78" s="239" t="str">
        <f t="shared" si="2"/>
        <v>32 years, 4 month(s), 8 day(s)</v>
      </c>
      <c r="J78" s="240">
        <v>34325</v>
      </c>
      <c r="K78" s="239" t="str">
        <f t="shared" si="3"/>
        <v>1 years, 1 month(s), 13 day(s)</v>
      </c>
      <c r="L78" s="240">
        <v>45733</v>
      </c>
      <c r="M78" s="241"/>
      <c r="N78" s="241"/>
      <c r="O78" s="193" t="s">
        <v>1451</v>
      </c>
      <c r="P78" s="242" t="s">
        <v>2696</v>
      </c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25.5" customHeight="1">
      <c r="A79" s="190">
        <v>71</v>
      </c>
      <c r="B79" s="190" t="s">
        <v>24</v>
      </c>
      <c r="C79" s="190" t="s">
        <v>3123</v>
      </c>
      <c r="D79" s="190">
        <v>311628</v>
      </c>
      <c r="E79" s="237" t="s">
        <v>2206</v>
      </c>
      <c r="F79" s="237" t="s">
        <v>2207</v>
      </c>
      <c r="G79" s="237" t="s">
        <v>760</v>
      </c>
      <c r="H79" s="238"/>
      <c r="I79" s="239" t="str">
        <f t="shared" si="2"/>
        <v>34 years, 2 month(s), 2 day(s)</v>
      </c>
      <c r="J79" s="240">
        <v>33662</v>
      </c>
      <c r="K79" s="239" t="str">
        <f t="shared" si="3"/>
        <v>8 years, 7 month(s), 14 day(s)</v>
      </c>
      <c r="L79" s="240">
        <v>42994</v>
      </c>
      <c r="M79" s="241"/>
      <c r="N79" s="241"/>
      <c r="O79" s="193" t="s">
        <v>2195</v>
      </c>
      <c r="P79" s="242" t="s">
        <v>2849</v>
      </c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25.5" customHeight="1">
      <c r="A80" s="190">
        <v>72</v>
      </c>
      <c r="B80" s="190" t="s">
        <v>28</v>
      </c>
      <c r="C80" s="190" t="s">
        <v>3123</v>
      </c>
      <c r="D80" s="190">
        <v>375973</v>
      </c>
      <c r="E80" s="237" t="s">
        <v>769</v>
      </c>
      <c r="F80" s="237" t="s">
        <v>770</v>
      </c>
      <c r="G80" s="237" t="s">
        <v>771</v>
      </c>
      <c r="H80" s="238"/>
      <c r="I80" s="239" t="str">
        <f t="shared" si="2"/>
        <v>29 years, 3 month(s), 2 day(s)</v>
      </c>
      <c r="J80" s="240">
        <v>35458</v>
      </c>
      <c r="K80" s="239" t="str">
        <f t="shared" si="3"/>
        <v>3 years, 4 month(s), 25 day(s)</v>
      </c>
      <c r="L80" s="240">
        <v>44900</v>
      </c>
      <c r="M80" s="241"/>
      <c r="N80" s="241"/>
      <c r="O80" s="193" t="s">
        <v>763</v>
      </c>
      <c r="P80" s="242" t="s">
        <v>2849</v>
      </c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5.5" customHeight="1">
      <c r="A81" s="190">
        <v>73</v>
      </c>
      <c r="B81" s="190" t="s">
        <v>96</v>
      </c>
      <c r="C81" s="190" t="s">
        <v>3123</v>
      </c>
      <c r="D81" s="190" t="s">
        <v>3153</v>
      </c>
      <c r="E81" s="237" t="s">
        <v>624</v>
      </c>
      <c r="F81" s="237" t="s">
        <v>255</v>
      </c>
      <c r="G81" s="237" t="s">
        <v>625</v>
      </c>
      <c r="H81" s="238"/>
      <c r="I81" s="239" t="str">
        <f t="shared" si="2"/>
        <v>36 years, 11 month(s), 7 day(s)</v>
      </c>
      <c r="J81" s="240">
        <v>32651</v>
      </c>
      <c r="K81" s="239" t="str">
        <f t="shared" si="3"/>
        <v>4 years, 5 month(s), 26 day(s)</v>
      </c>
      <c r="L81" s="240">
        <v>44504</v>
      </c>
      <c r="M81" s="240">
        <v>42278</v>
      </c>
      <c r="N81" s="241"/>
      <c r="O81" s="193" t="s">
        <v>623</v>
      </c>
      <c r="P81" s="242" t="s">
        <v>2848</v>
      </c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25.5" customHeight="1">
      <c r="A82" s="190">
        <v>74</v>
      </c>
      <c r="B82" s="190" t="s">
        <v>57</v>
      </c>
      <c r="C82" s="190" t="s">
        <v>3123</v>
      </c>
      <c r="D82" s="190">
        <v>207837</v>
      </c>
      <c r="E82" s="237" t="s">
        <v>764</v>
      </c>
      <c r="F82" s="237" t="s">
        <v>765</v>
      </c>
      <c r="G82" s="237" t="s">
        <v>766</v>
      </c>
      <c r="H82" s="243" t="s">
        <v>55</v>
      </c>
      <c r="I82" s="239" t="str">
        <f t="shared" si="2"/>
        <v>43 years, 4 month(s), 20 day(s)</v>
      </c>
      <c r="J82" s="240">
        <v>30295</v>
      </c>
      <c r="K82" s="239" t="str">
        <f t="shared" si="3"/>
        <v>15 years, 4 month(s), 29 day(s)</v>
      </c>
      <c r="L82" s="240">
        <v>40513</v>
      </c>
      <c r="M82" s="241"/>
      <c r="N82" s="241"/>
      <c r="O82" s="193" t="s">
        <v>763</v>
      </c>
      <c r="P82" s="242" t="s">
        <v>2849</v>
      </c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25.5" customHeight="1">
      <c r="A83" s="190">
        <v>75</v>
      </c>
      <c r="B83" s="190" t="s">
        <v>96</v>
      </c>
      <c r="C83" s="190" t="s">
        <v>3123</v>
      </c>
      <c r="D83" s="190" t="s">
        <v>3154</v>
      </c>
      <c r="E83" s="237" t="s">
        <v>431</v>
      </c>
      <c r="F83" s="237" t="s">
        <v>432</v>
      </c>
      <c r="G83" s="237" t="s">
        <v>433</v>
      </c>
      <c r="H83" s="243" t="s">
        <v>268</v>
      </c>
      <c r="I83" s="239" t="str">
        <f t="shared" si="2"/>
        <v>33 years, 6 month(s), 2 day(s)</v>
      </c>
      <c r="J83" s="240">
        <v>33905</v>
      </c>
      <c r="K83" s="239" t="str">
        <f t="shared" si="3"/>
        <v>4 years, 7 month(s), 14 day(s)</v>
      </c>
      <c r="L83" s="240">
        <v>44455</v>
      </c>
      <c r="M83" s="240">
        <v>43759</v>
      </c>
      <c r="N83" s="241"/>
      <c r="O83" s="193" t="s">
        <v>430</v>
      </c>
      <c r="P83" s="242" t="s">
        <v>2848</v>
      </c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25.5" customHeight="1">
      <c r="A84" s="190">
        <v>76</v>
      </c>
      <c r="B84" s="190" t="s">
        <v>96</v>
      </c>
      <c r="C84" s="190" t="s">
        <v>3123</v>
      </c>
      <c r="D84" s="190" t="s">
        <v>3155</v>
      </c>
      <c r="E84" s="237" t="s">
        <v>2187</v>
      </c>
      <c r="F84" s="237" t="s">
        <v>2188</v>
      </c>
      <c r="G84" s="237" t="s">
        <v>2189</v>
      </c>
      <c r="H84" s="238"/>
      <c r="I84" s="239" t="str">
        <f t="shared" si="2"/>
        <v>32 years, 11 month(s), 8 day(s)</v>
      </c>
      <c r="J84" s="240">
        <v>34111</v>
      </c>
      <c r="K84" s="239" t="str">
        <f t="shared" si="3"/>
        <v>4 years, 7 month(s), 14 day(s)</v>
      </c>
      <c r="L84" s="240">
        <v>44455</v>
      </c>
      <c r="M84" s="240">
        <v>42690</v>
      </c>
      <c r="N84" s="241"/>
      <c r="O84" s="193" t="s">
        <v>2889</v>
      </c>
      <c r="P84" s="242" t="s">
        <v>2848</v>
      </c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25.5" customHeight="1">
      <c r="A85" s="190">
        <v>77</v>
      </c>
      <c r="B85" s="190" t="s">
        <v>160</v>
      </c>
      <c r="C85" s="190" t="s">
        <v>3123</v>
      </c>
      <c r="D85" s="190" t="s">
        <v>3156</v>
      </c>
      <c r="E85" s="237" t="s">
        <v>920</v>
      </c>
      <c r="F85" s="237" t="s">
        <v>501</v>
      </c>
      <c r="G85" s="237" t="s">
        <v>921</v>
      </c>
      <c r="H85" s="238"/>
      <c r="I85" s="239" t="str">
        <f t="shared" si="2"/>
        <v>52 years, 7 month(s), 18 day(s)</v>
      </c>
      <c r="J85" s="240">
        <v>26919</v>
      </c>
      <c r="K85" s="239" t="str">
        <f t="shared" si="3"/>
        <v>21 years, 7 month(s), 24 day(s)</v>
      </c>
      <c r="L85" s="240">
        <v>38236</v>
      </c>
      <c r="M85" s="241"/>
      <c r="N85" s="241"/>
      <c r="O85" s="193" t="s">
        <v>919</v>
      </c>
      <c r="P85" s="242" t="s">
        <v>2958</v>
      </c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25.5" customHeight="1">
      <c r="A86" s="190">
        <v>78</v>
      </c>
      <c r="B86" s="190" t="s">
        <v>96</v>
      </c>
      <c r="C86" s="190" t="s">
        <v>3123</v>
      </c>
      <c r="D86" s="190" t="s">
        <v>3157</v>
      </c>
      <c r="E86" s="237" t="s">
        <v>1952</v>
      </c>
      <c r="F86" s="237" t="s">
        <v>3158</v>
      </c>
      <c r="G86" s="237" t="s">
        <v>1954</v>
      </c>
      <c r="H86" s="238"/>
      <c r="I86" s="239" t="str">
        <f t="shared" si="2"/>
        <v>36 years, 8 month(s), 1 day(s)</v>
      </c>
      <c r="J86" s="240">
        <v>32749</v>
      </c>
      <c r="K86" s="239" t="str">
        <f t="shared" si="3"/>
        <v>4 years, 5 month(s), 26 day(s)</v>
      </c>
      <c r="L86" s="240">
        <v>44504</v>
      </c>
      <c r="M86" s="240">
        <v>43759</v>
      </c>
      <c r="N86" s="241"/>
      <c r="O86" s="193" t="s">
        <v>714</v>
      </c>
      <c r="P86" s="242" t="s">
        <v>2848</v>
      </c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25.5" customHeight="1">
      <c r="A87" s="190">
        <v>79</v>
      </c>
      <c r="B87" s="190" t="s">
        <v>40</v>
      </c>
      <c r="C87" s="190" t="s">
        <v>3123</v>
      </c>
      <c r="D87" s="190">
        <v>22</v>
      </c>
      <c r="E87" s="237" t="s">
        <v>1727</v>
      </c>
      <c r="F87" s="237" t="s">
        <v>1728</v>
      </c>
      <c r="G87" s="237" t="s">
        <v>1729</v>
      </c>
      <c r="H87" s="238"/>
      <c r="I87" s="239" t="str">
        <f t="shared" si="2"/>
        <v>48 years, 10 month(s), 29 day(s)</v>
      </c>
      <c r="J87" s="240">
        <v>28277</v>
      </c>
      <c r="K87" s="239" t="str">
        <f t="shared" si="3"/>
        <v>21 years, 10 month(s), 16 day(s)</v>
      </c>
      <c r="L87" s="240">
        <v>38152</v>
      </c>
      <c r="M87" s="241"/>
      <c r="N87" s="241"/>
      <c r="O87" s="193" t="s">
        <v>1723</v>
      </c>
      <c r="P87" s="242" t="s">
        <v>2697</v>
      </c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25.5" customHeight="1">
      <c r="A88" s="190">
        <v>80</v>
      </c>
      <c r="B88" s="190" t="s">
        <v>40</v>
      </c>
      <c r="C88" s="190" t="s">
        <v>3123</v>
      </c>
      <c r="D88" s="190">
        <v>12</v>
      </c>
      <c r="E88" s="237" t="s">
        <v>1894</v>
      </c>
      <c r="F88" s="237" t="s">
        <v>1895</v>
      </c>
      <c r="G88" s="237" t="s">
        <v>1896</v>
      </c>
      <c r="H88" s="238"/>
      <c r="I88" s="239" t="str">
        <f t="shared" si="2"/>
        <v>46 years, 1 month(s), 13 day(s)</v>
      </c>
      <c r="J88" s="240">
        <v>29297</v>
      </c>
      <c r="K88" s="239" t="str">
        <f t="shared" si="3"/>
        <v>19 years, 2 month(s), 4 day(s)</v>
      </c>
      <c r="L88" s="240">
        <v>39139</v>
      </c>
      <c r="M88" s="241"/>
      <c r="N88" s="241"/>
      <c r="O88" s="193" t="s">
        <v>1890</v>
      </c>
      <c r="P88" s="242" t="s">
        <v>2698</v>
      </c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25.5" customHeight="1">
      <c r="A89" s="190">
        <v>81</v>
      </c>
      <c r="B89" s="190" t="s">
        <v>253</v>
      </c>
      <c r="C89" s="190" t="s">
        <v>3123</v>
      </c>
      <c r="D89" s="190" t="s">
        <v>3159</v>
      </c>
      <c r="E89" s="237" t="s">
        <v>2146</v>
      </c>
      <c r="F89" s="237" t="s">
        <v>2147</v>
      </c>
      <c r="G89" s="237" t="s">
        <v>2148</v>
      </c>
      <c r="H89" s="238"/>
      <c r="I89" s="239" t="str">
        <f t="shared" si="2"/>
        <v>46 years, 10 month(s), 10 day(s)</v>
      </c>
      <c r="J89" s="240">
        <v>29026</v>
      </c>
      <c r="K89" s="239" t="str">
        <f t="shared" si="3"/>
        <v>8 years, 2 month(s), 14 day(s)</v>
      </c>
      <c r="L89" s="240">
        <v>43147</v>
      </c>
      <c r="M89" s="240">
        <v>37989</v>
      </c>
      <c r="N89" s="241"/>
      <c r="O89" s="193" t="s">
        <v>2136</v>
      </c>
      <c r="P89" s="242" t="s">
        <v>2848</v>
      </c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25.5" customHeight="1">
      <c r="A90" s="190">
        <v>82</v>
      </c>
      <c r="B90" s="190" t="s">
        <v>96</v>
      </c>
      <c r="C90" s="190" t="s">
        <v>3123</v>
      </c>
      <c r="D90" s="190" t="s">
        <v>3160</v>
      </c>
      <c r="E90" s="237" t="s">
        <v>2052</v>
      </c>
      <c r="F90" s="237" t="s">
        <v>1292</v>
      </c>
      <c r="G90" s="237" t="s">
        <v>2053</v>
      </c>
      <c r="H90" s="238"/>
      <c r="I90" s="239" t="str">
        <f t="shared" si="2"/>
        <v>48 years, 10 month(s), 17 day(s)</v>
      </c>
      <c r="J90" s="240">
        <v>28289</v>
      </c>
      <c r="K90" s="239" t="str">
        <f t="shared" si="3"/>
        <v>7 years, 1 month(s), 12 day(s)</v>
      </c>
      <c r="L90" s="240">
        <v>43542</v>
      </c>
      <c r="M90" s="240">
        <v>39600</v>
      </c>
      <c r="N90" s="241"/>
      <c r="O90" s="193" t="s">
        <v>2051</v>
      </c>
      <c r="P90" s="242" t="s">
        <v>2848</v>
      </c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25.5" customHeight="1">
      <c r="A91" s="190">
        <v>83</v>
      </c>
      <c r="B91" s="190" t="s">
        <v>246</v>
      </c>
      <c r="C91" s="190" t="s">
        <v>3123</v>
      </c>
      <c r="D91" s="190" t="s">
        <v>3161</v>
      </c>
      <c r="E91" s="237" t="s">
        <v>1491</v>
      </c>
      <c r="F91" s="237" t="s">
        <v>1492</v>
      </c>
      <c r="G91" s="237" t="s">
        <v>1493</v>
      </c>
      <c r="H91" s="238"/>
      <c r="I91" s="239" t="str">
        <f t="shared" si="2"/>
        <v>33 years, 9 month(s), 24 day(s)</v>
      </c>
      <c r="J91" s="240">
        <v>33791</v>
      </c>
      <c r="K91" s="239" t="str">
        <f t="shared" si="3"/>
        <v>6 years, 6 month(s), 9 day(s)</v>
      </c>
      <c r="L91" s="240">
        <v>43759</v>
      </c>
      <c r="M91" s="241"/>
      <c r="N91" s="241"/>
      <c r="O91" s="193" t="s">
        <v>2863</v>
      </c>
      <c r="P91" s="242" t="s">
        <v>2848</v>
      </c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25.5" customHeight="1">
      <c r="A92" s="190">
        <v>84</v>
      </c>
      <c r="B92" s="190" t="s">
        <v>28</v>
      </c>
      <c r="C92" s="190" t="s">
        <v>3123</v>
      </c>
      <c r="D92" s="190">
        <v>376383</v>
      </c>
      <c r="E92" s="237" t="s">
        <v>980</v>
      </c>
      <c r="F92" s="237" t="s">
        <v>981</v>
      </c>
      <c r="G92" s="237" t="s">
        <v>982</v>
      </c>
      <c r="H92" s="238"/>
      <c r="I92" s="239" t="str">
        <f t="shared" si="2"/>
        <v>30 years, 2 month(s), 11 day(s)</v>
      </c>
      <c r="J92" s="240">
        <v>35114</v>
      </c>
      <c r="K92" s="239" t="str">
        <f t="shared" si="3"/>
        <v>3 years, 4 month(s), 3 day(s)</v>
      </c>
      <c r="L92" s="240">
        <v>44922</v>
      </c>
      <c r="M92" s="241"/>
      <c r="N92" s="241"/>
      <c r="O92" s="193" t="s">
        <v>965</v>
      </c>
      <c r="P92" s="242" t="s">
        <v>2818</v>
      </c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25.5" customHeight="1">
      <c r="A93" s="190">
        <v>85</v>
      </c>
      <c r="B93" s="190" t="s">
        <v>96</v>
      </c>
      <c r="C93" s="190" t="s">
        <v>3123</v>
      </c>
      <c r="D93" s="190" t="s">
        <v>3162</v>
      </c>
      <c r="E93" s="237" t="s">
        <v>1102</v>
      </c>
      <c r="F93" s="237" t="s">
        <v>1103</v>
      </c>
      <c r="G93" s="237" t="s">
        <v>1104</v>
      </c>
      <c r="H93" s="243" t="s">
        <v>1105</v>
      </c>
      <c r="I93" s="239" t="str">
        <f t="shared" si="2"/>
        <v>44 years, 7 month(s), 6 day(s)</v>
      </c>
      <c r="J93" s="240">
        <v>29853</v>
      </c>
      <c r="K93" s="239" t="str">
        <f t="shared" si="3"/>
        <v>7 years, 1 month(s), 12 day(s)</v>
      </c>
      <c r="L93" s="240">
        <v>43542</v>
      </c>
      <c r="M93" s="240">
        <v>37830</v>
      </c>
      <c r="N93" s="241"/>
      <c r="O93" s="193" t="s">
        <v>3653</v>
      </c>
      <c r="P93" s="245" t="s">
        <v>2985</v>
      </c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25.5" customHeight="1">
      <c r="A94" s="190">
        <v>86</v>
      </c>
      <c r="B94" s="190" t="s">
        <v>96</v>
      </c>
      <c r="C94" s="190" t="s">
        <v>3123</v>
      </c>
      <c r="D94" s="190" t="s">
        <v>3163</v>
      </c>
      <c r="E94" s="237" t="s">
        <v>2392</v>
      </c>
      <c r="F94" s="237" t="s">
        <v>2393</v>
      </c>
      <c r="G94" s="237" t="s">
        <v>2394</v>
      </c>
      <c r="H94" s="238"/>
      <c r="I94" s="239" t="str">
        <f t="shared" si="2"/>
        <v>30 years, 10 month(s), 6 day(s)</v>
      </c>
      <c r="J94" s="240">
        <v>34874</v>
      </c>
      <c r="K94" s="239" t="str">
        <f t="shared" si="3"/>
        <v>4 years, 5 month(s), 26 day(s)</v>
      </c>
      <c r="L94" s="240">
        <v>44504</v>
      </c>
      <c r="M94" s="240">
        <v>43395</v>
      </c>
      <c r="N94" s="241"/>
      <c r="O94" s="193" t="s">
        <v>2386</v>
      </c>
      <c r="P94" s="242" t="s">
        <v>2848</v>
      </c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25.5" customHeight="1">
      <c r="A95" s="190">
        <v>87</v>
      </c>
      <c r="B95" s="190" t="s">
        <v>40</v>
      </c>
      <c r="C95" s="190" t="s">
        <v>3123</v>
      </c>
      <c r="D95" s="190">
        <v>7</v>
      </c>
      <c r="E95" s="237" t="s">
        <v>989</v>
      </c>
      <c r="F95" s="237" t="s">
        <v>990</v>
      </c>
      <c r="G95" s="237" t="s">
        <v>991</v>
      </c>
      <c r="H95" s="238"/>
      <c r="I95" s="239" t="str">
        <f t="shared" si="2"/>
        <v>27 years, 10 month(s), 13 day(s)</v>
      </c>
      <c r="J95" s="240">
        <v>35963</v>
      </c>
      <c r="K95" s="239" t="str">
        <f t="shared" si="3"/>
        <v>6 years, 4 month(s), 14 day(s)</v>
      </c>
      <c r="L95" s="240">
        <v>43815</v>
      </c>
      <c r="M95" s="241"/>
      <c r="N95" s="241"/>
      <c r="O95" s="193" t="s">
        <v>965</v>
      </c>
      <c r="P95" s="242" t="s">
        <v>2699</v>
      </c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25.5" customHeight="1">
      <c r="A96" s="190">
        <v>88</v>
      </c>
      <c r="B96" s="190" t="s">
        <v>160</v>
      </c>
      <c r="C96" s="190" t="s">
        <v>3123</v>
      </c>
      <c r="D96" s="190" t="s">
        <v>3164</v>
      </c>
      <c r="E96" s="237" t="s">
        <v>2615</v>
      </c>
      <c r="F96" s="237" t="s">
        <v>2616</v>
      </c>
      <c r="G96" s="237" t="s">
        <v>2617</v>
      </c>
      <c r="H96" s="238"/>
      <c r="I96" s="239" t="str">
        <f t="shared" si="2"/>
        <v>48 years, 9 month(s), 8 day(s)</v>
      </c>
      <c r="J96" s="240">
        <v>28328</v>
      </c>
      <c r="K96" s="239" t="str">
        <f t="shared" si="3"/>
        <v>16 years, 7 month(s), 14 day(s)</v>
      </c>
      <c r="L96" s="240">
        <v>40072</v>
      </c>
      <c r="M96" s="241"/>
      <c r="N96" s="241"/>
      <c r="O96" s="244" t="s">
        <v>2614</v>
      </c>
      <c r="P96" s="245" t="s">
        <v>2989</v>
      </c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25.5" customHeight="1">
      <c r="A97" s="190">
        <v>89</v>
      </c>
      <c r="B97" s="190" t="s">
        <v>366</v>
      </c>
      <c r="C97" s="190" t="s">
        <v>3123</v>
      </c>
      <c r="D97" s="190">
        <v>207819</v>
      </c>
      <c r="E97" s="237" t="s">
        <v>410</v>
      </c>
      <c r="F97" s="237" t="s">
        <v>2402</v>
      </c>
      <c r="G97" s="237" t="s">
        <v>2403</v>
      </c>
      <c r="H97" s="238"/>
      <c r="I97" s="239" t="str">
        <f t="shared" si="2"/>
        <v>37 years, 8 month(s), 29 day(s)</v>
      </c>
      <c r="J97" s="240">
        <v>32356</v>
      </c>
      <c r="K97" s="239" t="str">
        <f t="shared" si="3"/>
        <v>15 years, 9 month(s), 29 day(s)</v>
      </c>
      <c r="L97" s="240">
        <v>40360</v>
      </c>
      <c r="M97" s="241"/>
      <c r="N97" s="241"/>
      <c r="O97" s="189" t="s">
        <v>2386</v>
      </c>
      <c r="P97" s="242" t="s">
        <v>2849</v>
      </c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25.5" customHeight="1">
      <c r="A98" s="190">
        <v>90</v>
      </c>
      <c r="B98" s="190" t="s">
        <v>40</v>
      </c>
      <c r="C98" s="190" t="s">
        <v>3123</v>
      </c>
      <c r="D98" s="190">
        <v>6</v>
      </c>
      <c r="E98" s="237" t="s">
        <v>549</v>
      </c>
      <c r="F98" s="237" t="s">
        <v>2908</v>
      </c>
      <c r="G98" s="237" t="s">
        <v>2909</v>
      </c>
      <c r="H98" s="238"/>
      <c r="I98" s="239" t="str">
        <f t="shared" si="2"/>
        <v>28 years, 7 month(s), 17 day(s)</v>
      </c>
      <c r="J98" s="240">
        <v>35686</v>
      </c>
      <c r="K98" s="239" t="str">
        <f ca="1">DATEDIF(L98,TODAY(),"y")&amp;" years, "&amp;DATEDIF(L98,TODAY(),"ym")&amp;" month(s), "&amp;DATEDIF(L98,TODAY(),"md")&amp;" day(s)"</f>
        <v>0 years, 1 month(s), 10 day(s)</v>
      </c>
      <c r="L98" s="240">
        <v>46232</v>
      </c>
      <c r="M98" s="241"/>
      <c r="N98" s="241"/>
      <c r="O98" s="258" t="s">
        <v>1804</v>
      </c>
      <c r="P98" s="246" t="s">
        <v>2679</v>
      </c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25.5" customHeight="1">
      <c r="A99" s="190">
        <v>91</v>
      </c>
      <c r="B99" s="190" t="s">
        <v>96</v>
      </c>
      <c r="C99" s="190" t="s">
        <v>3123</v>
      </c>
      <c r="D99" s="190" t="s">
        <v>3165</v>
      </c>
      <c r="E99" s="237" t="s">
        <v>741</v>
      </c>
      <c r="F99" s="237" t="s">
        <v>742</v>
      </c>
      <c r="G99" s="237" t="s">
        <v>743</v>
      </c>
      <c r="H99" s="238"/>
      <c r="I99" s="239" t="str">
        <f t="shared" si="2"/>
        <v>40 years, 2 month(s), 19 day(s)</v>
      </c>
      <c r="J99" s="240">
        <v>31454</v>
      </c>
      <c r="K99" s="239" t="str">
        <f t="shared" ref="K99:K127" si="4">DATEDIF(L99,DATE(2026,4,30),"y")&amp;" years, "&amp;DATEDIF(L99,DATE(2026,4,30),"ym")&amp;" month(s), "&amp;DATEDIF(L99,DATE(2026,4,30),"md")&amp;" day(s)"</f>
        <v>7 years, 1 month(s), 12 day(s)</v>
      </c>
      <c r="L99" s="240">
        <v>43542</v>
      </c>
      <c r="M99" s="240">
        <v>40513</v>
      </c>
      <c r="N99" s="241"/>
      <c r="O99" s="193" t="s">
        <v>1486</v>
      </c>
      <c r="P99" s="242" t="s">
        <v>3018</v>
      </c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25.5" customHeight="1">
      <c r="A100" s="190">
        <v>92</v>
      </c>
      <c r="B100" s="190" t="s">
        <v>28</v>
      </c>
      <c r="C100" s="190" t="s">
        <v>3123</v>
      </c>
      <c r="D100" s="190">
        <v>376384</v>
      </c>
      <c r="E100" s="237" t="s">
        <v>29</v>
      </c>
      <c r="F100" s="237" t="s">
        <v>30</v>
      </c>
      <c r="G100" s="237" t="s">
        <v>31</v>
      </c>
      <c r="H100" s="238"/>
      <c r="I100" s="239" t="str">
        <f t="shared" si="2"/>
        <v>32 years, 11 month(s), 8 day(s)</v>
      </c>
      <c r="J100" s="240">
        <v>34111</v>
      </c>
      <c r="K100" s="239" t="str">
        <f t="shared" si="4"/>
        <v>3 years, 4 month(s), 3 day(s)</v>
      </c>
      <c r="L100" s="240">
        <v>44922</v>
      </c>
      <c r="M100" s="241"/>
      <c r="N100" s="241"/>
      <c r="O100" s="193" t="s">
        <v>18</v>
      </c>
      <c r="P100" s="242" t="s">
        <v>2802</v>
      </c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25.5" customHeight="1">
      <c r="A101" s="190">
        <v>93</v>
      </c>
      <c r="B101" s="190" t="s">
        <v>253</v>
      </c>
      <c r="C101" s="190" t="s">
        <v>3123</v>
      </c>
      <c r="D101" s="190" t="s">
        <v>3166</v>
      </c>
      <c r="E101" s="237" t="s">
        <v>1090</v>
      </c>
      <c r="F101" s="237" t="s">
        <v>1091</v>
      </c>
      <c r="G101" s="237" t="s">
        <v>1092</v>
      </c>
      <c r="H101" s="238"/>
      <c r="I101" s="239" t="str">
        <f t="shared" si="2"/>
        <v>49 years, 4 month(s), 21 day(s)</v>
      </c>
      <c r="J101" s="240">
        <v>28103</v>
      </c>
      <c r="K101" s="239" t="str">
        <f t="shared" si="4"/>
        <v>8 years, 2 month(s), 14 day(s)</v>
      </c>
      <c r="L101" s="240">
        <v>43147</v>
      </c>
      <c r="M101" s="240">
        <v>38299</v>
      </c>
      <c r="N101" s="241"/>
      <c r="O101" s="193" t="s">
        <v>1065</v>
      </c>
      <c r="P101" s="242" t="s">
        <v>2985</v>
      </c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25.5" customHeight="1">
      <c r="A102" s="190">
        <v>94</v>
      </c>
      <c r="B102" s="190" t="s">
        <v>253</v>
      </c>
      <c r="C102" s="190" t="s">
        <v>3123</v>
      </c>
      <c r="D102" s="190" t="s">
        <v>3167</v>
      </c>
      <c r="E102" s="237" t="s">
        <v>2626</v>
      </c>
      <c r="F102" s="237" t="s">
        <v>2627</v>
      </c>
      <c r="G102" s="237" t="s">
        <v>2628</v>
      </c>
      <c r="H102" s="238"/>
      <c r="I102" s="239" t="str">
        <f t="shared" si="2"/>
        <v>42 years, 0 month(s), 11 day(s)</v>
      </c>
      <c r="J102" s="240">
        <v>30791</v>
      </c>
      <c r="K102" s="239" t="str">
        <f t="shared" si="4"/>
        <v>7 years, 1 month(s), 12 day(s)</v>
      </c>
      <c r="L102" s="240">
        <v>43542</v>
      </c>
      <c r="M102" s="240">
        <v>41333</v>
      </c>
      <c r="N102" s="241"/>
      <c r="O102" s="193" t="s">
        <v>2994</v>
      </c>
      <c r="P102" s="242" t="s">
        <v>2995</v>
      </c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25.5" customHeight="1">
      <c r="A103" s="190">
        <v>95</v>
      </c>
      <c r="B103" s="190" t="s">
        <v>40</v>
      </c>
      <c r="C103" s="190" t="s">
        <v>3123</v>
      </c>
      <c r="D103" s="190">
        <v>8</v>
      </c>
      <c r="E103" s="237" t="s">
        <v>200</v>
      </c>
      <c r="F103" s="237" t="s">
        <v>201</v>
      </c>
      <c r="G103" s="237" t="s">
        <v>202</v>
      </c>
      <c r="H103" s="238"/>
      <c r="I103" s="239" t="str">
        <f t="shared" si="2"/>
        <v>46 years, 4 month(s), 11 day(s)</v>
      </c>
      <c r="J103" s="240">
        <v>29208</v>
      </c>
      <c r="K103" s="239" t="str">
        <f t="shared" si="4"/>
        <v>22 years, 4 month(s), 15 day(s)</v>
      </c>
      <c r="L103" s="240">
        <v>37970</v>
      </c>
      <c r="M103" s="241"/>
      <c r="N103" s="241"/>
      <c r="O103" s="193" t="s">
        <v>154</v>
      </c>
      <c r="P103" s="242" t="s">
        <v>2700</v>
      </c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25.5" customHeight="1">
      <c r="A104" s="190">
        <v>96</v>
      </c>
      <c r="B104" s="190" t="s">
        <v>28</v>
      </c>
      <c r="C104" s="190" t="s">
        <v>3123</v>
      </c>
      <c r="D104" s="190">
        <v>376385</v>
      </c>
      <c r="E104" s="237" t="s">
        <v>709</v>
      </c>
      <c r="F104" s="237" t="s">
        <v>710</v>
      </c>
      <c r="G104" s="237" t="s">
        <v>711</v>
      </c>
      <c r="H104" s="238"/>
      <c r="I104" s="239" t="str">
        <f t="shared" si="2"/>
        <v>31 years, 1 month(s), 8 day(s)</v>
      </c>
      <c r="J104" s="240">
        <v>34780</v>
      </c>
      <c r="K104" s="239" t="str">
        <f t="shared" si="4"/>
        <v>3 years, 4 month(s), 3 day(s)</v>
      </c>
      <c r="L104" s="240">
        <v>44922</v>
      </c>
      <c r="M104" s="241"/>
      <c r="N104" s="241"/>
      <c r="O104" s="193" t="s">
        <v>703</v>
      </c>
      <c r="P104" s="242" t="s">
        <v>2849</v>
      </c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25.5" customHeight="1">
      <c r="A105" s="190">
        <v>97</v>
      </c>
      <c r="B105" s="190" t="s">
        <v>40</v>
      </c>
      <c r="C105" s="190" t="s">
        <v>3123</v>
      </c>
      <c r="D105" s="190">
        <v>4</v>
      </c>
      <c r="E105" s="237" t="s">
        <v>2936</v>
      </c>
      <c r="F105" s="237" t="s">
        <v>2937</v>
      </c>
      <c r="G105" s="237" t="s">
        <v>2938</v>
      </c>
      <c r="H105" s="238"/>
      <c r="I105" s="239" t="str">
        <f t="shared" si="2"/>
        <v>26 years, 7 month(s), 5 day(s)</v>
      </c>
      <c r="J105" s="240">
        <v>36428</v>
      </c>
      <c r="K105" s="239" t="str">
        <f t="shared" si="4"/>
        <v>0 years, 2 month(s), 14 day(s)</v>
      </c>
      <c r="L105" s="240">
        <v>46069</v>
      </c>
      <c r="M105" s="241"/>
      <c r="N105" s="241"/>
      <c r="O105" s="193" t="s">
        <v>837</v>
      </c>
      <c r="P105" s="242" t="s">
        <v>3168</v>
      </c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25.5" customHeight="1">
      <c r="A106" s="190">
        <v>98</v>
      </c>
      <c r="B106" s="190" t="s">
        <v>40</v>
      </c>
      <c r="C106" s="190" t="s">
        <v>3123</v>
      </c>
      <c r="D106" s="190">
        <v>6</v>
      </c>
      <c r="E106" s="237" t="s">
        <v>1822</v>
      </c>
      <c r="F106" s="237" t="s">
        <v>1823</v>
      </c>
      <c r="G106" s="237" t="s">
        <v>1824</v>
      </c>
      <c r="H106" s="238"/>
      <c r="I106" s="239" t="str">
        <f t="shared" si="2"/>
        <v>26 years, 7 month(s), 16 day(s)</v>
      </c>
      <c r="J106" s="240">
        <v>36417</v>
      </c>
      <c r="K106" s="239" t="str">
        <f t="shared" si="4"/>
        <v>0 years, 8 month(s), 19 day(s)</v>
      </c>
      <c r="L106" s="240">
        <v>45880</v>
      </c>
      <c r="M106" s="241"/>
      <c r="N106" s="241"/>
      <c r="O106" s="193" t="s">
        <v>3092</v>
      </c>
      <c r="P106" s="242" t="s">
        <v>2701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25.5" customHeight="1">
      <c r="A107" s="190">
        <v>99</v>
      </c>
      <c r="B107" s="190" t="s">
        <v>28</v>
      </c>
      <c r="C107" s="190" t="s">
        <v>3123</v>
      </c>
      <c r="D107" s="190">
        <v>375974</v>
      </c>
      <c r="E107" s="237" t="s">
        <v>1667</v>
      </c>
      <c r="F107" s="237" t="s">
        <v>1668</v>
      </c>
      <c r="G107" s="237" t="s">
        <v>1669</v>
      </c>
      <c r="H107" s="238"/>
      <c r="I107" s="239" t="str">
        <f t="shared" si="2"/>
        <v>26 years, 8 month(s), 6 day(s)</v>
      </c>
      <c r="J107" s="240">
        <v>36396</v>
      </c>
      <c r="K107" s="239" t="str">
        <f t="shared" si="4"/>
        <v>3 years, 4 month(s), 25 day(s)</v>
      </c>
      <c r="L107" s="240">
        <v>44900</v>
      </c>
      <c r="M107" s="241"/>
      <c r="N107" s="241"/>
      <c r="O107" s="193" t="s">
        <v>398</v>
      </c>
      <c r="P107" s="242" t="s">
        <v>2849</v>
      </c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25.5" customHeight="1">
      <c r="A108" s="190">
        <v>100</v>
      </c>
      <c r="B108" s="190" t="s">
        <v>246</v>
      </c>
      <c r="C108" s="190" t="s">
        <v>3123</v>
      </c>
      <c r="D108" s="190" t="s">
        <v>3169</v>
      </c>
      <c r="E108" s="237" t="s">
        <v>1239</v>
      </c>
      <c r="F108" s="237" t="s">
        <v>1240</v>
      </c>
      <c r="G108" s="237" t="s">
        <v>1128</v>
      </c>
      <c r="H108" s="238"/>
      <c r="I108" s="239" t="str">
        <f t="shared" si="2"/>
        <v>34 years, 6 month(s), 18 day(s)</v>
      </c>
      <c r="J108" s="240">
        <v>33523</v>
      </c>
      <c r="K108" s="239" t="str">
        <f t="shared" si="4"/>
        <v>6 years, 6 month(s), 9 day(s)</v>
      </c>
      <c r="L108" s="240">
        <v>43759</v>
      </c>
      <c r="M108" s="241"/>
      <c r="N108" s="241"/>
      <c r="O108" s="193" t="s">
        <v>1229</v>
      </c>
      <c r="P108" s="242" t="s">
        <v>2985</v>
      </c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25.5" customHeight="1">
      <c r="A109" s="190">
        <v>101</v>
      </c>
      <c r="B109" s="190" t="s">
        <v>40</v>
      </c>
      <c r="C109" s="190" t="s">
        <v>3123</v>
      </c>
      <c r="D109" s="190">
        <v>10</v>
      </c>
      <c r="E109" s="237" t="s">
        <v>1239</v>
      </c>
      <c r="F109" s="237" t="s">
        <v>145</v>
      </c>
      <c r="G109" s="237" t="s">
        <v>720</v>
      </c>
      <c r="H109" s="238"/>
      <c r="I109" s="239" t="str">
        <f t="shared" si="2"/>
        <v>32 years, 6 month(s), 11 day(s)</v>
      </c>
      <c r="J109" s="240">
        <v>34261</v>
      </c>
      <c r="K109" s="239" t="str">
        <f t="shared" si="4"/>
        <v>9 years, 6 month(s), 23 day(s)</v>
      </c>
      <c r="L109" s="240">
        <v>42650</v>
      </c>
      <c r="M109" s="241"/>
      <c r="N109" s="241"/>
      <c r="O109" s="193" t="s">
        <v>1704</v>
      </c>
      <c r="P109" s="242" t="s">
        <v>3170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25.5" customHeight="1">
      <c r="A110" s="190">
        <v>102</v>
      </c>
      <c r="B110" s="190" t="s">
        <v>40</v>
      </c>
      <c r="C110" s="190" t="s">
        <v>3123</v>
      </c>
      <c r="D110" s="190">
        <v>11</v>
      </c>
      <c r="E110" s="237" t="s">
        <v>294</v>
      </c>
      <c r="F110" s="237" t="s">
        <v>1541</v>
      </c>
      <c r="G110" s="237" t="s">
        <v>1169</v>
      </c>
      <c r="H110" s="238"/>
      <c r="I110" s="239" t="str">
        <f t="shared" si="2"/>
        <v>39 years, 2 month(s), 7 day(s)</v>
      </c>
      <c r="J110" s="240">
        <v>31831</v>
      </c>
      <c r="K110" s="239" t="str">
        <f t="shared" si="4"/>
        <v>8 years, 2 month(s), 21 day(s)</v>
      </c>
      <c r="L110" s="240">
        <v>43140</v>
      </c>
      <c r="M110" s="241"/>
      <c r="N110" s="241"/>
      <c r="O110" s="193" t="s">
        <v>1537</v>
      </c>
      <c r="P110" s="242" t="s">
        <v>2703</v>
      </c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25.5" customHeight="1">
      <c r="A111" s="190">
        <v>103</v>
      </c>
      <c r="B111" s="190" t="s">
        <v>96</v>
      </c>
      <c r="C111" s="190" t="s">
        <v>3123</v>
      </c>
      <c r="D111" s="190" t="s">
        <v>3171</v>
      </c>
      <c r="E111" s="237" t="s">
        <v>2103</v>
      </c>
      <c r="F111" s="237" t="s">
        <v>2104</v>
      </c>
      <c r="G111" s="237" t="s">
        <v>2105</v>
      </c>
      <c r="H111" s="243" t="s">
        <v>268</v>
      </c>
      <c r="I111" s="239" t="str">
        <f t="shared" si="2"/>
        <v>35 years, 4 month(s), 15 day(s)</v>
      </c>
      <c r="J111" s="240">
        <v>33222</v>
      </c>
      <c r="K111" s="239" t="str">
        <f t="shared" si="4"/>
        <v>11 years, 4 month(s), 1 day(s)</v>
      </c>
      <c r="L111" s="240">
        <v>42002</v>
      </c>
      <c r="M111" s="241"/>
      <c r="N111" s="241"/>
      <c r="O111" s="193" t="s">
        <v>2088</v>
      </c>
      <c r="P111" s="242" t="s">
        <v>2848</v>
      </c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25.5" customHeight="1">
      <c r="A112" s="190">
        <v>104</v>
      </c>
      <c r="B112" s="190" t="s">
        <v>28</v>
      </c>
      <c r="C112" s="190" t="s">
        <v>3123</v>
      </c>
      <c r="D112" s="190">
        <v>376386</v>
      </c>
      <c r="E112" s="237" t="s">
        <v>671</v>
      </c>
      <c r="F112" s="237" t="s">
        <v>672</v>
      </c>
      <c r="G112" s="237" t="s">
        <v>673</v>
      </c>
      <c r="H112" s="243" t="s">
        <v>268</v>
      </c>
      <c r="I112" s="239" t="str">
        <f t="shared" si="2"/>
        <v>26 years, 8 month(s), 3 day(s)</v>
      </c>
      <c r="J112" s="240">
        <v>36399</v>
      </c>
      <c r="K112" s="239" t="str">
        <f t="shared" si="4"/>
        <v>3 years, 4 month(s), 3 day(s)</v>
      </c>
      <c r="L112" s="240">
        <v>44922</v>
      </c>
      <c r="M112" s="241"/>
      <c r="N112" s="241"/>
      <c r="O112" s="193" t="s">
        <v>665</v>
      </c>
      <c r="P112" s="242" t="s">
        <v>2848</v>
      </c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25.5" customHeight="1">
      <c r="A113" s="190">
        <v>105</v>
      </c>
      <c r="B113" s="190" t="s">
        <v>253</v>
      </c>
      <c r="C113" s="190" t="s">
        <v>3123</v>
      </c>
      <c r="D113" s="190" t="s">
        <v>3172</v>
      </c>
      <c r="E113" s="237" t="s">
        <v>2421</v>
      </c>
      <c r="F113" s="237" t="s">
        <v>2422</v>
      </c>
      <c r="G113" s="237" t="s">
        <v>2423</v>
      </c>
      <c r="H113" s="238"/>
      <c r="I113" s="239" t="str">
        <f t="shared" si="2"/>
        <v>35 years, 0 month(s), 16 day(s)</v>
      </c>
      <c r="J113" s="240">
        <v>33342</v>
      </c>
      <c r="K113" s="239" t="str">
        <f t="shared" si="4"/>
        <v>7 years, 1 month(s), 12 day(s)</v>
      </c>
      <c r="L113" s="240">
        <v>43542</v>
      </c>
      <c r="M113" s="241"/>
      <c r="N113" s="241"/>
      <c r="O113" s="193" t="s">
        <v>2420</v>
      </c>
      <c r="P113" s="242" t="s">
        <v>2848</v>
      </c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25.5" customHeight="1">
      <c r="A114" s="190">
        <v>106</v>
      </c>
      <c r="B114" s="190" t="s">
        <v>160</v>
      </c>
      <c r="C114" s="190" t="s">
        <v>3123</v>
      </c>
      <c r="D114" s="190" t="s">
        <v>3173</v>
      </c>
      <c r="E114" s="237" t="s">
        <v>1076</v>
      </c>
      <c r="F114" s="237" t="s">
        <v>1077</v>
      </c>
      <c r="G114" s="237" t="s">
        <v>647</v>
      </c>
      <c r="H114" s="238"/>
      <c r="I114" s="239" t="str">
        <f t="shared" si="2"/>
        <v>44 years, 7 month(s), 11 day(s)</v>
      </c>
      <c r="J114" s="240">
        <v>29848</v>
      </c>
      <c r="K114" s="239" t="str">
        <f t="shared" si="4"/>
        <v>17 years, 4 month(s), 15 day(s)</v>
      </c>
      <c r="L114" s="240">
        <v>39797</v>
      </c>
      <c r="M114" s="241"/>
      <c r="N114" s="241"/>
      <c r="O114" s="193" t="s">
        <v>1065</v>
      </c>
      <c r="P114" s="242" t="s">
        <v>2982</v>
      </c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25.5" customHeight="1">
      <c r="A115" s="190">
        <v>107</v>
      </c>
      <c r="B115" s="190" t="s">
        <v>20</v>
      </c>
      <c r="C115" s="190" t="s">
        <v>3123</v>
      </c>
      <c r="D115" s="190" t="s">
        <v>3174</v>
      </c>
      <c r="E115" s="237" t="s">
        <v>155</v>
      </c>
      <c r="F115" s="237" t="s">
        <v>3175</v>
      </c>
      <c r="G115" s="237" t="s">
        <v>157</v>
      </c>
      <c r="H115" s="238"/>
      <c r="I115" s="239" t="str">
        <f t="shared" si="2"/>
        <v>55 years, 4 month(s), 25 day(s)</v>
      </c>
      <c r="J115" s="240">
        <v>25907</v>
      </c>
      <c r="K115" s="239" t="str">
        <f t="shared" si="4"/>
        <v>27 years, 1 month(s), 1 day(s)</v>
      </c>
      <c r="L115" s="240">
        <v>36248</v>
      </c>
      <c r="M115" s="241"/>
      <c r="N115" s="241"/>
      <c r="O115" s="193" t="s">
        <v>1037</v>
      </c>
      <c r="P115" s="242" t="s">
        <v>2976</v>
      </c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25.5" customHeight="1">
      <c r="A116" s="190">
        <v>108</v>
      </c>
      <c r="B116" s="190" t="s">
        <v>28</v>
      </c>
      <c r="C116" s="190" t="s">
        <v>3123</v>
      </c>
      <c r="D116" s="190">
        <v>375630</v>
      </c>
      <c r="E116" s="237" t="s">
        <v>1336</v>
      </c>
      <c r="F116" s="237" t="s">
        <v>1337</v>
      </c>
      <c r="G116" s="237" t="s">
        <v>1338</v>
      </c>
      <c r="H116" s="238"/>
      <c r="I116" s="239" t="str">
        <f t="shared" si="2"/>
        <v>28 years, 9 month(s), 29 day(s)</v>
      </c>
      <c r="J116" s="240">
        <v>35612</v>
      </c>
      <c r="K116" s="239" t="str">
        <f t="shared" si="4"/>
        <v>3 years, 5 month(s), 16 day(s)</v>
      </c>
      <c r="L116" s="240">
        <v>44879</v>
      </c>
      <c r="M116" s="241"/>
      <c r="N116" s="241"/>
      <c r="O116" s="193" t="s">
        <v>1330</v>
      </c>
      <c r="P116" s="242" t="s">
        <v>3007</v>
      </c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25.5" customHeight="1">
      <c r="A117" s="190">
        <v>109</v>
      </c>
      <c r="B117" s="190" t="s">
        <v>57</v>
      </c>
      <c r="C117" s="190" t="s">
        <v>3123</v>
      </c>
      <c r="D117" s="190">
        <v>207859</v>
      </c>
      <c r="E117" s="237" t="s">
        <v>2124</v>
      </c>
      <c r="F117" s="237" t="s">
        <v>839</v>
      </c>
      <c r="G117" s="237" t="s">
        <v>2125</v>
      </c>
      <c r="H117" s="238"/>
      <c r="I117" s="239" t="str">
        <f t="shared" si="2"/>
        <v>42 years, 7 month(s), 12 day(s)</v>
      </c>
      <c r="J117" s="240">
        <v>30577</v>
      </c>
      <c r="K117" s="239" t="str">
        <f t="shared" si="4"/>
        <v>15 years, 4 month(s), 29 day(s)</v>
      </c>
      <c r="L117" s="240">
        <v>40513</v>
      </c>
      <c r="M117" s="241"/>
      <c r="N117" s="241"/>
      <c r="O117" s="193" t="s">
        <v>2088</v>
      </c>
      <c r="P117" s="242" t="s">
        <v>2849</v>
      </c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25.5" customHeight="1">
      <c r="A118" s="190">
        <v>110</v>
      </c>
      <c r="B118" s="190" t="s">
        <v>24</v>
      </c>
      <c r="C118" s="190" t="s">
        <v>3123</v>
      </c>
      <c r="D118" s="190">
        <v>296933</v>
      </c>
      <c r="E118" s="237" t="s">
        <v>656</v>
      </c>
      <c r="F118" s="237" t="s">
        <v>657</v>
      </c>
      <c r="G118" s="237" t="s">
        <v>658</v>
      </c>
      <c r="H118" s="238"/>
      <c r="I118" s="239" t="str">
        <f t="shared" si="2"/>
        <v>34 years, 1 month(s), 24 day(s)</v>
      </c>
      <c r="J118" s="240">
        <v>33669</v>
      </c>
      <c r="K118" s="239" t="str">
        <f t="shared" si="4"/>
        <v>9 years, 2 month(s), 29 day(s)</v>
      </c>
      <c r="L118" s="240">
        <v>42767</v>
      </c>
      <c r="M118" s="241"/>
      <c r="N118" s="241"/>
      <c r="O118" s="193" t="s">
        <v>650</v>
      </c>
      <c r="P118" s="242" t="s">
        <v>2849</v>
      </c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25.5" customHeight="1">
      <c r="A119" s="190">
        <v>111</v>
      </c>
      <c r="B119" s="190" t="s">
        <v>40</v>
      </c>
      <c r="C119" s="190" t="s">
        <v>3123</v>
      </c>
      <c r="D119" s="190">
        <v>7</v>
      </c>
      <c r="E119" s="237" t="s">
        <v>408</v>
      </c>
      <c r="F119" s="237" t="s">
        <v>409</v>
      </c>
      <c r="G119" s="237" t="s">
        <v>410</v>
      </c>
      <c r="H119" s="238"/>
      <c r="I119" s="239" t="str">
        <f t="shared" si="2"/>
        <v>48 years, 3 month(s), 20 day(s)</v>
      </c>
      <c r="J119" s="240">
        <v>28500</v>
      </c>
      <c r="K119" s="239" t="str">
        <f t="shared" si="4"/>
        <v>0 years, 11 month(s), 7 day(s)</v>
      </c>
      <c r="L119" s="240">
        <v>45800</v>
      </c>
      <c r="M119" s="241"/>
      <c r="N119" s="241"/>
      <c r="O119" s="193" t="s">
        <v>398</v>
      </c>
      <c r="P119" s="242" t="s">
        <v>2716</v>
      </c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25.5" customHeight="1">
      <c r="A120" s="190">
        <v>112</v>
      </c>
      <c r="B120" s="190" t="s">
        <v>28</v>
      </c>
      <c r="C120" s="190" t="s">
        <v>3123</v>
      </c>
      <c r="D120" s="190">
        <v>339468</v>
      </c>
      <c r="E120" s="237" t="s">
        <v>177</v>
      </c>
      <c r="F120" s="237" t="s">
        <v>2440</v>
      </c>
      <c r="G120" s="237" t="s">
        <v>2441</v>
      </c>
      <c r="H120" s="238"/>
      <c r="I120" s="239" t="str">
        <f t="shared" si="2"/>
        <v>32 years, 3 month(s), 10 day(s)</v>
      </c>
      <c r="J120" s="240">
        <v>34354</v>
      </c>
      <c r="K120" s="239" t="str">
        <f t="shared" si="4"/>
        <v>6 years, 6 month(s), 9 day(s)</v>
      </c>
      <c r="L120" s="240">
        <v>43759</v>
      </c>
      <c r="M120" s="241"/>
      <c r="N120" s="241"/>
      <c r="O120" s="193" t="s">
        <v>2420</v>
      </c>
      <c r="P120" s="242" t="s">
        <v>2849</v>
      </c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25.5" customHeight="1">
      <c r="A121" s="190">
        <v>113</v>
      </c>
      <c r="B121" s="190" t="s">
        <v>96</v>
      </c>
      <c r="C121" s="190" t="s">
        <v>3123</v>
      </c>
      <c r="D121" s="190" t="s">
        <v>3176</v>
      </c>
      <c r="E121" s="237" t="s">
        <v>447</v>
      </c>
      <c r="F121" s="237" t="s">
        <v>448</v>
      </c>
      <c r="G121" s="237" t="s">
        <v>449</v>
      </c>
      <c r="H121" s="238"/>
      <c r="I121" s="239" t="str">
        <f t="shared" si="2"/>
        <v>34 years, 1 month(s), 7 day(s)</v>
      </c>
      <c r="J121" s="240">
        <v>33686</v>
      </c>
      <c r="K121" s="239" t="str">
        <f t="shared" si="4"/>
        <v>5 years, 3 month(s), 26 day(s)</v>
      </c>
      <c r="L121" s="240">
        <v>44200</v>
      </c>
      <c r="M121" s="240">
        <v>42629</v>
      </c>
      <c r="N121" s="241"/>
      <c r="O121" s="193" t="s">
        <v>446</v>
      </c>
      <c r="P121" s="242" t="s">
        <v>2848</v>
      </c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25.5" customHeight="1">
      <c r="A122" s="190">
        <v>114</v>
      </c>
      <c r="B122" s="190" t="s">
        <v>40</v>
      </c>
      <c r="C122" s="190" t="s">
        <v>3123</v>
      </c>
      <c r="D122" s="190">
        <v>7</v>
      </c>
      <c r="E122" s="237" t="s">
        <v>994</v>
      </c>
      <c r="F122" s="237" t="s">
        <v>995</v>
      </c>
      <c r="G122" s="237" t="s">
        <v>996</v>
      </c>
      <c r="H122" s="238"/>
      <c r="I122" s="239" t="str">
        <f t="shared" si="2"/>
        <v>30 years, 6 month(s), 16 day(s)</v>
      </c>
      <c r="J122" s="240">
        <v>34986</v>
      </c>
      <c r="K122" s="239" t="str">
        <f t="shared" si="4"/>
        <v>3 years, 2 month(s), 16 day(s)</v>
      </c>
      <c r="L122" s="240">
        <v>44971</v>
      </c>
      <c r="M122" s="241"/>
      <c r="N122" s="241"/>
      <c r="O122" s="193" t="s">
        <v>965</v>
      </c>
      <c r="P122" s="242" t="s">
        <v>2705</v>
      </c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25.5" customHeight="1">
      <c r="A123" s="190">
        <v>115</v>
      </c>
      <c r="B123" s="190" t="s">
        <v>40</v>
      </c>
      <c r="C123" s="190" t="s">
        <v>3123</v>
      </c>
      <c r="D123" s="190">
        <v>6</v>
      </c>
      <c r="E123" s="237" t="s">
        <v>2954</v>
      </c>
      <c r="F123" s="237" t="s">
        <v>1397</v>
      </c>
      <c r="G123" s="237" t="s">
        <v>2955</v>
      </c>
      <c r="H123" s="238"/>
      <c r="I123" s="239" t="str">
        <f t="shared" si="2"/>
        <v>26 years, 8 month(s), 4 day(s)</v>
      </c>
      <c r="J123" s="240">
        <v>36398</v>
      </c>
      <c r="K123" s="239" t="str">
        <f t="shared" si="4"/>
        <v>0 years, 2 month(s), 14 day(s)</v>
      </c>
      <c r="L123" s="240">
        <v>46069</v>
      </c>
      <c r="M123" s="241"/>
      <c r="N123" s="241"/>
      <c r="O123" s="193" t="s">
        <v>891</v>
      </c>
      <c r="P123" s="242" t="s">
        <v>2956</v>
      </c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25.5" customHeight="1">
      <c r="A124" s="190">
        <v>116</v>
      </c>
      <c r="B124" s="190" t="s">
        <v>96</v>
      </c>
      <c r="C124" s="190" t="s">
        <v>3123</v>
      </c>
      <c r="D124" s="190" t="s">
        <v>3177</v>
      </c>
      <c r="E124" s="237" t="s">
        <v>2489</v>
      </c>
      <c r="F124" s="237" t="s">
        <v>754</v>
      </c>
      <c r="G124" s="237" t="s">
        <v>2490</v>
      </c>
      <c r="H124" s="238"/>
      <c r="I124" s="239" t="str">
        <f t="shared" si="2"/>
        <v>35 years, 6 month(s), 3 day(s)</v>
      </c>
      <c r="J124" s="240">
        <v>33173</v>
      </c>
      <c r="K124" s="239" t="str">
        <f t="shared" si="4"/>
        <v>4 years, 5 month(s), 26 day(s)</v>
      </c>
      <c r="L124" s="240">
        <v>44504</v>
      </c>
      <c r="M124" s="240">
        <v>42219</v>
      </c>
      <c r="N124" s="241"/>
      <c r="O124" s="193" t="s">
        <v>2488</v>
      </c>
      <c r="P124" s="242" t="s">
        <v>2848</v>
      </c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25.5" customHeight="1">
      <c r="A125" s="190">
        <v>117</v>
      </c>
      <c r="B125" s="190" t="s">
        <v>28</v>
      </c>
      <c r="C125" s="190" t="s">
        <v>3123</v>
      </c>
      <c r="D125" s="190">
        <v>376387</v>
      </c>
      <c r="E125" s="237" t="s">
        <v>1243</v>
      </c>
      <c r="F125" s="237" t="s">
        <v>1244</v>
      </c>
      <c r="G125" s="237" t="s">
        <v>1245</v>
      </c>
      <c r="H125" s="238"/>
      <c r="I125" s="239" t="str">
        <f t="shared" si="2"/>
        <v>31 years, 4 month(s), 25 day(s)</v>
      </c>
      <c r="J125" s="240">
        <v>34673</v>
      </c>
      <c r="K125" s="239" t="str">
        <f t="shared" si="4"/>
        <v>3 years, 4 month(s), 3 day(s)</v>
      </c>
      <c r="L125" s="240">
        <v>44922</v>
      </c>
      <c r="M125" s="241"/>
      <c r="N125" s="241"/>
      <c r="O125" s="193" t="s">
        <v>1229</v>
      </c>
      <c r="P125" s="242" t="s">
        <v>2854</v>
      </c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25.5" customHeight="1">
      <c r="A126" s="190">
        <v>118</v>
      </c>
      <c r="B126" s="190" t="s">
        <v>40</v>
      </c>
      <c r="C126" s="190" t="s">
        <v>3123</v>
      </c>
      <c r="D126" s="190">
        <v>9</v>
      </c>
      <c r="E126" s="237" t="s">
        <v>1203</v>
      </c>
      <c r="F126" s="237" t="s">
        <v>1204</v>
      </c>
      <c r="G126" s="237" t="s">
        <v>1205</v>
      </c>
      <c r="H126" s="238"/>
      <c r="I126" s="239" t="str">
        <f t="shared" si="2"/>
        <v>60 years, 7 month(s), 1 day(s)</v>
      </c>
      <c r="J126" s="240">
        <v>24014</v>
      </c>
      <c r="K126" s="239" t="str">
        <f t="shared" si="4"/>
        <v>14 years, 6 month(s), 16 day(s)</v>
      </c>
      <c r="L126" s="240">
        <v>40830</v>
      </c>
      <c r="M126" s="241"/>
      <c r="N126" s="241"/>
      <c r="O126" s="193" t="s">
        <v>1202</v>
      </c>
      <c r="P126" s="242" t="s">
        <v>2706</v>
      </c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25.5" customHeight="1">
      <c r="A127" s="190">
        <v>119</v>
      </c>
      <c r="B127" s="190" t="s">
        <v>40</v>
      </c>
      <c r="C127" s="190" t="s">
        <v>3123</v>
      </c>
      <c r="D127" s="190">
        <v>6</v>
      </c>
      <c r="E127" s="237" t="s">
        <v>2857</v>
      </c>
      <c r="F127" s="237" t="s">
        <v>2858</v>
      </c>
      <c r="G127" s="237" t="s">
        <v>2859</v>
      </c>
      <c r="H127" s="238"/>
      <c r="I127" s="239" t="str">
        <f t="shared" si="2"/>
        <v>25 years, 2 month(s), 22 day(s)</v>
      </c>
      <c r="J127" s="240">
        <v>36930</v>
      </c>
      <c r="K127" s="239" t="str">
        <f t="shared" si="4"/>
        <v>0 years, 1 month(s), 5 day(s)</v>
      </c>
      <c r="L127" s="240">
        <v>46106</v>
      </c>
      <c r="M127" s="241"/>
      <c r="N127" s="241"/>
      <c r="O127" s="193" t="s">
        <v>352</v>
      </c>
      <c r="P127" s="242" t="s">
        <v>2860</v>
      </c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25.5" customHeight="1">
      <c r="A128" s="190">
        <v>120</v>
      </c>
      <c r="B128" s="190" t="s">
        <v>40</v>
      </c>
      <c r="C128" s="190" t="s">
        <v>3123</v>
      </c>
      <c r="D128" s="190">
        <v>6</v>
      </c>
      <c r="E128" s="237" t="s">
        <v>2911</v>
      </c>
      <c r="F128" s="237" t="s">
        <v>2912</v>
      </c>
      <c r="G128" s="237" t="s">
        <v>2913</v>
      </c>
      <c r="H128" s="238"/>
      <c r="I128" s="239" t="str">
        <f t="shared" si="2"/>
        <v>25 years, 4 month(s), 24 day(s)</v>
      </c>
      <c r="J128" s="240">
        <v>36866</v>
      </c>
      <c r="K128" s="239" t="str">
        <f ca="1">DATEDIF(L128,TODAY(),"y")&amp;" years, "&amp;DATEDIF(L128,TODAY(),"ym")&amp;" month(s), "&amp;DATEDIF(L128,TODAY(),"md")&amp;" day(s)"</f>
        <v>0 years, 1 month(s), 10 day(s)</v>
      </c>
      <c r="L128" s="240">
        <v>46232</v>
      </c>
      <c r="M128" s="241"/>
      <c r="N128" s="241"/>
      <c r="O128" s="258" t="s">
        <v>79</v>
      </c>
      <c r="P128" s="246" t="s">
        <v>2679</v>
      </c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25.5" customHeight="1">
      <c r="A129" s="190">
        <v>121</v>
      </c>
      <c r="B129" s="190" t="s">
        <v>28</v>
      </c>
      <c r="C129" s="190" t="s">
        <v>3123</v>
      </c>
      <c r="D129" s="190">
        <v>376389</v>
      </c>
      <c r="E129" s="237" t="s">
        <v>588</v>
      </c>
      <c r="F129" s="237" t="s">
        <v>589</v>
      </c>
      <c r="G129" s="237" t="s">
        <v>590</v>
      </c>
      <c r="H129" s="238"/>
      <c r="I129" s="239" t="str">
        <f t="shared" si="2"/>
        <v>28 years, 11 month(s), 25 day(s)</v>
      </c>
      <c r="J129" s="240">
        <v>35555</v>
      </c>
      <c r="K129" s="239" t="str">
        <f t="shared" ref="K129:K192" si="5">DATEDIF(L129,DATE(2026,4,30),"y")&amp;" years, "&amp;DATEDIF(L129,DATE(2026,4,30),"ym")&amp;" month(s), "&amp;DATEDIF(L129,DATE(2026,4,30),"md")&amp;" day(s)"</f>
        <v>3 years, 4 month(s), 3 day(s)</v>
      </c>
      <c r="L129" s="240">
        <v>44922</v>
      </c>
      <c r="M129" s="241"/>
      <c r="N129" s="241"/>
      <c r="O129" s="193" t="s">
        <v>580</v>
      </c>
      <c r="P129" s="242" t="s">
        <v>2849</v>
      </c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25.5" customHeight="1">
      <c r="A130" s="190">
        <v>122</v>
      </c>
      <c r="B130" s="190" t="s">
        <v>40</v>
      </c>
      <c r="C130" s="190" t="s">
        <v>3123</v>
      </c>
      <c r="D130" s="190">
        <v>7</v>
      </c>
      <c r="E130" s="237" t="s">
        <v>3073</v>
      </c>
      <c r="F130" s="237" t="s">
        <v>1766</v>
      </c>
      <c r="G130" s="237" t="s">
        <v>3074</v>
      </c>
      <c r="H130" s="238"/>
      <c r="I130" s="239" t="str">
        <f t="shared" si="2"/>
        <v>35 years, 8 month(s), 28 day(s)</v>
      </c>
      <c r="J130" s="240">
        <v>33087</v>
      </c>
      <c r="K130" s="239" t="str">
        <f t="shared" si="5"/>
        <v>0 years, 2 month(s), 14 day(s)</v>
      </c>
      <c r="L130" s="240">
        <v>46069</v>
      </c>
      <c r="M130" s="241"/>
      <c r="N130" s="241"/>
      <c r="O130" s="193" t="s">
        <v>1709</v>
      </c>
      <c r="P130" s="242" t="s">
        <v>3075</v>
      </c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25.5" customHeight="1">
      <c r="A131" s="190">
        <v>123</v>
      </c>
      <c r="B131" s="190" t="s">
        <v>40</v>
      </c>
      <c r="C131" s="190" t="s">
        <v>3123</v>
      </c>
      <c r="D131" s="190">
        <v>12</v>
      </c>
      <c r="E131" s="237" t="s">
        <v>1349</v>
      </c>
      <c r="F131" s="237" t="s">
        <v>1350</v>
      </c>
      <c r="G131" s="237" t="s">
        <v>1351</v>
      </c>
      <c r="H131" s="238"/>
      <c r="I131" s="239" t="str">
        <f t="shared" si="2"/>
        <v>36 years, 4 month(s), 10 day(s)</v>
      </c>
      <c r="J131" s="240">
        <v>32862</v>
      </c>
      <c r="K131" s="239" t="str">
        <f t="shared" si="5"/>
        <v>14 years, 6 month(s), 10 day(s)</v>
      </c>
      <c r="L131" s="240">
        <v>40836</v>
      </c>
      <c r="M131" s="241"/>
      <c r="N131" s="241"/>
      <c r="O131" s="193" t="s">
        <v>1330</v>
      </c>
      <c r="P131" s="261" t="s">
        <v>2684</v>
      </c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25.5" customHeight="1">
      <c r="A132" s="190">
        <v>124</v>
      </c>
      <c r="B132" s="190" t="s">
        <v>253</v>
      </c>
      <c r="C132" s="190" t="s">
        <v>3123</v>
      </c>
      <c r="D132" s="190" t="s">
        <v>3178</v>
      </c>
      <c r="E132" s="237" t="s">
        <v>2387</v>
      </c>
      <c r="F132" s="237" t="s">
        <v>2388</v>
      </c>
      <c r="G132" s="237" t="s">
        <v>2389</v>
      </c>
      <c r="H132" s="238"/>
      <c r="I132" s="239" t="str">
        <f t="shared" si="2"/>
        <v>39 years, 9 month(s), 26 day(s)</v>
      </c>
      <c r="J132" s="240">
        <v>31597</v>
      </c>
      <c r="K132" s="239" t="str">
        <f t="shared" si="5"/>
        <v>7 years, 1 month(s), 12 day(s)</v>
      </c>
      <c r="L132" s="240">
        <v>43542</v>
      </c>
      <c r="M132" s="240">
        <v>40709</v>
      </c>
      <c r="N132" s="241"/>
      <c r="O132" s="193" t="s">
        <v>2386</v>
      </c>
      <c r="P132" s="242" t="s">
        <v>2848</v>
      </c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25.5" customHeight="1">
      <c r="A133" s="190">
        <v>125</v>
      </c>
      <c r="B133" s="190" t="s">
        <v>96</v>
      </c>
      <c r="C133" s="190" t="s">
        <v>3123</v>
      </c>
      <c r="D133" s="190" t="s">
        <v>3179</v>
      </c>
      <c r="E133" s="237" t="s">
        <v>1108</v>
      </c>
      <c r="F133" s="237" t="s">
        <v>1109</v>
      </c>
      <c r="G133" s="237" t="s">
        <v>759</v>
      </c>
      <c r="H133" s="243" t="s">
        <v>268</v>
      </c>
      <c r="I133" s="239" t="str">
        <f t="shared" si="2"/>
        <v>37 years, 6 month(s), 10 day(s)</v>
      </c>
      <c r="J133" s="240">
        <v>32436</v>
      </c>
      <c r="K133" s="239" t="str">
        <f t="shared" si="5"/>
        <v>4 years, 5 month(s), 26 day(s)</v>
      </c>
      <c r="L133" s="240">
        <v>44504</v>
      </c>
      <c r="M133" s="240">
        <v>41619</v>
      </c>
      <c r="N133" s="241"/>
      <c r="O133" s="193" t="s">
        <v>1065</v>
      </c>
      <c r="P133" s="242" t="s">
        <v>2985</v>
      </c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25.5" customHeight="1">
      <c r="A134" s="190">
        <v>126</v>
      </c>
      <c r="B134" s="190" t="s">
        <v>277</v>
      </c>
      <c r="C134" s="190" t="s">
        <v>3123</v>
      </c>
      <c r="D134" s="190" t="s">
        <v>3180</v>
      </c>
      <c r="E134" s="237" t="s">
        <v>2047</v>
      </c>
      <c r="F134" s="237" t="s">
        <v>1186</v>
      </c>
      <c r="G134" s="237" t="s">
        <v>2048</v>
      </c>
      <c r="H134" s="238"/>
      <c r="I134" s="239" t="str">
        <f t="shared" si="2"/>
        <v>50 years, 6 month(s), 6 day(s)</v>
      </c>
      <c r="J134" s="240">
        <v>27691</v>
      </c>
      <c r="K134" s="239" t="str">
        <f t="shared" si="5"/>
        <v>8 years, 2 month(s), 14 day(s)</v>
      </c>
      <c r="L134" s="240">
        <v>43147</v>
      </c>
      <c r="M134" s="241"/>
      <c r="N134" s="241"/>
      <c r="O134" s="193" t="s">
        <v>2046</v>
      </c>
      <c r="P134" s="242" t="s">
        <v>2849</v>
      </c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25.5" customHeight="1">
      <c r="A135" s="190">
        <v>127</v>
      </c>
      <c r="B135" s="190" t="s">
        <v>96</v>
      </c>
      <c r="C135" s="190" t="s">
        <v>3123</v>
      </c>
      <c r="D135" s="190" t="s">
        <v>3181</v>
      </c>
      <c r="E135" s="237" t="s">
        <v>1633</v>
      </c>
      <c r="F135" s="237" t="s">
        <v>1634</v>
      </c>
      <c r="G135" s="237" t="s">
        <v>1635</v>
      </c>
      <c r="H135" s="238"/>
      <c r="I135" s="239" t="str">
        <f t="shared" si="2"/>
        <v>38 years, 7 month(s), 9 day(s)</v>
      </c>
      <c r="J135" s="240">
        <v>32041</v>
      </c>
      <c r="K135" s="239" t="str">
        <f t="shared" si="5"/>
        <v>4 years, 7 month(s), 14 day(s)</v>
      </c>
      <c r="L135" s="240">
        <v>44455</v>
      </c>
      <c r="M135" s="240">
        <v>41621</v>
      </c>
      <c r="N135" s="241"/>
      <c r="O135" s="193" t="s">
        <v>1632</v>
      </c>
      <c r="P135" s="242" t="s">
        <v>3056</v>
      </c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25.5" customHeight="1">
      <c r="A136" s="190">
        <v>128</v>
      </c>
      <c r="B136" s="190" t="s">
        <v>253</v>
      </c>
      <c r="C136" s="190" t="s">
        <v>3123</v>
      </c>
      <c r="D136" s="190" t="s">
        <v>3182</v>
      </c>
      <c r="E136" s="237" t="s">
        <v>2474</v>
      </c>
      <c r="F136" s="237" t="s">
        <v>1086</v>
      </c>
      <c r="G136" s="237" t="s">
        <v>2475</v>
      </c>
      <c r="H136" s="238"/>
      <c r="I136" s="239" t="str">
        <f t="shared" si="2"/>
        <v>48 years, 2 month(s), 3 day(s)</v>
      </c>
      <c r="J136" s="240">
        <v>28548</v>
      </c>
      <c r="K136" s="239" t="str">
        <f t="shared" si="5"/>
        <v>8 years, 2 month(s), 14 day(s)</v>
      </c>
      <c r="L136" s="240">
        <v>43147</v>
      </c>
      <c r="M136" s="240">
        <v>38807</v>
      </c>
      <c r="N136" s="241"/>
      <c r="O136" s="193" t="s">
        <v>2473</v>
      </c>
      <c r="P136" s="242" t="s">
        <v>2848</v>
      </c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25.5" customHeight="1">
      <c r="A137" s="190">
        <v>129</v>
      </c>
      <c r="B137" s="190" t="s">
        <v>28</v>
      </c>
      <c r="C137" s="190" t="s">
        <v>3123</v>
      </c>
      <c r="D137" s="190">
        <v>376390</v>
      </c>
      <c r="E137" s="237" t="s">
        <v>336</v>
      </c>
      <c r="F137" s="237" t="s">
        <v>337</v>
      </c>
      <c r="G137" s="237" t="s">
        <v>338</v>
      </c>
      <c r="H137" s="238"/>
      <c r="I137" s="239" t="str">
        <f t="shared" ref="I137:I200" si="6">DATEDIF(J137,DATE(2026,4,30),"y")&amp;" years, "&amp;DATEDIF(J137,DATE(2026,4,30),"ym")&amp;" month(s), "&amp;DATEDIF(J137,DATE(2026,4,30),"md")&amp;" day(s)"</f>
        <v>31 years, 8 month(s), 3 day(s)</v>
      </c>
      <c r="J137" s="240">
        <v>34573</v>
      </c>
      <c r="K137" s="239" t="str">
        <f t="shared" si="5"/>
        <v>3 years, 4 month(s), 3 day(s)</v>
      </c>
      <c r="L137" s="240">
        <v>44922</v>
      </c>
      <c r="M137" s="241"/>
      <c r="N137" s="241"/>
      <c r="O137" s="193" t="s">
        <v>301</v>
      </c>
      <c r="P137" s="242" t="s">
        <v>2849</v>
      </c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25.5" customHeight="1">
      <c r="A138" s="190">
        <v>130</v>
      </c>
      <c r="B138" s="190" t="s">
        <v>644</v>
      </c>
      <c r="C138" s="190" t="s">
        <v>3123</v>
      </c>
      <c r="D138" s="190">
        <v>268371</v>
      </c>
      <c r="E138" s="237" t="s">
        <v>1538</v>
      </c>
      <c r="F138" s="237" t="s">
        <v>646</v>
      </c>
      <c r="G138" s="237" t="s">
        <v>1539</v>
      </c>
      <c r="H138" s="238"/>
      <c r="I138" s="239" t="str">
        <f t="shared" si="6"/>
        <v>38 years, 11 month(s), 14 day(s)</v>
      </c>
      <c r="J138" s="240">
        <v>31913</v>
      </c>
      <c r="K138" s="239" t="str">
        <f t="shared" si="5"/>
        <v>10 years, 6 month(s), 2 day(s)</v>
      </c>
      <c r="L138" s="240">
        <v>42305</v>
      </c>
      <c r="M138" s="241"/>
      <c r="N138" s="240" t="s">
        <v>3183</v>
      </c>
      <c r="O138" s="193" t="s">
        <v>1537</v>
      </c>
      <c r="P138" s="242" t="s">
        <v>3051</v>
      </c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25.5" customHeight="1">
      <c r="A139" s="190">
        <v>131</v>
      </c>
      <c r="B139" s="190" t="s">
        <v>246</v>
      </c>
      <c r="C139" s="190" t="s">
        <v>3123</v>
      </c>
      <c r="D139" s="190" t="s">
        <v>3184</v>
      </c>
      <c r="E139" s="237" t="s">
        <v>2647</v>
      </c>
      <c r="F139" s="237" t="s">
        <v>2648</v>
      </c>
      <c r="G139" s="237" t="s">
        <v>182</v>
      </c>
      <c r="H139" s="238"/>
      <c r="I139" s="239" t="str">
        <f t="shared" si="6"/>
        <v>35 years, 9 month(s), 24 day(s)</v>
      </c>
      <c r="J139" s="240">
        <v>33060</v>
      </c>
      <c r="K139" s="239" t="str">
        <f t="shared" si="5"/>
        <v>6 years, 6 month(s), 15 day(s)</v>
      </c>
      <c r="L139" s="240">
        <v>43753</v>
      </c>
      <c r="M139" s="241"/>
      <c r="N139" s="241"/>
      <c r="O139" s="193" t="s">
        <v>2646</v>
      </c>
      <c r="P139" s="242" t="s">
        <v>2997</v>
      </c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25.5" customHeight="1">
      <c r="A140" s="190">
        <v>132</v>
      </c>
      <c r="B140" s="190" t="s">
        <v>40</v>
      </c>
      <c r="C140" s="190" t="s">
        <v>3123</v>
      </c>
      <c r="D140" s="190">
        <v>7</v>
      </c>
      <c r="E140" s="237" t="s">
        <v>1762</v>
      </c>
      <c r="F140" s="237" t="s">
        <v>1763</v>
      </c>
      <c r="G140" s="237" t="s">
        <v>1764</v>
      </c>
      <c r="H140" s="238"/>
      <c r="I140" s="239" t="str">
        <f t="shared" si="6"/>
        <v>33 years, 8 month(s), 4 day(s)</v>
      </c>
      <c r="J140" s="240">
        <v>33842</v>
      </c>
      <c r="K140" s="239" t="str">
        <f t="shared" si="5"/>
        <v>2 years, 8 month(s), 13 day(s)</v>
      </c>
      <c r="L140" s="240">
        <v>45155</v>
      </c>
      <c r="M140" s="241"/>
      <c r="N140" s="241"/>
      <c r="O140" s="193" t="s">
        <v>1740</v>
      </c>
      <c r="P140" s="242" t="s">
        <v>3640</v>
      </c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25.5" customHeight="1">
      <c r="A141" s="190">
        <v>133</v>
      </c>
      <c r="B141" s="190" t="s">
        <v>40</v>
      </c>
      <c r="C141" s="190" t="s">
        <v>3123</v>
      </c>
      <c r="D141" s="190">
        <v>11</v>
      </c>
      <c r="E141" s="237" t="s">
        <v>1411</v>
      </c>
      <c r="F141" s="237" t="s">
        <v>1412</v>
      </c>
      <c r="G141" s="237" t="s">
        <v>1413</v>
      </c>
      <c r="H141" s="238"/>
      <c r="I141" s="239" t="str">
        <f t="shared" si="6"/>
        <v>29 years, 7 month(s), 21 day(s)</v>
      </c>
      <c r="J141" s="240">
        <v>35317</v>
      </c>
      <c r="K141" s="239" t="str">
        <f t="shared" si="5"/>
        <v>2 years, 8 month(s), 13 day(s)</v>
      </c>
      <c r="L141" s="240">
        <v>45155</v>
      </c>
      <c r="M141" s="241"/>
      <c r="N141" s="241"/>
      <c r="O141" s="193" t="s">
        <v>1396</v>
      </c>
      <c r="P141" s="242" t="s">
        <v>3660</v>
      </c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25.5" customHeight="1">
      <c r="A142" s="190">
        <v>134</v>
      </c>
      <c r="B142" s="190" t="s">
        <v>24</v>
      </c>
      <c r="C142" s="190" t="s">
        <v>3123</v>
      </c>
      <c r="D142" s="190">
        <v>339469</v>
      </c>
      <c r="E142" s="237" t="s">
        <v>1558</v>
      </c>
      <c r="F142" s="237" t="s">
        <v>1559</v>
      </c>
      <c r="G142" s="237" t="s">
        <v>1560</v>
      </c>
      <c r="H142" s="238"/>
      <c r="I142" s="239" t="str">
        <f t="shared" si="6"/>
        <v>31 years, 6 month(s), 10 day(s)</v>
      </c>
      <c r="J142" s="240">
        <v>34627</v>
      </c>
      <c r="K142" s="239" t="str">
        <f t="shared" si="5"/>
        <v>6 years, 6 month(s), 9 day(s)</v>
      </c>
      <c r="L142" s="240">
        <v>43759</v>
      </c>
      <c r="M142" s="241"/>
      <c r="N142" s="240">
        <v>43140</v>
      </c>
      <c r="O142" s="193" t="s">
        <v>1557</v>
      </c>
      <c r="P142" s="242" t="s">
        <v>3052</v>
      </c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25.5" customHeight="1">
      <c r="A143" s="190">
        <v>135</v>
      </c>
      <c r="B143" s="190" t="s">
        <v>366</v>
      </c>
      <c r="C143" s="190" t="s">
        <v>3123</v>
      </c>
      <c r="D143" s="190">
        <v>203697</v>
      </c>
      <c r="E143" s="237" t="s">
        <v>2033</v>
      </c>
      <c r="F143" s="237" t="s">
        <v>2107</v>
      </c>
      <c r="G143" s="237" t="s">
        <v>2108</v>
      </c>
      <c r="H143" s="238"/>
      <c r="I143" s="239" t="str">
        <f t="shared" si="6"/>
        <v>40 years, 6 month(s), 22 day(s)</v>
      </c>
      <c r="J143" s="240">
        <v>31328</v>
      </c>
      <c r="K143" s="239" t="str">
        <f t="shared" si="5"/>
        <v>16 years, 2 month(s), 29 day(s)</v>
      </c>
      <c r="L143" s="240">
        <v>40210</v>
      </c>
      <c r="M143" s="241"/>
      <c r="N143" s="241"/>
      <c r="O143" s="193" t="s">
        <v>2088</v>
      </c>
      <c r="P143" s="242" t="s">
        <v>2849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25.5" customHeight="1">
      <c r="A144" s="190">
        <v>136</v>
      </c>
      <c r="B144" s="190" t="s">
        <v>96</v>
      </c>
      <c r="C144" s="190" t="s">
        <v>3123</v>
      </c>
      <c r="D144" s="190" t="s">
        <v>3185</v>
      </c>
      <c r="E144" s="237" t="s">
        <v>2033</v>
      </c>
      <c r="F144" s="237" t="s">
        <v>2034</v>
      </c>
      <c r="G144" s="237" t="s">
        <v>2035</v>
      </c>
      <c r="H144" s="238"/>
      <c r="I144" s="239" t="str">
        <f t="shared" si="6"/>
        <v>43 years, 4 month(s), 11 day(s)</v>
      </c>
      <c r="J144" s="240">
        <v>30304</v>
      </c>
      <c r="K144" s="239" t="str">
        <f t="shared" si="5"/>
        <v>4 years, 7 month(s), 14 day(s)</v>
      </c>
      <c r="L144" s="240">
        <v>44455</v>
      </c>
      <c r="M144" s="240">
        <v>40709</v>
      </c>
      <c r="N144" s="241"/>
      <c r="O144" s="193" t="s">
        <v>2032</v>
      </c>
      <c r="P144" s="242" t="s">
        <v>2848</v>
      </c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25.5" customHeight="1">
      <c r="A145" s="190">
        <v>137</v>
      </c>
      <c r="B145" s="190" t="s">
        <v>28</v>
      </c>
      <c r="C145" s="190" t="s">
        <v>3123</v>
      </c>
      <c r="D145" s="190">
        <v>376388</v>
      </c>
      <c r="E145" s="237" t="s">
        <v>2315</v>
      </c>
      <c r="F145" s="237" t="s">
        <v>268</v>
      </c>
      <c r="G145" s="237" t="s">
        <v>2316</v>
      </c>
      <c r="H145" s="238"/>
      <c r="I145" s="239" t="str">
        <f t="shared" si="6"/>
        <v>29 years, 10 month(s), 25 day(s)</v>
      </c>
      <c r="J145" s="240">
        <v>35221</v>
      </c>
      <c r="K145" s="239" t="str">
        <f t="shared" si="5"/>
        <v>3 years, 4 month(s), 3 day(s)</v>
      </c>
      <c r="L145" s="240">
        <v>44922</v>
      </c>
      <c r="M145" s="241"/>
      <c r="N145" s="241"/>
      <c r="O145" s="193" t="s">
        <v>2306</v>
      </c>
      <c r="P145" s="242" t="s">
        <v>2849</v>
      </c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25.5" customHeight="1">
      <c r="A146" s="190">
        <v>138</v>
      </c>
      <c r="B146" s="190" t="s">
        <v>57</v>
      </c>
      <c r="C146" s="190" t="s">
        <v>3123</v>
      </c>
      <c r="D146" s="190">
        <v>207849</v>
      </c>
      <c r="E146" s="237" t="s">
        <v>818</v>
      </c>
      <c r="F146" s="237" t="s">
        <v>432</v>
      </c>
      <c r="G146" s="237" t="s">
        <v>819</v>
      </c>
      <c r="H146" s="243" t="s">
        <v>268</v>
      </c>
      <c r="I146" s="239" t="str">
        <f t="shared" si="6"/>
        <v>41 years, 10 month(s), 12 day(s)</v>
      </c>
      <c r="J146" s="240">
        <v>30851</v>
      </c>
      <c r="K146" s="239" t="str">
        <f t="shared" si="5"/>
        <v>15 years, 4 month(s), 29 day(s)</v>
      </c>
      <c r="L146" s="240">
        <v>40513</v>
      </c>
      <c r="M146" s="241"/>
      <c r="N146" s="241"/>
      <c r="O146" s="193" t="s">
        <v>817</v>
      </c>
      <c r="P146" s="242" t="s">
        <v>2825</v>
      </c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25.5" customHeight="1">
      <c r="A147" s="190">
        <v>139</v>
      </c>
      <c r="B147" s="190" t="s">
        <v>96</v>
      </c>
      <c r="C147" s="190" t="s">
        <v>3123</v>
      </c>
      <c r="D147" s="190" t="s">
        <v>3186</v>
      </c>
      <c r="E147" s="237" t="s">
        <v>2325</v>
      </c>
      <c r="F147" s="237" t="s">
        <v>2326</v>
      </c>
      <c r="G147" s="237" t="s">
        <v>2327</v>
      </c>
      <c r="H147" s="238"/>
      <c r="I147" s="239" t="str">
        <f t="shared" si="6"/>
        <v>43 years, 8 month(s), 30 day(s)</v>
      </c>
      <c r="J147" s="240">
        <v>30163</v>
      </c>
      <c r="K147" s="239" t="str">
        <f t="shared" si="5"/>
        <v>4 years, 5 month(s), 26 day(s)</v>
      </c>
      <c r="L147" s="240">
        <v>44504</v>
      </c>
      <c r="M147" s="240">
        <v>40709</v>
      </c>
      <c r="N147" s="241"/>
      <c r="O147" s="193" t="s">
        <v>2324</v>
      </c>
      <c r="P147" s="242" t="s">
        <v>2848</v>
      </c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25.5" customHeight="1">
      <c r="A148" s="190">
        <v>140</v>
      </c>
      <c r="B148" s="190" t="s">
        <v>28</v>
      </c>
      <c r="C148" s="190" t="s">
        <v>3123</v>
      </c>
      <c r="D148" s="190">
        <v>376391</v>
      </c>
      <c r="E148" s="237" t="s">
        <v>1996</v>
      </c>
      <c r="F148" s="237" t="s">
        <v>1997</v>
      </c>
      <c r="G148" s="237" t="s">
        <v>1998</v>
      </c>
      <c r="H148" s="238"/>
      <c r="I148" s="239" t="str">
        <f t="shared" si="6"/>
        <v>29 years, 3 month(s), 3 day(s)</v>
      </c>
      <c r="J148" s="240">
        <v>35457</v>
      </c>
      <c r="K148" s="239" t="str">
        <f t="shared" si="5"/>
        <v>3 years, 4 month(s), 3 day(s)</v>
      </c>
      <c r="L148" s="240">
        <v>44922</v>
      </c>
      <c r="M148" s="241"/>
      <c r="N148" s="241"/>
      <c r="O148" s="193" t="s">
        <v>1979</v>
      </c>
      <c r="P148" s="242" t="s">
        <v>2849</v>
      </c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25.5" customHeight="1">
      <c r="A149" s="190">
        <v>141</v>
      </c>
      <c r="B149" s="190" t="s">
        <v>28</v>
      </c>
      <c r="C149" s="190" t="s">
        <v>3123</v>
      </c>
      <c r="D149" s="190">
        <v>376392</v>
      </c>
      <c r="E149" s="237" t="s">
        <v>1177</v>
      </c>
      <c r="F149" s="237" t="s">
        <v>432</v>
      </c>
      <c r="G149" s="237" t="s">
        <v>1178</v>
      </c>
      <c r="H149" s="243" t="s">
        <v>268</v>
      </c>
      <c r="I149" s="239" t="str">
        <f t="shared" si="6"/>
        <v>27 years, 5 month(s), 1 day(s)</v>
      </c>
      <c r="J149" s="240">
        <v>36128</v>
      </c>
      <c r="K149" s="239" t="str">
        <f t="shared" si="5"/>
        <v>3 years, 4 month(s), 3 day(s)</v>
      </c>
      <c r="L149" s="240">
        <v>44922</v>
      </c>
      <c r="M149" s="241"/>
      <c r="N149" s="241"/>
      <c r="O149" s="193" t="s">
        <v>1065</v>
      </c>
      <c r="P149" s="242" t="s">
        <v>2854</v>
      </c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25.5" customHeight="1">
      <c r="A150" s="190">
        <v>142</v>
      </c>
      <c r="B150" s="190" t="s">
        <v>160</v>
      </c>
      <c r="C150" s="190" t="s">
        <v>3123</v>
      </c>
      <c r="D150" s="190" t="s">
        <v>3187</v>
      </c>
      <c r="E150" s="237" t="s">
        <v>2661</v>
      </c>
      <c r="F150" s="237" t="s">
        <v>2662</v>
      </c>
      <c r="G150" s="237" t="s">
        <v>2663</v>
      </c>
      <c r="H150" s="238"/>
      <c r="I150" s="239" t="str">
        <f t="shared" si="6"/>
        <v>46 years, 11 month(s), 12 day(s)</v>
      </c>
      <c r="J150" s="240">
        <v>28993</v>
      </c>
      <c r="K150" s="239" t="str">
        <f t="shared" si="5"/>
        <v>16 years, 3 month(s), 12 day(s)</v>
      </c>
      <c r="L150" s="240">
        <v>40196</v>
      </c>
      <c r="M150" s="240">
        <v>37971</v>
      </c>
      <c r="N150" s="241"/>
      <c r="O150" s="193" t="s">
        <v>2660</v>
      </c>
      <c r="P150" s="242" t="s">
        <v>2989</v>
      </c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25.5" customHeight="1">
      <c r="A151" s="190">
        <v>143</v>
      </c>
      <c r="B151" s="190" t="s">
        <v>96</v>
      </c>
      <c r="C151" s="190" t="s">
        <v>3123</v>
      </c>
      <c r="D151" s="190" t="s">
        <v>3188</v>
      </c>
      <c r="E151" s="237" t="s">
        <v>1307</v>
      </c>
      <c r="F151" s="237" t="s">
        <v>1308</v>
      </c>
      <c r="G151" s="237" t="s">
        <v>151</v>
      </c>
      <c r="H151" s="238"/>
      <c r="I151" s="239" t="str">
        <f t="shared" si="6"/>
        <v>45 years, 2 month(s), 28 day(s)</v>
      </c>
      <c r="J151" s="240">
        <v>29619</v>
      </c>
      <c r="K151" s="239" t="str">
        <f t="shared" si="5"/>
        <v>4 years, 7 month(s), 14 day(s)</v>
      </c>
      <c r="L151" s="240">
        <v>44455</v>
      </c>
      <c r="M151" s="241"/>
      <c r="N151" s="240">
        <v>42835</v>
      </c>
      <c r="O151" s="193" t="s">
        <v>1296</v>
      </c>
      <c r="P151" s="242" t="s">
        <v>2998</v>
      </c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25.5" customHeight="1">
      <c r="A152" s="190">
        <v>144</v>
      </c>
      <c r="B152" s="190" t="s">
        <v>40</v>
      </c>
      <c r="C152" s="190" t="s">
        <v>3123</v>
      </c>
      <c r="D152" s="190">
        <v>6</v>
      </c>
      <c r="E152" s="237" t="s">
        <v>1307</v>
      </c>
      <c r="F152" s="237" t="s">
        <v>3031</v>
      </c>
      <c r="G152" s="237" t="s">
        <v>3032</v>
      </c>
      <c r="H152" s="238"/>
      <c r="I152" s="239" t="str">
        <f t="shared" si="6"/>
        <v>33 years, 2 month(s), 11 day(s)</v>
      </c>
      <c r="J152" s="240">
        <v>34019</v>
      </c>
      <c r="K152" s="239" t="str">
        <f t="shared" si="5"/>
        <v>0 years, 2 month(s), 14 day(s)</v>
      </c>
      <c r="L152" s="240">
        <v>46069</v>
      </c>
      <c r="M152" s="241"/>
      <c r="N152" s="241"/>
      <c r="O152" s="193" t="s">
        <v>1486</v>
      </c>
      <c r="P152" s="242" t="s">
        <v>2830</v>
      </c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25.5" customHeight="1">
      <c r="A153" s="190">
        <v>145</v>
      </c>
      <c r="B153" s="190" t="s">
        <v>24</v>
      </c>
      <c r="C153" s="190" t="s">
        <v>3123</v>
      </c>
      <c r="D153" s="190">
        <v>339446</v>
      </c>
      <c r="E153" s="237" t="s">
        <v>311</v>
      </c>
      <c r="F153" s="237" t="s">
        <v>312</v>
      </c>
      <c r="G153" s="237" t="s">
        <v>313</v>
      </c>
      <c r="H153" s="238"/>
      <c r="I153" s="239" t="str">
        <f t="shared" si="6"/>
        <v>35 years, 3 month(s), 23 day(s)</v>
      </c>
      <c r="J153" s="240">
        <v>33245</v>
      </c>
      <c r="K153" s="239" t="str">
        <f t="shared" si="5"/>
        <v>6 years, 6 month(s), 9 day(s)</v>
      </c>
      <c r="L153" s="240">
        <v>43759</v>
      </c>
      <c r="M153" s="241"/>
      <c r="N153" s="241"/>
      <c r="O153" s="189" t="s">
        <v>301</v>
      </c>
      <c r="P153" s="242" t="s">
        <v>2854</v>
      </c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25.5" customHeight="1">
      <c r="A154" s="190">
        <v>146</v>
      </c>
      <c r="B154" s="190" t="s">
        <v>28</v>
      </c>
      <c r="C154" s="190" t="s">
        <v>3123</v>
      </c>
      <c r="D154" s="190">
        <v>375975</v>
      </c>
      <c r="E154" s="237" t="s">
        <v>311</v>
      </c>
      <c r="F154" s="237" t="s">
        <v>1248</v>
      </c>
      <c r="G154" s="237" t="s">
        <v>1249</v>
      </c>
      <c r="H154" s="238"/>
      <c r="I154" s="239" t="str">
        <f t="shared" si="6"/>
        <v>33 years, 1 month(s), 20 day(s)</v>
      </c>
      <c r="J154" s="240">
        <v>34038</v>
      </c>
      <c r="K154" s="239" t="str">
        <f t="shared" si="5"/>
        <v>3 years, 4 month(s), 25 day(s)</v>
      </c>
      <c r="L154" s="240">
        <v>44900</v>
      </c>
      <c r="M154" s="241"/>
      <c r="N154" s="241"/>
      <c r="O154" s="193" t="s">
        <v>1229</v>
      </c>
      <c r="P154" s="242" t="s">
        <v>2854</v>
      </c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25.5" customHeight="1">
      <c r="A155" s="190">
        <v>147</v>
      </c>
      <c r="B155" s="190" t="s">
        <v>40</v>
      </c>
      <c r="C155" s="190" t="s">
        <v>3123</v>
      </c>
      <c r="D155" s="190">
        <v>6</v>
      </c>
      <c r="E155" s="237" t="s">
        <v>1018</v>
      </c>
      <c r="F155" s="237" t="s">
        <v>754</v>
      </c>
      <c r="G155" s="237" t="s">
        <v>1019</v>
      </c>
      <c r="H155" s="238"/>
      <c r="I155" s="239" t="str">
        <f t="shared" si="6"/>
        <v>30 years, 3 month(s), 23 day(s)</v>
      </c>
      <c r="J155" s="240">
        <v>35071</v>
      </c>
      <c r="K155" s="239" t="str">
        <f t="shared" si="5"/>
        <v>3 years, 3 month(s), 21 day(s)</v>
      </c>
      <c r="L155" s="240">
        <v>44935</v>
      </c>
      <c r="M155" s="241"/>
      <c r="N155" s="241"/>
      <c r="O155" s="193" t="s">
        <v>1008</v>
      </c>
      <c r="P155" s="242" t="s">
        <v>2970</v>
      </c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25.5" customHeight="1">
      <c r="A156" s="190">
        <v>148</v>
      </c>
      <c r="B156" s="190" t="s">
        <v>40</v>
      </c>
      <c r="C156" s="190" t="s">
        <v>3123</v>
      </c>
      <c r="D156" s="190">
        <v>1</v>
      </c>
      <c r="E156" s="237" t="s">
        <v>1020</v>
      </c>
      <c r="F156" s="237" t="s">
        <v>528</v>
      </c>
      <c r="G156" s="237" t="s">
        <v>1021</v>
      </c>
      <c r="H156" s="238"/>
      <c r="I156" s="239" t="str">
        <f t="shared" si="6"/>
        <v>57 years, 7 month(s), 19 day(s)</v>
      </c>
      <c r="J156" s="240">
        <v>25092</v>
      </c>
      <c r="K156" s="239" t="str">
        <f t="shared" si="5"/>
        <v>25 years, 3 month(s), 27 day(s)</v>
      </c>
      <c r="L156" s="240">
        <v>36894</v>
      </c>
      <c r="M156" s="241"/>
      <c r="N156" s="241"/>
      <c r="O156" s="193" t="s">
        <v>1008</v>
      </c>
      <c r="P156" s="242" t="s">
        <v>2711</v>
      </c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25.5" customHeight="1">
      <c r="A157" s="190">
        <v>149</v>
      </c>
      <c r="B157" s="190" t="s">
        <v>28</v>
      </c>
      <c r="C157" s="190" t="s">
        <v>3123</v>
      </c>
      <c r="D157" s="190">
        <v>375618</v>
      </c>
      <c r="E157" s="237" t="s">
        <v>175</v>
      </c>
      <c r="F157" s="237" t="s">
        <v>3189</v>
      </c>
      <c r="G157" s="237" t="s">
        <v>177</v>
      </c>
      <c r="H157" s="238"/>
      <c r="I157" s="239" t="str">
        <f t="shared" si="6"/>
        <v>28 years, 10 month(s), 9 day(s)</v>
      </c>
      <c r="J157" s="240">
        <v>35602</v>
      </c>
      <c r="K157" s="239" t="str">
        <f t="shared" si="5"/>
        <v>3 years, 5 month(s), 16 day(s)</v>
      </c>
      <c r="L157" s="240">
        <v>44879</v>
      </c>
      <c r="M157" s="241"/>
      <c r="N157" s="241"/>
      <c r="O157" s="193" t="s">
        <v>2826</v>
      </c>
      <c r="P157" s="242" t="s">
        <v>2827</v>
      </c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25.5" customHeight="1">
      <c r="A158" s="190">
        <v>150</v>
      </c>
      <c r="B158" s="190" t="s">
        <v>96</v>
      </c>
      <c r="C158" s="190" t="s">
        <v>3123</v>
      </c>
      <c r="D158" s="190" t="s">
        <v>3190</v>
      </c>
      <c r="E158" s="237" t="s">
        <v>2650</v>
      </c>
      <c r="F158" s="237" t="s">
        <v>2651</v>
      </c>
      <c r="G158" s="237" t="s">
        <v>2652</v>
      </c>
      <c r="H158" s="243" t="s">
        <v>268</v>
      </c>
      <c r="I158" s="239" t="str">
        <f t="shared" si="6"/>
        <v>38 years, 7 month(s), 13 day(s)</v>
      </c>
      <c r="J158" s="240">
        <v>32037</v>
      </c>
      <c r="K158" s="239" t="str">
        <f t="shared" si="5"/>
        <v>7 years, 1 month(s), 12 day(s)</v>
      </c>
      <c r="L158" s="240">
        <v>43542</v>
      </c>
      <c r="M158" s="240">
        <v>40513</v>
      </c>
      <c r="N158" s="241"/>
      <c r="O158" s="193" t="s">
        <v>2649</v>
      </c>
      <c r="P158" s="242" t="s">
        <v>2997</v>
      </c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25.5" customHeight="1">
      <c r="A159" s="190">
        <v>151</v>
      </c>
      <c r="B159" s="190" t="s">
        <v>24</v>
      </c>
      <c r="C159" s="190" t="s">
        <v>3123</v>
      </c>
      <c r="D159" s="190">
        <v>296999</v>
      </c>
      <c r="E159" s="237" t="s">
        <v>25</v>
      </c>
      <c r="F159" s="237" t="s">
        <v>3191</v>
      </c>
      <c r="G159" s="237" t="s">
        <v>27</v>
      </c>
      <c r="H159" s="238"/>
      <c r="I159" s="239" t="str">
        <f t="shared" si="6"/>
        <v>32 years, 2 month(s), 21 day(s)</v>
      </c>
      <c r="J159" s="240">
        <v>34374</v>
      </c>
      <c r="K159" s="239" t="str">
        <f t="shared" si="5"/>
        <v>9 years, 2 month(s), 29 day(s)</v>
      </c>
      <c r="L159" s="240">
        <v>42767</v>
      </c>
      <c r="M159" s="241"/>
      <c r="N159" s="241"/>
      <c r="O159" s="193" t="s">
        <v>18</v>
      </c>
      <c r="P159" s="242" t="s">
        <v>2802</v>
      </c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25.5" customHeight="1">
      <c r="A160" s="190">
        <v>152</v>
      </c>
      <c r="B160" s="190" t="s">
        <v>644</v>
      </c>
      <c r="C160" s="190" t="s">
        <v>3123</v>
      </c>
      <c r="D160" s="190">
        <v>253859</v>
      </c>
      <c r="E160" s="237" t="s">
        <v>1431</v>
      </c>
      <c r="F160" s="237" t="s">
        <v>1432</v>
      </c>
      <c r="G160" s="237" t="s">
        <v>1433</v>
      </c>
      <c r="H160" s="243" t="s">
        <v>1105</v>
      </c>
      <c r="I160" s="239" t="str">
        <f t="shared" si="6"/>
        <v>41 years, 11 month(s), 3 day(s)</v>
      </c>
      <c r="J160" s="240">
        <v>30829</v>
      </c>
      <c r="K160" s="239" t="str">
        <f t="shared" si="5"/>
        <v>11 years, 7 month(s), 0 day(s)</v>
      </c>
      <c r="L160" s="240">
        <v>41912</v>
      </c>
      <c r="M160" s="240">
        <v>37757</v>
      </c>
      <c r="N160" s="241"/>
      <c r="O160" s="193" t="s">
        <v>56</v>
      </c>
      <c r="P160" s="242" t="s">
        <v>2802</v>
      </c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25.5" customHeight="1">
      <c r="A161" s="190">
        <v>153</v>
      </c>
      <c r="B161" s="190" t="s">
        <v>40</v>
      </c>
      <c r="C161" s="190" t="s">
        <v>3123</v>
      </c>
      <c r="D161" s="190">
        <v>9</v>
      </c>
      <c r="E161" s="237" t="s">
        <v>2453</v>
      </c>
      <c r="F161" s="237" t="s">
        <v>2454</v>
      </c>
      <c r="G161" s="237" t="s">
        <v>2455</v>
      </c>
      <c r="H161" s="238"/>
      <c r="I161" s="239" t="str">
        <f t="shared" si="6"/>
        <v>39 years, 11 month(s), 23 day(s)</v>
      </c>
      <c r="J161" s="240">
        <v>31539</v>
      </c>
      <c r="K161" s="239" t="str">
        <f t="shared" si="5"/>
        <v>14 years, 6 month(s), 16 day(s)</v>
      </c>
      <c r="L161" s="240">
        <v>40830</v>
      </c>
      <c r="M161" s="241"/>
      <c r="N161" s="241"/>
      <c r="O161" s="244" t="s">
        <v>3093</v>
      </c>
      <c r="P161" s="245" t="s">
        <v>2682</v>
      </c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25.5" customHeight="1">
      <c r="A162" s="190">
        <v>154</v>
      </c>
      <c r="B162" s="190" t="s">
        <v>24</v>
      </c>
      <c r="C162" s="190" t="s">
        <v>3123</v>
      </c>
      <c r="D162" s="190">
        <v>339443</v>
      </c>
      <c r="E162" s="237" t="s">
        <v>216</v>
      </c>
      <c r="F162" s="237" t="s">
        <v>217</v>
      </c>
      <c r="G162" s="237" t="s">
        <v>218</v>
      </c>
      <c r="H162" s="238"/>
      <c r="I162" s="239" t="str">
        <f t="shared" si="6"/>
        <v>29 years, 6 month(s), 14 day(s)</v>
      </c>
      <c r="J162" s="240">
        <v>35354</v>
      </c>
      <c r="K162" s="239" t="str">
        <f t="shared" si="5"/>
        <v>6 years, 6 month(s), 9 day(s)</v>
      </c>
      <c r="L162" s="240">
        <v>43759</v>
      </c>
      <c r="M162" s="241"/>
      <c r="N162" s="241"/>
      <c r="O162" s="193" t="s">
        <v>205</v>
      </c>
      <c r="P162" s="242" t="s">
        <v>2849</v>
      </c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25.5" customHeight="1">
      <c r="A163" s="190">
        <v>155</v>
      </c>
      <c r="B163" s="190" t="s">
        <v>28</v>
      </c>
      <c r="C163" s="190" t="s">
        <v>3123</v>
      </c>
      <c r="D163" s="190">
        <v>376393</v>
      </c>
      <c r="E163" s="237" t="s">
        <v>495</v>
      </c>
      <c r="F163" s="237" t="s">
        <v>496</v>
      </c>
      <c r="G163" s="237" t="s">
        <v>497</v>
      </c>
      <c r="H163" s="238"/>
      <c r="I163" s="239" t="str">
        <f t="shared" si="6"/>
        <v>26 years, 8 month(s), 9 day(s)</v>
      </c>
      <c r="J163" s="240">
        <v>36393</v>
      </c>
      <c r="K163" s="239" t="str">
        <f t="shared" si="5"/>
        <v>3 years, 4 month(s), 3 day(s)</v>
      </c>
      <c r="L163" s="240">
        <v>44922</v>
      </c>
      <c r="M163" s="241"/>
      <c r="N163" s="241"/>
      <c r="O163" s="193" t="s">
        <v>479</v>
      </c>
      <c r="P163" s="242" t="s">
        <v>2849</v>
      </c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25.5" customHeight="1">
      <c r="A164" s="190">
        <v>156</v>
      </c>
      <c r="B164" s="190" t="s">
        <v>644</v>
      </c>
      <c r="C164" s="190" t="s">
        <v>3123</v>
      </c>
      <c r="D164" s="190">
        <v>263944</v>
      </c>
      <c r="E164" s="237" t="s">
        <v>2478</v>
      </c>
      <c r="F164" s="237" t="s">
        <v>2479</v>
      </c>
      <c r="G164" s="237" t="s">
        <v>2480</v>
      </c>
      <c r="H164" s="238"/>
      <c r="I164" s="239" t="str">
        <f t="shared" si="6"/>
        <v>37 years, 1 month(s), 7 day(s)</v>
      </c>
      <c r="J164" s="240">
        <v>32590</v>
      </c>
      <c r="K164" s="239" t="str">
        <f t="shared" si="5"/>
        <v>11 years, 1 month(s), 5 day(s)</v>
      </c>
      <c r="L164" s="240">
        <v>42088</v>
      </c>
      <c r="M164" s="241"/>
      <c r="N164" s="241"/>
      <c r="O164" s="189" t="s">
        <v>2473</v>
      </c>
      <c r="P164" s="242" t="s">
        <v>2849</v>
      </c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25.5" customHeight="1">
      <c r="A165" s="190">
        <v>157</v>
      </c>
      <c r="B165" s="190" t="s">
        <v>28</v>
      </c>
      <c r="C165" s="190" t="s">
        <v>3123</v>
      </c>
      <c r="D165" s="190">
        <v>339444</v>
      </c>
      <c r="E165" s="237" t="s">
        <v>2214</v>
      </c>
      <c r="F165" s="237" t="s">
        <v>2215</v>
      </c>
      <c r="G165" s="237" t="s">
        <v>2216</v>
      </c>
      <c r="H165" s="238"/>
      <c r="I165" s="239" t="str">
        <f t="shared" si="6"/>
        <v>31 years, 7 month(s), 30 day(s)</v>
      </c>
      <c r="J165" s="240">
        <v>34577</v>
      </c>
      <c r="K165" s="239" t="str">
        <f t="shared" si="5"/>
        <v>6 years, 6 month(s), 9 day(s)</v>
      </c>
      <c r="L165" s="240">
        <v>43759</v>
      </c>
      <c r="M165" s="241"/>
      <c r="N165" s="241"/>
      <c r="O165" s="193" t="s">
        <v>2195</v>
      </c>
      <c r="P165" s="242" t="s">
        <v>2849</v>
      </c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25.5" customHeight="1">
      <c r="A166" s="190">
        <v>158</v>
      </c>
      <c r="B166" s="190" t="s">
        <v>1500</v>
      </c>
      <c r="C166" s="190" t="s">
        <v>3123</v>
      </c>
      <c r="D166" s="190">
        <v>343683</v>
      </c>
      <c r="E166" s="237" t="s">
        <v>1501</v>
      </c>
      <c r="F166" s="237" t="s">
        <v>3192</v>
      </c>
      <c r="G166" s="237" t="s">
        <v>3193</v>
      </c>
      <c r="H166" s="238"/>
      <c r="I166" s="239" t="str">
        <f t="shared" si="6"/>
        <v>32 years, 2 month(s), 14 day(s)</v>
      </c>
      <c r="J166" s="240">
        <v>34381</v>
      </c>
      <c r="K166" s="239" t="str">
        <f t="shared" si="5"/>
        <v>6 years, 2 month(s), 13 day(s)</v>
      </c>
      <c r="L166" s="240">
        <v>43878</v>
      </c>
      <c r="M166" s="241"/>
      <c r="N166" s="241"/>
      <c r="O166" s="193" t="s">
        <v>3023</v>
      </c>
      <c r="P166" s="242" t="s">
        <v>3026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25.5" customHeight="1">
      <c r="A167" s="190">
        <v>159</v>
      </c>
      <c r="B167" s="190" t="s">
        <v>28</v>
      </c>
      <c r="C167" s="190" t="s">
        <v>3123</v>
      </c>
      <c r="D167" s="190">
        <v>375976</v>
      </c>
      <c r="E167" s="237" t="s">
        <v>457</v>
      </c>
      <c r="F167" s="237" t="s">
        <v>458</v>
      </c>
      <c r="G167" s="237" t="s">
        <v>459</v>
      </c>
      <c r="H167" s="238"/>
      <c r="I167" s="239" t="str">
        <f t="shared" si="6"/>
        <v>30 years, 5 month(s), 12 day(s)</v>
      </c>
      <c r="J167" s="240">
        <v>35021</v>
      </c>
      <c r="K167" s="239" t="str">
        <f t="shared" si="5"/>
        <v>3 years, 4 month(s), 25 day(s)</v>
      </c>
      <c r="L167" s="240">
        <v>44900</v>
      </c>
      <c r="M167" s="241"/>
      <c r="N167" s="241"/>
      <c r="O167" s="193" t="s">
        <v>446</v>
      </c>
      <c r="P167" s="242" t="s">
        <v>2849</v>
      </c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25.5" customHeight="1">
      <c r="A168" s="190">
        <v>160</v>
      </c>
      <c r="B168" s="190" t="s">
        <v>24</v>
      </c>
      <c r="C168" s="190" t="s">
        <v>3123</v>
      </c>
      <c r="D168" s="190">
        <v>311629</v>
      </c>
      <c r="E168" s="237" t="s">
        <v>457</v>
      </c>
      <c r="F168" s="237" t="s">
        <v>2210</v>
      </c>
      <c r="G168" s="237" t="s">
        <v>2211</v>
      </c>
      <c r="H168" s="243" t="s">
        <v>268</v>
      </c>
      <c r="I168" s="239" t="str">
        <f t="shared" si="6"/>
        <v>32 years, 6 month(s), 28 day(s)</v>
      </c>
      <c r="J168" s="240">
        <v>34244</v>
      </c>
      <c r="K168" s="239" t="str">
        <f t="shared" si="5"/>
        <v>8 years, 7 month(s), 14 day(s)</v>
      </c>
      <c r="L168" s="240">
        <v>42994</v>
      </c>
      <c r="M168" s="241"/>
      <c r="N168" s="241"/>
      <c r="O168" s="193" t="s">
        <v>2195</v>
      </c>
      <c r="P168" s="242" t="s">
        <v>2849</v>
      </c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25.5" customHeight="1">
      <c r="A169" s="190">
        <v>161</v>
      </c>
      <c r="B169" s="190" t="s">
        <v>96</v>
      </c>
      <c r="C169" s="190" t="s">
        <v>3123</v>
      </c>
      <c r="D169" s="190" t="s">
        <v>3194</v>
      </c>
      <c r="E169" s="237" t="s">
        <v>2526</v>
      </c>
      <c r="F169" s="237" t="s">
        <v>2527</v>
      </c>
      <c r="G169" s="237" t="s">
        <v>2528</v>
      </c>
      <c r="H169" s="238"/>
      <c r="I169" s="239" t="str">
        <f t="shared" si="6"/>
        <v>34 years, 7 month(s), 21 day(s)</v>
      </c>
      <c r="J169" s="240">
        <v>33490</v>
      </c>
      <c r="K169" s="239" t="str">
        <f t="shared" si="5"/>
        <v>4 years, 7 month(s), 14 day(s)</v>
      </c>
      <c r="L169" s="240">
        <v>44455</v>
      </c>
      <c r="M169" s="240">
        <v>43409</v>
      </c>
      <c r="N169" s="241"/>
      <c r="O169" s="193" t="s">
        <v>2525</v>
      </c>
      <c r="P169" s="242" t="s">
        <v>2848</v>
      </c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25.5" customHeight="1">
      <c r="A170" s="190">
        <v>162</v>
      </c>
      <c r="B170" s="190" t="s">
        <v>246</v>
      </c>
      <c r="C170" s="190" t="s">
        <v>3123</v>
      </c>
      <c r="D170" s="190" t="s">
        <v>3195</v>
      </c>
      <c r="E170" s="237" t="s">
        <v>1481</v>
      </c>
      <c r="F170" s="237" t="s">
        <v>1665</v>
      </c>
      <c r="G170" s="237" t="s">
        <v>1666</v>
      </c>
      <c r="H170" s="238"/>
      <c r="I170" s="239" t="str">
        <f t="shared" si="6"/>
        <v>37 years, 11 month(s), 2 day(s)</v>
      </c>
      <c r="J170" s="240">
        <v>32291</v>
      </c>
      <c r="K170" s="239" t="str">
        <f t="shared" si="5"/>
        <v>2 years, 11 month(s), 8 day(s)</v>
      </c>
      <c r="L170" s="240">
        <v>45068</v>
      </c>
      <c r="M170" s="241"/>
      <c r="N170" s="241"/>
      <c r="O170" s="193" t="s">
        <v>2038</v>
      </c>
      <c r="P170" s="242" t="s">
        <v>2848</v>
      </c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25.5" customHeight="1">
      <c r="A171" s="190">
        <v>163</v>
      </c>
      <c r="B171" s="190" t="s">
        <v>160</v>
      </c>
      <c r="C171" s="190" t="s">
        <v>3123</v>
      </c>
      <c r="D171" s="190" t="s">
        <v>3196</v>
      </c>
      <c r="E171" s="237" t="s">
        <v>1481</v>
      </c>
      <c r="F171" s="237" t="s">
        <v>1482</v>
      </c>
      <c r="G171" s="237" t="s">
        <v>1483</v>
      </c>
      <c r="H171" s="238"/>
      <c r="I171" s="239" t="str">
        <f t="shared" si="6"/>
        <v>44 years, 8 month(s), 27 day(s)</v>
      </c>
      <c r="J171" s="240">
        <v>29801</v>
      </c>
      <c r="K171" s="239" t="str">
        <f t="shared" si="5"/>
        <v>21 years, 7 month(s), 24 day(s)</v>
      </c>
      <c r="L171" s="240">
        <v>38236</v>
      </c>
      <c r="M171" s="241"/>
      <c r="N171" s="241"/>
      <c r="O171" s="193" t="s">
        <v>1065</v>
      </c>
      <c r="P171" s="242" t="s">
        <v>2978</v>
      </c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25.5" customHeight="1">
      <c r="A172" s="190">
        <v>164</v>
      </c>
      <c r="B172" s="190" t="s">
        <v>28</v>
      </c>
      <c r="C172" s="190" t="s">
        <v>3123</v>
      </c>
      <c r="D172" s="190">
        <v>375977</v>
      </c>
      <c r="E172" s="237" t="s">
        <v>316</v>
      </c>
      <c r="F172" s="237" t="s">
        <v>317</v>
      </c>
      <c r="G172" s="237" t="s">
        <v>318</v>
      </c>
      <c r="H172" s="238"/>
      <c r="I172" s="239" t="str">
        <f t="shared" si="6"/>
        <v>32 years, 5 month(s), 28 day(s)</v>
      </c>
      <c r="J172" s="240">
        <v>34275</v>
      </c>
      <c r="K172" s="239" t="str">
        <f t="shared" si="5"/>
        <v>3 years, 4 month(s), 25 day(s)</v>
      </c>
      <c r="L172" s="240">
        <v>44900</v>
      </c>
      <c r="M172" s="241"/>
      <c r="N172" s="241"/>
      <c r="O172" s="193" t="s">
        <v>301</v>
      </c>
      <c r="P172" s="242" t="s">
        <v>2849</v>
      </c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25.5" customHeight="1">
      <c r="A173" s="190">
        <v>165</v>
      </c>
      <c r="B173" s="190" t="s">
        <v>28</v>
      </c>
      <c r="C173" s="190" t="s">
        <v>3123</v>
      </c>
      <c r="D173" s="190">
        <v>376394</v>
      </c>
      <c r="E173" s="237" t="s">
        <v>1181</v>
      </c>
      <c r="F173" s="237" t="s">
        <v>1182</v>
      </c>
      <c r="G173" s="237" t="s">
        <v>1183</v>
      </c>
      <c r="H173" s="238"/>
      <c r="I173" s="239" t="str">
        <f t="shared" si="6"/>
        <v>27 years, 2 month(s), 4 day(s)</v>
      </c>
      <c r="J173" s="240">
        <v>36217</v>
      </c>
      <c r="K173" s="239" t="str">
        <f t="shared" si="5"/>
        <v>3 years, 4 month(s), 3 day(s)</v>
      </c>
      <c r="L173" s="240">
        <v>44922</v>
      </c>
      <c r="M173" s="241"/>
      <c r="N173" s="241"/>
      <c r="O173" s="193" t="s">
        <v>1065</v>
      </c>
      <c r="P173" s="242" t="s">
        <v>2854</v>
      </c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25.5" customHeight="1">
      <c r="A174" s="190">
        <v>166</v>
      </c>
      <c r="B174" s="190" t="s">
        <v>40</v>
      </c>
      <c r="C174" s="190" t="s">
        <v>3123</v>
      </c>
      <c r="D174" s="190">
        <v>11</v>
      </c>
      <c r="E174" s="237" t="s">
        <v>144</v>
      </c>
      <c r="F174" s="237" t="s">
        <v>145</v>
      </c>
      <c r="G174" s="237" t="s">
        <v>146</v>
      </c>
      <c r="H174" s="238"/>
      <c r="I174" s="239" t="str">
        <f t="shared" si="6"/>
        <v>33 years, 10 month(s), 8 day(s)</v>
      </c>
      <c r="J174" s="240">
        <v>33777</v>
      </c>
      <c r="K174" s="239" t="str">
        <f t="shared" si="5"/>
        <v>8 years, 5 month(s), 6 day(s)</v>
      </c>
      <c r="L174" s="240">
        <v>43063</v>
      </c>
      <c r="M174" s="241"/>
      <c r="N174" s="241"/>
      <c r="O174" s="193" t="s">
        <v>138</v>
      </c>
      <c r="P174" s="242" t="s">
        <v>2713</v>
      </c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25.5" customHeight="1">
      <c r="A175" s="190">
        <v>167</v>
      </c>
      <c r="B175" s="190" t="s">
        <v>96</v>
      </c>
      <c r="C175" s="190" t="s">
        <v>3123</v>
      </c>
      <c r="D175" s="190" t="s">
        <v>3197</v>
      </c>
      <c r="E175" s="237" t="s">
        <v>836</v>
      </c>
      <c r="F175" s="237" t="s">
        <v>1112</v>
      </c>
      <c r="G175" s="237" t="s">
        <v>1113</v>
      </c>
      <c r="H175" s="238"/>
      <c r="I175" s="239" t="str">
        <f t="shared" si="6"/>
        <v>41 years, 6 month(s), 4 day(s)</v>
      </c>
      <c r="J175" s="240">
        <v>30981</v>
      </c>
      <c r="K175" s="239" t="str">
        <f t="shared" si="5"/>
        <v>4 years, 5 month(s), 26 day(s)</v>
      </c>
      <c r="L175" s="240">
        <v>44504</v>
      </c>
      <c r="M175" s="240">
        <v>39995</v>
      </c>
      <c r="N175" s="241"/>
      <c r="O175" s="193" t="s">
        <v>1065</v>
      </c>
      <c r="P175" s="242" t="s">
        <v>2985</v>
      </c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25.5" customHeight="1">
      <c r="A176" s="190">
        <v>168</v>
      </c>
      <c r="B176" s="190" t="s">
        <v>253</v>
      </c>
      <c r="C176" s="190" t="s">
        <v>3123</v>
      </c>
      <c r="D176" s="190" t="s">
        <v>3198</v>
      </c>
      <c r="E176" s="237" t="s">
        <v>836</v>
      </c>
      <c r="F176" s="237" t="s">
        <v>1095</v>
      </c>
      <c r="G176" s="237" t="s">
        <v>1096</v>
      </c>
      <c r="H176" s="238"/>
      <c r="I176" s="239" t="str">
        <f t="shared" si="6"/>
        <v>48 years, 9 month(s), 19 day(s)</v>
      </c>
      <c r="J176" s="240">
        <v>28317</v>
      </c>
      <c r="K176" s="239" t="str">
        <f t="shared" si="5"/>
        <v>8 years, 2 month(s), 14 day(s)</v>
      </c>
      <c r="L176" s="240">
        <v>43147</v>
      </c>
      <c r="M176" s="240">
        <v>37830</v>
      </c>
      <c r="N176" s="241"/>
      <c r="O176" s="193" t="s">
        <v>1065</v>
      </c>
      <c r="P176" s="242" t="s">
        <v>2985</v>
      </c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25.5" customHeight="1">
      <c r="A177" s="190">
        <v>169</v>
      </c>
      <c r="B177" s="190" t="s">
        <v>24</v>
      </c>
      <c r="C177" s="190" t="s">
        <v>3123</v>
      </c>
      <c r="D177" s="190">
        <v>339445</v>
      </c>
      <c r="E177" s="237" t="s">
        <v>825</v>
      </c>
      <c r="F177" s="237" t="s">
        <v>826</v>
      </c>
      <c r="G177" s="237" t="s">
        <v>827</v>
      </c>
      <c r="H177" s="238"/>
      <c r="I177" s="239" t="str">
        <f t="shared" si="6"/>
        <v>28 years, 5 month(s), 18 day(s)</v>
      </c>
      <c r="J177" s="240">
        <v>35746</v>
      </c>
      <c r="K177" s="239" t="str">
        <f t="shared" si="5"/>
        <v>6 years, 6 month(s), 9 day(s)</v>
      </c>
      <c r="L177" s="240">
        <v>43759</v>
      </c>
      <c r="M177" s="241"/>
      <c r="N177" s="241"/>
      <c r="O177" s="193" t="s">
        <v>801</v>
      </c>
      <c r="P177" s="242" t="s">
        <v>2906</v>
      </c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25.5" customHeight="1">
      <c r="A178" s="190">
        <v>170</v>
      </c>
      <c r="B178" s="190" t="s">
        <v>24</v>
      </c>
      <c r="C178" s="190" t="s">
        <v>3123</v>
      </c>
      <c r="D178" s="190">
        <v>339442</v>
      </c>
      <c r="E178" s="237" t="s">
        <v>139</v>
      </c>
      <c r="F178" s="237" t="s">
        <v>140</v>
      </c>
      <c r="G178" s="237" t="s">
        <v>141</v>
      </c>
      <c r="H178" s="238"/>
      <c r="I178" s="239" t="str">
        <f t="shared" si="6"/>
        <v>29 years, 7 month(s), 21 day(s)</v>
      </c>
      <c r="J178" s="240">
        <v>35317</v>
      </c>
      <c r="K178" s="239" t="str">
        <f t="shared" si="5"/>
        <v>6 years, 6 month(s), 9 day(s)</v>
      </c>
      <c r="L178" s="240">
        <v>43759</v>
      </c>
      <c r="M178" s="241"/>
      <c r="N178" s="241"/>
      <c r="O178" s="193" t="s">
        <v>138</v>
      </c>
      <c r="P178" s="242" t="s">
        <v>2802</v>
      </c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25.5" customHeight="1">
      <c r="A179" s="190">
        <v>171</v>
      </c>
      <c r="B179" s="190" t="s">
        <v>40</v>
      </c>
      <c r="C179" s="190" t="s">
        <v>3123</v>
      </c>
      <c r="D179" s="190">
        <v>7</v>
      </c>
      <c r="E179" s="237" t="s">
        <v>1679</v>
      </c>
      <c r="F179" s="237" t="s">
        <v>1680</v>
      </c>
      <c r="G179" s="237" t="s">
        <v>1681</v>
      </c>
      <c r="H179" s="238"/>
      <c r="I179" s="239" t="str">
        <f t="shared" si="6"/>
        <v>50 years, 5 month(s), 26 day(s)</v>
      </c>
      <c r="J179" s="240">
        <v>27702</v>
      </c>
      <c r="K179" s="239" t="str">
        <f t="shared" si="5"/>
        <v>15 years, 1 month(s), 6 day(s)</v>
      </c>
      <c r="L179" s="240">
        <v>40626</v>
      </c>
      <c r="M179" s="241"/>
      <c r="N179" s="241"/>
      <c r="O179" s="193" t="s">
        <v>1714</v>
      </c>
      <c r="P179" s="242" t="s">
        <v>2714</v>
      </c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25.5" customHeight="1">
      <c r="A180" s="190">
        <v>172</v>
      </c>
      <c r="B180" s="190" t="s">
        <v>40</v>
      </c>
      <c r="C180" s="190" t="s">
        <v>3123</v>
      </c>
      <c r="D180" s="190">
        <v>6</v>
      </c>
      <c r="E180" s="237" t="s">
        <v>1684</v>
      </c>
      <c r="F180" s="237" t="s">
        <v>1685</v>
      </c>
      <c r="G180" s="237" t="s">
        <v>1686</v>
      </c>
      <c r="H180" s="238"/>
      <c r="I180" s="239" t="str">
        <f t="shared" si="6"/>
        <v>28 years, 7 month(s), 17 day(s)</v>
      </c>
      <c r="J180" s="240">
        <v>35686</v>
      </c>
      <c r="K180" s="239" t="str">
        <f t="shared" si="5"/>
        <v>1 years, 1 month(s), 13 day(s)</v>
      </c>
      <c r="L180" s="240">
        <v>45733</v>
      </c>
      <c r="M180" s="241"/>
      <c r="N180" s="241"/>
      <c r="O180" s="193" t="s">
        <v>1698</v>
      </c>
      <c r="P180" s="242" t="s">
        <v>2679</v>
      </c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25.5" customHeight="1">
      <c r="A181" s="190">
        <v>173</v>
      </c>
      <c r="B181" s="190" t="s">
        <v>40</v>
      </c>
      <c r="C181" s="190" t="s">
        <v>3123</v>
      </c>
      <c r="D181" s="190">
        <v>6</v>
      </c>
      <c r="E181" s="237" t="s">
        <v>185</v>
      </c>
      <c r="F181" s="237" t="s">
        <v>1303</v>
      </c>
      <c r="G181" s="237" t="s">
        <v>2971</v>
      </c>
      <c r="H181" s="238"/>
      <c r="I181" s="239" t="str">
        <f t="shared" si="6"/>
        <v>39 years, 8 month(s), 29 day(s)</v>
      </c>
      <c r="J181" s="240">
        <v>31625</v>
      </c>
      <c r="K181" s="239" t="str">
        <f t="shared" si="5"/>
        <v>0 years, 2 month(s), 14 day(s)</v>
      </c>
      <c r="L181" s="240">
        <v>46069</v>
      </c>
      <c r="M181" s="241"/>
      <c r="N181" s="241"/>
      <c r="O181" s="193" t="s">
        <v>1008</v>
      </c>
      <c r="P181" s="242" t="s">
        <v>2970</v>
      </c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25.5" customHeight="1">
      <c r="A182" s="190">
        <v>174</v>
      </c>
      <c r="B182" s="190" t="s">
        <v>40</v>
      </c>
      <c r="C182" s="190" t="s">
        <v>3123</v>
      </c>
      <c r="D182" s="190">
        <v>9</v>
      </c>
      <c r="E182" s="237" t="s">
        <v>185</v>
      </c>
      <c r="F182" s="237" t="s">
        <v>186</v>
      </c>
      <c r="G182" s="237" t="s">
        <v>187</v>
      </c>
      <c r="H182" s="238"/>
      <c r="I182" s="239" t="str">
        <f t="shared" si="6"/>
        <v>49 years, 3 month(s), 18 day(s)</v>
      </c>
      <c r="J182" s="240">
        <v>28137</v>
      </c>
      <c r="K182" s="239" t="str">
        <f t="shared" si="5"/>
        <v>8 years, 2 month(s), 21 day(s)</v>
      </c>
      <c r="L182" s="240">
        <v>43140</v>
      </c>
      <c r="M182" s="241"/>
      <c r="N182" s="241"/>
      <c r="O182" s="193" t="s">
        <v>154</v>
      </c>
      <c r="P182" s="242" t="s">
        <v>2715</v>
      </c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25.5" customHeight="1">
      <c r="A183" s="190">
        <v>175</v>
      </c>
      <c r="B183" s="190" t="s">
        <v>40</v>
      </c>
      <c r="C183" s="190" t="s">
        <v>3123</v>
      </c>
      <c r="D183" s="190">
        <v>6</v>
      </c>
      <c r="E183" s="237" t="s">
        <v>2828</v>
      </c>
      <c r="F183" s="237" t="s">
        <v>2829</v>
      </c>
      <c r="G183" s="237" t="s">
        <v>182</v>
      </c>
      <c r="H183" s="238"/>
      <c r="I183" s="239" t="str">
        <f t="shared" si="6"/>
        <v>29 years, 5 month(s), 1 day(s)</v>
      </c>
      <c r="J183" s="240">
        <v>35398</v>
      </c>
      <c r="K183" s="239" t="str">
        <f t="shared" si="5"/>
        <v>0 years, 2 month(s), 14 day(s)</v>
      </c>
      <c r="L183" s="240">
        <v>46069</v>
      </c>
      <c r="M183" s="241"/>
      <c r="N183" s="241"/>
      <c r="O183" s="193" t="s">
        <v>2826</v>
      </c>
      <c r="P183" s="242" t="s">
        <v>2830</v>
      </c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25.5" customHeight="1">
      <c r="A184" s="190">
        <v>176</v>
      </c>
      <c r="B184" s="190" t="s">
        <v>40</v>
      </c>
      <c r="C184" s="190" t="s">
        <v>3123</v>
      </c>
      <c r="D184" s="190">
        <v>7</v>
      </c>
      <c r="E184" s="237" t="s">
        <v>1523</v>
      </c>
      <c r="F184" s="237" t="s">
        <v>1524</v>
      </c>
      <c r="G184" s="237" t="s">
        <v>1525</v>
      </c>
      <c r="H184" s="238"/>
      <c r="I184" s="239" t="str">
        <f t="shared" si="6"/>
        <v>59 years, 9 month(s), 8 day(s)</v>
      </c>
      <c r="J184" s="240">
        <v>24310</v>
      </c>
      <c r="K184" s="239" t="str">
        <f t="shared" si="5"/>
        <v>27 years, 3 month(s), 29 day(s)</v>
      </c>
      <c r="L184" s="240">
        <v>36161</v>
      </c>
      <c r="M184" s="241"/>
      <c r="N184" s="241"/>
      <c r="O184" s="193" t="s">
        <v>1486</v>
      </c>
      <c r="P184" s="242" t="s">
        <v>2716</v>
      </c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25.5" customHeight="1">
      <c r="A185" s="190">
        <v>177</v>
      </c>
      <c r="B185" s="190" t="s">
        <v>20</v>
      </c>
      <c r="C185" s="190" t="s">
        <v>3123</v>
      </c>
      <c r="D185" s="190" t="s">
        <v>3199</v>
      </c>
      <c r="E185" s="237" t="s">
        <v>1066</v>
      </c>
      <c r="F185" s="237" t="s">
        <v>1067</v>
      </c>
      <c r="G185" s="237" t="s">
        <v>1068</v>
      </c>
      <c r="H185" s="238"/>
      <c r="I185" s="239" t="str">
        <f t="shared" si="6"/>
        <v>51 years, 4 month(s), 7 day(s)</v>
      </c>
      <c r="J185" s="240">
        <v>27386</v>
      </c>
      <c r="K185" s="239" t="str">
        <f t="shared" si="5"/>
        <v>25 years, 5 month(s), 3 day(s)</v>
      </c>
      <c r="L185" s="240">
        <v>36857</v>
      </c>
      <c r="M185" s="240" t="s">
        <v>3200</v>
      </c>
      <c r="N185" s="241"/>
      <c r="O185" s="193" t="s">
        <v>1065</v>
      </c>
      <c r="P185" s="242" t="s">
        <v>2979</v>
      </c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25.5" customHeight="1">
      <c r="A186" s="190">
        <v>178</v>
      </c>
      <c r="B186" s="190" t="s">
        <v>246</v>
      </c>
      <c r="C186" s="190" t="s">
        <v>3123</v>
      </c>
      <c r="D186" s="190" t="s">
        <v>3201</v>
      </c>
      <c r="E186" s="237" t="s">
        <v>1891</v>
      </c>
      <c r="F186" s="237" t="s">
        <v>1892</v>
      </c>
      <c r="G186" s="237" t="s">
        <v>1893</v>
      </c>
      <c r="H186" s="243" t="s">
        <v>268</v>
      </c>
      <c r="I186" s="239" t="str">
        <f t="shared" si="6"/>
        <v>30 years, 0 month(s), 6 day(s)</v>
      </c>
      <c r="J186" s="240">
        <v>35179</v>
      </c>
      <c r="K186" s="239" t="str">
        <f t="shared" si="5"/>
        <v>2 years, 11 month(s), 8 day(s)</v>
      </c>
      <c r="L186" s="240">
        <v>45068</v>
      </c>
      <c r="M186" s="241"/>
      <c r="N186" s="241"/>
      <c r="O186" s="193" t="s">
        <v>3102</v>
      </c>
      <c r="P186" s="242" t="s">
        <v>3103</v>
      </c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25.5" customHeight="1">
      <c r="A187" s="190">
        <v>179</v>
      </c>
      <c r="B187" s="190" t="s">
        <v>160</v>
      </c>
      <c r="C187" s="190" t="s">
        <v>3123</v>
      </c>
      <c r="D187" s="190" t="s">
        <v>3202</v>
      </c>
      <c r="E187" s="237" t="s">
        <v>1891</v>
      </c>
      <c r="F187" s="237" t="s">
        <v>501</v>
      </c>
      <c r="G187" s="237" t="s">
        <v>2230</v>
      </c>
      <c r="H187" s="238"/>
      <c r="I187" s="239" t="str">
        <f t="shared" si="6"/>
        <v>49 years, 5 month(s), 1 day(s)</v>
      </c>
      <c r="J187" s="240">
        <v>28093</v>
      </c>
      <c r="K187" s="239" t="str">
        <f t="shared" si="5"/>
        <v>17 years, 7 month(s), 29 day(s)</v>
      </c>
      <c r="L187" s="240">
        <v>39692</v>
      </c>
      <c r="M187" s="240">
        <v>37830</v>
      </c>
      <c r="N187" s="241"/>
      <c r="O187" s="193" t="s">
        <v>2229</v>
      </c>
      <c r="P187" s="242" t="s">
        <v>2848</v>
      </c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25.5" customHeight="1">
      <c r="A188" s="190">
        <v>180</v>
      </c>
      <c r="B188" s="190" t="s">
        <v>28</v>
      </c>
      <c r="C188" s="190" t="s">
        <v>3123</v>
      </c>
      <c r="D188" s="190">
        <v>367982</v>
      </c>
      <c r="E188" s="237" t="s">
        <v>286</v>
      </c>
      <c r="F188" s="237" t="s">
        <v>1672</v>
      </c>
      <c r="G188" s="237" t="s">
        <v>1671</v>
      </c>
      <c r="H188" s="238"/>
      <c r="I188" s="239" t="str">
        <f t="shared" si="6"/>
        <v>31 years, 6 month(s), 28 day(s)</v>
      </c>
      <c r="J188" s="240">
        <v>34609</v>
      </c>
      <c r="K188" s="239" t="str">
        <f t="shared" si="5"/>
        <v>4 years, 4 month(s), 16 day(s)</v>
      </c>
      <c r="L188" s="240">
        <v>44544</v>
      </c>
      <c r="M188" s="241"/>
      <c r="N188" s="241"/>
      <c r="O188" s="193" t="s">
        <v>1709</v>
      </c>
      <c r="P188" s="242" t="s">
        <v>3068</v>
      </c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25.5" customHeight="1">
      <c r="A189" s="190">
        <v>181</v>
      </c>
      <c r="B189" s="190" t="s">
        <v>40</v>
      </c>
      <c r="C189" s="190" t="s">
        <v>3123</v>
      </c>
      <c r="D189" s="190">
        <v>7</v>
      </c>
      <c r="E189" s="237" t="s">
        <v>1212</v>
      </c>
      <c r="F189" s="237" t="s">
        <v>1213</v>
      </c>
      <c r="G189" s="237" t="s">
        <v>1214</v>
      </c>
      <c r="H189" s="238"/>
      <c r="I189" s="239" t="str">
        <f t="shared" si="6"/>
        <v>28 years, 1 month(s), 2 day(s)</v>
      </c>
      <c r="J189" s="240">
        <v>35882</v>
      </c>
      <c r="K189" s="239" t="str">
        <f t="shared" si="5"/>
        <v>3 years, 2 month(s), 16 day(s)</v>
      </c>
      <c r="L189" s="240">
        <v>44971</v>
      </c>
      <c r="M189" s="241"/>
      <c r="N189" s="241"/>
      <c r="O189" s="193" t="s">
        <v>1065</v>
      </c>
      <c r="P189" s="242" t="s">
        <v>2986</v>
      </c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25.5" customHeight="1">
      <c r="A190" s="190">
        <v>182</v>
      </c>
      <c r="B190" s="190" t="s">
        <v>28</v>
      </c>
      <c r="C190" s="190" t="s">
        <v>3123</v>
      </c>
      <c r="D190" s="190">
        <v>376395</v>
      </c>
      <c r="E190" s="237" t="s">
        <v>999</v>
      </c>
      <c r="F190" s="237" t="s">
        <v>1186</v>
      </c>
      <c r="G190" s="237" t="s">
        <v>1187</v>
      </c>
      <c r="H190" s="238"/>
      <c r="I190" s="239" t="str">
        <f t="shared" si="6"/>
        <v>33 years, 11 month(s), 0 day(s)</v>
      </c>
      <c r="J190" s="240">
        <v>33754</v>
      </c>
      <c r="K190" s="239" t="str">
        <f t="shared" si="5"/>
        <v>3 years, 4 month(s), 3 day(s)</v>
      </c>
      <c r="L190" s="240">
        <v>44922</v>
      </c>
      <c r="M190" s="241"/>
      <c r="N190" s="241"/>
      <c r="O190" s="193" t="s">
        <v>1065</v>
      </c>
      <c r="P190" s="242" t="s">
        <v>2854</v>
      </c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25.5" customHeight="1">
      <c r="A191" s="190">
        <v>183</v>
      </c>
      <c r="B191" s="190" t="s">
        <v>40</v>
      </c>
      <c r="C191" s="190" t="s">
        <v>3123</v>
      </c>
      <c r="D191" s="190">
        <v>11</v>
      </c>
      <c r="E191" s="237" t="s">
        <v>999</v>
      </c>
      <c r="F191" s="237" t="s">
        <v>1354</v>
      </c>
      <c r="G191" s="237" t="s">
        <v>1355</v>
      </c>
      <c r="H191" s="238"/>
      <c r="I191" s="239" t="str">
        <f t="shared" si="6"/>
        <v>30 years, 0 month(s), 2 day(s)</v>
      </c>
      <c r="J191" s="240">
        <v>35183</v>
      </c>
      <c r="K191" s="239" t="str">
        <f t="shared" si="5"/>
        <v>6 years, 3 month(s), 14 day(s)</v>
      </c>
      <c r="L191" s="240">
        <v>43846</v>
      </c>
      <c r="M191" s="241"/>
      <c r="N191" s="241"/>
      <c r="O191" s="193" t="s">
        <v>1368</v>
      </c>
      <c r="P191" s="242" t="s">
        <v>2718</v>
      </c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25.5" customHeight="1">
      <c r="A192" s="190">
        <v>184</v>
      </c>
      <c r="B192" s="190" t="s">
        <v>160</v>
      </c>
      <c r="C192" s="190" t="s">
        <v>3123</v>
      </c>
      <c r="D192" s="190" t="s">
        <v>3203</v>
      </c>
      <c r="E192" s="237" t="s">
        <v>2620</v>
      </c>
      <c r="F192" s="237" t="s">
        <v>2069</v>
      </c>
      <c r="G192" s="237" t="s">
        <v>2622</v>
      </c>
      <c r="H192" s="238"/>
      <c r="I192" s="239" t="str">
        <f t="shared" si="6"/>
        <v>48 years, 5 month(s), 7 day(s)</v>
      </c>
      <c r="J192" s="240">
        <v>28452</v>
      </c>
      <c r="K192" s="239" t="str">
        <f t="shared" si="5"/>
        <v>16 years, 3 month(s), 12 day(s)</v>
      </c>
      <c r="L192" s="240">
        <v>40196</v>
      </c>
      <c r="M192" s="240">
        <v>38322</v>
      </c>
      <c r="N192" s="241"/>
      <c r="O192" s="193" t="s">
        <v>2619</v>
      </c>
      <c r="P192" s="242" t="s">
        <v>2993</v>
      </c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25.5" customHeight="1">
      <c r="A193" s="190">
        <v>185</v>
      </c>
      <c r="B193" s="190" t="s">
        <v>1043</v>
      </c>
      <c r="C193" s="190" t="s">
        <v>3123</v>
      </c>
      <c r="D193" s="190">
        <v>151050</v>
      </c>
      <c r="E193" s="237" t="s">
        <v>2465</v>
      </c>
      <c r="F193" s="237" t="s">
        <v>2466</v>
      </c>
      <c r="G193" s="237" t="s">
        <v>2467</v>
      </c>
      <c r="H193" s="238"/>
      <c r="I193" s="239" t="str">
        <f t="shared" si="6"/>
        <v>50 years, 10 month(s), 14 day(s)</v>
      </c>
      <c r="J193" s="240">
        <v>27561</v>
      </c>
      <c r="K193" s="239" t="str">
        <f t="shared" ref="K193:K256" si="7">DATEDIF(L193,DATE(2026,4,30),"y")&amp;" years, "&amp;DATEDIF(L193,DATE(2026,4,30),"ym")&amp;" month(s), "&amp;DATEDIF(L193,DATE(2026,4,30),"md")&amp;" day(s)"</f>
        <v>22 years, 9 month(s), 2 day(s)</v>
      </c>
      <c r="L193" s="240">
        <v>37830</v>
      </c>
      <c r="M193" s="241"/>
      <c r="N193" s="241"/>
      <c r="O193" s="193" t="s">
        <v>2458</v>
      </c>
      <c r="P193" s="242" t="s">
        <v>2849</v>
      </c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25.5" customHeight="1">
      <c r="A194" s="190">
        <v>186</v>
      </c>
      <c r="B194" s="190" t="s">
        <v>28</v>
      </c>
      <c r="C194" s="190" t="s">
        <v>3123</v>
      </c>
      <c r="D194" s="190">
        <v>375978</v>
      </c>
      <c r="E194" s="237" t="s">
        <v>135</v>
      </c>
      <c r="F194" s="237" t="s">
        <v>1190</v>
      </c>
      <c r="G194" s="237" t="s">
        <v>1191</v>
      </c>
      <c r="H194" s="238"/>
      <c r="I194" s="239" t="str">
        <f t="shared" si="6"/>
        <v>27 years, 7 month(s), 1 day(s)</v>
      </c>
      <c r="J194" s="240">
        <v>36067</v>
      </c>
      <c r="K194" s="239" t="str">
        <f t="shared" si="7"/>
        <v>3 years, 4 month(s), 25 day(s)</v>
      </c>
      <c r="L194" s="240">
        <v>44900</v>
      </c>
      <c r="M194" s="241"/>
      <c r="N194" s="241"/>
      <c r="O194" s="193" t="s">
        <v>1065</v>
      </c>
      <c r="P194" s="242" t="s">
        <v>2854</v>
      </c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25.5" customHeight="1">
      <c r="A195" s="190">
        <v>187</v>
      </c>
      <c r="B195" s="190" t="s">
        <v>40</v>
      </c>
      <c r="C195" s="190" t="s">
        <v>3123</v>
      </c>
      <c r="D195" s="190">
        <v>11</v>
      </c>
      <c r="E195" s="237" t="s">
        <v>256</v>
      </c>
      <c r="F195" s="237" t="s">
        <v>1414</v>
      </c>
      <c r="G195" s="237" t="s">
        <v>1415</v>
      </c>
      <c r="H195" s="238"/>
      <c r="I195" s="239" t="str">
        <f t="shared" si="6"/>
        <v>28 years, 8 month(s), 22 day(s)</v>
      </c>
      <c r="J195" s="240">
        <v>35650</v>
      </c>
      <c r="K195" s="239" t="str">
        <f t="shared" si="7"/>
        <v>0 years, 11 month(s), 7 day(s)</v>
      </c>
      <c r="L195" s="240">
        <v>45800</v>
      </c>
      <c r="M195" s="241"/>
      <c r="N195" s="241"/>
      <c r="O195" s="193" t="s">
        <v>1396</v>
      </c>
      <c r="P195" s="242" t="s">
        <v>2719</v>
      </c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25.5" customHeight="1">
      <c r="A196" s="190">
        <v>188</v>
      </c>
      <c r="B196" s="190" t="s">
        <v>253</v>
      </c>
      <c r="C196" s="190" t="s">
        <v>3123</v>
      </c>
      <c r="D196" s="190" t="s">
        <v>3204</v>
      </c>
      <c r="E196" s="237" t="s">
        <v>256</v>
      </c>
      <c r="F196" s="237" t="s">
        <v>302</v>
      </c>
      <c r="G196" s="237" t="s">
        <v>303</v>
      </c>
      <c r="H196" s="238"/>
      <c r="I196" s="239" t="str">
        <f t="shared" si="6"/>
        <v>36 years, 3 month(s), 1 day(s)</v>
      </c>
      <c r="J196" s="240">
        <v>32902</v>
      </c>
      <c r="K196" s="239" t="str">
        <f t="shared" si="7"/>
        <v>8 years, 2 month(s), 14 day(s)</v>
      </c>
      <c r="L196" s="240">
        <v>43147</v>
      </c>
      <c r="M196" s="241"/>
      <c r="N196" s="240">
        <v>42346</v>
      </c>
      <c r="O196" s="193" t="s">
        <v>301</v>
      </c>
      <c r="P196" s="242" t="s">
        <v>2848</v>
      </c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25.5" customHeight="1">
      <c r="A197" s="190">
        <v>189</v>
      </c>
      <c r="B197" s="190" t="s">
        <v>96</v>
      </c>
      <c r="C197" s="190" t="s">
        <v>3123</v>
      </c>
      <c r="D197" s="190" t="s">
        <v>3205</v>
      </c>
      <c r="E197" s="237" t="s">
        <v>256</v>
      </c>
      <c r="F197" s="237" t="s">
        <v>786</v>
      </c>
      <c r="G197" s="237" t="s">
        <v>787</v>
      </c>
      <c r="H197" s="238"/>
      <c r="I197" s="239" t="str">
        <f t="shared" si="6"/>
        <v>34 years, 10 month(s), 1 day(s)</v>
      </c>
      <c r="J197" s="240">
        <v>33418</v>
      </c>
      <c r="K197" s="239" t="str">
        <f t="shared" si="7"/>
        <v>9 years, 7 month(s), 14 day(s)</v>
      </c>
      <c r="L197" s="240">
        <v>42629</v>
      </c>
      <c r="M197" s="241"/>
      <c r="N197" s="241"/>
      <c r="O197" s="193" t="s">
        <v>785</v>
      </c>
      <c r="P197" s="242" t="s">
        <v>2848</v>
      </c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25.5" customHeight="1">
      <c r="A198" s="190">
        <v>190</v>
      </c>
      <c r="B198" s="190" t="s">
        <v>40</v>
      </c>
      <c r="C198" s="190" t="s">
        <v>3123</v>
      </c>
      <c r="D198" s="190">
        <v>7</v>
      </c>
      <c r="E198" s="237" t="s">
        <v>256</v>
      </c>
      <c r="F198" s="237" t="s">
        <v>598</v>
      </c>
      <c r="G198" s="237" t="s">
        <v>256</v>
      </c>
      <c r="H198" s="238"/>
      <c r="I198" s="239" t="str">
        <f t="shared" si="6"/>
        <v>30 years, 8 month(s), 12 day(s)</v>
      </c>
      <c r="J198" s="240">
        <v>34929</v>
      </c>
      <c r="K198" s="239" t="str">
        <f t="shared" si="7"/>
        <v>8 years, 9 month(s), 27 day(s)</v>
      </c>
      <c r="L198" s="240">
        <v>42919</v>
      </c>
      <c r="M198" s="241"/>
      <c r="N198" s="241"/>
      <c r="O198" s="193" t="s">
        <v>531</v>
      </c>
      <c r="P198" s="242" t="s">
        <v>2716</v>
      </c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25.5" customHeight="1">
      <c r="A199" s="190">
        <v>191</v>
      </c>
      <c r="B199" s="190" t="s">
        <v>40</v>
      </c>
      <c r="C199" s="190" t="s">
        <v>3123</v>
      </c>
      <c r="D199" s="190">
        <v>7</v>
      </c>
      <c r="E199" s="237" t="s">
        <v>256</v>
      </c>
      <c r="F199" s="237" t="s">
        <v>1825</v>
      </c>
      <c r="G199" s="237" t="s">
        <v>410</v>
      </c>
      <c r="H199" s="238"/>
      <c r="I199" s="239" t="str">
        <f t="shared" si="6"/>
        <v>29 years, 11 month(s), 1 day(s)</v>
      </c>
      <c r="J199" s="240">
        <v>35214</v>
      </c>
      <c r="K199" s="239" t="str">
        <f t="shared" si="7"/>
        <v>1 years, 1 month(s), 13 day(s)</v>
      </c>
      <c r="L199" s="240">
        <v>45733</v>
      </c>
      <c r="M199" s="241"/>
      <c r="N199" s="241"/>
      <c r="O199" s="193" t="s">
        <v>1804</v>
      </c>
      <c r="P199" s="242" t="s">
        <v>2714</v>
      </c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25.5" customHeight="1">
      <c r="A200" s="190">
        <v>192</v>
      </c>
      <c r="B200" s="190" t="s">
        <v>40</v>
      </c>
      <c r="C200" s="190" t="s">
        <v>3123</v>
      </c>
      <c r="D200" s="190">
        <v>17</v>
      </c>
      <c r="E200" s="237" t="s">
        <v>256</v>
      </c>
      <c r="F200" s="237" t="s">
        <v>1528</v>
      </c>
      <c r="G200" s="237" t="s">
        <v>1529</v>
      </c>
      <c r="H200" s="238"/>
      <c r="I200" s="239" t="str">
        <f t="shared" si="6"/>
        <v>56 years, 0 month(s), 23 day(s)</v>
      </c>
      <c r="J200" s="240">
        <v>25665</v>
      </c>
      <c r="K200" s="239" t="str">
        <f t="shared" si="7"/>
        <v>20 years, 10 month(s), 24 day(s)</v>
      </c>
      <c r="L200" s="240">
        <v>38509</v>
      </c>
      <c r="M200" s="241"/>
      <c r="N200" s="241"/>
      <c r="O200" s="193" t="s">
        <v>1486</v>
      </c>
      <c r="P200" s="242" t="s">
        <v>2721</v>
      </c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25.5" customHeight="1">
      <c r="A201" s="190">
        <v>193</v>
      </c>
      <c r="B201" s="190" t="s">
        <v>40</v>
      </c>
      <c r="C201" s="190" t="s">
        <v>3123</v>
      </c>
      <c r="D201" s="190">
        <v>9</v>
      </c>
      <c r="E201" s="237" t="s">
        <v>256</v>
      </c>
      <c r="F201" s="237" t="s">
        <v>1866</v>
      </c>
      <c r="G201" s="237" t="s">
        <v>3206</v>
      </c>
      <c r="H201" s="238"/>
      <c r="I201" s="239" t="str">
        <f t="shared" ref="I201:I264" si="8">DATEDIF(J201,DATE(2026,4,30),"y")&amp;" years, "&amp;DATEDIF(J201,DATE(2026,4,30),"ym")&amp;" month(s), "&amp;DATEDIF(J201,DATE(2026,4,30),"md")&amp;" day(s)"</f>
        <v>48 years, 10 month(s), 7 day(s)</v>
      </c>
      <c r="J201" s="240">
        <v>28299</v>
      </c>
      <c r="K201" s="239" t="str">
        <f t="shared" si="7"/>
        <v>22 years, 4 month(s), 29 day(s)</v>
      </c>
      <c r="L201" s="240">
        <v>37956</v>
      </c>
      <c r="M201" s="241"/>
      <c r="N201" s="241"/>
      <c r="O201" s="193" t="s">
        <v>1858</v>
      </c>
      <c r="P201" s="242" t="s">
        <v>3101</v>
      </c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25.5" customHeight="1">
      <c r="A202" s="190">
        <v>194</v>
      </c>
      <c r="B202" s="190" t="s">
        <v>20</v>
      </c>
      <c r="C202" s="190" t="s">
        <v>3123</v>
      </c>
      <c r="D202" s="190" t="s">
        <v>3207</v>
      </c>
      <c r="E202" s="237" t="s">
        <v>802</v>
      </c>
      <c r="F202" s="237" t="s">
        <v>803</v>
      </c>
      <c r="G202" s="237" t="s">
        <v>804</v>
      </c>
      <c r="H202" s="243" t="s">
        <v>268</v>
      </c>
      <c r="I202" s="239" t="str">
        <f t="shared" si="8"/>
        <v>50 years, 8 month(s), 24 day(s)</v>
      </c>
      <c r="J202" s="240">
        <v>27612</v>
      </c>
      <c r="K202" s="239" t="str">
        <f t="shared" si="7"/>
        <v>25 years, 5 month(s), 3 day(s)</v>
      </c>
      <c r="L202" s="240">
        <v>36857</v>
      </c>
      <c r="M202" s="241"/>
      <c r="N202" s="241"/>
      <c r="O202" s="193" t="s">
        <v>801</v>
      </c>
      <c r="P202" s="242" t="s">
        <v>1928</v>
      </c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25.5" customHeight="1">
      <c r="A203" s="190">
        <v>195</v>
      </c>
      <c r="B203" s="190" t="s">
        <v>40</v>
      </c>
      <c r="C203" s="190" t="s">
        <v>3123</v>
      </c>
      <c r="D203" s="190">
        <v>6</v>
      </c>
      <c r="E203" s="237" t="s">
        <v>1532</v>
      </c>
      <c r="F203" s="237" t="s">
        <v>1533</v>
      </c>
      <c r="G203" s="237" t="s">
        <v>1534</v>
      </c>
      <c r="H203" s="238"/>
      <c r="I203" s="239" t="str">
        <f t="shared" si="8"/>
        <v>34 years, 3 month(s), 5 day(s)</v>
      </c>
      <c r="J203" s="240">
        <v>33628</v>
      </c>
      <c r="K203" s="239" t="str">
        <f t="shared" si="7"/>
        <v>1 years, 1 month(s), 13 day(s)</v>
      </c>
      <c r="L203" s="240">
        <v>45733</v>
      </c>
      <c r="M203" s="241"/>
      <c r="N203" s="241"/>
      <c r="O203" s="193" t="s">
        <v>1486</v>
      </c>
      <c r="P203" s="242" t="s">
        <v>2679</v>
      </c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25.5" customHeight="1">
      <c r="A204" s="190">
        <v>196</v>
      </c>
      <c r="B204" s="190" t="s">
        <v>24</v>
      </c>
      <c r="C204" s="190" t="s">
        <v>3123</v>
      </c>
      <c r="D204" s="190">
        <v>311631</v>
      </c>
      <c r="E204" s="237" t="s">
        <v>2245</v>
      </c>
      <c r="F204" s="237" t="s">
        <v>400</v>
      </c>
      <c r="G204" s="237" t="s">
        <v>2246</v>
      </c>
      <c r="H204" s="238"/>
      <c r="I204" s="239" t="str">
        <f t="shared" si="8"/>
        <v>36 years, 1 month(s), 9 day(s)</v>
      </c>
      <c r="J204" s="240">
        <v>32953</v>
      </c>
      <c r="K204" s="239" t="str">
        <f t="shared" si="7"/>
        <v>8 years, 7 month(s), 14 day(s)</v>
      </c>
      <c r="L204" s="240">
        <v>42994</v>
      </c>
      <c r="M204" s="241"/>
      <c r="N204" s="241"/>
      <c r="O204" s="193" t="s">
        <v>2229</v>
      </c>
      <c r="P204" s="242" t="s">
        <v>2849</v>
      </c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25.5" customHeight="1">
      <c r="A205" s="190">
        <v>197</v>
      </c>
      <c r="B205" s="190" t="s">
        <v>253</v>
      </c>
      <c r="C205" s="190" t="s">
        <v>3123</v>
      </c>
      <c r="D205" s="190" t="s">
        <v>3208</v>
      </c>
      <c r="E205" s="237" t="s">
        <v>306</v>
      </c>
      <c r="F205" s="237" t="s">
        <v>307</v>
      </c>
      <c r="G205" s="237" t="s">
        <v>308</v>
      </c>
      <c r="H205" s="238"/>
      <c r="I205" s="239" t="str">
        <f t="shared" si="8"/>
        <v>45 years, 2 month(s), 24 day(s)</v>
      </c>
      <c r="J205" s="240">
        <v>29623</v>
      </c>
      <c r="K205" s="239" t="str">
        <f t="shared" si="7"/>
        <v>8 years, 2 month(s), 15 day(s)</v>
      </c>
      <c r="L205" s="240">
        <v>43146</v>
      </c>
      <c r="M205" s="240">
        <v>39995</v>
      </c>
      <c r="N205" s="241"/>
      <c r="O205" s="193" t="s">
        <v>301</v>
      </c>
      <c r="P205" s="242" t="s">
        <v>2848</v>
      </c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25.5" customHeight="1">
      <c r="A206" s="190">
        <v>198</v>
      </c>
      <c r="B206" s="190" t="s">
        <v>24</v>
      </c>
      <c r="C206" s="190" t="s">
        <v>3123</v>
      </c>
      <c r="D206" s="190">
        <v>339470</v>
      </c>
      <c r="E206" s="237" t="s">
        <v>365</v>
      </c>
      <c r="F206" s="237" t="s">
        <v>548</v>
      </c>
      <c r="G206" s="237" t="s">
        <v>549</v>
      </c>
      <c r="H206" s="238"/>
      <c r="I206" s="239" t="str">
        <f t="shared" si="8"/>
        <v>28 years, 8 month(s), 26 day(s)</v>
      </c>
      <c r="J206" s="240">
        <v>35646</v>
      </c>
      <c r="K206" s="239" t="str">
        <f t="shared" si="7"/>
        <v>6 years, 6 month(s), 9 day(s)</v>
      </c>
      <c r="L206" s="240">
        <v>43759</v>
      </c>
      <c r="M206" s="241"/>
      <c r="N206" s="241"/>
      <c r="O206" s="193" t="s">
        <v>531</v>
      </c>
      <c r="P206" s="242" t="s">
        <v>2849</v>
      </c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25.5" customHeight="1">
      <c r="A207" s="190">
        <v>199</v>
      </c>
      <c r="B207" s="190" t="s">
        <v>28</v>
      </c>
      <c r="C207" s="190" t="s">
        <v>3123</v>
      </c>
      <c r="D207" s="190">
        <v>339455</v>
      </c>
      <c r="E207" s="237" t="s">
        <v>2181</v>
      </c>
      <c r="F207" s="237" t="s">
        <v>2182</v>
      </c>
      <c r="G207" s="237" t="s">
        <v>2183</v>
      </c>
      <c r="H207" s="238"/>
      <c r="I207" s="239" t="str">
        <f t="shared" si="8"/>
        <v>32 years, 9 month(s), 1 day(s)</v>
      </c>
      <c r="J207" s="240">
        <v>34179</v>
      </c>
      <c r="K207" s="239" t="str">
        <f t="shared" si="7"/>
        <v>6 years, 6 month(s), 9 day(s)</v>
      </c>
      <c r="L207" s="240">
        <v>43759</v>
      </c>
      <c r="M207" s="241"/>
      <c r="N207" s="241"/>
      <c r="O207" s="193" t="s">
        <v>2173</v>
      </c>
      <c r="P207" s="242" t="s">
        <v>2849</v>
      </c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25.5" customHeight="1">
      <c r="A208" s="190">
        <v>200</v>
      </c>
      <c r="B208" s="190" t="s">
        <v>28</v>
      </c>
      <c r="C208" s="190" t="s">
        <v>3123</v>
      </c>
      <c r="D208" s="190">
        <v>376396</v>
      </c>
      <c r="E208" s="237" t="s">
        <v>848</v>
      </c>
      <c r="F208" s="237" t="s">
        <v>849</v>
      </c>
      <c r="G208" s="237" t="s">
        <v>146</v>
      </c>
      <c r="H208" s="238"/>
      <c r="I208" s="239" t="str">
        <f t="shared" si="8"/>
        <v>32 years, 10 month(s), 14 day(s)</v>
      </c>
      <c r="J208" s="240">
        <v>34136</v>
      </c>
      <c r="K208" s="239" t="str">
        <f t="shared" si="7"/>
        <v>3 years, 4 month(s), 3 day(s)</v>
      </c>
      <c r="L208" s="240">
        <v>44922</v>
      </c>
      <c r="M208" s="241"/>
      <c r="N208" s="241"/>
      <c r="O208" s="193" t="s">
        <v>837</v>
      </c>
      <c r="P208" s="237" t="s">
        <v>2932</v>
      </c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25.5" customHeight="1">
      <c r="A209" s="190">
        <v>201</v>
      </c>
      <c r="B209" s="190" t="s">
        <v>40</v>
      </c>
      <c r="C209" s="190" t="s">
        <v>3123</v>
      </c>
      <c r="D209" s="190">
        <v>7</v>
      </c>
      <c r="E209" s="237" t="s">
        <v>1544</v>
      </c>
      <c r="F209" s="237" t="s">
        <v>1870</v>
      </c>
      <c r="G209" s="237" t="s">
        <v>618</v>
      </c>
      <c r="H209" s="238"/>
      <c r="I209" s="239" t="str">
        <f t="shared" si="8"/>
        <v>28 years, 9 month(s), 2 day(s)</v>
      </c>
      <c r="J209" s="240">
        <v>35639</v>
      </c>
      <c r="K209" s="239" t="str">
        <f t="shared" si="7"/>
        <v>28 years, 9 month(s), 2 day(s)</v>
      </c>
      <c r="L209" s="240">
        <v>35639</v>
      </c>
      <c r="M209" s="241"/>
      <c r="N209" s="241"/>
      <c r="O209" s="193" t="s">
        <v>2853</v>
      </c>
      <c r="P209" s="242" t="s">
        <v>2720</v>
      </c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25.5" customHeight="1">
      <c r="A210" s="190">
        <v>202</v>
      </c>
      <c r="B210" s="190" t="s">
        <v>40</v>
      </c>
      <c r="C210" s="190" t="s">
        <v>3123</v>
      </c>
      <c r="D210" s="190">
        <v>17</v>
      </c>
      <c r="E210" s="237" t="s">
        <v>1544</v>
      </c>
      <c r="F210" s="237" t="s">
        <v>1545</v>
      </c>
      <c r="G210" s="237" t="s">
        <v>1546</v>
      </c>
      <c r="H210" s="238"/>
      <c r="I210" s="239" t="str">
        <f t="shared" si="8"/>
        <v>61 years, 8 month(s), 0 day(s)</v>
      </c>
      <c r="J210" s="240">
        <v>23619</v>
      </c>
      <c r="K210" s="239" t="str">
        <f t="shared" si="7"/>
        <v>19 years, 10 month(s), 22 day(s)</v>
      </c>
      <c r="L210" s="240">
        <v>38876</v>
      </c>
      <c r="M210" s="241"/>
      <c r="N210" s="241"/>
      <c r="O210" s="193" t="s">
        <v>1537</v>
      </c>
      <c r="P210" s="242" t="s">
        <v>2723</v>
      </c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25.5" customHeight="1">
      <c r="A211" s="190">
        <v>203</v>
      </c>
      <c r="B211" s="190" t="s">
        <v>40</v>
      </c>
      <c r="C211" s="190" t="s">
        <v>3123</v>
      </c>
      <c r="D211" s="190">
        <v>7</v>
      </c>
      <c r="E211" s="237" t="s">
        <v>3070</v>
      </c>
      <c r="F211" s="237" t="s">
        <v>3071</v>
      </c>
      <c r="G211" s="237" t="s">
        <v>1024</v>
      </c>
      <c r="H211" s="238"/>
      <c r="I211" s="239" t="str">
        <f t="shared" si="8"/>
        <v>33 years, 6 month(s), 1 day(s)</v>
      </c>
      <c r="J211" s="240">
        <v>33906</v>
      </c>
      <c r="K211" s="239" t="str">
        <f t="shared" si="7"/>
        <v>0 years, 2 month(s), 14 day(s)</v>
      </c>
      <c r="L211" s="240">
        <v>46069</v>
      </c>
      <c r="M211" s="241"/>
      <c r="N211" s="241"/>
      <c r="O211" s="193" t="s">
        <v>1704</v>
      </c>
      <c r="P211" s="242" t="s">
        <v>2680</v>
      </c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25.5" customHeight="1">
      <c r="A212" s="190">
        <v>204</v>
      </c>
      <c r="B212" s="190" t="s">
        <v>96</v>
      </c>
      <c r="C212" s="190" t="s">
        <v>3123</v>
      </c>
      <c r="D212" s="190" t="s">
        <v>3209</v>
      </c>
      <c r="E212" s="237" t="s">
        <v>417</v>
      </c>
      <c r="F212" s="237" t="s">
        <v>418</v>
      </c>
      <c r="G212" s="237" t="s">
        <v>419</v>
      </c>
      <c r="H212" s="238"/>
      <c r="I212" s="239" t="str">
        <f t="shared" si="8"/>
        <v>30 years, 4 month(s), 21 day(s)</v>
      </c>
      <c r="J212" s="240">
        <v>35042</v>
      </c>
      <c r="K212" s="239" t="str">
        <f t="shared" si="7"/>
        <v>4 years, 7 month(s), 14 day(s)</v>
      </c>
      <c r="L212" s="240">
        <v>44455</v>
      </c>
      <c r="M212" s="240">
        <v>42713</v>
      </c>
      <c r="N212" s="241"/>
      <c r="O212" s="193" t="s">
        <v>411</v>
      </c>
      <c r="P212" s="242" t="s">
        <v>2848</v>
      </c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25.5" customHeight="1">
      <c r="A213" s="190">
        <v>205</v>
      </c>
      <c r="B213" s="190" t="s">
        <v>366</v>
      </c>
      <c r="C213" s="190" t="s">
        <v>3123</v>
      </c>
      <c r="D213" s="190">
        <v>203707</v>
      </c>
      <c r="E213" s="237" t="s">
        <v>1147</v>
      </c>
      <c r="F213" s="237" t="s">
        <v>322</v>
      </c>
      <c r="G213" s="237" t="s">
        <v>1148</v>
      </c>
      <c r="H213" s="238"/>
      <c r="I213" s="239" t="str">
        <f t="shared" si="8"/>
        <v>42 years, 1 month(s), 8 day(s)</v>
      </c>
      <c r="J213" s="240">
        <v>30763</v>
      </c>
      <c r="K213" s="239" t="str">
        <f t="shared" si="7"/>
        <v>16 years, 2 month(s), 29 day(s)</v>
      </c>
      <c r="L213" s="240">
        <v>40210</v>
      </c>
      <c r="M213" s="241"/>
      <c r="N213" s="241"/>
      <c r="O213" s="193" t="s">
        <v>740</v>
      </c>
      <c r="P213" s="242" t="s">
        <v>2854</v>
      </c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25.5" customHeight="1">
      <c r="A214" s="190">
        <v>206</v>
      </c>
      <c r="B214" s="190" t="s">
        <v>40</v>
      </c>
      <c r="C214" s="190" t="s">
        <v>3123</v>
      </c>
      <c r="D214" s="190">
        <v>9</v>
      </c>
      <c r="E214" s="237" t="s">
        <v>628</v>
      </c>
      <c r="F214" s="237" t="s">
        <v>629</v>
      </c>
      <c r="G214" s="237" t="s">
        <v>630</v>
      </c>
      <c r="H214" s="238"/>
      <c r="I214" s="239" t="str">
        <f t="shared" si="8"/>
        <v>42 years, 6 month(s), 0 day(s)</v>
      </c>
      <c r="J214" s="240">
        <v>30619</v>
      </c>
      <c r="K214" s="239" t="str">
        <f t="shared" si="7"/>
        <v>15 years, 1 month(s), 6 day(s)</v>
      </c>
      <c r="L214" s="240">
        <v>40626</v>
      </c>
      <c r="M214" s="241"/>
      <c r="N214" s="241"/>
      <c r="O214" s="193" t="s">
        <v>3033</v>
      </c>
      <c r="P214" s="242" t="s">
        <v>3034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25.5" customHeight="1">
      <c r="A215" s="190">
        <v>207</v>
      </c>
      <c r="B215" s="190" t="s">
        <v>28</v>
      </c>
      <c r="C215" s="190" t="s">
        <v>3123</v>
      </c>
      <c r="D215" s="190">
        <v>376397</v>
      </c>
      <c r="E215" s="237" t="s">
        <v>1564</v>
      </c>
      <c r="F215" s="237" t="s">
        <v>1565</v>
      </c>
      <c r="G215" s="237" t="s">
        <v>1566</v>
      </c>
      <c r="H215" s="238"/>
      <c r="I215" s="239" t="str">
        <f t="shared" si="8"/>
        <v>27 years, 11 month(s), 13 day(s)</v>
      </c>
      <c r="J215" s="240">
        <v>35932</v>
      </c>
      <c r="K215" s="239" t="str">
        <f t="shared" si="7"/>
        <v>3 years, 4 month(s), 3 day(s)</v>
      </c>
      <c r="L215" s="240">
        <v>44922</v>
      </c>
      <c r="M215" s="241"/>
      <c r="N215" s="241"/>
      <c r="O215" s="193" t="s">
        <v>398</v>
      </c>
      <c r="P215" s="242" t="s">
        <v>2849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25.5" customHeight="1">
      <c r="A216" s="190">
        <v>208</v>
      </c>
      <c r="B216" s="190" t="s">
        <v>28</v>
      </c>
      <c r="C216" s="190" t="s">
        <v>3123</v>
      </c>
      <c r="D216" s="190" t="s">
        <v>3210</v>
      </c>
      <c r="E216" s="237" t="s">
        <v>2541</v>
      </c>
      <c r="F216" s="237" t="s">
        <v>2542</v>
      </c>
      <c r="G216" s="237" t="s">
        <v>2543</v>
      </c>
      <c r="H216" s="238"/>
      <c r="I216" s="239" t="str">
        <f t="shared" si="8"/>
        <v>28 years, 9 month(s), 29 day(s)</v>
      </c>
      <c r="J216" s="240">
        <v>35612</v>
      </c>
      <c r="K216" s="239" t="str">
        <f t="shared" si="7"/>
        <v>3 years, 5 month(s), 16 day(s)</v>
      </c>
      <c r="L216" s="240">
        <v>44879</v>
      </c>
      <c r="M216" s="241"/>
      <c r="N216" s="241"/>
      <c r="O216" s="193" t="s">
        <v>2525</v>
      </c>
      <c r="P216" s="242" t="s">
        <v>2849</v>
      </c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25.5" customHeight="1">
      <c r="A217" s="190">
        <v>209</v>
      </c>
      <c r="B217" s="190" t="s">
        <v>24</v>
      </c>
      <c r="C217" s="190" t="s">
        <v>3123</v>
      </c>
      <c r="D217" s="190">
        <v>311632</v>
      </c>
      <c r="E217" s="237" t="s">
        <v>297</v>
      </c>
      <c r="F217" s="237" t="s">
        <v>298</v>
      </c>
      <c r="G217" s="237" t="s">
        <v>286</v>
      </c>
      <c r="H217" s="238"/>
      <c r="I217" s="239" t="str">
        <f t="shared" si="8"/>
        <v>32 years, 6 month(s), 15 day(s)</v>
      </c>
      <c r="J217" s="240">
        <v>34257</v>
      </c>
      <c r="K217" s="239" t="str">
        <f t="shared" si="7"/>
        <v>9 years, 7 month(s), 14 day(s)</v>
      </c>
      <c r="L217" s="240">
        <v>42629</v>
      </c>
      <c r="M217" s="241"/>
      <c r="N217" s="241"/>
      <c r="O217" s="193" t="s">
        <v>283</v>
      </c>
      <c r="P217" s="242" t="s">
        <v>2849</v>
      </c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25.5" customHeight="1">
      <c r="A218" s="190">
        <v>210</v>
      </c>
      <c r="B218" s="190" t="s">
        <v>96</v>
      </c>
      <c r="C218" s="190" t="s">
        <v>3123</v>
      </c>
      <c r="D218" s="190" t="s">
        <v>3211</v>
      </c>
      <c r="E218" s="237" t="s">
        <v>297</v>
      </c>
      <c r="F218" s="237" t="s">
        <v>2233</v>
      </c>
      <c r="G218" s="237" t="s">
        <v>2017</v>
      </c>
      <c r="H218" s="238"/>
      <c r="I218" s="239" t="str">
        <f t="shared" si="8"/>
        <v>41 years, 7 month(s), 12 day(s)</v>
      </c>
      <c r="J218" s="240">
        <v>30943</v>
      </c>
      <c r="K218" s="239" t="str">
        <f t="shared" si="7"/>
        <v>3 years, 5 month(s), 26 day(s)</v>
      </c>
      <c r="L218" s="240">
        <v>44869</v>
      </c>
      <c r="M218" s="241"/>
      <c r="N218" s="240">
        <v>41941</v>
      </c>
      <c r="O218" s="193" t="s">
        <v>2229</v>
      </c>
      <c r="P218" s="242" t="s">
        <v>2848</v>
      </c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25.5" customHeight="1">
      <c r="A219" s="190">
        <v>211</v>
      </c>
      <c r="B219" s="190" t="s">
        <v>40</v>
      </c>
      <c r="C219" s="190" t="s">
        <v>3123</v>
      </c>
      <c r="D219" s="190">
        <v>6</v>
      </c>
      <c r="E219" s="237" t="s">
        <v>1776</v>
      </c>
      <c r="F219" s="237" t="s">
        <v>1777</v>
      </c>
      <c r="G219" s="237" t="s">
        <v>1778</v>
      </c>
      <c r="H219" s="238"/>
      <c r="I219" s="239" t="str">
        <f t="shared" si="8"/>
        <v>33 years, 10 month(s), 27 day(s)</v>
      </c>
      <c r="J219" s="240">
        <v>33758</v>
      </c>
      <c r="K219" s="239" t="str">
        <f t="shared" si="7"/>
        <v>9 years, 0 month(s), 20 day(s)</v>
      </c>
      <c r="L219" s="240">
        <v>42835</v>
      </c>
      <c r="M219" s="241"/>
      <c r="N219" s="241"/>
      <c r="O219" s="193" t="s">
        <v>1765</v>
      </c>
      <c r="P219" s="242" t="s">
        <v>2724</v>
      </c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25.5" customHeight="1">
      <c r="A220" s="190">
        <v>212</v>
      </c>
      <c r="B220" s="190" t="s">
        <v>40</v>
      </c>
      <c r="C220" s="190" t="s">
        <v>3123</v>
      </c>
      <c r="D220" s="190">
        <v>13</v>
      </c>
      <c r="E220" s="237" t="s">
        <v>1776</v>
      </c>
      <c r="F220" s="237" t="s">
        <v>3212</v>
      </c>
      <c r="G220" s="237" t="s">
        <v>1848</v>
      </c>
      <c r="H220" s="238"/>
      <c r="I220" s="239" t="str">
        <f t="shared" si="8"/>
        <v>48 years, 3 month(s), 30 day(s)</v>
      </c>
      <c r="J220" s="240">
        <v>28490</v>
      </c>
      <c r="K220" s="239" t="str">
        <f t="shared" si="7"/>
        <v>11 years, 7 month(s), 1 day(s)</v>
      </c>
      <c r="L220" s="240">
        <v>41911</v>
      </c>
      <c r="M220" s="241"/>
      <c r="N220" s="241"/>
      <c r="O220" s="193" t="s">
        <v>1844</v>
      </c>
      <c r="P220" s="242" t="s">
        <v>2725</v>
      </c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25.5" customHeight="1">
      <c r="A221" s="190">
        <v>213</v>
      </c>
      <c r="B221" s="190" t="s">
        <v>96</v>
      </c>
      <c r="C221" s="190" t="s">
        <v>3123</v>
      </c>
      <c r="D221" s="190" t="s">
        <v>3213</v>
      </c>
      <c r="E221" s="237" t="s">
        <v>2006</v>
      </c>
      <c r="F221" s="237" t="s">
        <v>2007</v>
      </c>
      <c r="G221" s="237" t="s">
        <v>2008</v>
      </c>
      <c r="H221" s="238"/>
      <c r="I221" s="239" t="str">
        <f t="shared" si="8"/>
        <v>39 years, 6 month(s), 21 day(s)</v>
      </c>
      <c r="J221" s="240">
        <v>31694</v>
      </c>
      <c r="K221" s="239" t="str">
        <f t="shared" si="7"/>
        <v>4 years, 7 month(s), 14 day(s)</v>
      </c>
      <c r="L221" s="240">
        <v>44455</v>
      </c>
      <c r="M221" s="240">
        <v>40360</v>
      </c>
      <c r="N221" s="241"/>
      <c r="O221" s="193" t="s">
        <v>2005</v>
      </c>
      <c r="P221" s="242" t="s">
        <v>2848</v>
      </c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25.5" customHeight="1">
      <c r="A222" s="190">
        <v>214</v>
      </c>
      <c r="B222" s="190" t="s">
        <v>253</v>
      </c>
      <c r="C222" s="190" t="s">
        <v>3123</v>
      </c>
      <c r="D222" s="190" t="s">
        <v>3214</v>
      </c>
      <c r="E222" s="237" t="s">
        <v>412</v>
      </c>
      <c r="F222" s="237" t="s">
        <v>413</v>
      </c>
      <c r="G222" s="237" t="s">
        <v>414</v>
      </c>
      <c r="H222" s="238"/>
      <c r="I222" s="239" t="str">
        <f t="shared" si="8"/>
        <v>52 years, 1 month(s), 18 day(s)</v>
      </c>
      <c r="J222" s="240">
        <v>27100</v>
      </c>
      <c r="K222" s="239" t="str">
        <f t="shared" si="7"/>
        <v>22 years, 3 month(s), 27 day(s)</v>
      </c>
      <c r="L222" s="240">
        <v>37989</v>
      </c>
      <c r="M222" s="241"/>
      <c r="N222" s="241"/>
      <c r="O222" s="193" t="s">
        <v>2866</v>
      </c>
      <c r="P222" s="242" t="s">
        <v>2848</v>
      </c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25.5" customHeight="1">
      <c r="A223" s="190">
        <v>215</v>
      </c>
      <c r="B223" s="190" t="s">
        <v>57</v>
      </c>
      <c r="C223" s="190" t="s">
        <v>3123</v>
      </c>
      <c r="D223" s="190">
        <v>207830</v>
      </c>
      <c r="E223" s="237" t="s">
        <v>292</v>
      </c>
      <c r="F223" s="237" t="s">
        <v>293</v>
      </c>
      <c r="G223" s="237" t="s">
        <v>294</v>
      </c>
      <c r="H223" s="238"/>
      <c r="I223" s="239" t="str">
        <f t="shared" si="8"/>
        <v>44 years, 5 month(s), 10 day(s)</v>
      </c>
      <c r="J223" s="240">
        <v>29910</v>
      </c>
      <c r="K223" s="239" t="str">
        <f t="shared" si="7"/>
        <v>15 years, 4 month(s), 29 day(s)</v>
      </c>
      <c r="L223" s="240">
        <v>40513</v>
      </c>
      <c r="M223" s="241"/>
      <c r="N223" s="241"/>
      <c r="O223" s="193" t="s">
        <v>283</v>
      </c>
      <c r="P223" s="242" t="s">
        <v>2849</v>
      </c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25.5" customHeight="1">
      <c r="A224" s="190">
        <v>216</v>
      </c>
      <c r="B224" s="190" t="s">
        <v>96</v>
      </c>
      <c r="C224" s="190" t="s">
        <v>3123</v>
      </c>
      <c r="D224" s="190" t="s">
        <v>3215</v>
      </c>
      <c r="E224" s="237" t="s">
        <v>695</v>
      </c>
      <c r="F224" s="237" t="s">
        <v>364</v>
      </c>
      <c r="G224" s="237" t="s">
        <v>696</v>
      </c>
      <c r="H224" s="243" t="s">
        <v>268</v>
      </c>
      <c r="I224" s="239" t="str">
        <f t="shared" si="8"/>
        <v>32 years, 4 month(s), 1 day(s)</v>
      </c>
      <c r="J224" s="240">
        <v>34332</v>
      </c>
      <c r="K224" s="239" t="str">
        <f t="shared" si="7"/>
        <v>7 years, 1 month(s), 26 day(s)</v>
      </c>
      <c r="L224" s="240">
        <v>43528</v>
      </c>
      <c r="M224" s="241"/>
      <c r="N224" s="241"/>
      <c r="O224" s="193" t="s">
        <v>694</v>
      </c>
      <c r="P224" s="242" t="s">
        <v>2848</v>
      </c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25.5" customHeight="1">
      <c r="A225" s="190">
        <v>217</v>
      </c>
      <c r="B225" s="190" t="s">
        <v>246</v>
      </c>
      <c r="C225" s="190" t="s">
        <v>3123</v>
      </c>
      <c r="D225" s="190" t="s">
        <v>3216</v>
      </c>
      <c r="E225" s="237" t="s">
        <v>247</v>
      </c>
      <c r="F225" s="237" t="s">
        <v>248</v>
      </c>
      <c r="G225" s="237" t="s">
        <v>249</v>
      </c>
      <c r="H225" s="238"/>
      <c r="I225" s="239" t="str">
        <f t="shared" si="8"/>
        <v>36 years, 9 month(s), 8 day(s)</v>
      </c>
      <c r="J225" s="240">
        <v>32711</v>
      </c>
      <c r="K225" s="239" t="str">
        <f t="shared" si="7"/>
        <v>10 years, 4 month(s), 22 day(s)</v>
      </c>
      <c r="L225" s="240">
        <v>42346</v>
      </c>
      <c r="M225" s="241"/>
      <c r="N225" s="241"/>
      <c r="O225" s="193" t="s">
        <v>245</v>
      </c>
      <c r="P225" s="242" t="s">
        <v>2848</v>
      </c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25.5" customHeight="1">
      <c r="A226" s="190">
        <v>218</v>
      </c>
      <c r="B226" s="190" t="s">
        <v>366</v>
      </c>
      <c r="C226" s="190" t="s">
        <v>3123</v>
      </c>
      <c r="D226" s="190">
        <v>207818</v>
      </c>
      <c r="E226" s="237" t="s">
        <v>1159</v>
      </c>
      <c r="F226" s="237" t="s">
        <v>754</v>
      </c>
      <c r="G226" s="237" t="s">
        <v>1160</v>
      </c>
      <c r="H226" s="238"/>
      <c r="I226" s="239" t="str">
        <f t="shared" si="8"/>
        <v>44 years, 9 month(s), 10 day(s)</v>
      </c>
      <c r="J226" s="240">
        <v>29787</v>
      </c>
      <c r="K226" s="239" t="str">
        <f t="shared" si="7"/>
        <v>15 years, 9 month(s), 29 day(s)</v>
      </c>
      <c r="L226" s="240">
        <v>40360</v>
      </c>
      <c r="M226" s="241"/>
      <c r="N226" s="241"/>
      <c r="O226" s="193" t="s">
        <v>1065</v>
      </c>
      <c r="P226" s="242" t="s">
        <v>2854</v>
      </c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25.5" customHeight="1">
      <c r="A227" s="190">
        <v>219</v>
      </c>
      <c r="B227" s="190" t="s">
        <v>24</v>
      </c>
      <c r="C227" s="190" t="s">
        <v>3123</v>
      </c>
      <c r="D227" s="190">
        <v>295272</v>
      </c>
      <c r="E227" s="237" t="s">
        <v>2470</v>
      </c>
      <c r="F227" s="237" t="s">
        <v>2471</v>
      </c>
      <c r="G227" s="237" t="s">
        <v>2472</v>
      </c>
      <c r="H227" s="238"/>
      <c r="I227" s="239" t="str">
        <f t="shared" si="8"/>
        <v>32 years, 10 month(s), 10 day(s)</v>
      </c>
      <c r="J227" s="240">
        <v>34140</v>
      </c>
      <c r="K227" s="239" t="str">
        <f t="shared" si="7"/>
        <v>9 years, 2 month(s), 29 day(s)</v>
      </c>
      <c r="L227" s="240">
        <v>42767</v>
      </c>
      <c r="M227" s="241"/>
      <c r="N227" s="241"/>
      <c r="O227" s="193" t="s">
        <v>2458</v>
      </c>
      <c r="P227" s="242" t="s">
        <v>2849</v>
      </c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25.5" customHeight="1">
      <c r="A228" s="190">
        <v>220</v>
      </c>
      <c r="B228" s="190" t="s">
        <v>644</v>
      </c>
      <c r="C228" s="190" t="s">
        <v>3123</v>
      </c>
      <c r="D228" s="190">
        <v>233001</v>
      </c>
      <c r="E228" s="237" t="s">
        <v>2027</v>
      </c>
      <c r="F228" s="237" t="s">
        <v>2028</v>
      </c>
      <c r="G228" s="237" t="s">
        <v>2029</v>
      </c>
      <c r="H228" s="238"/>
      <c r="I228" s="239" t="str">
        <f t="shared" si="8"/>
        <v>43 years, 8 month(s), 6 day(s)</v>
      </c>
      <c r="J228" s="240">
        <v>30187</v>
      </c>
      <c r="K228" s="239" t="str">
        <f t="shared" si="7"/>
        <v>14 years, 3 month(s), 0 day(s)</v>
      </c>
      <c r="L228" s="240">
        <v>40938</v>
      </c>
      <c r="M228" s="241"/>
      <c r="N228" s="241"/>
      <c r="O228" s="193" t="s">
        <v>2022</v>
      </c>
      <c r="P228" s="242" t="s">
        <v>2849</v>
      </c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25.5" customHeight="1">
      <c r="A229" s="190">
        <v>221</v>
      </c>
      <c r="B229" s="190" t="s">
        <v>28</v>
      </c>
      <c r="C229" s="190" t="s">
        <v>3123</v>
      </c>
      <c r="D229" s="190" t="s">
        <v>3217</v>
      </c>
      <c r="E229" s="237" t="s">
        <v>1975</v>
      </c>
      <c r="F229" s="237" t="s">
        <v>603</v>
      </c>
      <c r="G229" s="237" t="s">
        <v>1976</v>
      </c>
      <c r="H229" s="238"/>
      <c r="I229" s="239" t="str">
        <f t="shared" si="8"/>
        <v>34 years, 5 month(s), 7 day(s)</v>
      </c>
      <c r="J229" s="240">
        <v>33565</v>
      </c>
      <c r="K229" s="239" t="str">
        <f t="shared" si="7"/>
        <v>3 years, 5 month(s), 16 day(s)</v>
      </c>
      <c r="L229" s="240">
        <v>44879</v>
      </c>
      <c r="M229" s="241"/>
      <c r="N229" s="241"/>
      <c r="O229" s="193" t="s">
        <v>2525</v>
      </c>
      <c r="P229" s="242" t="s">
        <v>2849</v>
      </c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25.5" customHeight="1">
      <c r="A230" s="190">
        <v>222</v>
      </c>
      <c r="B230" s="190" t="s">
        <v>40</v>
      </c>
      <c r="C230" s="190" t="s">
        <v>3123</v>
      </c>
      <c r="D230" s="190">
        <v>6</v>
      </c>
      <c r="E230" s="237" t="s">
        <v>997</v>
      </c>
      <c r="F230" s="237" t="s">
        <v>998</v>
      </c>
      <c r="G230" s="237" t="s">
        <v>999</v>
      </c>
      <c r="H230" s="238"/>
      <c r="I230" s="239" t="str">
        <f t="shared" si="8"/>
        <v>27 years, 6 month(s), 19 day(s)</v>
      </c>
      <c r="J230" s="240">
        <v>36079</v>
      </c>
      <c r="K230" s="239" t="str">
        <f t="shared" si="7"/>
        <v>1 years, 1 month(s), 13 day(s)</v>
      </c>
      <c r="L230" s="240">
        <v>45733</v>
      </c>
      <c r="M230" s="241"/>
      <c r="N230" s="241"/>
      <c r="O230" s="193" t="s">
        <v>965</v>
      </c>
      <c r="P230" s="242" t="s">
        <v>2705</v>
      </c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25.5" customHeight="1">
      <c r="A231" s="190">
        <v>223</v>
      </c>
      <c r="B231" s="190" t="s">
        <v>40</v>
      </c>
      <c r="C231" s="190" t="s">
        <v>3123</v>
      </c>
      <c r="D231" s="190">
        <v>12</v>
      </c>
      <c r="E231" s="237" t="s">
        <v>997</v>
      </c>
      <c r="F231" s="237" t="s">
        <v>1871</v>
      </c>
      <c r="G231" s="237" t="s">
        <v>1872</v>
      </c>
      <c r="H231" s="238"/>
      <c r="I231" s="239" t="str">
        <f t="shared" si="8"/>
        <v>55 years, 2 month(s), 7 day(s)</v>
      </c>
      <c r="J231" s="240">
        <v>25987</v>
      </c>
      <c r="K231" s="239" t="str">
        <f t="shared" si="7"/>
        <v>35 years, 1 month(s), 29 day(s)</v>
      </c>
      <c r="L231" s="240">
        <v>33298</v>
      </c>
      <c r="M231" s="241"/>
      <c r="N231" s="241"/>
      <c r="O231" s="193" t="s">
        <v>1858</v>
      </c>
      <c r="P231" s="242" t="s">
        <v>2726</v>
      </c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25.5" customHeight="1">
      <c r="A232" s="190">
        <v>224</v>
      </c>
      <c r="B232" s="190" t="s">
        <v>40</v>
      </c>
      <c r="C232" s="190" t="s">
        <v>3123</v>
      </c>
      <c r="D232" s="190">
        <v>9</v>
      </c>
      <c r="E232" s="237" t="s">
        <v>63</v>
      </c>
      <c r="F232" s="237" t="s">
        <v>64</v>
      </c>
      <c r="G232" s="237" t="s">
        <v>65</v>
      </c>
      <c r="H232" s="238"/>
      <c r="I232" s="239" t="str">
        <f t="shared" si="8"/>
        <v>33 years, 7 month(s), 21 day(s)</v>
      </c>
      <c r="J232" s="240">
        <v>33856</v>
      </c>
      <c r="K232" s="239" t="str">
        <f t="shared" si="7"/>
        <v>8 years, 2 month(s), 21 day(s)</v>
      </c>
      <c r="L232" s="240">
        <v>43140</v>
      </c>
      <c r="M232" s="241"/>
      <c r="N232" s="241"/>
      <c r="O232" s="193" t="s">
        <v>56</v>
      </c>
      <c r="P232" s="242" t="s">
        <v>2815</v>
      </c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25.5" customHeight="1">
      <c r="A233" s="190">
        <v>225</v>
      </c>
      <c r="B233" s="190" t="s">
        <v>366</v>
      </c>
      <c r="C233" s="190" t="s">
        <v>3123</v>
      </c>
      <c r="D233" s="190">
        <v>207860</v>
      </c>
      <c r="E233" s="237" t="s">
        <v>2310</v>
      </c>
      <c r="F233" s="237" t="s">
        <v>2311</v>
      </c>
      <c r="G233" s="237" t="s">
        <v>2312</v>
      </c>
      <c r="H233" s="238"/>
      <c r="I233" s="239" t="str">
        <f t="shared" si="8"/>
        <v>45 years, 9 month(s), 18 day(s)</v>
      </c>
      <c r="J233" s="240">
        <v>29414</v>
      </c>
      <c r="K233" s="239" t="str">
        <f t="shared" si="7"/>
        <v>15 years, 4 month(s), 29 day(s)</v>
      </c>
      <c r="L233" s="240">
        <v>40513</v>
      </c>
      <c r="M233" s="241"/>
      <c r="N233" s="241"/>
      <c r="O233" s="193" t="s">
        <v>2306</v>
      </c>
      <c r="P233" s="242" t="s">
        <v>2849</v>
      </c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25.5" customHeight="1">
      <c r="A234" s="190">
        <v>226</v>
      </c>
      <c r="B234" s="190" t="s">
        <v>253</v>
      </c>
      <c r="C234" s="190" t="s">
        <v>3123</v>
      </c>
      <c r="D234" s="190" t="s">
        <v>3218</v>
      </c>
      <c r="E234" s="237" t="s">
        <v>730</v>
      </c>
      <c r="F234" s="237" t="s">
        <v>731</v>
      </c>
      <c r="G234" s="237" t="s">
        <v>732</v>
      </c>
      <c r="H234" s="238"/>
      <c r="I234" s="239" t="str">
        <f t="shared" si="8"/>
        <v>35 years, 9 month(s), 23 day(s)</v>
      </c>
      <c r="J234" s="240">
        <v>33061</v>
      </c>
      <c r="K234" s="239" t="str">
        <f t="shared" si="7"/>
        <v>13 years, 0 month(s), 5 day(s)</v>
      </c>
      <c r="L234" s="240">
        <v>41389</v>
      </c>
      <c r="M234" s="241"/>
      <c r="N234" s="241"/>
      <c r="O234" s="193" t="s">
        <v>729</v>
      </c>
      <c r="P234" s="242" t="s">
        <v>2848</v>
      </c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25.5" customHeight="1">
      <c r="A235" s="190">
        <v>227</v>
      </c>
      <c r="B235" s="190" t="s">
        <v>28</v>
      </c>
      <c r="C235" s="190" t="s">
        <v>3123</v>
      </c>
      <c r="D235" s="190" t="s">
        <v>3219</v>
      </c>
      <c r="E235" s="237" t="s">
        <v>2290</v>
      </c>
      <c r="F235" s="237" t="s">
        <v>2291</v>
      </c>
      <c r="G235" s="237" t="s">
        <v>2292</v>
      </c>
      <c r="H235" s="238"/>
      <c r="I235" s="239" t="str">
        <f t="shared" si="8"/>
        <v>30 years, 4 month(s), 8 day(s)</v>
      </c>
      <c r="J235" s="240">
        <v>35055</v>
      </c>
      <c r="K235" s="239" t="str">
        <f t="shared" si="7"/>
        <v>3 years, 5 month(s), 16 day(s)</v>
      </c>
      <c r="L235" s="240">
        <v>44879</v>
      </c>
      <c r="M235" s="241"/>
      <c r="N235" s="241"/>
      <c r="O235" s="193" t="s">
        <v>2279</v>
      </c>
      <c r="P235" s="242" t="s">
        <v>2849</v>
      </c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25.5" customHeight="1">
      <c r="A236" s="190">
        <v>228</v>
      </c>
      <c r="B236" s="190" t="s">
        <v>20</v>
      </c>
      <c r="C236" s="190" t="s">
        <v>3123</v>
      </c>
      <c r="D236" s="190" t="s">
        <v>3220</v>
      </c>
      <c r="E236" s="237" t="s">
        <v>1071</v>
      </c>
      <c r="F236" s="237" t="s">
        <v>1072</v>
      </c>
      <c r="G236" s="237" t="s">
        <v>1073</v>
      </c>
      <c r="H236" s="238"/>
      <c r="I236" s="239" t="str">
        <f t="shared" si="8"/>
        <v>55 years, 1 month(s), 11 day(s)</v>
      </c>
      <c r="J236" s="240">
        <v>26011</v>
      </c>
      <c r="K236" s="239" t="str">
        <f t="shared" si="7"/>
        <v>27 years, 1 month(s), 1 day(s)</v>
      </c>
      <c r="L236" s="240">
        <v>36248</v>
      </c>
      <c r="M236" s="241"/>
      <c r="N236" s="241"/>
      <c r="O236" s="193" t="s">
        <v>1065</v>
      </c>
      <c r="P236" s="242" t="s">
        <v>2980</v>
      </c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25.5" customHeight="1">
      <c r="A237" s="190">
        <v>229</v>
      </c>
      <c r="B237" s="190" t="s">
        <v>40</v>
      </c>
      <c r="C237" s="190" t="s">
        <v>3123</v>
      </c>
      <c r="D237" s="190">
        <v>7</v>
      </c>
      <c r="E237" s="237" t="s">
        <v>1573</v>
      </c>
      <c r="F237" s="237" t="s">
        <v>1113</v>
      </c>
      <c r="G237" s="237" t="s">
        <v>1574</v>
      </c>
      <c r="H237" s="238"/>
      <c r="I237" s="239" t="str">
        <f t="shared" si="8"/>
        <v>59 years, 2 month(s), 27 day(s)</v>
      </c>
      <c r="J237" s="240">
        <v>24506</v>
      </c>
      <c r="K237" s="239" t="str">
        <f t="shared" si="7"/>
        <v>31 years, 3 month(s), 29 day(s)</v>
      </c>
      <c r="L237" s="240">
        <v>34700</v>
      </c>
      <c r="M237" s="241"/>
      <c r="N237" s="241"/>
      <c r="O237" s="193" t="s">
        <v>1563</v>
      </c>
      <c r="P237" s="242" t="s">
        <v>2714</v>
      </c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25.5" customHeight="1">
      <c r="A238" s="190">
        <v>230</v>
      </c>
      <c r="B238" s="190" t="s">
        <v>96</v>
      </c>
      <c r="C238" s="190" t="s">
        <v>3123</v>
      </c>
      <c r="D238" s="190" t="s">
        <v>3221</v>
      </c>
      <c r="E238" s="237" t="s">
        <v>661</v>
      </c>
      <c r="F238" s="237" t="s">
        <v>662</v>
      </c>
      <c r="G238" s="237" t="s">
        <v>663</v>
      </c>
      <c r="H238" s="238"/>
      <c r="I238" s="239" t="str">
        <f t="shared" si="8"/>
        <v>33 years, 6 month(s), 3 day(s)</v>
      </c>
      <c r="J238" s="240">
        <v>33904</v>
      </c>
      <c r="K238" s="239" t="str">
        <f t="shared" si="7"/>
        <v>3 years, 5 month(s), 5 day(s)</v>
      </c>
      <c r="L238" s="240">
        <v>44890</v>
      </c>
      <c r="M238" s="241"/>
      <c r="N238" s="241"/>
      <c r="O238" s="193" t="s">
        <v>2870</v>
      </c>
      <c r="P238" s="242" t="s">
        <v>2848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25.5" customHeight="1">
      <c r="A239" s="190">
        <v>231</v>
      </c>
      <c r="B239" s="190" t="s">
        <v>28</v>
      </c>
      <c r="C239" s="190" t="s">
        <v>3123</v>
      </c>
      <c r="D239" s="190">
        <v>343728</v>
      </c>
      <c r="E239" s="237" t="s">
        <v>1504</v>
      </c>
      <c r="F239" s="237" t="s">
        <v>1505</v>
      </c>
      <c r="G239" s="237" t="s">
        <v>1506</v>
      </c>
      <c r="H239" s="238"/>
      <c r="I239" s="239" t="str">
        <f t="shared" si="8"/>
        <v>34 years, 1 month(s), 18 day(s)</v>
      </c>
      <c r="J239" s="240">
        <v>33675</v>
      </c>
      <c r="K239" s="239" t="str">
        <f t="shared" si="7"/>
        <v>6 years, 2 month(s), 13 day(s)</v>
      </c>
      <c r="L239" s="240">
        <v>43878</v>
      </c>
      <c r="M239" s="241"/>
      <c r="N239" s="241"/>
      <c r="O239" s="193" t="s">
        <v>1486</v>
      </c>
      <c r="P239" s="242" t="s">
        <v>2818</v>
      </c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25.5" customHeight="1">
      <c r="A240" s="190">
        <v>232</v>
      </c>
      <c r="B240" s="190" t="s">
        <v>40</v>
      </c>
      <c r="C240" s="190" t="s">
        <v>3123</v>
      </c>
      <c r="D240" s="190">
        <v>10</v>
      </c>
      <c r="E240" s="237" t="s">
        <v>112</v>
      </c>
      <c r="F240" s="237" t="s">
        <v>113</v>
      </c>
      <c r="G240" s="237" t="s">
        <v>114</v>
      </c>
      <c r="H240" s="238"/>
      <c r="I240" s="239" t="str">
        <f t="shared" si="8"/>
        <v>45 years, 8 month(s), 7 day(s)</v>
      </c>
      <c r="J240" s="240">
        <v>29456</v>
      </c>
      <c r="K240" s="239" t="str">
        <f t="shared" si="7"/>
        <v>8 years, 2 month(s), 21 day(s)</v>
      </c>
      <c r="L240" s="240">
        <v>43140</v>
      </c>
      <c r="M240" s="241"/>
      <c r="N240" s="241"/>
      <c r="O240" s="193" t="s">
        <v>90</v>
      </c>
      <c r="P240" s="242" t="s">
        <v>2728</v>
      </c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25.5" customHeight="1">
      <c r="A241" s="190">
        <v>233</v>
      </c>
      <c r="B241" s="190" t="s">
        <v>40</v>
      </c>
      <c r="C241" s="190" t="s">
        <v>3123</v>
      </c>
      <c r="D241" s="190">
        <v>15</v>
      </c>
      <c r="E241" s="237" t="s">
        <v>1434</v>
      </c>
      <c r="F241" s="237" t="s">
        <v>1435</v>
      </c>
      <c r="G241" s="237" t="s">
        <v>1436</v>
      </c>
      <c r="H241" s="238"/>
      <c r="I241" s="239" t="str">
        <f t="shared" si="8"/>
        <v>39 years, 6 month(s), 22 day(s)</v>
      </c>
      <c r="J241" s="240">
        <v>31693</v>
      </c>
      <c r="K241" s="239" t="str">
        <f t="shared" si="7"/>
        <v>15 years, 1 month(s), 6 day(s)</v>
      </c>
      <c r="L241" s="240">
        <v>40626</v>
      </c>
      <c r="M241" s="241"/>
      <c r="N241" s="241"/>
      <c r="O241" s="193" t="s">
        <v>1348</v>
      </c>
      <c r="P241" s="242" t="s">
        <v>2729</v>
      </c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25.5" customHeight="1">
      <c r="A242" s="190">
        <v>234</v>
      </c>
      <c r="B242" s="190" t="s">
        <v>96</v>
      </c>
      <c r="C242" s="190" t="s">
        <v>3123</v>
      </c>
      <c r="D242" s="190" t="s">
        <v>3222</v>
      </c>
      <c r="E242" s="237" t="s">
        <v>490</v>
      </c>
      <c r="F242" s="237" t="s">
        <v>491</v>
      </c>
      <c r="G242" s="237" t="s">
        <v>492</v>
      </c>
      <c r="H242" s="238"/>
      <c r="I242" s="239" t="str">
        <f t="shared" si="8"/>
        <v>29 years, 9 month(s), 12 day(s)</v>
      </c>
      <c r="J242" s="240">
        <v>35264</v>
      </c>
      <c r="K242" s="239" t="str">
        <f t="shared" si="7"/>
        <v>3 years, 5 month(s), 26 day(s)</v>
      </c>
      <c r="L242" s="240">
        <v>44869</v>
      </c>
      <c r="M242" s="240">
        <v>43759</v>
      </c>
      <c r="N242" s="241"/>
      <c r="O242" s="193" t="s">
        <v>245</v>
      </c>
      <c r="P242" s="242" t="s">
        <v>2848</v>
      </c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25.5" customHeight="1">
      <c r="A243" s="190">
        <v>235</v>
      </c>
      <c r="B243" s="190" t="s">
        <v>96</v>
      </c>
      <c r="C243" s="190" t="s">
        <v>3123</v>
      </c>
      <c r="D243" s="190" t="s">
        <v>3223</v>
      </c>
      <c r="E243" s="237" t="s">
        <v>704</v>
      </c>
      <c r="F243" s="237" t="s">
        <v>705</v>
      </c>
      <c r="G243" s="237" t="s">
        <v>706</v>
      </c>
      <c r="H243" s="238"/>
      <c r="I243" s="239" t="str">
        <f t="shared" si="8"/>
        <v>41 years, 0 month(s), 20 day(s)</v>
      </c>
      <c r="J243" s="240">
        <v>31147</v>
      </c>
      <c r="K243" s="239" t="str">
        <f t="shared" si="7"/>
        <v>4 years, 7 month(s), 14 day(s)</v>
      </c>
      <c r="L243" s="240">
        <v>44455</v>
      </c>
      <c r="M243" s="241"/>
      <c r="N243" s="240">
        <v>40966</v>
      </c>
      <c r="O243" s="193" t="s">
        <v>703</v>
      </c>
      <c r="P243" s="242" t="s">
        <v>2848</v>
      </c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25.5" customHeight="1">
      <c r="A244" s="190">
        <v>236</v>
      </c>
      <c r="B244" s="190" t="s">
        <v>40</v>
      </c>
      <c r="C244" s="190" t="s">
        <v>3123</v>
      </c>
      <c r="D244" s="190">
        <v>6</v>
      </c>
      <c r="E244" s="237" t="s">
        <v>3035</v>
      </c>
      <c r="F244" s="237" t="s">
        <v>3036</v>
      </c>
      <c r="G244" s="237" t="s">
        <v>3037</v>
      </c>
      <c r="H244" s="238"/>
      <c r="I244" s="239" t="str">
        <f t="shared" si="8"/>
        <v>24 years, 10 month(s), 0 day(s)</v>
      </c>
      <c r="J244" s="240">
        <v>37072</v>
      </c>
      <c r="K244" s="239" t="str">
        <f t="shared" si="7"/>
        <v>0 years, 1 month(s), 5 day(s)</v>
      </c>
      <c r="L244" s="240">
        <v>46106</v>
      </c>
      <c r="M244" s="241"/>
      <c r="N244" s="241"/>
      <c r="O244" s="193" t="s">
        <v>1486</v>
      </c>
      <c r="P244" s="245" t="s">
        <v>2974</v>
      </c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25.5" customHeight="1">
      <c r="A245" s="190">
        <v>237</v>
      </c>
      <c r="B245" s="190" t="s">
        <v>160</v>
      </c>
      <c r="C245" s="190" t="s">
        <v>3123</v>
      </c>
      <c r="D245" s="190" t="s">
        <v>3224</v>
      </c>
      <c r="E245" s="237" t="s">
        <v>161</v>
      </c>
      <c r="F245" s="237" t="s">
        <v>162</v>
      </c>
      <c r="G245" s="237" t="s">
        <v>163</v>
      </c>
      <c r="H245" s="238"/>
      <c r="I245" s="239" t="str">
        <f t="shared" si="8"/>
        <v>47 years, 11 month(s), 27 day(s)</v>
      </c>
      <c r="J245" s="240">
        <v>28613</v>
      </c>
      <c r="K245" s="239" t="str">
        <f t="shared" si="7"/>
        <v>17 years, 7 month(s), 29 day(s)</v>
      </c>
      <c r="L245" s="240">
        <v>39692</v>
      </c>
      <c r="M245" s="241"/>
      <c r="N245" s="241"/>
      <c r="O245" s="193" t="s">
        <v>154</v>
      </c>
      <c r="P245" s="242" t="s">
        <v>2840</v>
      </c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25.5" customHeight="1">
      <c r="A246" s="190">
        <v>238</v>
      </c>
      <c r="B246" s="190" t="s">
        <v>160</v>
      </c>
      <c r="C246" s="190" t="s">
        <v>3123</v>
      </c>
      <c r="D246" s="190" t="s">
        <v>3225</v>
      </c>
      <c r="E246" s="237" t="s">
        <v>834</v>
      </c>
      <c r="F246" s="237" t="s">
        <v>354</v>
      </c>
      <c r="G246" s="237" t="s">
        <v>2637</v>
      </c>
      <c r="H246" s="238"/>
      <c r="I246" s="239" t="str">
        <f t="shared" si="8"/>
        <v>52 years, 8 month(s), 19 day(s)</v>
      </c>
      <c r="J246" s="240">
        <v>26887</v>
      </c>
      <c r="K246" s="239" t="str">
        <f t="shared" si="7"/>
        <v>20 years, 3 month(s), 14 day(s)</v>
      </c>
      <c r="L246" s="240">
        <v>38733</v>
      </c>
      <c r="M246" s="240">
        <v>36799</v>
      </c>
      <c r="N246" s="241"/>
      <c r="O246" s="193" t="s">
        <v>2636</v>
      </c>
      <c r="P246" s="242" t="s">
        <v>2989</v>
      </c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25.5" customHeight="1">
      <c r="A247" s="190">
        <v>239</v>
      </c>
      <c r="B247" s="190" t="s">
        <v>253</v>
      </c>
      <c r="C247" s="190" t="s">
        <v>3123</v>
      </c>
      <c r="D247" s="190" t="s">
        <v>3226</v>
      </c>
      <c r="E247" s="237" t="s">
        <v>2258</v>
      </c>
      <c r="F247" s="237" t="s">
        <v>2259</v>
      </c>
      <c r="G247" s="237" t="s">
        <v>2260</v>
      </c>
      <c r="H247" s="238"/>
      <c r="I247" s="239" t="str">
        <f t="shared" si="8"/>
        <v>38 years, 9 month(s), 21 day(s)</v>
      </c>
      <c r="J247" s="240">
        <v>31967</v>
      </c>
      <c r="K247" s="239" t="str">
        <f t="shared" si="7"/>
        <v>8 years, 2 month(s), 14 day(s)</v>
      </c>
      <c r="L247" s="240">
        <v>43147</v>
      </c>
      <c r="M247" s="241"/>
      <c r="N247" s="241"/>
      <c r="O247" s="193" t="s">
        <v>2252</v>
      </c>
      <c r="P247" s="242" t="s">
        <v>2893</v>
      </c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25.5" customHeight="1">
      <c r="A248" s="190">
        <v>240</v>
      </c>
      <c r="B248" s="190" t="s">
        <v>28</v>
      </c>
      <c r="C248" s="190" t="s">
        <v>3123</v>
      </c>
      <c r="D248" s="190">
        <v>376398</v>
      </c>
      <c r="E248" s="237" t="s">
        <v>1024</v>
      </c>
      <c r="F248" s="237" t="s">
        <v>553</v>
      </c>
      <c r="G248" s="237" t="s">
        <v>934</v>
      </c>
      <c r="H248" s="238"/>
      <c r="I248" s="239" t="str">
        <f t="shared" si="8"/>
        <v>29 years, 9 month(s), 3 day(s)</v>
      </c>
      <c r="J248" s="240">
        <v>35273</v>
      </c>
      <c r="K248" s="239" t="str">
        <f t="shared" si="7"/>
        <v>3 years, 4 month(s), 3 day(s)</v>
      </c>
      <c r="L248" s="240">
        <v>44922</v>
      </c>
      <c r="M248" s="241"/>
      <c r="N248" s="241"/>
      <c r="O248" s="193" t="s">
        <v>1638</v>
      </c>
      <c r="P248" s="242" t="s">
        <v>2802</v>
      </c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25.5" customHeight="1">
      <c r="A249" s="190">
        <v>241</v>
      </c>
      <c r="B249" s="190" t="s">
        <v>40</v>
      </c>
      <c r="C249" s="190" t="s">
        <v>3123</v>
      </c>
      <c r="D249" s="190">
        <v>1</v>
      </c>
      <c r="E249" s="237" t="s">
        <v>1024</v>
      </c>
      <c r="F249" s="237" t="s">
        <v>1025</v>
      </c>
      <c r="G249" s="237" t="s">
        <v>1026</v>
      </c>
      <c r="H249" s="238"/>
      <c r="I249" s="239" t="str">
        <f t="shared" si="8"/>
        <v>42 years, 11 month(s), 10 day(s)</v>
      </c>
      <c r="J249" s="240">
        <v>30456</v>
      </c>
      <c r="K249" s="239" t="str">
        <f t="shared" si="7"/>
        <v>6 years, 3 month(s), 14 day(s)</v>
      </c>
      <c r="L249" s="240">
        <v>43846</v>
      </c>
      <c r="M249" s="241"/>
      <c r="N249" s="241"/>
      <c r="O249" s="193" t="s">
        <v>1008</v>
      </c>
      <c r="P249" s="242" t="s">
        <v>2711</v>
      </c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25.5" customHeight="1">
      <c r="A250" s="190">
        <v>242</v>
      </c>
      <c r="B250" s="190" t="s">
        <v>160</v>
      </c>
      <c r="C250" s="190" t="s">
        <v>3123</v>
      </c>
      <c r="D250" s="190" t="s">
        <v>3227</v>
      </c>
      <c r="E250" s="237" t="s">
        <v>602</v>
      </c>
      <c r="F250" s="237" t="s">
        <v>603</v>
      </c>
      <c r="G250" s="237" t="s">
        <v>604</v>
      </c>
      <c r="H250" s="238"/>
      <c r="I250" s="239" t="str">
        <f t="shared" si="8"/>
        <v>47 years, 1 month(s), 14 day(s)</v>
      </c>
      <c r="J250" s="240">
        <v>28930</v>
      </c>
      <c r="K250" s="239" t="str">
        <f t="shared" si="7"/>
        <v>17 years, 4 month(s), 15 day(s)</v>
      </c>
      <c r="L250" s="240">
        <v>39797</v>
      </c>
      <c r="M250" s="240">
        <v>37971</v>
      </c>
      <c r="N250" s="241"/>
      <c r="O250" s="193" t="s">
        <v>601</v>
      </c>
      <c r="P250" s="242" t="s">
        <v>2848</v>
      </c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25.5" customHeight="1">
      <c r="A251" s="190">
        <v>243</v>
      </c>
      <c r="B251" s="190" t="s">
        <v>40</v>
      </c>
      <c r="C251" s="190" t="s">
        <v>3123</v>
      </c>
      <c r="D251" s="190">
        <v>11</v>
      </c>
      <c r="E251" s="237" t="s">
        <v>1439</v>
      </c>
      <c r="F251" s="237" t="s">
        <v>1440</v>
      </c>
      <c r="G251" s="237" t="s">
        <v>1441</v>
      </c>
      <c r="H251" s="238"/>
      <c r="I251" s="239" t="str">
        <f t="shared" si="8"/>
        <v>27 years, 6 month(s), 23 day(s)</v>
      </c>
      <c r="J251" s="240">
        <v>36075</v>
      </c>
      <c r="K251" s="239" t="str">
        <f t="shared" si="7"/>
        <v>2 years, 8 month(s), 13 day(s)</v>
      </c>
      <c r="L251" s="240">
        <v>45155</v>
      </c>
      <c r="M251" s="241"/>
      <c r="N251" s="240">
        <v>36634</v>
      </c>
      <c r="O251" s="193" t="s">
        <v>1348</v>
      </c>
      <c r="P251" s="242" t="s">
        <v>2718</v>
      </c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25.5" customHeight="1">
      <c r="A252" s="190">
        <v>244</v>
      </c>
      <c r="B252" s="190" t="s">
        <v>40</v>
      </c>
      <c r="C252" s="190" t="s">
        <v>3123</v>
      </c>
      <c r="D252" s="190">
        <v>8</v>
      </c>
      <c r="E252" s="237" t="s">
        <v>1577</v>
      </c>
      <c r="F252" s="237" t="s">
        <v>1578</v>
      </c>
      <c r="G252" s="237" t="s">
        <v>3228</v>
      </c>
      <c r="H252" s="238"/>
      <c r="I252" s="239" t="str">
        <f t="shared" si="8"/>
        <v>54 years, 10 month(s), 29 day(s)</v>
      </c>
      <c r="J252" s="240">
        <v>26085</v>
      </c>
      <c r="K252" s="239" t="str">
        <f t="shared" si="7"/>
        <v>20 years, 8 month(s), 8 day(s)</v>
      </c>
      <c r="L252" s="240">
        <v>38586</v>
      </c>
      <c r="M252" s="241"/>
      <c r="N252" s="241"/>
      <c r="O252" s="193" t="s">
        <v>1563</v>
      </c>
      <c r="P252" s="242" t="s">
        <v>2700</v>
      </c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25.5" customHeight="1">
      <c r="A253" s="190">
        <v>245</v>
      </c>
      <c r="B253" s="190" t="s">
        <v>160</v>
      </c>
      <c r="C253" s="190" t="s">
        <v>3123</v>
      </c>
      <c r="D253" s="190" t="s">
        <v>3229</v>
      </c>
      <c r="E253" s="237" t="s">
        <v>1081</v>
      </c>
      <c r="F253" s="237" t="s">
        <v>1082</v>
      </c>
      <c r="G253" s="237" t="s">
        <v>1083</v>
      </c>
      <c r="H253" s="238"/>
      <c r="I253" s="239" t="str">
        <f t="shared" si="8"/>
        <v>47 years, 2 month(s), 3 day(s)</v>
      </c>
      <c r="J253" s="240">
        <v>28913</v>
      </c>
      <c r="K253" s="239" t="str">
        <f t="shared" si="7"/>
        <v>24 years, 5 month(s), 24 day(s)</v>
      </c>
      <c r="L253" s="240">
        <v>37201</v>
      </c>
      <c r="M253" s="241"/>
      <c r="N253" s="241"/>
      <c r="O253" s="193" t="s">
        <v>1080</v>
      </c>
      <c r="P253" s="242" t="s">
        <v>2983</v>
      </c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25.5" customHeight="1">
      <c r="A254" s="190">
        <v>246</v>
      </c>
      <c r="B254" s="190" t="s">
        <v>28</v>
      </c>
      <c r="C254" s="190" t="s">
        <v>3123</v>
      </c>
      <c r="D254" s="190">
        <v>376399</v>
      </c>
      <c r="E254" s="237" t="s">
        <v>2515</v>
      </c>
      <c r="F254" s="237" t="s">
        <v>2516</v>
      </c>
      <c r="G254" s="237" t="s">
        <v>2517</v>
      </c>
      <c r="H254" s="238"/>
      <c r="I254" s="239" t="str">
        <f t="shared" si="8"/>
        <v>27 years, 4 month(s), 9 day(s)</v>
      </c>
      <c r="J254" s="240">
        <v>36150</v>
      </c>
      <c r="K254" s="239" t="str">
        <f t="shared" si="7"/>
        <v>3 years, 4 month(s), 3 day(s)</v>
      </c>
      <c r="L254" s="240">
        <v>44922</v>
      </c>
      <c r="M254" s="241"/>
      <c r="N254" s="241"/>
      <c r="O254" s="193" t="s">
        <v>2488</v>
      </c>
      <c r="P254" s="242" t="s">
        <v>2901</v>
      </c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25.5" customHeight="1">
      <c r="A255" s="190">
        <v>247</v>
      </c>
      <c r="B255" s="190" t="s">
        <v>28</v>
      </c>
      <c r="C255" s="190" t="s">
        <v>3123</v>
      </c>
      <c r="D255" s="190">
        <v>376400</v>
      </c>
      <c r="E255" s="237" t="s">
        <v>639</v>
      </c>
      <c r="F255" s="237" t="s">
        <v>640</v>
      </c>
      <c r="G255" s="237" t="s">
        <v>256</v>
      </c>
      <c r="H255" s="238"/>
      <c r="I255" s="239" t="str">
        <f t="shared" si="8"/>
        <v>28 years, 5 month(s), 2 day(s)</v>
      </c>
      <c r="J255" s="240">
        <v>35762</v>
      </c>
      <c r="K255" s="239" t="str">
        <f t="shared" si="7"/>
        <v>3 years, 4 month(s), 3 day(s)</v>
      </c>
      <c r="L255" s="240">
        <v>44922</v>
      </c>
      <c r="M255" s="241"/>
      <c r="N255" s="241"/>
      <c r="O255" s="193" t="s">
        <v>633</v>
      </c>
      <c r="P255" s="242" t="s">
        <v>2849</v>
      </c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25.5" customHeight="1">
      <c r="A256" s="190">
        <v>248</v>
      </c>
      <c r="B256" s="190" t="s">
        <v>40</v>
      </c>
      <c r="C256" s="190" t="s">
        <v>3123</v>
      </c>
      <c r="D256" s="190">
        <v>6</v>
      </c>
      <c r="E256" s="237" t="s">
        <v>2831</v>
      </c>
      <c r="F256" s="237" t="s">
        <v>2832</v>
      </c>
      <c r="G256" s="237" t="s">
        <v>2833</v>
      </c>
      <c r="H256" s="238"/>
      <c r="I256" s="239" t="str">
        <f t="shared" si="8"/>
        <v>27 years, 3 month(s), 11 day(s)</v>
      </c>
      <c r="J256" s="240">
        <v>36179</v>
      </c>
      <c r="K256" s="239" t="str">
        <f t="shared" si="7"/>
        <v>0 years, 2 month(s), 14 day(s)</v>
      </c>
      <c r="L256" s="240">
        <v>46069</v>
      </c>
      <c r="M256" s="241"/>
      <c r="N256" s="241"/>
      <c r="O256" s="193" t="s">
        <v>2826</v>
      </c>
      <c r="P256" s="242" t="s">
        <v>2830</v>
      </c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25.5" customHeight="1">
      <c r="A257" s="190">
        <v>249</v>
      </c>
      <c r="B257" s="190" t="s">
        <v>28</v>
      </c>
      <c r="C257" s="190" t="s">
        <v>3123</v>
      </c>
      <c r="D257" s="190">
        <v>376401</v>
      </c>
      <c r="E257" s="237" t="s">
        <v>852</v>
      </c>
      <c r="F257" s="237" t="s">
        <v>853</v>
      </c>
      <c r="G257" s="237" t="s">
        <v>854</v>
      </c>
      <c r="H257" s="238"/>
      <c r="I257" s="239" t="str">
        <f t="shared" si="8"/>
        <v>27 years, 5 month(s), 22 day(s)</v>
      </c>
      <c r="J257" s="240">
        <v>36107</v>
      </c>
      <c r="K257" s="239" t="str">
        <f t="shared" ref="K257:K292" si="9">DATEDIF(L257,DATE(2026,4,30),"y")&amp;" years, "&amp;DATEDIF(L257,DATE(2026,4,30),"ym")&amp;" month(s), "&amp;DATEDIF(L257,DATE(2026,4,30),"md")&amp;" day(s)"</f>
        <v>3 years, 4 month(s), 3 day(s)</v>
      </c>
      <c r="L257" s="240">
        <v>44922</v>
      </c>
      <c r="M257" s="241"/>
      <c r="N257" s="241"/>
      <c r="O257" s="193" t="s">
        <v>837</v>
      </c>
      <c r="P257" s="242" t="s">
        <v>2933</v>
      </c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25.5" customHeight="1">
      <c r="A258" s="190">
        <v>250</v>
      </c>
      <c r="B258" s="190" t="s">
        <v>96</v>
      </c>
      <c r="C258" s="190" t="s">
        <v>3123</v>
      </c>
      <c r="D258" s="190" t="s">
        <v>3230</v>
      </c>
      <c r="E258" s="237" t="s">
        <v>2307</v>
      </c>
      <c r="F258" s="237" t="s">
        <v>770</v>
      </c>
      <c r="G258" s="237" t="s">
        <v>950</v>
      </c>
      <c r="H258" s="238"/>
      <c r="I258" s="239" t="str">
        <f t="shared" si="8"/>
        <v>41 years, 11 month(s), 26 day(s)</v>
      </c>
      <c r="J258" s="240">
        <v>30806</v>
      </c>
      <c r="K258" s="239" t="str">
        <f t="shared" si="9"/>
        <v>4 years, 7 month(s), 14 day(s)</v>
      </c>
      <c r="L258" s="240">
        <v>44455</v>
      </c>
      <c r="M258" s="240">
        <v>40709</v>
      </c>
      <c r="N258" s="241"/>
      <c r="O258" s="193" t="s">
        <v>2306</v>
      </c>
      <c r="P258" s="242" t="s">
        <v>2848</v>
      </c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25.5" customHeight="1">
      <c r="A259" s="190">
        <v>251</v>
      </c>
      <c r="B259" s="190" t="s">
        <v>366</v>
      </c>
      <c r="C259" s="190" t="s">
        <v>3123</v>
      </c>
      <c r="D259" s="190">
        <v>207850</v>
      </c>
      <c r="E259" s="237" t="s">
        <v>581</v>
      </c>
      <c r="F259" s="237" t="s">
        <v>582</v>
      </c>
      <c r="G259" s="237" t="s">
        <v>393</v>
      </c>
      <c r="H259" s="238"/>
      <c r="I259" s="239" t="str">
        <f t="shared" si="8"/>
        <v>39 years, 1 month(s), 29 day(s)</v>
      </c>
      <c r="J259" s="240">
        <v>31837</v>
      </c>
      <c r="K259" s="239" t="str">
        <f t="shared" si="9"/>
        <v>15 years, 4 month(s), 29 day(s)</v>
      </c>
      <c r="L259" s="240">
        <v>40513</v>
      </c>
      <c r="M259" s="241"/>
      <c r="N259" s="241"/>
      <c r="O259" s="193" t="s">
        <v>1704</v>
      </c>
      <c r="P259" s="242" t="s">
        <v>3231</v>
      </c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25.5" customHeight="1">
      <c r="A260" s="190">
        <v>252</v>
      </c>
      <c r="B260" s="190" t="s">
        <v>644</v>
      </c>
      <c r="C260" s="190" t="s">
        <v>3123</v>
      </c>
      <c r="D260" s="190">
        <v>203702</v>
      </c>
      <c r="E260" s="237" t="s">
        <v>1009</v>
      </c>
      <c r="F260" s="237" t="s">
        <v>1010</v>
      </c>
      <c r="G260" s="237" t="s">
        <v>1011</v>
      </c>
      <c r="H260" s="238"/>
      <c r="I260" s="239" t="str">
        <f t="shared" si="8"/>
        <v>44 years, 2 month(s), 29 day(s)</v>
      </c>
      <c r="J260" s="240">
        <v>29983</v>
      </c>
      <c r="K260" s="239" t="str">
        <f t="shared" si="9"/>
        <v>16 years, 2 month(s), 29 day(s)</v>
      </c>
      <c r="L260" s="240">
        <v>40210</v>
      </c>
      <c r="M260" s="241"/>
      <c r="N260" s="241"/>
      <c r="O260" s="193" t="s">
        <v>1008</v>
      </c>
      <c r="P260" s="242" t="s">
        <v>2818</v>
      </c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25.5" customHeight="1">
      <c r="A261" s="190">
        <v>253</v>
      </c>
      <c r="B261" s="190" t="s">
        <v>40</v>
      </c>
      <c r="C261" s="190" t="s">
        <v>3123</v>
      </c>
      <c r="D261" s="190">
        <v>7</v>
      </c>
      <c r="E261" s="237" t="s">
        <v>1641</v>
      </c>
      <c r="F261" s="237" t="s">
        <v>1642</v>
      </c>
      <c r="G261" s="237" t="s">
        <v>1197</v>
      </c>
      <c r="H261" s="238"/>
      <c r="I261" s="239" t="str">
        <f t="shared" si="8"/>
        <v>52 years, 3 month(s), 13 day(s)</v>
      </c>
      <c r="J261" s="240">
        <v>27046</v>
      </c>
      <c r="K261" s="239" t="str">
        <f t="shared" si="9"/>
        <v>13 years, 5 month(s), 9 day(s)</v>
      </c>
      <c r="L261" s="240">
        <v>41234</v>
      </c>
      <c r="M261" s="241"/>
      <c r="N261" s="241"/>
      <c r="O261" s="193" t="s">
        <v>1638</v>
      </c>
      <c r="P261" s="242" t="s">
        <v>2714</v>
      </c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25.5" customHeight="1">
      <c r="A262" s="190">
        <v>254</v>
      </c>
      <c r="B262" s="190" t="s">
        <v>20</v>
      </c>
      <c r="C262" s="190" t="s">
        <v>3123</v>
      </c>
      <c r="D262" s="190" t="s">
        <v>3232</v>
      </c>
      <c r="E262" s="237" t="s">
        <v>936</v>
      </c>
      <c r="F262" s="237" t="s">
        <v>1074</v>
      </c>
      <c r="G262" s="237" t="s">
        <v>1075</v>
      </c>
      <c r="H262" s="243" t="s">
        <v>268</v>
      </c>
      <c r="I262" s="239" t="str">
        <f t="shared" si="8"/>
        <v>48 years, 2 month(s), 27 day(s)</v>
      </c>
      <c r="J262" s="240">
        <v>28524</v>
      </c>
      <c r="K262" s="239" t="str">
        <f t="shared" si="9"/>
        <v>24 years, 5 month(s), 24 day(s)</v>
      </c>
      <c r="L262" s="240">
        <v>37201</v>
      </c>
      <c r="M262" s="241"/>
      <c r="N262" s="241"/>
      <c r="O262" s="193" t="s">
        <v>1037</v>
      </c>
      <c r="P262" s="242" t="s">
        <v>3233</v>
      </c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25.5" customHeight="1">
      <c r="A263" s="190">
        <v>255</v>
      </c>
      <c r="B263" s="190" t="s">
        <v>40</v>
      </c>
      <c r="C263" s="190" t="s">
        <v>3123</v>
      </c>
      <c r="D263" s="190">
        <v>7</v>
      </c>
      <c r="E263" s="237" t="s">
        <v>1605</v>
      </c>
      <c r="F263" s="237" t="s">
        <v>1606</v>
      </c>
      <c r="G263" s="237" t="s">
        <v>1607</v>
      </c>
      <c r="H263" s="238"/>
      <c r="I263" s="239" t="str">
        <f t="shared" si="8"/>
        <v>52 years, 5 month(s), 11 day(s)</v>
      </c>
      <c r="J263" s="240">
        <v>26987</v>
      </c>
      <c r="K263" s="239" t="str">
        <f t="shared" si="9"/>
        <v>26 years, 0 month(s), 12 day(s)</v>
      </c>
      <c r="L263" s="240">
        <v>36634</v>
      </c>
      <c r="M263" s="241"/>
      <c r="N263" s="241"/>
      <c r="O263" s="193" t="s">
        <v>1588</v>
      </c>
      <c r="P263" s="242" t="s">
        <v>2732</v>
      </c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25.5" customHeight="1">
      <c r="A264" s="190">
        <v>256</v>
      </c>
      <c r="B264" s="190" t="s">
        <v>246</v>
      </c>
      <c r="C264" s="190" t="s">
        <v>3123</v>
      </c>
      <c r="D264" s="190" t="s">
        <v>3234</v>
      </c>
      <c r="E264" s="237" t="s">
        <v>363</v>
      </c>
      <c r="F264" s="237" t="s">
        <v>364</v>
      </c>
      <c r="G264" s="237" t="s">
        <v>365</v>
      </c>
      <c r="H264" s="243" t="s">
        <v>268</v>
      </c>
      <c r="I264" s="239" t="str">
        <f t="shared" si="8"/>
        <v>32 years, 1 month(s), 8 day(s)</v>
      </c>
      <c r="J264" s="240">
        <v>34415</v>
      </c>
      <c r="K264" s="239" t="str">
        <f t="shared" si="9"/>
        <v>6 years, 6 month(s), 9 day(s)</v>
      </c>
      <c r="L264" s="240">
        <v>43759</v>
      </c>
      <c r="M264" s="241"/>
      <c r="N264" s="241"/>
      <c r="O264" s="193" t="s">
        <v>352</v>
      </c>
      <c r="P264" s="242" t="s">
        <v>2848</v>
      </c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25.5" customHeight="1">
      <c r="A265" s="190">
        <v>257</v>
      </c>
      <c r="B265" s="190" t="s">
        <v>40</v>
      </c>
      <c r="C265" s="190" t="s">
        <v>3123</v>
      </c>
      <c r="D265" s="190">
        <v>7</v>
      </c>
      <c r="E265" s="237" t="s">
        <v>3098</v>
      </c>
      <c r="F265" s="237" t="s">
        <v>3099</v>
      </c>
      <c r="G265" s="237" t="s">
        <v>240</v>
      </c>
      <c r="H265" s="238"/>
      <c r="I265" s="239" t="str">
        <f t="shared" ref="I265:I328" si="10">DATEDIF(J265,DATE(2026,4,30),"y")&amp;" years, "&amp;DATEDIF(J265,DATE(2026,4,30),"ym")&amp;" month(s), "&amp;DATEDIF(J265,DATE(2026,4,30),"md")&amp;" day(s)"</f>
        <v>32 years, 1 month(s), 9 day(s)</v>
      </c>
      <c r="J265" s="240">
        <v>34414</v>
      </c>
      <c r="K265" s="239" t="str">
        <f t="shared" si="9"/>
        <v>5 years, 3 month(s), 3 day(s)</v>
      </c>
      <c r="L265" s="240">
        <v>44223</v>
      </c>
      <c r="M265" s="241"/>
      <c r="N265" s="241"/>
      <c r="O265" s="193" t="s">
        <v>1844</v>
      </c>
      <c r="P265" s="242" t="s">
        <v>2680</v>
      </c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25.5" customHeight="1">
      <c r="A266" s="190">
        <v>258</v>
      </c>
      <c r="B266" s="190" t="s">
        <v>28</v>
      </c>
      <c r="C266" s="190" t="s">
        <v>3123</v>
      </c>
      <c r="D266" s="190">
        <v>376402</v>
      </c>
      <c r="E266" s="237" t="s">
        <v>698</v>
      </c>
      <c r="F266" s="237" t="s">
        <v>699</v>
      </c>
      <c r="G266" s="237" t="s">
        <v>700</v>
      </c>
      <c r="H266" s="238"/>
      <c r="I266" s="239" t="str">
        <f t="shared" si="10"/>
        <v>33 years, 6 month(s), 11 day(s)</v>
      </c>
      <c r="J266" s="240">
        <v>33896</v>
      </c>
      <c r="K266" s="239" t="str">
        <f t="shared" si="9"/>
        <v>3 years, 4 month(s), 3 day(s)</v>
      </c>
      <c r="L266" s="240">
        <v>44922</v>
      </c>
      <c r="M266" s="241"/>
      <c r="N266" s="241"/>
      <c r="O266" s="193" t="s">
        <v>694</v>
      </c>
      <c r="P266" s="242" t="s">
        <v>2849</v>
      </c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25.5" customHeight="1">
      <c r="A267" s="190">
        <v>259</v>
      </c>
      <c r="B267" s="190" t="s">
        <v>96</v>
      </c>
      <c r="C267" s="190" t="s">
        <v>3123</v>
      </c>
      <c r="D267" s="190" t="s">
        <v>3235</v>
      </c>
      <c r="E267" s="237" t="s">
        <v>2023</v>
      </c>
      <c r="F267" s="237" t="s">
        <v>393</v>
      </c>
      <c r="G267" s="237" t="s">
        <v>2024</v>
      </c>
      <c r="H267" s="238"/>
      <c r="I267" s="239" t="str">
        <f t="shared" si="10"/>
        <v>34 years, 4 month(s), 23 day(s)</v>
      </c>
      <c r="J267" s="240">
        <v>33579</v>
      </c>
      <c r="K267" s="239" t="str">
        <f t="shared" si="9"/>
        <v>4 years, 5 month(s), 26 day(s)</v>
      </c>
      <c r="L267" s="240">
        <v>44504</v>
      </c>
      <c r="M267" s="240">
        <v>42629</v>
      </c>
      <c r="N267" s="241"/>
      <c r="O267" s="193" t="s">
        <v>2022</v>
      </c>
      <c r="P267" s="242" t="s">
        <v>2848</v>
      </c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25.5" customHeight="1">
      <c r="A268" s="190">
        <v>260</v>
      </c>
      <c r="B268" s="190" t="s">
        <v>28</v>
      </c>
      <c r="C268" s="190" t="s">
        <v>3123</v>
      </c>
      <c r="D268" s="190" t="s">
        <v>3236</v>
      </c>
      <c r="E268" s="237" t="s">
        <v>973</v>
      </c>
      <c r="F268" s="237" t="s">
        <v>1341</v>
      </c>
      <c r="G268" s="237" t="s">
        <v>3237</v>
      </c>
      <c r="H268" s="238"/>
      <c r="I268" s="239" t="str">
        <f t="shared" si="10"/>
        <v>31 years, 3 month(s), 19 day(s)</v>
      </c>
      <c r="J268" s="240">
        <v>34710</v>
      </c>
      <c r="K268" s="239" t="str">
        <f t="shared" si="9"/>
        <v>6 years, 3 month(s), 0 day(s)</v>
      </c>
      <c r="L268" s="240">
        <v>43860</v>
      </c>
      <c r="M268" s="241"/>
      <c r="N268" s="241"/>
      <c r="O268" s="193" t="s">
        <v>1348</v>
      </c>
      <c r="P268" s="242" t="s">
        <v>3007</v>
      </c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25.5" customHeight="1">
      <c r="A269" s="190">
        <v>261</v>
      </c>
      <c r="B269" s="190" t="s">
        <v>1043</v>
      </c>
      <c r="C269" s="190" t="s">
        <v>3123</v>
      </c>
      <c r="D269" s="190">
        <v>151030</v>
      </c>
      <c r="E269" s="237" t="s">
        <v>1044</v>
      </c>
      <c r="F269" s="237" t="s">
        <v>1045</v>
      </c>
      <c r="G269" s="237" t="s">
        <v>1046</v>
      </c>
      <c r="H269" s="238"/>
      <c r="I269" s="239" t="str">
        <f t="shared" si="10"/>
        <v>50 years, 3 month(s), 23 day(s)</v>
      </c>
      <c r="J269" s="240">
        <v>27766</v>
      </c>
      <c r="K269" s="239" t="str">
        <f t="shared" si="9"/>
        <v>22 years, 9 month(s), 2 day(s)</v>
      </c>
      <c r="L269" s="240">
        <v>37830</v>
      </c>
      <c r="M269" s="241"/>
      <c r="N269" s="241"/>
      <c r="O269" s="193" t="s">
        <v>190</v>
      </c>
      <c r="P269" s="242" t="s">
        <v>2841</v>
      </c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25.5" customHeight="1">
      <c r="A270" s="190">
        <v>262</v>
      </c>
      <c r="B270" s="190" t="s">
        <v>28</v>
      </c>
      <c r="C270" s="190" t="s">
        <v>3123</v>
      </c>
      <c r="D270" s="190">
        <v>339472</v>
      </c>
      <c r="E270" s="237" t="s">
        <v>608</v>
      </c>
      <c r="F270" s="237" t="s">
        <v>609</v>
      </c>
      <c r="G270" s="237" t="s">
        <v>610</v>
      </c>
      <c r="H270" s="243" t="s">
        <v>268</v>
      </c>
      <c r="I270" s="239" t="str">
        <f t="shared" si="10"/>
        <v>35 years, 9 month(s), 3 day(s)</v>
      </c>
      <c r="J270" s="240">
        <v>33081</v>
      </c>
      <c r="K270" s="239" t="str">
        <f t="shared" si="9"/>
        <v>6 years, 6 month(s), 9 day(s)</v>
      </c>
      <c r="L270" s="240">
        <v>43759</v>
      </c>
      <c r="M270" s="241"/>
      <c r="N270" s="241"/>
      <c r="O270" s="193" t="s">
        <v>607</v>
      </c>
      <c r="P270" s="242" t="s">
        <v>2849</v>
      </c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25.5" customHeight="1">
      <c r="A271" s="190">
        <v>263</v>
      </c>
      <c r="B271" s="190" t="s">
        <v>40</v>
      </c>
      <c r="C271" s="190" t="s">
        <v>3123</v>
      </c>
      <c r="D271" s="190">
        <v>6</v>
      </c>
      <c r="E271" s="237" t="s">
        <v>3094</v>
      </c>
      <c r="F271" s="237" t="s">
        <v>3095</v>
      </c>
      <c r="G271" s="237" t="s">
        <v>3096</v>
      </c>
      <c r="H271" s="238"/>
      <c r="I271" s="239" t="str">
        <f t="shared" si="10"/>
        <v>24 years, 10 month(s), 29 day(s)</v>
      </c>
      <c r="J271" s="240">
        <v>37043</v>
      </c>
      <c r="K271" s="239" t="str">
        <f t="shared" si="9"/>
        <v>0 years, 2 month(s), 14 day(s)</v>
      </c>
      <c r="L271" s="240">
        <v>46069</v>
      </c>
      <c r="M271" s="241"/>
      <c r="N271" s="241"/>
      <c r="O271" s="193" t="s">
        <v>1804</v>
      </c>
      <c r="P271" s="242" t="s">
        <v>2830</v>
      </c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25.5" customHeight="1">
      <c r="A272" s="190">
        <v>264</v>
      </c>
      <c r="B272" s="190" t="s">
        <v>24</v>
      </c>
      <c r="C272" s="190" t="s">
        <v>3123</v>
      </c>
      <c r="D272" s="190">
        <v>311634</v>
      </c>
      <c r="E272" s="237" t="s">
        <v>1172</v>
      </c>
      <c r="F272" s="237" t="s">
        <v>1173</v>
      </c>
      <c r="G272" s="237" t="s">
        <v>1174</v>
      </c>
      <c r="H272" s="238"/>
      <c r="I272" s="239" t="str">
        <f t="shared" si="10"/>
        <v>35 years, 8 month(s), 1 day(s)</v>
      </c>
      <c r="J272" s="240">
        <v>33114</v>
      </c>
      <c r="K272" s="239" t="str">
        <f t="shared" si="9"/>
        <v>8 years, 7 month(s), 14 day(s)</v>
      </c>
      <c r="L272" s="240">
        <v>42994</v>
      </c>
      <c r="M272" s="241"/>
      <c r="N272" s="241"/>
      <c r="O272" s="193" t="s">
        <v>1065</v>
      </c>
      <c r="P272" s="242" t="s">
        <v>2854</v>
      </c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25.5" customHeight="1">
      <c r="A273" s="190">
        <v>265</v>
      </c>
      <c r="B273" s="190" t="s">
        <v>40</v>
      </c>
      <c r="C273" s="190" t="s">
        <v>3123</v>
      </c>
      <c r="D273" s="190">
        <v>9</v>
      </c>
      <c r="E273" s="237" t="s">
        <v>164</v>
      </c>
      <c r="F273" s="237" t="s">
        <v>165</v>
      </c>
      <c r="G273" s="237" t="s">
        <v>166</v>
      </c>
      <c r="H273" s="238"/>
      <c r="I273" s="239" t="str">
        <f t="shared" si="10"/>
        <v>61 years, 8 month(s), 27 day(s)</v>
      </c>
      <c r="J273" s="240">
        <v>23592</v>
      </c>
      <c r="K273" s="239" t="str">
        <f t="shared" si="9"/>
        <v>34 years, 3 month(s), 29 day(s)</v>
      </c>
      <c r="L273" s="240">
        <v>33604</v>
      </c>
      <c r="M273" s="241"/>
      <c r="N273" s="241"/>
      <c r="O273" s="193" t="s">
        <v>3238</v>
      </c>
      <c r="P273" s="242" t="s">
        <v>2844</v>
      </c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25.5" customHeight="1">
      <c r="A274" s="190">
        <v>266</v>
      </c>
      <c r="B274" s="190" t="s">
        <v>366</v>
      </c>
      <c r="C274" s="190" t="s">
        <v>3123</v>
      </c>
      <c r="D274" s="190">
        <v>196800</v>
      </c>
      <c r="E274" s="237" t="s">
        <v>1732</v>
      </c>
      <c r="F274" s="237" t="s">
        <v>1733</v>
      </c>
      <c r="G274" s="237" t="s">
        <v>1734</v>
      </c>
      <c r="H274" s="238"/>
      <c r="I274" s="239" t="str">
        <f t="shared" si="10"/>
        <v>43 years, 8 month(s), 3 day(s)</v>
      </c>
      <c r="J274" s="240">
        <v>30190</v>
      </c>
      <c r="K274" s="239" t="str">
        <f t="shared" si="9"/>
        <v>26 years, 9 month(s), 29 day(s)</v>
      </c>
      <c r="L274" s="240">
        <v>36342</v>
      </c>
      <c r="M274" s="241"/>
      <c r="N274" s="241"/>
      <c r="O274" s="193" t="s">
        <v>1486</v>
      </c>
      <c r="P274" s="242" t="s">
        <v>2802</v>
      </c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25.5" customHeight="1">
      <c r="A275" s="190">
        <v>267</v>
      </c>
      <c r="B275" s="190" t="s">
        <v>96</v>
      </c>
      <c r="C275" s="190" t="s">
        <v>3123</v>
      </c>
      <c r="D275" s="190" t="s">
        <v>3239</v>
      </c>
      <c r="E275" s="237" t="s">
        <v>532</v>
      </c>
      <c r="F275" s="237" t="s">
        <v>533</v>
      </c>
      <c r="G275" s="237" t="s">
        <v>534</v>
      </c>
      <c r="H275" s="238"/>
      <c r="I275" s="239" t="str">
        <f t="shared" si="10"/>
        <v>35 years, 10 month(s), 20 day(s)</v>
      </c>
      <c r="J275" s="240">
        <v>33034</v>
      </c>
      <c r="K275" s="239" t="str">
        <f t="shared" si="9"/>
        <v>4 years, 5 month(s), 26 day(s)</v>
      </c>
      <c r="L275" s="240">
        <v>44504</v>
      </c>
      <c r="M275" s="240">
        <v>43759</v>
      </c>
      <c r="N275" s="241"/>
      <c r="O275" s="193" t="s">
        <v>531</v>
      </c>
      <c r="P275" s="242" t="s">
        <v>2848</v>
      </c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25.5" customHeight="1">
      <c r="A276" s="190">
        <v>268</v>
      </c>
      <c r="B276" s="190" t="s">
        <v>24</v>
      </c>
      <c r="C276" s="190" t="s">
        <v>3123</v>
      </c>
      <c r="D276" s="190">
        <v>311635</v>
      </c>
      <c r="E276" s="237" t="s">
        <v>2163</v>
      </c>
      <c r="F276" s="237" t="s">
        <v>3240</v>
      </c>
      <c r="G276" s="237" t="s">
        <v>2165</v>
      </c>
      <c r="H276" s="238"/>
      <c r="I276" s="239" t="str">
        <f t="shared" si="10"/>
        <v>37 years, 5 month(s), 16 day(s)</v>
      </c>
      <c r="J276" s="240">
        <v>32461</v>
      </c>
      <c r="K276" s="239" t="str">
        <f t="shared" si="9"/>
        <v>8 years, 7 month(s), 14 day(s)</v>
      </c>
      <c r="L276" s="240">
        <v>42994</v>
      </c>
      <c r="M276" s="241"/>
      <c r="N276" s="241"/>
      <c r="O276" s="193" t="s">
        <v>2136</v>
      </c>
      <c r="P276" s="242" t="s">
        <v>2849</v>
      </c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25.5" customHeight="1">
      <c r="A277" s="190">
        <v>269</v>
      </c>
      <c r="B277" s="190" t="s">
        <v>40</v>
      </c>
      <c r="C277" s="190" t="s">
        <v>3123</v>
      </c>
      <c r="D277" s="190">
        <v>7</v>
      </c>
      <c r="E277" s="237" t="s">
        <v>866</v>
      </c>
      <c r="F277" s="237" t="s">
        <v>867</v>
      </c>
      <c r="G277" s="237" t="s">
        <v>868</v>
      </c>
      <c r="H277" s="238"/>
      <c r="I277" s="239" t="str">
        <f t="shared" si="10"/>
        <v>45 years, 7 month(s), 6 day(s)</v>
      </c>
      <c r="J277" s="240">
        <v>29488</v>
      </c>
      <c r="K277" s="239" t="str">
        <f t="shared" si="9"/>
        <v>5 years, 3 month(s), 3 day(s)</v>
      </c>
      <c r="L277" s="240">
        <v>44223</v>
      </c>
      <c r="M277" s="241"/>
      <c r="N277" s="241"/>
      <c r="O277" s="193" t="s">
        <v>837</v>
      </c>
      <c r="P277" s="242" t="s">
        <v>2762</v>
      </c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25.5" customHeight="1">
      <c r="A278" s="190">
        <v>270</v>
      </c>
      <c r="B278" s="190" t="s">
        <v>28</v>
      </c>
      <c r="C278" s="190" t="s">
        <v>3123</v>
      </c>
      <c r="D278" s="190">
        <v>339448</v>
      </c>
      <c r="E278" s="237" t="s">
        <v>436</v>
      </c>
      <c r="F278" s="237" t="s">
        <v>437</v>
      </c>
      <c r="G278" s="237" t="s">
        <v>438</v>
      </c>
      <c r="H278" s="238"/>
      <c r="I278" s="239" t="str">
        <f t="shared" si="10"/>
        <v>30 years, 5 month(s), 9 day(s)</v>
      </c>
      <c r="J278" s="240">
        <v>35024</v>
      </c>
      <c r="K278" s="239" t="str">
        <f t="shared" si="9"/>
        <v>6 years, 6 month(s), 9 day(s)</v>
      </c>
      <c r="L278" s="240">
        <v>43759</v>
      </c>
      <c r="M278" s="241"/>
      <c r="N278" s="241"/>
      <c r="O278" s="193" t="s">
        <v>3020</v>
      </c>
      <c r="P278" s="242" t="s">
        <v>3021</v>
      </c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25.5" customHeight="1">
      <c r="A279" s="190">
        <v>271</v>
      </c>
      <c r="B279" s="190" t="s">
        <v>96</v>
      </c>
      <c r="C279" s="190" t="s">
        <v>3123</v>
      </c>
      <c r="D279" s="190" t="s">
        <v>3241</v>
      </c>
      <c r="E279" s="237" t="s">
        <v>759</v>
      </c>
      <c r="F279" s="237" t="s">
        <v>124</v>
      </c>
      <c r="G279" s="237" t="s">
        <v>760</v>
      </c>
      <c r="H279" s="238"/>
      <c r="I279" s="239" t="str">
        <f t="shared" si="10"/>
        <v>44 years, 1 month(s), 5 day(s)</v>
      </c>
      <c r="J279" s="240">
        <v>30035</v>
      </c>
      <c r="K279" s="239" t="str">
        <f t="shared" si="9"/>
        <v>4 years, 7 month(s), 14 day(s)</v>
      </c>
      <c r="L279" s="240">
        <v>44455</v>
      </c>
      <c r="M279" s="240">
        <v>40709</v>
      </c>
      <c r="N279" s="241"/>
      <c r="O279" s="193" t="s">
        <v>3242</v>
      </c>
      <c r="P279" s="242" t="s">
        <v>2848</v>
      </c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25.5" customHeight="1">
      <c r="A280" s="190">
        <v>272</v>
      </c>
      <c r="B280" s="190" t="s">
        <v>246</v>
      </c>
      <c r="C280" s="190" t="s">
        <v>3123</v>
      </c>
      <c r="D280" s="190" t="s">
        <v>3243</v>
      </c>
      <c r="E280" s="237" t="s">
        <v>1494</v>
      </c>
      <c r="F280" s="237" t="s">
        <v>690</v>
      </c>
      <c r="G280" s="237" t="s">
        <v>1495</v>
      </c>
      <c r="H280" s="243" t="s">
        <v>268</v>
      </c>
      <c r="I280" s="239" t="str">
        <f t="shared" si="10"/>
        <v>33 years, 0 month(s), 3 day(s)</v>
      </c>
      <c r="J280" s="240">
        <v>34086</v>
      </c>
      <c r="K280" s="239" t="str">
        <f t="shared" si="9"/>
        <v>6 years, 6 month(s), 9 day(s)</v>
      </c>
      <c r="L280" s="240">
        <v>43759</v>
      </c>
      <c r="M280" s="241"/>
      <c r="N280" s="241"/>
      <c r="O280" s="193" t="s">
        <v>398</v>
      </c>
      <c r="P280" s="242" t="s">
        <v>2848</v>
      </c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25.5" customHeight="1">
      <c r="A281" s="190">
        <v>273</v>
      </c>
      <c r="B281" s="190" t="s">
        <v>28</v>
      </c>
      <c r="C281" s="190" t="s">
        <v>3123</v>
      </c>
      <c r="D281" s="190">
        <v>376404</v>
      </c>
      <c r="E281" s="237" t="s">
        <v>984</v>
      </c>
      <c r="F281" s="237" t="s">
        <v>985</v>
      </c>
      <c r="G281" s="237" t="s">
        <v>986</v>
      </c>
      <c r="H281" s="238"/>
      <c r="I281" s="239" t="str">
        <f t="shared" si="10"/>
        <v>27 years, 9 month(s), 29 day(s)</v>
      </c>
      <c r="J281" s="240">
        <v>35977</v>
      </c>
      <c r="K281" s="239" t="str">
        <f t="shared" si="9"/>
        <v>3 years, 4 month(s), 3 day(s)</v>
      </c>
      <c r="L281" s="240">
        <v>44922</v>
      </c>
      <c r="M281" s="241"/>
      <c r="N281" s="241"/>
      <c r="O281" s="193" t="s">
        <v>1065</v>
      </c>
      <c r="P281" s="242" t="s">
        <v>2854</v>
      </c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25.5" customHeight="1">
      <c r="A282" s="190">
        <v>274</v>
      </c>
      <c r="B282" s="190" t="s">
        <v>277</v>
      </c>
      <c r="C282" s="190" t="s">
        <v>3123</v>
      </c>
      <c r="D282" s="190">
        <v>191515</v>
      </c>
      <c r="E282" s="237" t="s">
        <v>2154</v>
      </c>
      <c r="F282" s="237" t="s">
        <v>3244</v>
      </c>
      <c r="G282" s="237" t="s">
        <v>2156</v>
      </c>
      <c r="H282" s="238"/>
      <c r="I282" s="239" t="str">
        <f t="shared" si="10"/>
        <v>45 years, 6 month(s), 17 day(s)</v>
      </c>
      <c r="J282" s="240">
        <v>29507</v>
      </c>
      <c r="K282" s="239" t="str">
        <f t="shared" si="9"/>
        <v>17 years, 4 month(s), 15 day(s)</v>
      </c>
      <c r="L282" s="240">
        <v>39797</v>
      </c>
      <c r="M282" s="241"/>
      <c r="N282" s="241"/>
      <c r="O282" s="193" t="s">
        <v>2136</v>
      </c>
      <c r="P282" s="242" t="s">
        <v>2849</v>
      </c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25.5" customHeight="1">
      <c r="A283" s="190">
        <v>275</v>
      </c>
      <c r="B283" s="190" t="s">
        <v>28</v>
      </c>
      <c r="C283" s="190" t="s">
        <v>3123</v>
      </c>
      <c r="D283" s="190">
        <v>375619</v>
      </c>
      <c r="E283" s="237" t="s">
        <v>1748</v>
      </c>
      <c r="F283" s="237" t="s">
        <v>3245</v>
      </c>
      <c r="G283" s="237" t="s">
        <v>1750</v>
      </c>
      <c r="H283" s="238"/>
      <c r="I283" s="239" t="str">
        <f t="shared" si="10"/>
        <v>27 years, 9 month(s), 7 day(s)</v>
      </c>
      <c r="J283" s="240">
        <v>35999</v>
      </c>
      <c r="K283" s="239" t="str">
        <f t="shared" si="9"/>
        <v>3 years, 5 month(s), 16 day(s)</v>
      </c>
      <c r="L283" s="240">
        <v>44879</v>
      </c>
      <c r="M283" s="241"/>
      <c r="N283" s="241"/>
      <c r="O283" s="193" t="s">
        <v>1740</v>
      </c>
      <c r="P283" s="242" t="s">
        <v>3085</v>
      </c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25.5" customHeight="1">
      <c r="A284" s="190">
        <v>276</v>
      </c>
      <c r="B284" s="190" t="s">
        <v>96</v>
      </c>
      <c r="C284" s="190" t="s">
        <v>3123</v>
      </c>
      <c r="D284" s="190" t="s">
        <v>3246</v>
      </c>
      <c r="E284" s="237" t="s">
        <v>634</v>
      </c>
      <c r="F284" s="237" t="s">
        <v>635</v>
      </c>
      <c r="G284" s="237" t="s">
        <v>636</v>
      </c>
      <c r="H284" s="238"/>
      <c r="I284" s="239" t="str">
        <f t="shared" si="10"/>
        <v>35 years, 1 month(s), 9 day(s)</v>
      </c>
      <c r="J284" s="240">
        <v>33318</v>
      </c>
      <c r="K284" s="239" t="str">
        <f t="shared" si="9"/>
        <v>6 years, 6 month(s), 9 day(s)</v>
      </c>
      <c r="L284" s="240">
        <v>43759</v>
      </c>
      <c r="M284" s="241"/>
      <c r="N284" s="241"/>
      <c r="O284" s="193" t="s">
        <v>3247</v>
      </c>
      <c r="P284" s="242" t="s">
        <v>2848</v>
      </c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25.5" customHeight="1">
      <c r="A285" s="190">
        <v>277</v>
      </c>
      <c r="B285" s="190" t="s">
        <v>28</v>
      </c>
      <c r="C285" s="190" t="s">
        <v>3123</v>
      </c>
      <c r="D285" s="190">
        <v>376405</v>
      </c>
      <c r="E285" s="237" t="s">
        <v>2132</v>
      </c>
      <c r="F285" s="237" t="s">
        <v>1298</v>
      </c>
      <c r="G285" s="237" t="s">
        <v>2133</v>
      </c>
      <c r="H285" s="243" t="s">
        <v>268</v>
      </c>
      <c r="I285" s="239" t="str">
        <f t="shared" si="10"/>
        <v>28 years, 3 month(s), 21 day(s)</v>
      </c>
      <c r="J285" s="240">
        <v>35804</v>
      </c>
      <c r="K285" s="239" t="str">
        <f t="shared" si="9"/>
        <v>3 years, 4 month(s), 3 day(s)</v>
      </c>
      <c r="L285" s="240">
        <v>44922</v>
      </c>
      <c r="M285" s="241"/>
      <c r="N285" s="241"/>
      <c r="O285" s="244" t="s">
        <v>2088</v>
      </c>
      <c r="P285" s="242" t="s">
        <v>2849</v>
      </c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25.5" customHeight="1">
      <c r="A286" s="190">
        <v>278</v>
      </c>
      <c r="B286" s="190" t="s">
        <v>96</v>
      </c>
      <c r="C286" s="190" t="s">
        <v>3123</v>
      </c>
      <c r="D286" s="190" t="s">
        <v>3248</v>
      </c>
      <c r="E286" s="237" t="s">
        <v>2201</v>
      </c>
      <c r="F286" s="237" t="s">
        <v>2202</v>
      </c>
      <c r="G286" s="237" t="s">
        <v>2203</v>
      </c>
      <c r="H286" s="238"/>
      <c r="I286" s="239" t="str">
        <f t="shared" si="10"/>
        <v>40 years, 11 month(s), 20 day(s)</v>
      </c>
      <c r="J286" s="240">
        <v>31177</v>
      </c>
      <c r="K286" s="239" t="str">
        <f t="shared" si="9"/>
        <v>4 years, 7 month(s), 14 day(s)</v>
      </c>
      <c r="L286" s="240">
        <v>44455</v>
      </c>
      <c r="M286" s="241"/>
      <c r="N286" s="240">
        <v>43853</v>
      </c>
      <c r="O286" s="193" t="s">
        <v>2870</v>
      </c>
      <c r="P286" s="242" t="s">
        <v>2848</v>
      </c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25.5" customHeight="1">
      <c r="A287" s="190">
        <v>279</v>
      </c>
      <c r="B287" s="190" t="s">
        <v>366</v>
      </c>
      <c r="C287" s="190" t="s">
        <v>3123</v>
      </c>
      <c r="D287" s="190">
        <v>203700</v>
      </c>
      <c r="E287" s="237" t="s">
        <v>2354</v>
      </c>
      <c r="F287" s="237" t="s">
        <v>2355</v>
      </c>
      <c r="G287" s="237" t="s">
        <v>2356</v>
      </c>
      <c r="H287" s="238"/>
      <c r="I287" s="239" t="str">
        <f t="shared" si="10"/>
        <v>42 years, 9 month(s), 9 day(s)</v>
      </c>
      <c r="J287" s="240">
        <v>30518</v>
      </c>
      <c r="K287" s="239" t="str">
        <f t="shared" si="9"/>
        <v>16 years, 2 month(s), 29 day(s)</v>
      </c>
      <c r="L287" s="240">
        <v>40210</v>
      </c>
      <c r="M287" s="241"/>
      <c r="N287" s="241"/>
      <c r="O287" s="189" t="s">
        <v>2348</v>
      </c>
      <c r="P287" s="242" t="s">
        <v>2849</v>
      </c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25.5" customHeight="1">
      <c r="A288" s="190">
        <v>280</v>
      </c>
      <c r="B288" s="190" t="s">
        <v>40</v>
      </c>
      <c r="C288" s="190" t="s">
        <v>3123</v>
      </c>
      <c r="D288" s="190">
        <v>6</v>
      </c>
      <c r="E288" s="237" t="s">
        <v>1000</v>
      </c>
      <c r="F288" s="237" t="s">
        <v>1001</v>
      </c>
      <c r="G288" s="237" t="s">
        <v>1002</v>
      </c>
      <c r="H288" s="238"/>
      <c r="I288" s="239" t="str">
        <f t="shared" si="10"/>
        <v>45 years, 1 month(s), 20 day(s)</v>
      </c>
      <c r="J288" s="240">
        <v>29655</v>
      </c>
      <c r="K288" s="239" t="str">
        <f t="shared" si="9"/>
        <v>3 years, 5 month(s), 29 day(s)</v>
      </c>
      <c r="L288" s="240">
        <v>44866</v>
      </c>
      <c r="M288" s="241"/>
      <c r="N288" s="241"/>
      <c r="O288" s="193" t="s">
        <v>965</v>
      </c>
      <c r="P288" s="242" t="s">
        <v>2705</v>
      </c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25.5" customHeight="1">
      <c r="A289" s="190">
        <v>281</v>
      </c>
      <c r="B289" s="190" t="s">
        <v>28</v>
      </c>
      <c r="C289" s="190" t="s">
        <v>3123</v>
      </c>
      <c r="D289" s="190">
        <v>375620</v>
      </c>
      <c r="E289" s="237" t="s">
        <v>2546</v>
      </c>
      <c r="F289" s="237" t="s">
        <v>2547</v>
      </c>
      <c r="G289" s="237" t="s">
        <v>2548</v>
      </c>
      <c r="H289" s="238"/>
      <c r="I289" s="239" t="str">
        <f t="shared" si="10"/>
        <v>29 years, 3 month(s), 9 day(s)</v>
      </c>
      <c r="J289" s="240">
        <v>35451</v>
      </c>
      <c r="K289" s="239" t="str">
        <f t="shared" si="9"/>
        <v>3 years, 5 month(s), 16 day(s)</v>
      </c>
      <c r="L289" s="240">
        <v>44879</v>
      </c>
      <c r="M289" s="241"/>
      <c r="N289" s="241"/>
      <c r="O289" s="193" t="s">
        <v>2525</v>
      </c>
      <c r="P289" s="242" t="s">
        <v>2849</v>
      </c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25.5" customHeight="1">
      <c r="A290" s="190">
        <v>282</v>
      </c>
      <c r="B290" s="190" t="s">
        <v>40</v>
      </c>
      <c r="C290" s="190" t="s">
        <v>3123</v>
      </c>
      <c r="D290" s="190">
        <v>7</v>
      </c>
      <c r="E290" s="237" t="s">
        <v>1535</v>
      </c>
      <c r="F290" s="237" t="s">
        <v>1536</v>
      </c>
      <c r="G290" s="237" t="s">
        <v>93</v>
      </c>
      <c r="H290" s="238"/>
      <c r="I290" s="239" t="str">
        <f t="shared" si="10"/>
        <v>46 years, 8 month(s), 19 day(s)</v>
      </c>
      <c r="J290" s="240">
        <v>29078</v>
      </c>
      <c r="K290" s="239" t="str">
        <f t="shared" si="9"/>
        <v>0 years, 1 month(s), 13 day(s)</v>
      </c>
      <c r="L290" s="240">
        <v>46098</v>
      </c>
      <c r="M290" s="241"/>
      <c r="N290" s="241"/>
      <c r="O290" s="193" t="s">
        <v>1486</v>
      </c>
      <c r="P290" s="242" t="s">
        <v>2680</v>
      </c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25.5" customHeight="1">
      <c r="A291" s="190">
        <v>283</v>
      </c>
      <c r="B291" s="190" t="s">
        <v>40</v>
      </c>
      <c r="C291" s="190" t="s">
        <v>3123</v>
      </c>
      <c r="D291" s="190">
        <v>7</v>
      </c>
      <c r="E291" s="237" t="s">
        <v>909</v>
      </c>
      <c r="F291" s="237" t="s">
        <v>910</v>
      </c>
      <c r="G291" s="237" t="s">
        <v>911</v>
      </c>
      <c r="H291" s="238"/>
      <c r="I291" s="239" t="str">
        <f t="shared" si="10"/>
        <v>58 years, 1 month(s), 26 day(s)</v>
      </c>
      <c r="J291" s="240">
        <v>24901</v>
      </c>
      <c r="K291" s="239" t="str">
        <f t="shared" si="9"/>
        <v>9 years, 11 month(s), 20 day(s)</v>
      </c>
      <c r="L291" s="240">
        <v>42500</v>
      </c>
      <c r="M291" s="241"/>
      <c r="N291" s="241"/>
      <c r="O291" s="193" t="s">
        <v>891</v>
      </c>
      <c r="P291" s="242" t="s">
        <v>2957</v>
      </c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25.5" customHeight="1">
      <c r="A292" s="190">
        <v>284</v>
      </c>
      <c r="B292" s="190" t="s">
        <v>28</v>
      </c>
      <c r="C292" s="190" t="s">
        <v>3123</v>
      </c>
      <c r="D292" s="190">
        <v>375979</v>
      </c>
      <c r="E292" s="237" t="s">
        <v>1252</v>
      </c>
      <c r="F292" s="237" t="s">
        <v>1253</v>
      </c>
      <c r="G292" s="237" t="s">
        <v>311</v>
      </c>
      <c r="H292" s="243" t="s">
        <v>268</v>
      </c>
      <c r="I292" s="239" t="str">
        <f t="shared" si="10"/>
        <v>29 years, 5 month(s), 5 day(s)</v>
      </c>
      <c r="J292" s="240">
        <v>35394</v>
      </c>
      <c r="K292" s="239" t="str">
        <f t="shared" si="9"/>
        <v>3 years, 4 month(s), 25 day(s)</v>
      </c>
      <c r="L292" s="240">
        <v>44900</v>
      </c>
      <c r="M292" s="241"/>
      <c r="N292" s="241"/>
      <c r="O292" s="193" t="s">
        <v>1229</v>
      </c>
      <c r="P292" s="242" t="s">
        <v>2854</v>
      </c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25.5" customHeight="1">
      <c r="A293" s="190">
        <v>285</v>
      </c>
      <c r="B293" s="190" t="s">
        <v>40</v>
      </c>
      <c r="C293" s="190" t="s">
        <v>3123</v>
      </c>
      <c r="D293" s="190">
        <v>7</v>
      </c>
      <c r="E293" s="237" t="s">
        <v>2915</v>
      </c>
      <c r="F293" s="237" t="s">
        <v>2916</v>
      </c>
      <c r="G293" s="237" t="s">
        <v>2917</v>
      </c>
      <c r="H293" s="238"/>
      <c r="I293" s="239" t="str">
        <f t="shared" si="10"/>
        <v>26 years, 4 month(s), 6 day(s)</v>
      </c>
      <c r="J293" s="240">
        <v>36518</v>
      </c>
      <c r="K293" s="239" t="str">
        <f ca="1">DATEDIF(L293,TODAY(),"y")&amp;" years, "&amp;DATEDIF(L293,TODAY(),"ym")&amp;" month(s), "&amp;DATEDIF(L293,TODAY(),"md")&amp;" day(s)"</f>
        <v>0 years, 1 month(s), 3 day(s)</v>
      </c>
      <c r="L293" s="240">
        <v>46239</v>
      </c>
      <c r="M293" s="241"/>
      <c r="N293" s="241"/>
      <c r="O293" s="258" t="s">
        <v>1396</v>
      </c>
      <c r="P293" s="246" t="s">
        <v>2714</v>
      </c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25.5" customHeight="1">
      <c r="A294" s="190">
        <v>286</v>
      </c>
      <c r="B294" s="190" t="s">
        <v>253</v>
      </c>
      <c r="C294" s="190" t="s">
        <v>3123</v>
      </c>
      <c r="D294" s="190" t="s">
        <v>3249</v>
      </c>
      <c r="E294" s="237" t="s">
        <v>2459</v>
      </c>
      <c r="F294" s="237" t="s">
        <v>2460</v>
      </c>
      <c r="G294" s="237" t="s">
        <v>636</v>
      </c>
      <c r="H294" s="243" t="s">
        <v>1105</v>
      </c>
      <c r="I294" s="239" t="str">
        <f t="shared" si="10"/>
        <v>34 years, 10 month(s), 7 day(s)</v>
      </c>
      <c r="J294" s="240">
        <v>33412</v>
      </c>
      <c r="K294" s="239" t="str">
        <f t="shared" ref="K294:K357" si="11">DATEDIF(L294,DATE(2026,4,30),"y")&amp;" years, "&amp;DATEDIF(L294,DATE(2026,4,30),"ym")&amp;" month(s), "&amp;DATEDIF(L294,DATE(2026,4,30),"md")&amp;" day(s)"</f>
        <v>7 years, 1 month(s), 12 day(s)</v>
      </c>
      <c r="L294" s="240">
        <v>43542</v>
      </c>
      <c r="M294" s="241"/>
      <c r="N294" s="241"/>
      <c r="O294" s="193" t="s">
        <v>2458</v>
      </c>
      <c r="P294" s="242" t="s">
        <v>2848</v>
      </c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25.5" customHeight="1">
      <c r="A295" s="190">
        <v>287</v>
      </c>
      <c r="B295" s="190" t="s">
        <v>40</v>
      </c>
      <c r="C295" s="190" t="s">
        <v>3123</v>
      </c>
      <c r="D295" s="190">
        <v>11</v>
      </c>
      <c r="E295" s="237" t="s">
        <v>1383</v>
      </c>
      <c r="F295" s="237" t="s">
        <v>1851</v>
      </c>
      <c r="G295" s="237" t="s">
        <v>1852</v>
      </c>
      <c r="H295" s="238"/>
      <c r="I295" s="239" t="str">
        <f t="shared" si="10"/>
        <v>32 years, 0 month(s), 15 day(s)</v>
      </c>
      <c r="J295" s="240">
        <v>34439</v>
      </c>
      <c r="K295" s="239" t="str">
        <f t="shared" si="11"/>
        <v>9 years, 0 month(s), 20 day(s)</v>
      </c>
      <c r="L295" s="240">
        <v>42835</v>
      </c>
      <c r="M295" s="241"/>
      <c r="N295" s="241"/>
      <c r="O295" s="193" t="s">
        <v>1844</v>
      </c>
      <c r="P295" s="242" t="s">
        <v>2735</v>
      </c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25.5" customHeight="1">
      <c r="A296" s="190">
        <v>288</v>
      </c>
      <c r="B296" s="190" t="s">
        <v>40</v>
      </c>
      <c r="C296" s="190" t="s">
        <v>3123</v>
      </c>
      <c r="D296" s="190">
        <v>16</v>
      </c>
      <c r="E296" s="237" t="s">
        <v>1383</v>
      </c>
      <c r="F296" s="237" t="s">
        <v>1384</v>
      </c>
      <c r="G296" s="237" t="s">
        <v>1061</v>
      </c>
      <c r="H296" s="238"/>
      <c r="I296" s="239" t="str">
        <f t="shared" si="10"/>
        <v>30 years, 11 month(s), 23 day(s)</v>
      </c>
      <c r="J296" s="240">
        <v>34826</v>
      </c>
      <c r="K296" s="239" t="str">
        <f t="shared" si="11"/>
        <v>9 years, 11 month(s), 20 day(s)</v>
      </c>
      <c r="L296" s="240">
        <v>42500</v>
      </c>
      <c r="M296" s="241"/>
      <c r="N296" s="241"/>
      <c r="O296" s="193" t="s">
        <v>1368</v>
      </c>
      <c r="P296" s="242" t="s">
        <v>2736</v>
      </c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25.5" customHeight="1">
      <c r="A297" s="190">
        <v>289</v>
      </c>
      <c r="B297" s="190" t="s">
        <v>366</v>
      </c>
      <c r="C297" s="190" t="s">
        <v>3123</v>
      </c>
      <c r="D297" s="190">
        <v>196809</v>
      </c>
      <c r="E297" s="237" t="s">
        <v>1590</v>
      </c>
      <c r="F297" s="237" t="s">
        <v>2359</v>
      </c>
      <c r="G297" s="237" t="s">
        <v>2360</v>
      </c>
      <c r="H297" s="238"/>
      <c r="I297" s="239" t="str">
        <f t="shared" si="10"/>
        <v>42 years, 7 month(s), 9 day(s)</v>
      </c>
      <c r="J297" s="240">
        <v>30580</v>
      </c>
      <c r="K297" s="239" t="str">
        <f t="shared" si="11"/>
        <v>16 years, 9 month(s), 29 day(s)</v>
      </c>
      <c r="L297" s="240">
        <v>39995</v>
      </c>
      <c r="M297" s="241"/>
      <c r="N297" s="241"/>
      <c r="O297" s="193" t="s">
        <v>2348</v>
      </c>
      <c r="P297" s="242" t="s">
        <v>2849</v>
      </c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25.5" customHeight="1">
      <c r="A298" s="190">
        <v>290</v>
      </c>
      <c r="B298" s="190" t="s">
        <v>160</v>
      </c>
      <c r="C298" s="190" t="s">
        <v>3123</v>
      </c>
      <c r="D298" s="190" t="s">
        <v>3250</v>
      </c>
      <c r="E298" s="237" t="s">
        <v>683</v>
      </c>
      <c r="F298" s="237" t="s">
        <v>684</v>
      </c>
      <c r="G298" s="237" t="s">
        <v>685</v>
      </c>
      <c r="H298" s="238"/>
      <c r="I298" s="239" t="str">
        <f t="shared" si="10"/>
        <v>50 years, 6 month(s), 0 day(s)</v>
      </c>
      <c r="J298" s="240">
        <v>27697</v>
      </c>
      <c r="K298" s="239" t="str">
        <f t="shared" si="11"/>
        <v>21 years, 7 month(s), 24 day(s)</v>
      </c>
      <c r="L298" s="240">
        <v>38236</v>
      </c>
      <c r="M298" s="241"/>
      <c r="N298" s="240">
        <v>36879</v>
      </c>
      <c r="O298" s="193" t="s">
        <v>2865</v>
      </c>
      <c r="P298" s="242" t="s">
        <v>2848</v>
      </c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25.5" customHeight="1">
      <c r="A299" s="190">
        <v>291</v>
      </c>
      <c r="B299" s="190" t="s">
        <v>246</v>
      </c>
      <c r="C299" s="190" t="s">
        <v>3123</v>
      </c>
      <c r="D299" s="190" t="s">
        <v>3251</v>
      </c>
      <c r="E299" s="237" t="s">
        <v>289</v>
      </c>
      <c r="F299" s="237" t="s">
        <v>290</v>
      </c>
      <c r="G299" s="237" t="s">
        <v>291</v>
      </c>
      <c r="H299" s="238"/>
      <c r="I299" s="239" t="str">
        <f t="shared" si="10"/>
        <v>32 years, 10 month(s), 21 day(s)</v>
      </c>
      <c r="J299" s="240">
        <v>34129</v>
      </c>
      <c r="K299" s="239" t="str">
        <f t="shared" si="11"/>
        <v>9 years, 9 month(s), 26 day(s)</v>
      </c>
      <c r="L299" s="240">
        <v>42555</v>
      </c>
      <c r="M299" s="241"/>
      <c r="N299" s="241"/>
      <c r="O299" s="193" t="s">
        <v>283</v>
      </c>
      <c r="P299" s="242" t="s">
        <v>2848</v>
      </c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25.5" customHeight="1">
      <c r="A300" s="190">
        <v>292</v>
      </c>
      <c r="B300" s="190" t="s">
        <v>40</v>
      </c>
      <c r="C300" s="190" t="s">
        <v>3123</v>
      </c>
      <c r="D300" s="190">
        <v>6</v>
      </c>
      <c r="E300" s="237" t="s">
        <v>3038</v>
      </c>
      <c r="F300" s="237" t="s">
        <v>3039</v>
      </c>
      <c r="G300" s="237" t="s">
        <v>3040</v>
      </c>
      <c r="H300" s="238"/>
      <c r="I300" s="239" t="str">
        <f t="shared" si="10"/>
        <v>27 years, 1 month(s), 28 day(s)</v>
      </c>
      <c r="J300" s="240">
        <v>36221</v>
      </c>
      <c r="K300" s="239" t="str">
        <f t="shared" si="11"/>
        <v>1 years, 1 month(s), 4 day(s)</v>
      </c>
      <c r="L300" s="240">
        <v>45742</v>
      </c>
      <c r="M300" s="241"/>
      <c r="N300" s="241"/>
      <c r="O300" s="193" t="s">
        <v>1486</v>
      </c>
      <c r="P300" s="242" t="s">
        <v>2830</v>
      </c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25.5" customHeight="1">
      <c r="A301" s="190">
        <v>293</v>
      </c>
      <c r="B301" s="190" t="s">
        <v>28</v>
      </c>
      <c r="C301" s="190" t="s">
        <v>3123</v>
      </c>
      <c r="D301" s="190">
        <v>339475</v>
      </c>
      <c r="E301" s="237" t="s">
        <v>441</v>
      </c>
      <c r="F301" s="237" t="s">
        <v>442</v>
      </c>
      <c r="G301" s="237" t="s">
        <v>443</v>
      </c>
      <c r="H301" s="238"/>
      <c r="I301" s="239" t="str">
        <f t="shared" si="10"/>
        <v>35 years, 6 month(s), 11 day(s)</v>
      </c>
      <c r="J301" s="240">
        <v>33165</v>
      </c>
      <c r="K301" s="239" t="str">
        <f t="shared" si="11"/>
        <v>6 years, 6 month(s), 9 day(s)</v>
      </c>
      <c r="L301" s="240">
        <v>43759</v>
      </c>
      <c r="M301" s="241"/>
      <c r="N301" s="241"/>
      <c r="O301" s="193" t="s">
        <v>3022</v>
      </c>
      <c r="P301" s="242" t="s">
        <v>3252</v>
      </c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25.5" customHeight="1">
      <c r="A302" s="190">
        <v>294</v>
      </c>
      <c r="B302" s="190" t="s">
        <v>40</v>
      </c>
      <c r="C302" s="190" t="s">
        <v>3123</v>
      </c>
      <c r="D302" s="190">
        <v>17</v>
      </c>
      <c r="E302" s="237" t="s">
        <v>563</v>
      </c>
      <c r="F302" s="237" t="s">
        <v>1715</v>
      </c>
      <c r="G302" s="237" t="s">
        <v>1716</v>
      </c>
      <c r="H302" s="238"/>
      <c r="I302" s="239" t="str">
        <f t="shared" si="10"/>
        <v>38 years, 10 month(s), 14 day(s)</v>
      </c>
      <c r="J302" s="240">
        <v>31944</v>
      </c>
      <c r="K302" s="239" t="str">
        <f t="shared" si="11"/>
        <v>13 years, 0 month(s), 5 day(s)</v>
      </c>
      <c r="L302" s="240">
        <v>41389</v>
      </c>
      <c r="M302" s="241"/>
      <c r="N302" s="241"/>
      <c r="O302" s="193" t="s">
        <v>1714</v>
      </c>
      <c r="P302" s="242" t="s">
        <v>2737</v>
      </c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25.5" customHeight="1">
      <c r="A303" s="190">
        <v>295</v>
      </c>
      <c r="B303" s="190" t="s">
        <v>57</v>
      </c>
      <c r="C303" s="190" t="s">
        <v>3123</v>
      </c>
      <c r="D303" s="190">
        <v>207854</v>
      </c>
      <c r="E303" s="237" t="s">
        <v>543</v>
      </c>
      <c r="F303" s="237" t="s">
        <v>544</v>
      </c>
      <c r="G303" s="237" t="s">
        <v>545</v>
      </c>
      <c r="H303" s="238"/>
      <c r="I303" s="239" t="str">
        <f t="shared" si="10"/>
        <v>39 years, 10 month(s), 7 day(s)</v>
      </c>
      <c r="J303" s="240">
        <v>31586</v>
      </c>
      <c r="K303" s="239" t="str">
        <f t="shared" si="11"/>
        <v>15 years, 4 month(s), 29 day(s)</v>
      </c>
      <c r="L303" s="240">
        <v>40513</v>
      </c>
      <c r="M303" s="241"/>
      <c r="N303" s="241"/>
      <c r="O303" s="193" t="s">
        <v>531</v>
      </c>
      <c r="P303" s="242" t="s">
        <v>2849</v>
      </c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25.5" customHeight="1">
      <c r="A304" s="190">
        <v>296</v>
      </c>
      <c r="B304" s="190" t="s">
        <v>40</v>
      </c>
      <c r="C304" s="190" t="s">
        <v>3123</v>
      </c>
      <c r="D304" s="190">
        <v>19</v>
      </c>
      <c r="E304" s="237" t="s">
        <v>543</v>
      </c>
      <c r="F304" s="237" t="s">
        <v>1845</v>
      </c>
      <c r="G304" s="237" t="s">
        <v>1846</v>
      </c>
      <c r="H304" s="238"/>
      <c r="I304" s="239" t="str">
        <f t="shared" si="10"/>
        <v>45 years, 7 month(s), 21 day(s)</v>
      </c>
      <c r="J304" s="240">
        <v>29473</v>
      </c>
      <c r="K304" s="239" t="str">
        <f t="shared" si="11"/>
        <v>22 years, 4 month(s), 29 day(s)</v>
      </c>
      <c r="L304" s="240">
        <v>37956</v>
      </c>
      <c r="M304" s="241"/>
      <c r="N304" s="241"/>
      <c r="O304" s="193" t="s">
        <v>1804</v>
      </c>
      <c r="P304" s="242" t="s">
        <v>3253</v>
      </c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25.5" customHeight="1">
      <c r="A305" s="190">
        <v>297</v>
      </c>
      <c r="B305" s="190" t="s">
        <v>40</v>
      </c>
      <c r="C305" s="190" t="s">
        <v>3123</v>
      </c>
      <c r="D305" s="190">
        <v>7</v>
      </c>
      <c r="E305" s="237" t="s">
        <v>2846</v>
      </c>
      <c r="F305" s="237" t="s">
        <v>2847</v>
      </c>
      <c r="G305" s="237" t="s">
        <v>668</v>
      </c>
      <c r="H305" s="238"/>
      <c r="I305" s="239" t="str">
        <f t="shared" si="10"/>
        <v>41 years, 8 month(s), 24 day(s)</v>
      </c>
      <c r="J305" s="240">
        <v>30900</v>
      </c>
      <c r="K305" s="239" t="str">
        <f t="shared" si="11"/>
        <v>7 years, 3 month(s), 22 day(s)</v>
      </c>
      <c r="L305" s="240">
        <v>43473</v>
      </c>
      <c r="M305" s="241"/>
      <c r="N305" s="241"/>
      <c r="O305" s="193" t="s">
        <v>190</v>
      </c>
      <c r="P305" s="242" t="s">
        <v>2699</v>
      </c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25.5" customHeight="1">
      <c r="A306" s="190">
        <v>298</v>
      </c>
      <c r="B306" s="190" t="s">
        <v>28</v>
      </c>
      <c r="C306" s="190" t="s">
        <v>3123</v>
      </c>
      <c r="D306" s="190">
        <v>339450</v>
      </c>
      <c r="E306" s="237" t="s">
        <v>2168</v>
      </c>
      <c r="F306" s="237" t="s">
        <v>2169</v>
      </c>
      <c r="G306" s="237" t="s">
        <v>2170</v>
      </c>
      <c r="H306" s="238"/>
      <c r="I306" s="239" t="str">
        <f t="shared" si="10"/>
        <v>36 years, 1 month(s), 9 day(s)</v>
      </c>
      <c r="J306" s="240">
        <v>32953</v>
      </c>
      <c r="K306" s="239" t="str">
        <f t="shared" si="11"/>
        <v>6 years, 6 month(s), 9 day(s)</v>
      </c>
      <c r="L306" s="240">
        <v>43759</v>
      </c>
      <c r="M306" s="241"/>
      <c r="N306" s="241"/>
      <c r="O306" s="193" t="s">
        <v>2136</v>
      </c>
      <c r="P306" s="242" t="s">
        <v>2849</v>
      </c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25.5" customHeight="1">
      <c r="A307" s="190">
        <v>299</v>
      </c>
      <c r="B307" s="190" t="s">
        <v>96</v>
      </c>
      <c r="C307" s="190" t="s">
        <v>3123</v>
      </c>
      <c r="D307" s="190" t="s">
        <v>3254</v>
      </c>
      <c r="E307" s="237" t="s">
        <v>1121</v>
      </c>
      <c r="F307" s="237" t="s">
        <v>1968</v>
      </c>
      <c r="G307" s="237" t="s">
        <v>1969</v>
      </c>
      <c r="H307" s="238"/>
      <c r="I307" s="239" t="str">
        <f t="shared" si="10"/>
        <v>36 years, 4 month(s), 28 day(s)</v>
      </c>
      <c r="J307" s="240">
        <v>32844</v>
      </c>
      <c r="K307" s="239" t="str">
        <f t="shared" si="11"/>
        <v>4 years, 7 month(s), 14 day(s)</v>
      </c>
      <c r="L307" s="240">
        <v>44455</v>
      </c>
      <c r="M307" s="240">
        <v>41638</v>
      </c>
      <c r="N307" s="241"/>
      <c r="O307" s="193" t="s">
        <v>2420</v>
      </c>
      <c r="P307" s="242" t="s">
        <v>2848</v>
      </c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25.5" customHeight="1">
      <c r="A308" s="190">
        <v>300</v>
      </c>
      <c r="B308" s="190" t="s">
        <v>96</v>
      </c>
      <c r="C308" s="190" t="s">
        <v>3123</v>
      </c>
      <c r="D308" s="190" t="s">
        <v>3255</v>
      </c>
      <c r="E308" s="237" t="s">
        <v>1121</v>
      </c>
      <c r="F308" s="237" t="s">
        <v>1122</v>
      </c>
      <c r="G308" s="237" t="s">
        <v>1123</v>
      </c>
      <c r="H308" s="238"/>
      <c r="I308" s="239" t="str">
        <f t="shared" si="10"/>
        <v>36 years, 6 month(s), 10 day(s)</v>
      </c>
      <c r="J308" s="240">
        <v>32801</v>
      </c>
      <c r="K308" s="239" t="str">
        <f t="shared" si="11"/>
        <v>4 years, 5 month(s), 26 day(s)</v>
      </c>
      <c r="L308" s="240">
        <v>44504</v>
      </c>
      <c r="M308" s="240">
        <v>42629</v>
      </c>
      <c r="N308" s="241"/>
      <c r="O308" s="258" t="s">
        <v>607</v>
      </c>
      <c r="P308" s="245" t="s">
        <v>2848</v>
      </c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25.5" customHeight="1">
      <c r="A309" s="190">
        <v>301</v>
      </c>
      <c r="B309" s="190" t="s">
        <v>160</v>
      </c>
      <c r="C309" s="190" t="s">
        <v>3123</v>
      </c>
      <c r="D309" s="190" t="s">
        <v>3256</v>
      </c>
      <c r="E309" s="237" t="s">
        <v>2301</v>
      </c>
      <c r="F309" s="237" t="s">
        <v>2302</v>
      </c>
      <c r="G309" s="237" t="s">
        <v>2303</v>
      </c>
      <c r="H309" s="238"/>
      <c r="I309" s="239" t="str">
        <f t="shared" si="10"/>
        <v>46 years, 4 month(s), 8 day(s)</v>
      </c>
      <c r="J309" s="240">
        <v>29211</v>
      </c>
      <c r="K309" s="239" t="str">
        <f t="shared" si="11"/>
        <v>15 years, 5 month(s), 22 day(s)</v>
      </c>
      <c r="L309" s="240">
        <v>40490</v>
      </c>
      <c r="M309" s="240">
        <v>37608</v>
      </c>
      <c r="N309" s="241"/>
      <c r="O309" s="193" t="s">
        <v>2991</v>
      </c>
      <c r="P309" s="242" t="s">
        <v>2992</v>
      </c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25.5" customHeight="1">
      <c r="A310" s="190">
        <v>302</v>
      </c>
      <c r="B310" s="190" t="s">
        <v>40</v>
      </c>
      <c r="C310" s="190" t="s">
        <v>3123</v>
      </c>
      <c r="D310" s="190">
        <v>9</v>
      </c>
      <c r="E310" s="237" t="s">
        <v>421</v>
      </c>
      <c r="F310" s="237" t="s">
        <v>422</v>
      </c>
      <c r="G310" s="237" t="s">
        <v>423</v>
      </c>
      <c r="H310" s="238"/>
      <c r="I310" s="239" t="str">
        <f t="shared" si="10"/>
        <v>49 years, 4 month(s), 5 day(s)</v>
      </c>
      <c r="J310" s="240">
        <v>28119</v>
      </c>
      <c r="K310" s="239" t="str">
        <f t="shared" si="11"/>
        <v>14 years, 6 month(s), 16 day(s)</v>
      </c>
      <c r="L310" s="240">
        <v>40830</v>
      </c>
      <c r="M310" s="241"/>
      <c r="N310" s="241"/>
      <c r="O310" s="193" t="s">
        <v>2977</v>
      </c>
      <c r="P310" s="242" t="s">
        <v>2739</v>
      </c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25.5" customHeight="1">
      <c r="A311" s="190">
        <v>303</v>
      </c>
      <c r="B311" s="190" t="s">
        <v>20</v>
      </c>
      <c r="C311" s="190" t="s">
        <v>3123</v>
      </c>
      <c r="D311" s="190" t="s">
        <v>3257</v>
      </c>
      <c r="E311" s="237" t="s">
        <v>1805</v>
      </c>
      <c r="F311" s="237" t="s">
        <v>1806</v>
      </c>
      <c r="G311" s="237" t="s">
        <v>1807</v>
      </c>
      <c r="H311" s="238"/>
      <c r="I311" s="239" t="str">
        <f t="shared" si="10"/>
        <v>51 years, 5 month(s), 13 day(s)</v>
      </c>
      <c r="J311" s="240">
        <v>27350</v>
      </c>
      <c r="K311" s="239" t="str">
        <f t="shared" si="11"/>
        <v>24 years, 5 month(s), 24 day(s)</v>
      </c>
      <c r="L311" s="240">
        <v>37201</v>
      </c>
      <c r="M311" s="241"/>
      <c r="N311" s="241"/>
      <c r="O311" s="193" t="s">
        <v>1065</v>
      </c>
      <c r="P311" s="242" t="s">
        <v>2981</v>
      </c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25.5" customHeight="1">
      <c r="A312" s="190">
        <v>304</v>
      </c>
      <c r="B312" s="190" t="s">
        <v>40</v>
      </c>
      <c r="C312" s="190" t="s">
        <v>3123</v>
      </c>
      <c r="D312" s="190">
        <v>15</v>
      </c>
      <c r="E312" s="237" t="s">
        <v>1794</v>
      </c>
      <c r="F312" s="237" t="s">
        <v>1795</v>
      </c>
      <c r="G312" s="237" t="s">
        <v>1796</v>
      </c>
      <c r="H312" s="238"/>
      <c r="I312" s="239" t="str">
        <f t="shared" si="10"/>
        <v>54 years, 9 month(s), 2 day(s)</v>
      </c>
      <c r="J312" s="240">
        <v>26142</v>
      </c>
      <c r="K312" s="239" t="str">
        <f t="shared" si="11"/>
        <v>26 years, 0 month(s), 12 day(s)</v>
      </c>
      <c r="L312" s="240">
        <v>36634</v>
      </c>
      <c r="M312" s="241"/>
      <c r="N312" s="241"/>
      <c r="O312" s="193" t="s">
        <v>1788</v>
      </c>
      <c r="P312" s="242" t="s">
        <v>2740</v>
      </c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25.5" customHeight="1">
      <c r="A313" s="190">
        <v>305</v>
      </c>
      <c r="B313" s="190" t="s">
        <v>96</v>
      </c>
      <c r="C313" s="190" t="s">
        <v>3123</v>
      </c>
      <c r="D313" s="190" t="s">
        <v>3258</v>
      </c>
      <c r="E313" s="237" t="s">
        <v>97</v>
      </c>
      <c r="F313" s="237" t="s">
        <v>98</v>
      </c>
      <c r="G313" s="237" t="s">
        <v>99</v>
      </c>
      <c r="H313" s="238"/>
      <c r="I313" s="239" t="str">
        <f t="shared" si="10"/>
        <v>28 years, 8 month(s), 28 day(s)</v>
      </c>
      <c r="J313" s="240">
        <v>35644</v>
      </c>
      <c r="K313" s="239" t="str">
        <f t="shared" si="11"/>
        <v>4 years, 7 month(s), 14 day(s)</v>
      </c>
      <c r="L313" s="240">
        <v>44455</v>
      </c>
      <c r="M313" s="240">
        <v>43759</v>
      </c>
      <c r="N313" s="241"/>
      <c r="O313" s="193" t="s">
        <v>90</v>
      </c>
      <c r="P313" s="242" t="s">
        <v>2817</v>
      </c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25.5" customHeight="1">
      <c r="A314" s="190">
        <v>306</v>
      </c>
      <c r="B314" s="190" t="s">
        <v>96</v>
      </c>
      <c r="C314" s="190" t="s">
        <v>3123</v>
      </c>
      <c r="D314" s="190" t="s">
        <v>3259</v>
      </c>
      <c r="E314" s="237" t="s">
        <v>2493</v>
      </c>
      <c r="F314" s="237" t="s">
        <v>2494</v>
      </c>
      <c r="G314" s="237" t="s">
        <v>814</v>
      </c>
      <c r="H314" s="238"/>
      <c r="I314" s="239" t="str">
        <f t="shared" si="10"/>
        <v>32 years, 11 month(s), 18 day(s)</v>
      </c>
      <c r="J314" s="240">
        <v>34101</v>
      </c>
      <c r="K314" s="239" t="str">
        <f t="shared" si="11"/>
        <v>4 years, 7 month(s), 14 day(s)</v>
      </c>
      <c r="L314" s="240">
        <v>44455</v>
      </c>
      <c r="M314" s="241"/>
      <c r="N314" s="241"/>
      <c r="O314" s="193" t="s">
        <v>2488</v>
      </c>
      <c r="P314" s="242" t="s">
        <v>2848</v>
      </c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25.5" customHeight="1">
      <c r="A315" s="190">
        <v>307</v>
      </c>
      <c r="B315" s="190" t="s">
        <v>24</v>
      </c>
      <c r="C315" s="190" t="s">
        <v>3123</v>
      </c>
      <c r="D315" s="190">
        <v>311637</v>
      </c>
      <c r="E315" s="237" t="s">
        <v>2128</v>
      </c>
      <c r="F315" s="237" t="s">
        <v>1350</v>
      </c>
      <c r="G315" s="237" t="s">
        <v>2129</v>
      </c>
      <c r="H315" s="238"/>
      <c r="I315" s="239" t="str">
        <f t="shared" si="10"/>
        <v>37 years, 5 month(s), 7 day(s)</v>
      </c>
      <c r="J315" s="240">
        <v>32470</v>
      </c>
      <c r="K315" s="239" t="str">
        <f t="shared" si="11"/>
        <v>9 years, 7 month(s), 14 day(s)</v>
      </c>
      <c r="L315" s="240">
        <v>42629</v>
      </c>
      <c r="M315" s="241"/>
      <c r="N315" s="241"/>
      <c r="O315" s="193" t="s">
        <v>2088</v>
      </c>
      <c r="P315" s="242" t="s">
        <v>2849</v>
      </c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25.5" customHeight="1">
      <c r="A316" s="190">
        <v>308</v>
      </c>
      <c r="B316" s="190" t="s">
        <v>24</v>
      </c>
      <c r="C316" s="190" t="s">
        <v>3123</v>
      </c>
      <c r="D316" s="190">
        <v>307670</v>
      </c>
      <c r="E316" s="237" t="s">
        <v>1973</v>
      </c>
      <c r="F316" s="237" t="s">
        <v>1974</v>
      </c>
      <c r="G316" s="237" t="s">
        <v>538</v>
      </c>
      <c r="H316" s="238"/>
      <c r="I316" s="239" t="str">
        <f t="shared" si="10"/>
        <v>37 years, 11 month(s), 3 day(s)</v>
      </c>
      <c r="J316" s="240">
        <v>32290</v>
      </c>
      <c r="K316" s="239" t="str">
        <f t="shared" si="11"/>
        <v>8 years, 8 month(s), 29 day(s)</v>
      </c>
      <c r="L316" s="240">
        <v>42948</v>
      </c>
      <c r="M316" s="241"/>
      <c r="N316" s="241"/>
      <c r="O316" s="193" t="s">
        <v>2420</v>
      </c>
      <c r="P316" s="242" t="s">
        <v>2849</v>
      </c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25.5" customHeight="1">
      <c r="A317" s="190">
        <v>309</v>
      </c>
      <c r="B317" s="190" t="s">
        <v>40</v>
      </c>
      <c r="C317" s="190" t="s">
        <v>3123</v>
      </c>
      <c r="D317" s="190">
        <v>14</v>
      </c>
      <c r="E317" s="237" t="s">
        <v>1267</v>
      </c>
      <c r="F317" s="237" t="s">
        <v>1268</v>
      </c>
      <c r="G317" s="237" t="s">
        <v>155</v>
      </c>
      <c r="H317" s="238"/>
      <c r="I317" s="239" t="str">
        <f t="shared" si="10"/>
        <v>48 years, 2 month(s), 16 day(s)</v>
      </c>
      <c r="J317" s="240">
        <v>28535</v>
      </c>
      <c r="K317" s="239" t="str">
        <f t="shared" si="11"/>
        <v>13 years, 5 month(s), 1 day(s)</v>
      </c>
      <c r="L317" s="240">
        <v>41242</v>
      </c>
      <c r="M317" s="241"/>
      <c r="N317" s="241"/>
      <c r="O317" s="193" t="s">
        <v>1229</v>
      </c>
      <c r="P317" s="242" t="s">
        <v>2692</v>
      </c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25.5" customHeight="1">
      <c r="A318" s="190">
        <v>310</v>
      </c>
      <c r="B318" s="190" t="s">
        <v>96</v>
      </c>
      <c r="C318" s="190" t="s">
        <v>3123</v>
      </c>
      <c r="D318" s="190" t="s">
        <v>3260</v>
      </c>
      <c r="E318" s="237" t="s">
        <v>796</v>
      </c>
      <c r="F318" s="237" t="s">
        <v>797</v>
      </c>
      <c r="G318" s="237" t="s">
        <v>798</v>
      </c>
      <c r="H318" s="238"/>
      <c r="I318" s="239" t="str">
        <f t="shared" si="10"/>
        <v>37 years, 1 month(s), 5 day(s)</v>
      </c>
      <c r="J318" s="240">
        <v>32592</v>
      </c>
      <c r="K318" s="239" t="str">
        <f t="shared" si="11"/>
        <v>4 years, 5 month(s), 26 day(s)</v>
      </c>
      <c r="L318" s="240">
        <v>44504</v>
      </c>
      <c r="M318" s="241"/>
      <c r="N318" s="240">
        <v>41236</v>
      </c>
      <c r="O318" s="193" t="s">
        <v>795</v>
      </c>
      <c r="P318" s="242" t="s">
        <v>2848</v>
      </c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25.5" customHeight="1">
      <c r="A319" s="190">
        <v>311</v>
      </c>
      <c r="B319" s="190" t="s">
        <v>40</v>
      </c>
      <c r="C319" s="190" t="s">
        <v>3123</v>
      </c>
      <c r="D319" s="190">
        <v>7</v>
      </c>
      <c r="E319" s="237" t="s">
        <v>871</v>
      </c>
      <c r="F319" s="237" t="s">
        <v>872</v>
      </c>
      <c r="G319" s="237" t="s">
        <v>873</v>
      </c>
      <c r="H319" s="238"/>
      <c r="I319" s="239" t="str">
        <f t="shared" si="10"/>
        <v>27 years, 11 month(s), 21 day(s)</v>
      </c>
      <c r="J319" s="240">
        <v>35924</v>
      </c>
      <c r="K319" s="239" t="str">
        <f t="shared" si="11"/>
        <v>3 years, 3 month(s), 21 day(s)</v>
      </c>
      <c r="L319" s="240">
        <v>44935</v>
      </c>
      <c r="M319" s="241"/>
      <c r="N319" s="241"/>
      <c r="O319" s="193" t="s">
        <v>837</v>
      </c>
      <c r="P319" s="242" t="s">
        <v>2940</v>
      </c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25.5" customHeight="1">
      <c r="A320" s="190">
        <v>312</v>
      </c>
      <c r="B320" s="190" t="s">
        <v>28</v>
      </c>
      <c r="C320" s="190" t="s">
        <v>3123</v>
      </c>
      <c r="D320" s="190">
        <v>375621</v>
      </c>
      <c r="E320" s="237" t="s">
        <v>2083</v>
      </c>
      <c r="F320" s="237" t="s">
        <v>2084</v>
      </c>
      <c r="G320" s="237" t="s">
        <v>2085</v>
      </c>
      <c r="H320" s="238"/>
      <c r="I320" s="239" t="str">
        <f t="shared" si="10"/>
        <v>28 years, 11 month(s), 27 day(s)</v>
      </c>
      <c r="J320" s="240">
        <v>35553</v>
      </c>
      <c r="K320" s="239" t="str">
        <f t="shared" si="11"/>
        <v>3 years, 5 month(s), 16 day(s)</v>
      </c>
      <c r="L320" s="240">
        <v>44879</v>
      </c>
      <c r="M320" s="241"/>
      <c r="N320" s="241"/>
      <c r="O320" s="193" t="s">
        <v>2051</v>
      </c>
      <c r="P320" s="242" t="s">
        <v>2849</v>
      </c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25.5" customHeight="1">
      <c r="A321" s="190">
        <v>313</v>
      </c>
      <c r="B321" s="190" t="s">
        <v>40</v>
      </c>
      <c r="C321" s="190" t="s">
        <v>3123</v>
      </c>
      <c r="D321" s="190">
        <v>17</v>
      </c>
      <c r="E321" s="237" t="s">
        <v>1593</v>
      </c>
      <c r="F321" s="237" t="s">
        <v>1594</v>
      </c>
      <c r="G321" s="237" t="s">
        <v>1595</v>
      </c>
      <c r="H321" s="238"/>
      <c r="I321" s="239" t="str">
        <f t="shared" si="10"/>
        <v>51 years, 11 month(s), 26 day(s)</v>
      </c>
      <c r="J321" s="240">
        <v>27153</v>
      </c>
      <c r="K321" s="239" t="str">
        <f t="shared" si="11"/>
        <v>20 years, 1 month(s), 27 day(s)</v>
      </c>
      <c r="L321" s="240">
        <v>38779</v>
      </c>
      <c r="M321" s="241"/>
      <c r="N321" s="241"/>
      <c r="O321" s="193" t="s">
        <v>1588</v>
      </c>
      <c r="P321" s="242" t="s">
        <v>2742</v>
      </c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25.5" customHeight="1">
      <c r="A322" s="190">
        <v>314</v>
      </c>
      <c r="B322" s="190" t="s">
        <v>40</v>
      </c>
      <c r="C322" s="190" t="s">
        <v>3123</v>
      </c>
      <c r="D322" s="190">
        <v>18</v>
      </c>
      <c r="E322" s="237" t="s">
        <v>1331</v>
      </c>
      <c r="F322" s="237" t="s">
        <v>1332</v>
      </c>
      <c r="G322" s="237" t="s">
        <v>3261</v>
      </c>
      <c r="H322" s="238"/>
      <c r="I322" s="239" t="str">
        <f t="shared" si="10"/>
        <v>55 years, 6 month(s), 9 day(s)</v>
      </c>
      <c r="J322" s="240">
        <v>25862</v>
      </c>
      <c r="K322" s="239" t="str">
        <f t="shared" si="11"/>
        <v>26 years, 0 month(s), 12 day(s)</v>
      </c>
      <c r="L322" s="240">
        <v>36634</v>
      </c>
      <c r="M322" s="241"/>
      <c r="N322" s="241"/>
      <c r="O322" s="193" t="s">
        <v>1330</v>
      </c>
      <c r="P322" s="242" t="s">
        <v>2743</v>
      </c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25.5" customHeight="1">
      <c r="A323" s="190">
        <v>315</v>
      </c>
      <c r="B323" s="190" t="s">
        <v>96</v>
      </c>
      <c r="C323" s="190" t="s">
        <v>3123</v>
      </c>
      <c r="D323" s="190" t="s">
        <v>3262</v>
      </c>
      <c r="E323" s="237" t="s">
        <v>2497</v>
      </c>
      <c r="F323" s="237" t="s">
        <v>2498</v>
      </c>
      <c r="G323" s="237" t="s">
        <v>2499</v>
      </c>
      <c r="H323" s="238"/>
      <c r="I323" s="239" t="str">
        <f t="shared" si="10"/>
        <v>32 years, 7 month(s), 24 day(s)</v>
      </c>
      <c r="J323" s="240">
        <v>34218</v>
      </c>
      <c r="K323" s="239" t="str">
        <f t="shared" si="11"/>
        <v>4 years, 7 month(s), 14 day(s)</v>
      </c>
      <c r="L323" s="240">
        <v>44455</v>
      </c>
      <c r="M323" s="240">
        <v>42767</v>
      </c>
      <c r="N323" s="241"/>
      <c r="O323" s="193" t="s">
        <v>2488</v>
      </c>
      <c r="P323" s="242" t="s">
        <v>2848</v>
      </c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25.5" customHeight="1">
      <c r="A324" s="190">
        <v>316</v>
      </c>
      <c r="B324" s="190" t="s">
        <v>253</v>
      </c>
      <c r="C324" s="190" t="s">
        <v>3123</v>
      </c>
      <c r="D324" s="190" t="s">
        <v>3263</v>
      </c>
      <c r="E324" s="237" t="s">
        <v>254</v>
      </c>
      <c r="F324" s="237" t="s">
        <v>255</v>
      </c>
      <c r="G324" s="237" t="s">
        <v>256</v>
      </c>
      <c r="H324" s="243" t="s">
        <v>55</v>
      </c>
      <c r="I324" s="239" t="str">
        <f t="shared" si="10"/>
        <v>44 years, 8 month(s), 12 day(s)</v>
      </c>
      <c r="J324" s="240">
        <v>29816</v>
      </c>
      <c r="K324" s="239" t="str">
        <f t="shared" si="11"/>
        <v>8 years, 2 month(s), 14 day(s)</v>
      </c>
      <c r="L324" s="240">
        <v>43147</v>
      </c>
      <c r="M324" s="240">
        <v>38299</v>
      </c>
      <c r="N324" s="241"/>
      <c r="O324" s="193" t="s">
        <v>346</v>
      </c>
      <c r="P324" s="242" t="s">
        <v>2848</v>
      </c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25.5" customHeight="1">
      <c r="A325" s="190">
        <v>317</v>
      </c>
      <c r="B325" s="190" t="s">
        <v>246</v>
      </c>
      <c r="C325" s="190" t="s">
        <v>3123</v>
      </c>
      <c r="D325" s="190" t="s">
        <v>3264</v>
      </c>
      <c r="E325" s="237" t="s">
        <v>2056</v>
      </c>
      <c r="F325" s="237" t="s">
        <v>2057</v>
      </c>
      <c r="G325" s="237" t="s">
        <v>2058</v>
      </c>
      <c r="H325" s="238"/>
      <c r="I325" s="239" t="str">
        <f t="shared" si="10"/>
        <v>35 years, 4 month(s), 11 day(s)</v>
      </c>
      <c r="J325" s="240">
        <v>33226</v>
      </c>
      <c r="K325" s="239" t="str">
        <f t="shared" si="11"/>
        <v>2 years, 11 month(s), 8 day(s)</v>
      </c>
      <c r="L325" s="240">
        <v>45068</v>
      </c>
      <c r="M325" s="241"/>
      <c r="N325" s="241"/>
      <c r="O325" s="193" t="s">
        <v>2051</v>
      </c>
      <c r="P325" s="245" t="s">
        <v>2848</v>
      </c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25.5" customHeight="1">
      <c r="A326" s="190">
        <v>318</v>
      </c>
      <c r="B326" s="190" t="s">
        <v>40</v>
      </c>
      <c r="C326" s="190" t="s">
        <v>3123</v>
      </c>
      <c r="D326" s="190">
        <v>9</v>
      </c>
      <c r="E326" s="237" t="s">
        <v>914</v>
      </c>
      <c r="F326" s="237" t="s">
        <v>915</v>
      </c>
      <c r="G326" s="237" t="s">
        <v>916</v>
      </c>
      <c r="H326" s="238"/>
      <c r="I326" s="239" t="str">
        <f t="shared" si="10"/>
        <v>55 years, 1 month(s), 4 day(s)</v>
      </c>
      <c r="J326" s="240">
        <v>26018</v>
      </c>
      <c r="K326" s="239" t="str">
        <f t="shared" si="11"/>
        <v>14 years, 5 month(s), 19 day(s)</v>
      </c>
      <c r="L326" s="240">
        <v>40858</v>
      </c>
      <c r="M326" s="241"/>
      <c r="N326" s="241"/>
      <c r="O326" s="193" t="s">
        <v>891</v>
      </c>
      <c r="P326" s="242" t="s">
        <v>2744</v>
      </c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25.5" customHeight="1">
      <c r="A327" s="190">
        <v>319</v>
      </c>
      <c r="B327" s="190" t="s">
        <v>40</v>
      </c>
      <c r="C327" s="190" t="s">
        <v>3123</v>
      </c>
      <c r="D327" s="190">
        <v>7</v>
      </c>
      <c r="E327" s="237" t="s">
        <v>3041</v>
      </c>
      <c r="F327" s="237" t="s">
        <v>3042</v>
      </c>
      <c r="G327" s="237" t="s">
        <v>1224</v>
      </c>
      <c r="H327" s="238"/>
      <c r="I327" s="239" t="str">
        <f t="shared" si="10"/>
        <v>28 years, 10 month(s), 22 day(s)</v>
      </c>
      <c r="J327" s="240">
        <v>35589</v>
      </c>
      <c r="K327" s="239" t="str">
        <f t="shared" si="11"/>
        <v>0 years, 2 month(s), 14 day(s)</v>
      </c>
      <c r="L327" s="240">
        <v>46069</v>
      </c>
      <c r="M327" s="241"/>
      <c r="N327" s="241"/>
      <c r="O327" s="193" t="s">
        <v>1486</v>
      </c>
      <c r="P327" s="242" t="s">
        <v>2830</v>
      </c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25.5" customHeight="1">
      <c r="A328" s="190">
        <v>320</v>
      </c>
      <c r="B328" s="190" t="s">
        <v>366</v>
      </c>
      <c r="C328" s="190" t="s">
        <v>3123</v>
      </c>
      <c r="D328" s="190">
        <v>203705</v>
      </c>
      <c r="E328" s="237" t="s">
        <v>513</v>
      </c>
      <c r="F328" s="237" t="s">
        <v>2534</v>
      </c>
      <c r="G328" s="237" t="s">
        <v>914</v>
      </c>
      <c r="H328" s="238"/>
      <c r="I328" s="239" t="str">
        <f t="shared" si="10"/>
        <v>40 years, 8 month(s), 8 day(s)</v>
      </c>
      <c r="J328" s="240">
        <v>31281</v>
      </c>
      <c r="K328" s="239" t="str">
        <f t="shared" si="11"/>
        <v>16 years, 2 month(s), 29 day(s)</v>
      </c>
      <c r="L328" s="240">
        <v>40210</v>
      </c>
      <c r="M328" s="241"/>
      <c r="N328" s="241"/>
      <c r="O328" s="193" t="s">
        <v>2525</v>
      </c>
      <c r="P328" s="242" t="s">
        <v>2849</v>
      </c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25.5" customHeight="1">
      <c r="A329" s="190">
        <v>321</v>
      </c>
      <c r="B329" s="190" t="s">
        <v>24</v>
      </c>
      <c r="C329" s="190" t="s">
        <v>3123</v>
      </c>
      <c r="D329" s="190">
        <v>339477</v>
      </c>
      <c r="E329" s="237" t="s">
        <v>87</v>
      </c>
      <c r="F329" s="237" t="s">
        <v>1256</v>
      </c>
      <c r="G329" s="237" t="s">
        <v>914</v>
      </c>
      <c r="H329" s="238"/>
      <c r="I329" s="239" t="str">
        <f t="shared" ref="I329:I392" si="12">DATEDIF(J329,DATE(2026,4,30),"y")&amp;" years, "&amp;DATEDIF(J329,DATE(2026,4,30),"ym")&amp;" month(s), "&amp;DATEDIF(J329,DATE(2026,4,30),"md")&amp;" day(s)"</f>
        <v>32 years, 11 month(s), 8 day(s)</v>
      </c>
      <c r="J329" s="240">
        <v>34111</v>
      </c>
      <c r="K329" s="239" t="str">
        <f t="shared" si="11"/>
        <v>6 years, 6 month(s), 9 day(s)</v>
      </c>
      <c r="L329" s="240">
        <v>43759</v>
      </c>
      <c r="M329" s="241"/>
      <c r="N329" s="241"/>
      <c r="O329" s="193" t="s">
        <v>1229</v>
      </c>
      <c r="P329" s="242" t="s">
        <v>2854</v>
      </c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25.5" customHeight="1">
      <c r="A330" s="190">
        <v>322</v>
      </c>
      <c r="B330" s="190" t="s">
        <v>28</v>
      </c>
      <c r="C330" s="190" t="s">
        <v>3123</v>
      </c>
      <c r="D330" s="190">
        <v>375634</v>
      </c>
      <c r="E330" s="237" t="s">
        <v>2269</v>
      </c>
      <c r="F330" s="237" t="s">
        <v>2270</v>
      </c>
      <c r="G330" s="237" t="s">
        <v>2271</v>
      </c>
      <c r="H330" s="238"/>
      <c r="I330" s="239" t="str">
        <f t="shared" si="12"/>
        <v>30 years, 9 month(s), 4 day(s)</v>
      </c>
      <c r="J330" s="240">
        <v>34906</v>
      </c>
      <c r="K330" s="239" t="str">
        <f t="shared" si="11"/>
        <v>3 years, 5 month(s), 16 day(s)</v>
      </c>
      <c r="L330" s="240">
        <v>44879</v>
      </c>
      <c r="M330" s="241"/>
      <c r="N330" s="241"/>
      <c r="O330" s="193" t="s">
        <v>2263</v>
      </c>
      <c r="P330" s="242" t="s">
        <v>2849</v>
      </c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25.5" customHeight="1">
      <c r="A331" s="190">
        <v>323</v>
      </c>
      <c r="B331" s="190" t="s">
        <v>28</v>
      </c>
      <c r="C331" s="190" t="s">
        <v>3123</v>
      </c>
      <c r="D331" s="190">
        <v>376406</v>
      </c>
      <c r="E331" s="237" t="s">
        <v>1038</v>
      </c>
      <c r="F331" s="237" t="s">
        <v>2444</v>
      </c>
      <c r="G331" s="237" t="s">
        <v>2445</v>
      </c>
      <c r="H331" s="238"/>
      <c r="I331" s="239" t="str">
        <f t="shared" si="12"/>
        <v>28 years, 6 month(s), 0 day(s)</v>
      </c>
      <c r="J331" s="240">
        <v>35733</v>
      </c>
      <c r="K331" s="239" t="str">
        <f t="shared" si="11"/>
        <v>3 years, 4 month(s), 3 day(s)</v>
      </c>
      <c r="L331" s="240">
        <v>44922</v>
      </c>
      <c r="M331" s="241"/>
      <c r="N331" s="241"/>
      <c r="O331" s="193" t="s">
        <v>2420</v>
      </c>
      <c r="P331" s="242" t="s">
        <v>2849</v>
      </c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25.5" customHeight="1">
      <c r="A332" s="190">
        <v>324</v>
      </c>
      <c r="B332" s="190" t="s">
        <v>96</v>
      </c>
      <c r="C332" s="190" t="s">
        <v>3123</v>
      </c>
      <c r="D332" s="190" t="s">
        <v>3265</v>
      </c>
      <c r="E332" s="237" t="s">
        <v>1038</v>
      </c>
      <c r="F332" s="237" t="s">
        <v>413</v>
      </c>
      <c r="G332" s="237" t="s">
        <v>1039</v>
      </c>
      <c r="H332" s="243" t="s">
        <v>268</v>
      </c>
      <c r="I332" s="239" t="str">
        <f t="shared" si="12"/>
        <v>39 years, 6 month(s), 2 day(s)</v>
      </c>
      <c r="J332" s="240">
        <v>31713</v>
      </c>
      <c r="K332" s="239" t="str">
        <f t="shared" si="11"/>
        <v>4 years, 5 month(s), 26 day(s)</v>
      </c>
      <c r="L332" s="240">
        <v>44504</v>
      </c>
      <c r="M332" s="240">
        <v>40848</v>
      </c>
      <c r="N332" s="241"/>
      <c r="O332" s="193" t="s">
        <v>1065</v>
      </c>
      <c r="P332" s="242" t="s">
        <v>2985</v>
      </c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25.5" customHeight="1">
      <c r="A333" s="190">
        <v>325</v>
      </c>
      <c r="B333" s="190" t="s">
        <v>96</v>
      </c>
      <c r="C333" s="190" t="s">
        <v>3123</v>
      </c>
      <c r="D333" s="190" t="s">
        <v>3266</v>
      </c>
      <c r="E333" s="237" t="s">
        <v>1338</v>
      </c>
      <c r="F333" s="237" t="s">
        <v>400</v>
      </c>
      <c r="G333" s="237" t="s">
        <v>2044</v>
      </c>
      <c r="H333" s="238"/>
      <c r="I333" s="239" t="str">
        <f t="shared" si="12"/>
        <v>36 years, 1 month(s), 2 day(s)</v>
      </c>
      <c r="J333" s="240">
        <v>32960</v>
      </c>
      <c r="K333" s="239" t="str">
        <f t="shared" si="11"/>
        <v>10 years, 9 month(s), 17 day(s)</v>
      </c>
      <c r="L333" s="240">
        <v>42198</v>
      </c>
      <c r="M333" s="241"/>
      <c r="N333" s="241"/>
      <c r="O333" s="193" t="s">
        <v>1656</v>
      </c>
      <c r="P333" s="242" t="s">
        <v>3652</v>
      </c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25.5" customHeight="1">
      <c r="A334" s="190">
        <v>326</v>
      </c>
      <c r="B334" s="190" t="s">
        <v>24</v>
      </c>
      <c r="C334" s="190" t="s">
        <v>3123</v>
      </c>
      <c r="D334" s="190">
        <v>339478</v>
      </c>
      <c r="E334" s="237" t="s">
        <v>234</v>
      </c>
      <c r="F334" s="237" t="s">
        <v>235</v>
      </c>
      <c r="G334" s="237" t="s">
        <v>236</v>
      </c>
      <c r="H334" s="238"/>
      <c r="I334" s="239" t="str">
        <f t="shared" si="12"/>
        <v>36 years, 7 month(s), 3 day(s)</v>
      </c>
      <c r="J334" s="240">
        <v>32778</v>
      </c>
      <c r="K334" s="239" t="str">
        <f t="shared" si="11"/>
        <v>6 years, 6 month(s), 9 day(s)</v>
      </c>
      <c r="L334" s="240">
        <v>43759</v>
      </c>
      <c r="M334" s="241"/>
      <c r="N334" s="241"/>
      <c r="O334" s="193" t="s">
        <v>227</v>
      </c>
      <c r="P334" s="242" t="s">
        <v>2849</v>
      </c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25.5" customHeight="1">
      <c r="A335" s="190">
        <v>327</v>
      </c>
      <c r="B335" s="190" t="s">
        <v>40</v>
      </c>
      <c r="C335" s="190" t="s">
        <v>3123</v>
      </c>
      <c r="D335" s="190">
        <v>7</v>
      </c>
      <c r="E335" s="237" t="s">
        <v>1325</v>
      </c>
      <c r="F335" s="237" t="s">
        <v>1326</v>
      </c>
      <c r="G335" s="237" t="s">
        <v>1327</v>
      </c>
      <c r="H335" s="238"/>
      <c r="I335" s="239" t="str">
        <f t="shared" si="12"/>
        <v>33 years, 7 month(s), 10 day(s)</v>
      </c>
      <c r="J335" s="240">
        <v>33867</v>
      </c>
      <c r="K335" s="239" t="str">
        <f t="shared" si="11"/>
        <v>11 years, 7 month(s), 1 day(s)</v>
      </c>
      <c r="L335" s="240">
        <v>41911</v>
      </c>
      <c r="M335" s="241"/>
      <c r="N335" s="241"/>
      <c r="O335" s="193" t="s">
        <v>1296</v>
      </c>
      <c r="P335" s="242" t="s">
        <v>2745</v>
      </c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25.5" customHeight="1">
      <c r="A336" s="190">
        <v>328</v>
      </c>
      <c r="B336" s="190" t="s">
        <v>40</v>
      </c>
      <c r="C336" s="190" t="s">
        <v>3123</v>
      </c>
      <c r="D336" s="190">
        <v>7</v>
      </c>
      <c r="E336" s="237" t="s">
        <v>326</v>
      </c>
      <c r="F336" s="237" t="s">
        <v>327</v>
      </c>
      <c r="G336" s="237" t="s">
        <v>328</v>
      </c>
      <c r="H336" s="238"/>
      <c r="I336" s="239" t="str">
        <f t="shared" si="12"/>
        <v>55 years, 4 month(s), 4 day(s)</v>
      </c>
      <c r="J336" s="240">
        <v>25928</v>
      </c>
      <c r="K336" s="239" t="str">
        <f t="shared" si="11"/>
        <v>14 years, 2 month(s), 7 day(s)</v>
      </c>
      <c r="L336" s="240">
        <v>40962</v>
      </c>
      <c r="M336" s="241"/>
      <c r="N336" s="241"/>
      <c r="O336" s="193" t="s">
        <v>301</v>
      </c>
      <c r="P336" s="242" t="s">
        <v>2716</v>
      </c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25.5" customHeight="1">
      <c r="A337" s="190">
        <v>329</v>
      </c>
      <c r="B337" s="190" t="s">
        <v>160</v>
      </c>
      <c r="C337" s="190" t="s">
        <v>3123</v>
      </c>
      <c r="D337" s="190" t="s">
        <v>3267</v>
      </c>
      <c r="E337" s="237" t="s">
        <v>2598</v>
      </c>
      <c r="F337" s="237" t="s">
        <v>2599</v>
      </c>
      <c r="G337" s="237" t="s">
        <v>2600</v>
      </c>
      <c r="H337" s="238"/>
      <c r="I337" s="239" t="str">
        <f t="shared" si="12"/>
        <v>51 years, 4 month(s), 11 day(s)</v>
      </c>
      <c r="J337" s="240">
        <v>27382</v>
      </c>
      <c r="K337" s="239" t="str">
        <f t="shared" si="11"/>
        <v>21 years, 7 month(s), 24 day(s)</v>
      </c>
      <c r="L337" s="240">
        <v>38236</v>
      </c>
      <c r="M337" s="240">
        <v>37989</v>
      </c>
      <c r="N337" s="241"/>
      <c r="O337" s="193" t="s">
        <v>2597</v>
      </c>
      <c r="P337" s="242" t="s">
        <v>3268</v>
      </c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25.5" customHeight="1">
      <c r="A338" s="190">
        <v>330</v>
      </c>
      <c r="B338" s="190" t="s">
        <v>40</v>
      </c>
      <c r="C338" s="190" t="s">
        <v>3123</v>
      </c>
      <c r="D338" s="190">
        <v>11</v>
      </c>
      <c r="E338" s="237" t="s">
        <v>46</v>
      </c>
      <c r="F338" s="237" t="s">
        <v>3269</v>
      </c>
      <c r="G338" s="237" t="s">
        <v>48</v>
      </c>
      <c r="H338" s="238"/>
      <c r="I338" s="239" t="str">
        <f t="shared" si="12"/>
        <v>31 years, 2 month(s), 3 day(s)</v>
      </c>
      <c r="J338" s="240">
        <v>34757</v>
      </c>
      <c r="K338" s="239" t="str">
        <f t="shared" si="11"/>
        <v>9 years, 0 month(s), 20 day(s)</v>
      </c>
      <c r="L338" s="240">
        <v>42835</v>
      </c>
      <c r="M338" s="241"/>
      <c r="N338" s="241"/>
      <c r="O338" s="193" t="s">
        <v>18</v>
      </c>
      <c r="P338" s="242" t="s">
        <v>2810</v>
      </c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25.5" customHeight="1">
      <c r="A339" s="190">
        <v>331</v>
      </c>
      <c r="B339" s="190" t="s">
        <v>28</v>
      </c>
      <c r="C339" s="190" t="s">
        <v>3123</v>
      </c>
      <c r="D339" s="190">
        <v>339451</v>
      </c>
      <c r="E339" s="237" t="s">
        <v>2410</v>
      </c>
      <c r="F339" s="237" t="s">
        <v>2411</v>
      </c>
      <c r="G339" s="237" t="s">
        <v>2412</v>
      </c>
      <c r="H339" s="238"/>
      <c r="I339" s="239" t="str">
        <f t="shared" si="12"/>
        <v>29 years, 2 month(s), 24 day(s)</v>
      </c>
      <c r="J339" s="240">
        <v>35467</v>
      </c>
      <c r="K339" s="239" t="str">
        <f t="shared" si="11"/>
        <v>6 years, 6 month(s), 9 day(s)</v>
      </c>
      <c r="L339" s="240">
        <v>43759</v>
      </c>
      <c r="M339" s="241"/>
      <c r="N339" s="241"/>
      <c r="O339" s="193" t="s">
        <v>2386</v>
      </c>
      <c r="P339" s="242" t="s">
        <v>2849</v>
      </c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25.5" customHeight="1">
      <c r="A340" s="190">
        <v>332</v>
      </c>
      <c r="B340" s="190" t="s">
        <v>28</v>
      </c>
      <c r="C340" s="190" t="s">
        <v>3123</v>
      </c>
      <c r="D340" s="190">
        <v>376407</v>
      </c>
      <c r="E340" s="237" t="s">
        <v>2577</v>
      </c>
      <c r="F340" s="237" t="s">
        <v>1968</v>
      </c>
      <c r="G340" s="237" t="s">
        <v>2578</v>
      </c>
      <c r="H340" s="238"/>
      <c r="I340" s="239" t="str">
        <f t="shared" si="12"/>
        <v>28 years, 10 month(s), 28 day(s)</v>
      </c>
      <c r="J340" s="240">
        <v>35583</v>
      </c>
      <c r="K340" s="239" t="str">
        <f t="shared" si="11"/>
        <v>3 years, 4 month(s), 3 day(s)</v>
      </c>
      <c r="L340" s="240">
        <v>44922</v>
      </c>
      <c r="M340" s="241"/>
      <c r="N340" s="241"/>
      <c r="O340" s="193" t="s">
        <v>2556</v>
      </c>
      <c r="P340" s="242" t="s">
        <v>2854</v>
      </c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25.5" customHeight="1">
      <c r="A341" s="190">
        <v>333</v>
      </c>
      <c r="B341" s="190" t="s">
        <v>96</v>
      </c>
      <c r="C341" s="190" t="s">
        <v>3123</v>
      </c>
      <c r="D341" s="190" t="s">
        <v>3270</v>
      </c>
      <c r="E341" s="237" t="s">
        <v>2397</v>
      </c>
      <c r="F341" s="237" t="s">
        <v>2398</v>
      </c>
      <c r="G341" s="237" t="s">
        <v>2399</v>
      </c>
      <c r="H341" s="238"/>
      <c r="I341" s="239" t="str">
        <f t="shared" si="12"/>
        <v>34 years, 8 month(s), 28 day(s)</v>
      </c>
      <c r="J341" s="240">
        <v>33452</v>
      </c>
      <c r="K341" s="239" t="str">
        <f t="shared" si="11"/>
        <v>4 years, 7 month(s), 14 day(s)</v>
      </c>
      <c r="L341" s="240">
        <v>44455</v>
      </c>
      <c r="M341" s="240">
        <v>42926</v>
      </c>
      <c r="N341" s="241"/>
      <c r="O341" s="193" t="s">
        <v>2473</v>
      </c>
      <c r="P341" s="242" t="s">
        <v>2848</v>
      </c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25.5" customHeight="1">
      <c r="A342" s="190">
        <v>334</v>
      </c>
      <c r="B342" s="190" t="s">
        <v>28</v>
      </c>
      <c r="C342" s="190" t="s">
        <v>3123</v>
      </c>
      <c r="D342" s="190">
        <v>375980</v>
      </c>
      <c r="E342" s="237" t="s">
        <v>562</v>
      </c>
      <c r="F342" s="237" t="s">
        <v>22</v>
      </c>
      <c r="G342" s="237" t="s">
        <v>563</v>
      </c>
      <c r="H342" s="243" t="s">
        <v>268</v>
      </c>
      <c r="I342" s="239" t="str">
        <f t="shared" si="12"/>
        <v>33 years, 0 month(s), 24 day(s)</v>
      </c>
      <c r="J342" s="240">
        <v>34065</v>
      </c>
      <c r="K342" s="239" t="str">
        <f t="shared" si="11"/>
        <v>3 years, 4 month(s), 25 day(s)</v>
      </c>
      <c r="L342" s="240">
        <v>44900</v>
      </c>
      <c r="M342" s="241"/>
      <c r="N342" s="241"/>
      <c r="O342" s="193" t="s">
        <v>531</v>
      </c>
      <c r="P342" s="242" t="s">
        <v>2849</v>
      </c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25.5" customHeight="1">
      <c r="A343" s="190">
        <v>335</v>
      </c>
      <c r="B343" s="190" t="s">
        <v>40</v>
      </c>
      <c r="C343" s="190" t="s">
        <v>3123</v>
      </c>
      <c r="D343" s="190">
        <v>7</v>
      </c>
      <c r="E343" s="237" t="s">
        <v>1902</v>
      </c>
      <c r="F343" s="237" t="s">
        <v>354</v>
      </c>
      <c r="G343" s="237" t="s">
        <v>1903</v>
      </c>
      <c r="H343" s="238"/>
      <c r="I343" s="239" t="str">
        <f t="shared" si="12"/>
        <v>51 years, 6 month(s), 23 day(s)</v>
      </c>
      <c r="J343" s="240">
        <v>27309</v>
      </c>
      <c r="K343" s="239" t="str">
        <f t="shared" si="11"/>
        <v>7 years, 4 month(s), 26 day(s)</v>
      </c>
      <c r="L343" s="240">
        <v>43438</v>
      </c>
      <c r="M343" s="241"/>
      <c r="N343" s="241"/>
      <c r="O343" s="193" t="s">
        <v>3100</v>
      </c>
      <c r="P343" s="237" t="s">
        <v>2746</v>
      </c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25.5" customHeight="1">
      <c r="A344" s="190">
        <v>336</v>
      </c>
      <c r="B344" s="190" t="s">
        <v>96</v>
      </c>
      <c r="C344" s="190" t="s">
        <v>3123</v>
      </c>
      <c r="D344" s="190" t="s">
        <v>3271</v>
      </c>
      <c r="E344" s="237" t="s">
        <v>666</v>
      </c>
      <c r="F344" s="237" t="s">
        <v>667</v>
      </c>
      <c r="G344" s="237" t="s">
        <v>668</v>
      </c>
      <c r="H344" s="238"/>
      <c r="I344" s="239" t="str">
        <f t="shared" si="12"/>
        <v>31 years, 4 month(s), 24 day(s)</v>
      </c>
      <c r="J344" s="240">
        <v>34674</v>
      </c>
      <c r="K344" s="239" t="str">
        <f t="shared" si="11"/>
        <v>4 years, 6 month(s), 1 day(s)</v>
      </c>
      <c r="L344" s="240">
        <v>44498</v>
      </c>
      <c r="M344" s="240">
        <v>43157</v>
      </c>
      <c r="N344" s="241"/>
      <c r="O344" s="193" t="s">
        <v>2136</v>
      </c>
      <c r="P344" s="242" t="s">
        <v>2848</v>
      </c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25.5" customHeight="1">
      <c r="A345" s="190">
        <v>337</v>
      </c>
      <c r="B345" s="190" t="s">
        <v>40</v>
      </c>
      <c r="C345" s="190" t="s">
        <v>3123</v>
      </c>
      <c r="D345" s="190">
        <v>7</v>
      </c>
      <c r="E345" s="237" t="s">
        <v>1784</v>
      </c>
      <c r="F345" s="237" t="s">
        <v>1785</v>
      </c>
      <c r="G345" s="237" t="s">
        <v>311</v>
      </c>
      <c r="H345" s="238"/>
      <c r="I345" s="239" t="str">
        <f t="shared" si="12"/>
        <v>44 years, 4 month(s), 8 day(s)</v>
      </c>
      <c r="J345" s="240">
        <v>29942</v>
      </c>
      <c r="K345" s="239" t="str">
        <f t="shared" si="11"/>
        <v>14 years, 6 month(s), 16 day(s)</v>
      </c>
      <c r="L345" s="240">
        <v>40830</v>
      </c>
      <c r="M345" s="241"/>
      <c r="N345" s="241"/>
      <c r="O345" s="193" t="s">
        <v>1765</v>
      </c>
      <c r="P345" s="242" t="s">
        <v>2747</v>
      </c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25.5" customHeight="1">
      <c r="A346" s="190">
        <v>338</v>
      </c>
      <c r="B346" s="190" t="s">
        <v>40</v>
      </c>
      <c r="C346" s="190" t="s">
        <v>3123</v>
      </c>
      <c r="D346" s="190">
        <v>6</v>
      </c>
      <c r="E346" s="237" t="s">
        <v>521</v>
      </c>
      <c r="F346" s="237" t="s">
        <v>522</v>
      </c>
      <c r="G346" s="237" t="s">
        <v>523</v>
      </c>
      <c r="H346" s="238"/>
      <c r="I346" s="239" t="str">
        <f t="shared" si="12"/>
        <v>60 years, 1 month(s), 16 day(s)</v>
      </c>
      <c r="J346" s="240">
        <v>24180</v>
      </c>
      <c r="K346" s="239" t="str">
        <f t="shared" si="11"/>
        <v>27 years, 3 month(s), 29 day(s)</v>
      </c>
      <c r="L346" s="240">
        <v>36161</v>
      </c>
      <c r="M346" s="241"/>
      <c r="N346" s="241"/>
      <c r="O346" s="193" t="s">
        <v>479</v>
      </c>
      <c r="P346" s="242" t="s">
        <v>2704</v>
      </c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25.5" customHeight="1">
      <c r="A347" s="190">
        <v>339</v>
      </c>
      <c r="B347" s="190" t="s">
        <v>96</v>
      </c>
      <c r="C347" s="190" t="s">
        <v>3123</v>
      </c>
      <c r="D347" s="190" t="s">
        <v>3272</v>
      </c>
      <c r="E347" s="237" t="s">
        <v>538</v>
      </c>
      <c r="F347" s="237" t="s">
        <v>539</v>
      </c>
      <c r="G347" s="237" t="s">
        <v>540</v>
      </c>
      <c r="H347" s="238"/>
      <c r="I347" s="239" t="str">
        <f t="shared" si="12"/>
        <v>35 years, 5 month(s), 12 day(s)</v>
      </c>
      <c r="J347" s="240">
        <v>33195</v>
      </c>
      <c r="K347" s="239" t="str">
        <f t="shared" si="11"/>
        <v>7 years, 1 month(s), 12 day(s)</v>
      </c>
      <c r="L347" s="240">
        <v>43542</v>
      </c>
      <c r="M347" s="241"/>
      <c r="N347" s="241"/>
      <c r="O347" s="193" t="s">
        <v>580</v>
      </c>
      <c r="P347" s="242" t="s">
        <v>2848</v>
      </c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25.5" customHeight="1">
      <c r="A348" s="190">
        <v>340</v>
      </c>
      <c r="B348" s="190" t="s">
        <v>96</v>
      </c>
      <c r="C348" s="190" t="s">
        <v>3123</v>
      </c>
      <c r="D348" s="190" t="s">
        <v>3273</v>
      </c>
      <c r="E348" s="237" t="s">
        <v>2011</v>
      </c>
      <c r="F348" s="237" t="s">
        <v>2012</v>
      </c>
      <c r="G348" s="237" t="s">
        <v>2013</v>
      </c>
      <c r="H348" s="238"/>
      <c r="I348" s="239" t="str">
        <f t="shared" si="12"/>
        <v>34 years, 9 month(s), 4 day(s)</v>
      </c>
      <c r="J348" s="240">
        <v>33445</v>
      </c>
      <c r="K348" s="239" t="str">
        <f t="shared" si="11"/>
        <v>4 years, 5 month(s), 26 day(s)</v>
      </c>
      <c r="L348" s="240">
        <v>44504</v>
      </c>
      <c r="M348" s="240">
        <v>38297</v>
      </c>
      <c r="N348" s="241"/>
      <c r="O348" s="193" t="s">
        <v>2005</v>
      </c>
      <c r="P348" s="242" t="s">
        <v>2848</v>
      </c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25.5" customHeight="1">
      <c r="A349" s="190">
        <v>341</v>
      </c>
      <c r="B349" s="190" t="s">
        <v>40</v>
      </c>
      <c r="C349" s="190" t="s">
        <v>3123</v>
      </c>
      <c r="D349" s="190">
        <v>17</v>
      </c>
      <c r="E349" s="237" t="s">
        <v>774</v>
      </c>
      <c r="F349" s="237" t="s">
        <v>775</v>
      </c>
      <c r="G349" s="237" t="s">
        <v>776</v>
      </c>
      <c r="H349" s="238"/>
      <c r="I349" s="239" t="str">
        <f t="shared" si="12"/>
        <v>43 years, 8 month(s), 26 day(s)</v>
      </c>
      <c r="J349" s="240">
        <v>30167</v>
      </c>
      <c r="K349" s="239" t="str">
        <f t="shared" si="11"/>
        <v>20 years, 8 month(s), 29 day(s)</v>
      </c>
      <c r="L349" s="240">
        <v>38565</v>
      </c>
      <c r="M349" s="241"/>
      <c r="N349" s="241"/>
      <c r="O349" s="193" t="s">
        <v>3062</v>
      </c>
      <c r="P349" s="242" t="s">
        <v>3063</v>
      </c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25.5" customHeight="1">
      <c r="A350" s="190">
        <v>342</v>
      </c>
      <c r="B350" s="190" t="s">
        <v>40</v>
      </c>
      <c r="C350" s="190" t="s">
        <v>3123</v>
      </c>
      <c r="D350" s="190">
        <v>19</v>
      </c>
      <c r="E350" s="237" t="s">
        <v>774</v>
      </c>
      <c r="F350" s="237" t="s">
        <v>1397</v>
      </c>
      <c r="G350" s="237" t="s">
        <v>1398</v>
      </c>
      <c r="H350" s="238"/>
      <c r="I350" s="239" t="str">
        <f t="shared" si="12"/>
        <v>48 years, 6 month(s), 7 day(s)</v>
      </c>
      <c r="J350" s="240">
        <v>28421</v>
      </c>
      <c r="K350" s="239" t="str">
        <f t="shared" si="11"/>
        <v>18 years, 2 month(s), 23 day(s)</v>
      </c>
      <c r="L350" s="240">
        <v>39485</v>
      </c>
      <c r="M350" s="241"/>
      <c r="N350" s="241"/>
      <c r="O350" s="193" t="s">
        <v>1451</v>
      </c>
      <c r="P350" s="242" t="s">
        <v>3658</v>
      </c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25.5" customHeight="1">
      <c r="A351" s="190">
        <v>343</v>
      </c>
      <c r="B351" s="190" t="s">
        <v>40</v>
      </c>
      <c r="C351" s="190" t="s">
        <v>3123</v>
      </c>
      <c r="D351" s="190">
        <v>6</v>
      </c>
      <c r="E351" s="237" t="s">
        <v>2855</v>
      </c>
      <c r="F351" s="237" t="s">
        <v>2174</v>
      </c>
      <c r="G351" s="237" t="s">
        <v>997</v>
      </c>
      <c r="H351" s="238"/>
      <c r="I351" s="239" t="str">
        <f t="shared" si="12"/>
        <v>30 years, 7 month(s), 0 day(s)</v>
      </c>
      <c r="J351" s="240">
        <v>34972</v>
      </c>
      <c r="K351" s="239" t="str">
        <f t="shared" si="11"/>
        <v>0 years, 2 month(s), 14 day(s)</v>
      </c>
      <c r="L351" s="240">
        <v>46069</v>
      </c>
      <c r="M351" s="241"/>
      <c r="N351" s="241"/>
      <c r="O351" s="193" t="s">
        <v>346</v>
      </c>
      <c r="P351" s="242" t="s">
        <v>2704</v>
      </c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25.5" customHeight="1">
      <c r="A352" s="190">
        <v>344</v>
      </c>
      <c r="B352" s="190" t="s">
        <v>96</v>
      </c>
      <c r="C352" s="190" t="s">
        <v>3123</v>
      </c>
      <c r="D352" s="190" t="s">
        <v>3274</v>
      </c>
      <c r="E352" s="237" t="s">
        <v>2151</v>
      </c>
      <c r="F352" s="237" t="s">
        <v>2152</v>
      </c>
      <c r="G352" s="237" t="s">
        <v>151</v>
      </c>
      <c r="H352" s="238"/>
      <c r="I352" s="239" t="str">
        <f t="shared" si="12"/>
        <v>33 years, 1 month(s), 11 day(s)</v>
      </c>
      <c r="J352" s="240">
        <v>34047</v>
      </c>
      <c r="K352" s="239" t="str">
        <f t="shared" si="11"/>
        <v>8 years, 8 month(s), 14 day(s)</v>
      </c>
      <c r="L352" s="240">
        <v>42963</v>
      </c>
      <c r="M352" s="241"/>
      <c r="N352" s="241"/>
      <c r="O352" s="193" t="s">
        <v>2136</v>
      </c>
      <c r="P352" s="242" t="s">
        <v>2848</v>
      </c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25.5" customHeight="1">
      <c r="A353" s="190">
        <v>345</v>
      </c>
      <c r="B353" s="190" t="s">
        <v>40</v>
      </c>
      <c r="C353" s="190" t="s">
        <v>3123</v>
      </c>
      <c r="D353" s="190">
        <v>7</v>
      </c>
      <c r="E353" s="237" t="s">
        <v>1271</v>
      </c>
      <c r="F353" s="237" t="s">
        <v>1272</v>
      </c>
      <c r="G353" s="237" t="s">
        <v>1273</v>
      </c>
      <c r="H353" s="238"/>
      <c r="I353" s="239" t="str">
        <f t="shared" si="12"/>
        <v>34 years, 10 month(s), 5 day(s)</v>
      </c>
      <c r="J353" s="240">
        <v>33414</v>
      </c>
      <c r="K353" s="239" t="str">
        <f t="shared" si="11"/>
        <v>2 years, 8 month(s), 13 day(s)</v>
      </c>
      <c r="L353" s="240">
        <v>45155</v>
      </c>
      <c r="M353" s="241"/>
      <c r="N353" s="241"/>
      <c r="O353" s="193" t="s">
        <v>1229</v>
      </c>
      <c r="P353" s="242" t="s">
        <v>2677</v>
      </c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25.5" customHeight="1">
      <c r="A354" s="190">
        <v>346</v>
      </c>
      <c r="B354" s="190" t="s">
        <v>40</v>
      </c>
      <c r="C354" s="190" t="s">
        <v>3123</v>
      </c>
      <c r="D354" s="190">
        <v>3</v>
      </c>
      <c r="E354" s="237" t="s">
        <v>1645</v>
      </c>
      <c r="F354" s="237" t="s">
        <v>1646</v>
      </c>
      <c r="G354" s="237" t="s">
        <v>347</v>
      </c>
      <c r="H354" s="238"/>
      <c r="I354" s="239" t="str">
        <f t="shared" si="12"/>
        <v>60 years, 11 month(s), 6 day(s)</v>
      </c>
      <c r="J354" s="240">
        <v>23886</v>
      </c>
      <c r="K354" s="239" t="str">
        <f t="shared" si="11"/>
        <v>22 years, 3 month(s), 29 day(s)</v>
      </c>
      <c r="L354" s="240">
        <v>37987</v>
      </c>
      <c r="M354" s="241"/>
      <c r="N354" s="241"/>
      <c r="O354" s="193" t="s">
        <v>1638</v>
      </c>
      <c r="P354" s="242" t="s">
        <v>2750</v>
      </c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25.5" customHeight="1">
      <c r="A355" s="190">
        <v>347</v>
      </c>
      <c r="B355" s="190" t="s">
        <v>40</v>
      </c>
      <c r="C355" s="190" t="s">
        <v>3123</v>
      </c>
      <c r="D355" s="190">
        <v>6</v>
      </c>
      <c r="E355" s="237" t="s">
        <v>1645</v>
      </c>
      <c r="F355" s="237" t="s">
        <v>2972</v>
      </c>
      <c r="G355" s="237" t="s">
        <v>2973</v>
      </c>
      <c r="H355" s="238"/>
      <c r="I355" s="239" t="str">
        <f t="shared" si="12"/>
        <v>26 years, 7 month(s), 14 day(s)</v>
      </c>
      <c r="J355" s="240">
        <v>36419</v>
      </c>
      <c r="K355" s="239" t="str">
        <f t="shared" si="11"/>
        <v>0 years, 1 month(s), 5 day(s)</v>
      </c>
      <c r="L355" s="240">
        <v>46106</v>
      </c>
      <c r="M355" s="241"/>
      <c r="N355" s="241"/>
      <c r="O355" s="193" t="s">
        <v>1008</v>
      </c>
      <c r="P355" s="242" t="s">
        <v>2974</v>
      </c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25.5" customHeight="1">
      <c r="A356" s="190">
        <v>348</v>
      </c>
      <c r="B356" s="190" t="s">
        <v>28</v>
      </c>
      <c r="C356" s="190" t="s">
        <v>3123</v>
      </c>
      <c r="D356" s="190">
        <v>376408</v>
      </c>
      <c r="E356" s="237" t="s">
        <v>180</v>
      </c>
      <c r="F356" s="237" t="s">
        <v>181</v>
      </c>
      <c r="G356" s="237" t="s">
        <v>182</v>
      </c>
      <c r="H356" s="238"/>
      <c r="I356" s="239" t="str">
        <f t="shared" si="12"/>
        <v>27 years, 6 month(s), 24 day(s)</v>
      </c>
      <c r="J356" s="240">
        <v>36074</v>
      </c>
      <c r="K356" s="239" t="str">
        <f t="shared" si="11"/>
        <v>3 years, 4 month(s), 3 day(s)</v>
      </c>
      <c r="L356" s="240">
        <v>44922</v>
      </c>
      <c r="M356" s="241"/>
      <c r="N356" s="241"/>
      <c r="O356" s="193" t="s">
        <v>169</v>
      </c>
      <c r="P356" s="242" t="s">
        <v>2802</v>
      </c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25.5" customHeight="1">
      <c r="A357" s="190">
        <v>349</v>
      </c>
      <c r="B357" s="190" t="s">
        <v>28</v>
      </c>
      <c r="C357" s="190" t="s">
        <v>3123</v>
      </c>
      <c r="D357" s="190">
        <v>376409</v>
      </c>
      <c r="E357" s="237" t="s">
        <v>2001</v>
      </c>
      <c r="F357" s="237" t="s">
        <v>1440</v>
      </c>
      <c r="G357" s="237" t="s">
        <v>2002</v>
      </c>
      <c r="H357" s="238"/>
      <c r="I357" s="239" t="str">
        <f t="shared" si="12"/>
        <v>27 years, 10 month(s), 20 day(s)</v>
      </c>
      <c r="J357" s="240">
        <v>35956</v>
      </c>
      <c r="K357" s="239" t="str">
        <f t="shared" si="11"/>
        <v>3 years, 4 month(s), 3 day(s)</v>
      </c>
      <c r="L357" s="240">
        <v>44922</v>
      </c>
      <c r="M357" s="241"/>
      <c r="N357" s="241"/>
      <c r="O357" s="193" t="s">
        <v>1979</v>
      </c>
      <c r="P357" s="242" t="s">
        <v>2849</v>
      </c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25.5" customHeight="1">
      <c r="A358" s="190">
        <v>350</v>
      </c>
      <c r="B358" s="190" t="s">
        <v>40</v>
      </c>
      <c r="C358" s="190" t="s">
        <v>3123</v>
      </c>
      <c r="D358" s="190">
        <v>12</v>
      </c>
      <c r="E358" s="237" t="s">
        <v>1215</v>
      </c>
      <c r="F358" s="237" t="s">
        <v>1216</v>
      </c>
      <c r="G358" s="237" t="s">
        <v>1217</v>
      </c>
      <c r="H358" s="238"/>
      <c r="I358" s="239" t="str">
        <f t="shared" si="12"/>
        <v>55 years, 1 month(s), 1 day(s)</v>
      </c>
      <c r="J358" s="240">
        <v>26021</v>
      </c>
      <c r="K358" s="239" t="str">
        <f t="shared" ref="K358:K365" si="13">DATEDIF(L358,DATE(2026,4,30),"y")&amp;" years, "&amp;DATEDIF(L358,DATE(2026,4,30),"ym")&amp;" month(s), "&amp;DATEDIF(L358,DATE(2026,4,30),"md")&amp;" day(s)"</f>
        <v>8 years, 2 month(s), 21 day(s)</v>
      </c>
      <c r="L358" s="240">
        <v>43140</v>
      </c>
      <c r="M358" s="241"/>
      <c r="N358" s="241"/>
      <c r="O358" s="193" t="s">
        <v>3275</v>
      </c>
      <c r="P358" s="242" t="s">
        <v>3044</v>
      </c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25.5" customHeight="1">
      <c r="A359" s="190">
        <v>351</v>
      </c>
      <c r="B359" s="190" t="s">
        <v>28</v>
      </c>
      <c r="C359" s="190" t="s">
        <v>3123</v>
      </c>
      <c r="D359" s="190">
        <v>376410</v>
      </c>
      <c r="E359" s="237" t="s">
        <v>500</v>
      </c>
      <c r="F359" s="237" t="s">
        <v>501</v>
      </c>
      <c r="G359" s="237" t="s">
        <v>502</v>
      </c>
      <c r="H359" s="238"/>
      <c r="I359" s="239" t="str">
        <f t="shared" si="12"/>
        <v>29 years, 6 month(s), 18 day(s)</v>
      </c>
      <c r="J359" s="240">
        <v>35350</v>
      </c>
      <c r="K359" s="239" t="str">
        <f t="shared" si="13"/>
        <v>3 years, 4 month(s), 3 day(s)</v>
      </c>
      <c r="L359" s="240">
        <v>44922</v>
      </c>
      <c r="M359" s="241"/>
      <c r="N359" s="241"/>
      <c r="O359" s="193" t="s">
        <v>479</v>
      </c>
      <c r="P359" s="242" t="s">
        <v>2849</v>
      </c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25.5" customHeight="1">
      <c r="A360" s="190">
        <v>352</v>
      </c>
      <c r="B360" s="190" t="s">
        <v>28</v>
      </c>
      <c r="C360" s="190" t="s">
        <v>3123</v>
      </c>
      <c r="D360" s="190">
        <v>375981</v>
      </c>
      <c r="E360" s="237" t="s">
        <v>321</v>
      </c>
      <c r="F360" s="237" t="s">
        <v>322</v>
      </c>
      <c r="G360" s="237" t="s">
        <v>323</v>
      </c>
      <c r="H360" s="238"/>
      <c r="I360" s="239" t="str">
        <f t="shared" si="12"/>
        <v>28 years, 4 month(s), 9 day(s)</v>
      </c>
      <c r="J360" s="240">
        <v>35785</v>
      </c>
      <c r="K360" s="239" t="str">
        <f t="shared" si="13"/>
        <v>3 years, 4 month(s), 25 day(s)</v>
      </c>
      <c r="L360" s="240">
        <v>44900</v>
      </c>
      <c r="M360" s="241"/>
      <c r="N360" s="241"/>
      <c r="O360" s="193" t="s">
        <v>301</v>
      </c>
      <c r="P360" s="242" t="s">
        <v>2849</v>
      </c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25.5" customHeight="1">
      <c r="A361" s="190">
        <v>353</v>
      </c>
      <c r="B361" s="190" t="s">
        <v>644</v>
      </c>
      <c r="C361" s="190" t="s">
        <v>3123</v>
      </c>
      <c r="D361" s="190">
        <v>262361</v>
      </c>
      <c r="E361" s="237" t="s">
        <v>822</v>
      </c>
      <c r="F361" s="237" t="s">
        <v>823</v>
      </c>
      <c r="G361" s="237" t="s">
        <v>824</v>
      </c>
      <c r="H361" s="238"/>
      <c r="I361" s="239" t="str">
        <f t="shared" si="12"/>
        <v>34 years, 5 month(s), 4 day(s)</v>
      </c>
      <c r="J361" s="240">
        <v>33568</v>
      </c>
      <c r="K361" s="239" t="str">
        <f t="shared" si="13"/>
        <v>11 years, 4 month(s), 1 day(s)</v>
      </c>
      <c r="L361" s="240">
        <v>42002</v>
      </c>
      <c r="M361" s="241"/>
      <c r="N361" s="241"/>
      <c r="O361" s="193" t="s">
        <v>1486</v>
      </c>
      <c r="P361" s="242" t="s">
        <v>2818</v>
      </c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25.5" customHeight="1">
      <c r="A362" s="190">
        <v>354</v>
      </c>
      <c r="B362" s="190" t="s">
        <v>160</v>
      </c>
      <c r="C362" s="190" t="s">
        <v>3123</v>
      </c>
      <c r="D362" s="190" t="s">
        <v>3276</v>
      </c>
      <c r="E362" s="237" t="s">
        <v>1084</v>
      </c>
      <c r="F362" s="237" t="s">
        <v>1085</v>
      </c>
      <c r="G362" s="237" t="s">
        <v>256</v>
      </c>
      <c r="H362" s="238"/>
      <c r="I362" s="239" t="str">
        <f t="shared" si="12"/>
        <v>46 years, 3 month(s), 28 day(s)</v>
      </c>
      <c r="J362" s="240">
        <v>29222</v>
      </c>
      <c r="K362" s="239" t="str">
        <f t="shared" si="13"/>
        <v>22 years, 9 month(s), 2 day(s)</v>
      </c>
      <c r="L362" s="240">
        <v>37830</v>
      </c>
      <c r="M362" s="241"/>
      <c r="N362" s="241"/>
      <c r="O362" s="193" t="s">
        <v>1037</v>
      </c>
      <c r="P362" s="242" t="s">
        <v>2976</v>
      </c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25.5" customHeight="1">
      <c r="A363" s="190">
        <v>355</v>
      </c>
      <c r="B363" s="190" t="s">
        <v>277</v>
      </c>
      <c r="C363" s="190" t="s">
        <v>3123</v>
      </c>
      <c r="D363" s="190">
        <v>171312</v>
      </c>
      <c r="E363" s="237" t="s">
        <v>278</v>
      </c>
      <c r="F363" s="237" t="s">
        <v>279</v>
      </c>
      <c r="G363" s="237" t="s">
        <v>280</v>
      </c>
      <c r="H363" s="238"/>
      <c r="I363" s="239" t="str">
        <f t="shared" si="12"/>
        <v>43 years, 6 month(s), 7 day(s)</v>
      </c>
      <c r="J363" s="240">
        <v>30247</v>
      </c>
      <c r="K363" s="239" t="str">
        <f t="shared" si="13"/>
        <v>19 years, 10 month(s), 9 day(s)</v>
      </c>
      <c r="L363" s="240">
        <v>38889</v>
      </c>
      <c r="M363" s="241"/>
      <c r="N363" s="241"/>
      <c r="O363" s="193" t="s">
        <v>271</v>
      </c>
      <c r="P363" s="242" t="s">
        <v>2849</v>
      </c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25.5" customHeight="1">
      <c r="A364" s="190">
        <v>356</v>
      </c>
      <c r="B364" s="190" t="s">
        <v>28</v>
      </c>
      <c r="C364" s="190" t="s">
        <v>3123</v>
      </c>
      <c r="D364" s="190">
        <v>339452</v>
      </c>
      <c r="E364" s="237" t="s">
        <v>506</v>
      </c>
      <c r="F364" s="237" t="s">
        <v>507</v>
      </c>
      <c r="G364" s="237" t="s">
        <v>508</v>
      </c>
      <c r="H364" s="238"/>
      <c r="I364" s="239" t="str">
        <f t="shared" si="12"/>
        <v>36 years, 3 month(s), 23 day(s)</v>
      </c>
      <c r="J364" s="240">
        <v>32880</v>
      </c>
      <c r="K364" s="239" t="str">
        <f t="shared" si="13"/>
        <v>6 years, 6 month(s), 9 day(s)</v>
      </c>
      <c r="L364" s="240">
        <v>43759</v>
      </c>
      <c r="M364" s="241"/>
      <c r="N364" s="241"/>
      <c r="O364" s="193" t="s">
        <v>1723</v>
      </c>
      <c r="P364" s="242" t="s">
        <v>2849</v>
      </c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25.5" customHeight="1">
      <c r="A365" s="190">
        <v>357</v>
      </c>
      <c r="B365" s="190" t="s">
        <v>40</v>
      </c>
      <c r="C365" s="190" t="s">
        <v>3123</v>
      </c>
      <c r="D365" s="190">
        <v>8</v>
      </c>
      <c r="E365" s="237" t="s">
        <v>1610</v>
      </c>
      <c r="F365" s="237" t="s">
        <v>3277</v>
      </c>
      <c r="G365" s="237" t="s">
        <v>1611</v>
      </c>
      <c r="H365" s="238"/>
      <c r="I365" s="239" t="str">
        <f t="shared" si="12"/>
        <v>41 years, 1 month(s), 12 day(s)</v>
      </c>
      <c r="J365" s="240">
        <v>31124</v>
      </c>
      <c r="K365" s="239" t="str">
        <f t="shared" si="13"/>
        <v>7 years, 3 month(s), 23 day(s)</v>
      </c>
      <c r="L365" s="240">
        <v>43472</v>
      </c>
      <c r="M365" s="241"/>
      <c r="N365" s="241"/>
      <c r="O365" s="193" t="s">
        <v>1588</v>
      </c>
      <c r="P365" s="242" t="s">
        <v>2751</v>
      </c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25.5" customHeight="1">
      <c r="A366" s="190">
        <v>358</v>
      </c>
      <c r="B366" s="190" t="s">
        <v>40</v>
      </c>
      <c r="C366" s="190" t="s">
        <v>3123</v>
      </c>
      <c r="D366" s="190">
        <v>6</v>
      </c>
      <c r="E366" s="237" t="s">
        <v>2919</v>
      </c>
      <c r="F366" s="237" t="s">
        <v>2920</v>
      </c>
      <c r="G366" s="237" t="s">
        <v>2921</v>
      </c>
      <c r="H366" s="238"/>
      <c r="I366" s="239" t="str">
        <f t="shared" si="12"/>
        <v>24 years, 7 month(s), 15 day(s)</v>
      </c>
      <c r="J366" s="240">
        <v>37149</v>
      </c>
      <c r="K366" s="239" t="str">
        <f ca="1">DATEDIF(L366,TODAY(),"y")&amp;" years, "&amp;DATEDIF(L366,TODAY(),"ym")&amp;" month(s), "&amp;DATEDIF(L366,TODAY(),"md")&amp;" day(s)"</f>
        <v>0 years, 1 month(s), 3 day(s)</v>
      </c>
      <c r="L366" s="240">
        <v>46239</v>
      </c>
      <c r="M366" s="241"/>
      <c r="N366" s="241"/>
      <c r="O366" s="258" t="s">
        <v>3643</v>
      </c>
      <c r="P366" s="245" t="s">
        <v>3644</v>
      </c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25.5" customHeight="1">
      <c r="A367" s="190">
        <v>359</v>
      </c>
      <c r="B367" s="190" t="s">
        <v>24</v>
      </c>
      <c r="C367" s="190" t="s">
        <v>3123</v>
      </c>
      <c r="D367" s="190">
        <v>311638</v>
      </c>
      <c r="E367" s="237" t="s">
        <v>2044</v>
      </c>
      <c r="F367" s="237" t="s">
        <v>2502</v>
      </c>
      <c r="G367" s="237" t="s">
        <v>2503</v>
      </c>
      <c r="H367" s="238"/>
      <c r="I367" s="239" t="str">
        <f t="shared" si="12"/>
        <v>34 years, 10 month(s), 10 day(s)</v>
      </c>
      <c r="J367" s="240">
        <v>33409</v>
      </c>
      <c r="K367" s="239" t="str">
        <f t="shared" ref="K367:K430" si="14">DATEDIF(L367,DATE(2026,4,30),"y")&amp;" years, "&amp;DATEDIF(L367,DATE(2026,4,30),"ym")&amp;" month(s), "&amp;DATEDIF(L367,DATE(2026,4,30),"md")&amp;" day(s)"</f>
        <v>8 years, 7 month(s), 14 day(s)</v>
      </c>
      <c r="L367" s="240">
        <v>42994</v>
      </c>
      <c r="M367" s="241"/>
      <c r="N367" s="241"/>
      <c r="O367" s="193" t="s">
        <v>2488</v>
      </c>
      <c r="P367" s="242" t="s">
        <v>2849</v>
      </c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25.5" customHeight="1">
      <c r="A368" s="190">
        <v>360</v>
      </c>
      <c r="B368" s="190" t="s">
        <v>96</v>
      </c>
      <c r="C368" s="190" t="s">
        <v>3123</v>
      </c>
      <c r="D368" s="190" t="s">
        <v>3278</v>
      </c>
      <c r="E368" s="237" t="s">
        <v>1230</v>
      </c>
      <c r="F368" s="237" t="s">
        <v>171</v>
      </c>
      <c r="G368" s="237" t="s">
        <v>1231</v>
      </c>
      <c r="H368" s="238"/>
      <c r="I368" s="239" t="str">
        <f t="shared" si="12"/>
        <v>28 years, 2 month(s), 18 day(s)</v>
      </c>
      <c r="J368" s="240">
        <v>35838</v>
      </c>
      <c r="K368" s="239" t="str">
        <f t="shared" si="14"/>
        <v>4 years, 7 month(s), 14 day(s)</v>
      </c>
      <c r="L368" s="240">
        <v>44455</v>
      </c>
      <c r="M368" s="240">
        <v>43753</v>
      </c>
      <c r="N368" s="241"/>
      <c r="O368" s="193" t="s">
        <v>1229</v>
      </c>
      <c r="P368" s="242" t="s">
        <v>2985</v>
      </c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25.5" customHeight="1">
      <c r="A369" s="190">
        <v>361</v>
      </c>
      <c r="B369" s="190" t="s">
        <v>40</v>
      </c>
      <c r="C369" s="190" t="s">
        <v>3123</v>
      </c>
      <c r="D369" s="190">
        <v>7</v>
      </c>
      <c r="E369" s="237" t="s">
        <v>1446</v>
      </c>
      <c r="F369" s="237" t="s">
        <v>3279</v>
      </c>
      <c r="G369" s="237" t="s">
        <v>1448</v>
      </c>
      <c r="H369" s="238"/>
      <c r="I369" s="239" t="str">
        <f t="shared" si="12"/>
        <v>41 years, 5 month(s), 14 day(s)</v>
      </c>
      <c r="J369" s="240">
        <v>31002</v>
      </c>
      <c r="K369" s="239" t="str">
        <f t="shared" si="14"/>
        <v>9 years, 0 month(s), 20 day(s)</v>
      </c>
      <c r="L369" s="240">
        <v>42835</v>
      </c>
      <c r="M369" s="241"/>
      <c r="N369" s="241"/>
      <c r="O369" s="193" t="s">
        <v>1348</v>
      </c>
      <c r="P369" s="242" t="s">
        <v>2752</v>
      </c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25.5" customHeight="1">
      <c r="A370" s="190">
        <v>362</v>
      </c>
      <c r="B370" s="190" t="s">
        <v>40</v>
      </c>
      <c r="C370" s="190" t="s">
        <v>3123</v>
      </c>
      <c r="D370" s="190">
        <v>13</v>
      </c>
      <c r="E370" s="237" t="s">
        <v>942</v>
      </c>
      <c r="F370" s="237" t="s">
        <v>943</v>
      </c>
      <c r="G370" s="237" t="s">
        <v>944</v>
      </c>
      <c r="H370" s="238"/>
      <c r="I370" s="239" t="str">
        <f t="shared" si="12"/>
        <v>52 years, 6 month(s), 2 day(s)</v>
      </c>
      <c r="J370" s="240">
        <v>26965</v>
      </c>
      <c r="K370" s="239" t="str">
        <f t="shared" si="14"/>
        <v>22 years, 4 month(s), 15 day(s)</v>
      </c>
      <c r="L370" s="240">
        <v>37970</v>
      </c>
      <c r="M370" s="241"/>
      <c r="N370" s="241"/>
      <c r="O370" s="193" t="s">
        <v>919</v>
      </c>
      <c r="P370" s="242" t="s">
        <v>2753</v>
      </c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25.5" customHeight="1">
      <c r="A371" s="190">
        <v>363</v>
      </c>
      <c r="B371" s="190" t="s">
        <v>40</v>
      </c>
      <c r="C371" s="190" t="s">
        <v>3123</v>
      </c>
      <c r="D371" s="190">
        <v>25</v>
      </c>
      <c r="E371" s="237" t="s">
        <v>74</v>
      </c>
      <c r="F371" s="237" t="s">
        <v>75</v>
      </c>
      <c r="G371" s="237" t="s">
        <v>76</v>
      </c>
      <c r="H371" s="238"/>
      <c r="I371" s="239" t="str">
        <f t="shared" si="12"/>
        <v>60 years, 7 month(s), 3 day(s)</v>
      </c>
      <c r="J371" s="240">
        <v>24012</v>
      </c>
      <c r="K371" s="239" t="str">
        <f t="shared" si="14"/>
        <v>40 years, 0 month(s), 29 day(s)</v>
      </c>
      <c r="L371" s="240">
        <v>31503</v>
      </c>
      <c r="M371" s="241"/>
      <c r="N371" s="241"/>
      <c r="O371" s="193" t="s">
        <v>73</v>
      </c>
      <c r="P371" s="242" t="s">
        <v>2754</v>
      </c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25.5" customHeight="1">
      <c r="A372" s="190">
        <v>364</v>
      </c>
      <c r="B372" s="190" t="s">
        <v>40</v>
      </c>
      <c r="C372" s="190" t="s">
        <v>3123</v>
      </c>
      <c r="D372" s="190">
        <v>7</v>
      </c>
      <c r="E372" s="237" t="s">
        <v>1220</v>
      </c>
      <c r="F372" s="237" t="s">
        <v>1221</v>
      </c>
      <c r="G372" s="237" t="s">
        <v>836</v>
      </c>
      <c r="H372" s="238"/>
      <c r="I372" s="239" t="str">
        <f t="shared" si="12"/>
        <v>52 years, 10 month(s), 2 day(s)</v>
      </c>
      <c r="J372" s="240">
        <v>26843</v>
      </c>
      <c r="K372" s="239" t="str">
        <f t="shared" si="14"/>
        <v>25 years, 3 month(s), 27 day(s)</v>
      </c>
      <c r="L372" s="240">
        <v>36894</v>
      </c>
      <c r="M372" s="241"/>
      <c r="N372" s="241"/>
      <c r="O372" s="193" t="s">
        <v>2853</v>
      </c>
      <c r="P372" s="242" t="s">
        <v>2716</v>
      </c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25.5" customHeight="1">
      <c r="A373" s="190">
        <v>365</v>
      </c>
      <c r="B373" s="190" t="s">
        <v>277</v>
      </c>
      <c r="C373" s="190" t="s">
        <v>3123</v>
      </c>
      <c r="D373" s="190">
        <v>151047</v>
      </c>
      <c r="E373" s="237" t="s">
        <v>812</v>
      </c>
      <c r="F373" s="237" t="s">
        <v>813</v>
      </c>
      <c r="G373" s="237" t="s">
        <v>814</v>
      </c>
      <c r="H373" s="238"/>
      <c r="I373" s="239" t="str">
        <f t="shared" si="12"/>
        <v>47 years, 3 month(s), 18 day(s)</v>
      </c>
      <c r="J373" s="240">
        <v>28867</v>
      </c>
      <c r="K373" s="239" t="str">
        <f t="shared" si="14"/>
        <v>22 years, 9 month(s), 2 day(s)</v>
      </c>
      <c r="L373" s="240">
        <v>37830</v>
      </c>
      <c r="M373" s="241"/>
      <c r="N373" s="241"/>
      <c r="O373" s="193" t="s">
        <v>801</v>
      </c>
      <c r="P373" s="242" t="s">
        <v>2905</v>
      </c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25.5" customHeight="1">
      <c r="A374" s="190">
        <v>366</v>
      </c>
      <c r="B374" s="190" t="s">
        <v>28</v>
      </c>
      <c r="C374" s="190" t="s">
        <v>3123</v>
      </c>
      <c r="D374" s="190">
        <v>375622</v>
      </c>
      <c r="E374" s="237" t="s">
        <v>1194</v>
      </c>
      <c r="F374" s="237" t="s">
        <v>108</v>
      </c>
      <c r="G374" s="237" t="s">
        <v>822</v>
      </c>
      <c r="H374" s="238"/>
      <c r="I374" s="239" t="str">
        <f t="shared" si="12"/>
        <v>27 years, 11 month(s), 29 day(s)</v>
      </c>
      <c r="J374" s="240">
        <v>35916</v>
      </c>
      <c r="K374" s="239" t="str">
        <f t="shared" si="14"/>
        <v>3 years, 5 month(s), 16 day(s)</v>
      </c>
      <c r="L374" s="240">
        <v>44879</v>
      </c>
      <c r="M374" s="241"/>
      <c r="N374" s="241"/>
      <c r="O374" s="193" t="s">
        <v>1065</v>
      </c>
      <c r="P374" s="242" t="s">
        <v>2854</v>
      </c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25.5" customHeight="1">
      <c r="A375" s="190">
        <v>367</v>
      </c>
      <c r="B375" s="190" t="s">
        <v>28</v>
      </c>
      <c r="C375" s="190" t="s">
        <v>3123</v>
      </c>
      <c r="D375" s="190">
        <v>339480</v>
      </c>
      <c r="E375" s="237" t="s">
        <v>526</v>
      </c>
      <c r="F375" s="237" t="s">
        <v>1957</v>
      </c>
      <c r="G375" s="237" t="s">
        <v>1958</v>
      </c>
      <c r="H375" s="238"/>
      <c r="I375" s="239" t="str">
        <f t="shared" si="12"/>
        <v>36 years, 6 month(s), 12 day(s)</v>
      </c>
      <c r="J375" s="240">
        <v>32799</v>
      </c>
      <c r="K375" s="239" t="str">
        <f t="shared" si="14"/>
        <v>6 years, 6 month(s), 9 day(s)</v>
      </c>
      <c r="L375" s="240">
        <v>43759</v>
      </c>
      <c r="M375" s="241"/>
      <c r="N375" s="241"/>
      <c r="O375" s="193" t="s">
        <v>714</v>
      </c>
      <c r="P375" s="242" t="s">
        <v>2849</v>
      </c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25.5" customHeight="1">
      <c r="A376" s="190">
        <v>368</v>
      </c>
      <c r="B376" s="190" t="s">
        <v>40</v>
      </c>
      <c r="C376" s="190" t="s">
        <v>3123</v>
      </c>
      <c r="D376" s="190">
        <v>6</v>
      </c>
      <c r="E376" s="237" t="s">
        <v>526</v>
      </c>
      <c r="F376" s="237" t="s">
        <v>527</v>
      </c>
      <c r="G376" s="237" t="s">
        <v>528</v>
      </c>
      <c r="H376" s="238"/>
      <c r="I376" s="239" t="str">
        <f t="shared" si="12"/>
        <v>47 years, 9 month(s), 25 day(s)</v>
      </c>
      <c r="J376" s="240">
        <v>28676</v>
      </c>
      <c r="K376" s="239" t="str">
        <f t="shared" si="14"/>
        <v>15 years, 1 month(s), 6 day(s)</v>
      </c>
      <c r="L376" s="240">
        <v>40626</v>
      </c>
      <c r="M376" s="241"/>
      <c r="N376" s="241"/>
      <c r="O376" s="193" t="s">
        <v>479</v>
      </c>
      <c r="P376" s="242" t="s">
        <v>2704</v>
      </c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25.5" customHeight="1">
      <c r="A377" s="190">
        <v>369</v>
      </c>
      <c r="B377" s="190" t="s">
        <v>24</v>
      </c>
      <c r="C377" s="190" t="s">
        <v>3123</v>
      </c>
      <c r="D377" s="190">
        <v>339453</v>
      </c>
      <c r="E377" s="237" t="s">
        <v>829</v>
      </c>
      <c r="F377" s="237" t="s">
        <v>830</v>
      </c>
      <c r="G377" s="237" t="s">
        <v>831</v>
      </c>
      <c r="H377" s="238"/>
      <c r="I377" s="239" t="str">
        <f t="shared" si="12"/>
        <v>28 years, 8 month(s), 22 day(s)</v>
      </c>
      <c r="J377" s="240">
        <v>35650</v>
      </c>
      <c r="K377" s="239" t="str">
        <f t="shared" si="14"/>
        <v>6 years, 6 month(s), 9 day(s)</v>
      </c>
      <c r="L377" s="240">
        <v>43759</v>
      </c>
      <c r="M377" s="241"/>
      <c r="N377" s="241"/>
      <c r="O377" s="193" t="s">
        <v>801</v>
      </c>
      <c r="P377" s="237" t="s">
        <v>2907</v>
      </c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25.5" customHeight="1">
      <c r="A378" s="190">
        <v>370</v>
      </c>
      <c r="B378" s="190" t="s">
        <v>40</v>
      </c>
      <c r="C378" s="190" t="s">
        <v>3123</v>
      </c>
      <c r="D378" s="190">
        <v>6</v>
      </c>
      <c r="E378" s="237" t="s">
        <v>1826</v>
      </c>
      <c r="F378" s="237" t="s">
        <v>1827</v>
      </c>
      <c r="G378" s="237" t="s">
        <v>1828</v>
      </c>
      <c r="H378" s="238"/>
      <c r="I378" s="239" t="str">
        <f t="shared" si="12"/>
        <v>26 years, 3 month(s), 6 day(s)</v>
      </c>
      <c r="J378" s="240">
        <v>36549</v>
      </c>
      <c r="K378" s="239" t="str">
        <f t="shared" si="14"/>
        <v>1 years, 1 month(s), 13 day(s)</v>
      </c>
      <c r="L378" s="240">
        <v>45733</v>
      </c>
      <c r="M378" s="241"/>
      <c r="N378" s="241"/>
      <c r="O378" s="193" t="s">
        <v>1844</v>
      </c>
      <c r="P378" s="242" t="s">
        <v>2679</v>
      </c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25.5" customHeight="1">
      <c r="A379" s="190">
        <v>371</v>
      </c>
      <c r="B379" s="190" t="s">
        <v>160</v>
      </c>
      <c r="C379" s="190" t="s">
        <v>3123</v>
      </c>
      <c r="D379" s="190" t="s">
        <v>3280</v>
      </c>
      <c r="E379" s="237" t="s">
        <v>2593</v>
      </c>
      <c r="F379" s="237" t="s">
        <v>30</v>
      </c>
      <c r="G379" s="237" t="s">
        <v>2594</v>
      </c>
      <c r="H379" s="238"/>
      <c r="I379" s="239" t="str">
        <f t="shared" si="12"/>
        <v>49 years, 8 month(s), 23 day(s)</v>
      </c>
      <c r="J379" s="240">
        <v>27979</v>
      </c>
      <c r="K379" s="239" t="str">
        <f t="shared" si="14"/>
        <v>21 years, 7 month(s), 24 day(s)</v>
      </c>
      <c r="L379" s="240">
        <v>38236</v>
      </c>
      <c r="M379" s="240">
        <v>37757</v>
      </c>
      <c r="N379" s="241"/>
      <c r="O379" s="193" t="s">
        <v>2592</v>
      </c>
      <c r="P379" s="242" t="s">
        <v>2989</v>
      </c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25.5" customHeight="1">
      <c r="A380" s="190">
        <v>372</v>
      </c>
      <c r="B380" s="190" t="s">
        <v>366</v>
      </c>
      <c r="C380" s="190" t="s">
        <v>3123</v>
      </c>
      <c r="D380" s="190">
        <v>207836</v>
      </c>
      <c r="E380" s="237" t="s">
        <v>2110</v>
      </c>
      <c r="F380" s="237" t="s">
        <v>2111</v>
      </c>
      <c r="G380" s="237" t="s">
        <v>2112</v>
      </c>
      <c r="H380" s="238"/>
      <c r="I380" s="239" t="str">
        <f t="shared" si="12"/>
        <v>44 years, 1 month(s), 24 day(s)</v>
      </c>
      <c r="J380" s="240">
        <v>30016</v>
      </c>
      <c r="K380" s="239" t="str">
        <f t="shared" si="14"/>
        <v>15 years, 4 month(s), 29 day(s)</v>
      </c>
      <c r="L380" s="240">
        <v>40513</v>
      </c>
      <c r="M380" s="241"/>
      <c r="N380" s="241"/>
      <c r="O380" s="193" t="s">
        <v>2088</v>
      </c>
      <c r="P380" s="242" t="s">
        <v>2849</v>
      </c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25.5" customHeight="1">
      <c r="A381" s="190">
        <v>373</v>
      </c>
      <c r="B381" s="190" t="s">
        <v>277</v>
      </c>
      <c r="C381" s="190" t="s">
        <v>3123</v>
      </c>
      <c r="D381" s="190">
        <v>151037</v>
      </c>
      <c r="E381" s="237" t="s">
        <v>966</v>
      </c>
      <c r="F381" s="237" t="s">
        <v>967</v>
      </c>
      <c r="G381" s="237" t="s">
        <v>968</v>
      </c>
      <c r="H381" s="238"/>
      <c r="I381" s="239" t="str">
        <f t="shared" si="12"/>
        <v>49 years, 0 month(s), 5 day(s)</v>
      </c>
      <c r="J381" s="240">
        <v>28240</v>
      </c>
      <c r="K381" s="239" t="str">
        <f t="shared" si="14"/>
        <v>22 years, 9 month(s), 2 day(s)</v>
      </c>
      <c r="L381" s="240">
        <v>37830</v>
      </c>
      <c r="M381" s="241"/>
      <c r="N381" s="241"/>
      <c r="O381" s="193" t="s">
        <v>965</v>
      </c>
      <c r="P381" s="242" t="s">
        <v>2818</v>
      </c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25.5" customHeight="1">
      <c r="A382" s="190">
        <v>374</v>
      </c>
      <c r="B382" s="190" t="s">
        <v>40</v>
      </c>
      <c r="C382" s="190" t="s">
        <v>3123</v>
      </c>
      <c r="D382" s="190">
        <v>7</v>
      </c>
      <c r="E382" s="237" t="s">
        <v>2249</v>
      </c>
      <c r="F382" s="237" t="s">
        <v>2250</v>
      </c>
      <c r="G382" s="237" t="s">
        <v>2251</v>
      </c>
      <c r="H382" s="238"/>
      <c r="I382" s="239" t="str">
        <f t="shared" si="12"/>
        <v>45 years, 10 month(s), 27 day(s)</v>
      </c>
      <c r="J382" s="240">
        <v>29375</v>
      </c>
      <c r="K382" s="239" t="str">
        <f t="shared" si="14"/>
        <v>3 years, 3 month(s), 21 day(s)</v>
      </c>
      <c r="L382" s="240">
        <v>44935</v>
      </c>
      <c r="M382" s="241"/>
      <c r="N382" s="241"/>
      <c r="O382" s="193" t="s">
        <v>2229</v>
      </c>
      <c r="P382" s="242" t="s">
        <v>2716</v>
      </c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25.5" customHeight="1">
      <c r="A383" s="190">
        <v>375</v>
      </c>
      <c r="B383" s="190" t="s">
        <v>40</v>
      </c>
      <c r="C383" s="190" t="s">
        <v>3123</v>
      </c>
      <c r="D383" s="190">
        <v>14</v>
      </c>
      <c r="E383" s="237" t="s">
        <v>874</v>
      </c>
      <c r="F383" s="237" t="s">
        <v>875</v>
      </c>
      <c r="G383" s="237" t="s">
        <v>876</v>
      </c>
      <c r="H383" s="238"/>
      <c r="I383" s="239" t="str">
        <f t="shared" si="12"/>
        <v>58 years, 3 month(s), 27 day(s)</v>
      </c>
      <c r="J383" s="240">
        <v>24840</v>
      </c>
      <c r="K383" s="239" t="str">
        <f t="shared" si="14"/>
        <v>20 years, 5 month(s), 20 day(s)</v>
      </c>
      <c r="L383" s="240">
        <v>38666</v>
      </c>
      <c r="M383" s="241"/>
      <c r="N383" s="241"/>
      <c r="O383" s="193" t="s">
        <v>837</v>
      </c>
      <c r="P383" s="242" t="s">
        <v>2942</v>
      </c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25.5" customHeight="1">
      <c r="A384" s="190">
        <v>376</v>
      </c>
      <c r="B384" s="190" t="s">
        <v>28</v>
      </c>
      <c r="C384" s="190" t="s">
        <v>3123</v>
      </c>
      <c r="D384" s="190">
        <v>376411</v>
      </c>
      <c r="E384" s="237" t="s">
        <v>934</v>
      </c>
      <c r="F384" s="237" t="s">
        <v>935</v>
      </c>
      <c r="G384" s="237" t="s">
        <v>936</v>
      </c>
      <c r="H384" s="238"/>
      <c r="I384" s="239" t="str">
        <f t="shared" si="12"/>
        <v>29 years, 7 month(s), 6 day(s)</v>
      </c>
      <c r="J384" s="240">
        <v>35332</v>
      </c>
      <c r="K384" s="239" t="str">
        <f t="shared" si="14"/>
        <v>3 years, 4 month(s), 3 day(s)</v>
      </c>
      <c r="L384" s="240">
        <v>44922</v>
      </c>
      <c r="M384" s="241"/>
      <c r="N384" s="241"/>
      <c r="O384" s="193" t="s">
        <v>919</v>
      </c>
      <c r="P384" s="242" t="s">
        <v>2818</v>
      </c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25.5" customHeight="1">
      <c r="A385" s="190">
        <v>377</v>
      </c>
      <c r="B385" s="190" t="s">
        <v>40</v>
      </c>
      <c r="C385" s="190" t="s">
        <v>3123</v>
      </c>
      <c r="D385" s="190">
        <v>12</v>
      </c>
      <c r="E385" s="237" t="s">
        <v>1416</v>
      </c>
      <c r="F385" s="237" t="s">
        <v>1417</v>
      </c>
      <c r="G385" s="237" t="s">
        <v>1418</v>
      </c>
      <c r="H385" s="238"/>
      <c r="I385" s="239" t="str">
        <f t="shared" si="12"/>
        <v>29 years, 7 month(s), 9 day(s)</v>
      </c>
      <c r="J385" s="240">
        <v>35329</v>
      </c>
      <c r="K385" s="239" t="str">
        <f t="shared" si="14"/>
        <v>4 years, 3 month(s), 19 day(s)</v>
      </c>
      <c r="L385" s="240">
        <v>44572</v>
      </c>
      <c r="M385" s="241"/>
      <c r="N385" s="241"/>
      <c r="O385" s="193" t="s">
        <v>1396</v>
      </c>
      <c r="P385" s="242" t="s">
        <v>2757</v>
      </c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25.5" customHeight="1">
      <c r="A386" s="190">
        <v>378</v>
      </c>
      <c r="B386" s="190" t="s">
        <v>28</v>
      </c>
      <c r="C386" s="190" t="s">
        <v>3123</v>
      </c>
      <c r="D386" s="190">
        <v>376412</v>
      </c>
      <c r="E386" s="237" t="s">
        <v>1259</v>
      </c>
      <c r="F386" s="237" t="s">
        <v>1260</v>
      </c>
      <c r="G386" s="237" t="s">
        <v>962</v>
      </c>
      <c r="H386" s="238"/>
      <c r="I386" s="239" t="str">
        <f t="shared" si="12"/>
        <v>29 years, 0 month(s), 10 day(s)</v>
      </c>
      <c r="J386" s="240">
        <v>35540</v>
      </c>
      <c r="K386" s="239" t="str">
        <f t="shared" si="14"/>
        <v>3 years, 4 month(s), 3 day(s)</v>
      </c>
      <c r="L386" s="240">
        <v>44922</v>
      </c>
      <c r="M386" s="241"/>
      <c r="N386" s="241"/>
      <c r="O386" s="193" t="s">
        <v>1229</v>
      </c>
      <c r="P386" s="242" t="s">
        <v>2854</v>
      </c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25.5" customHeight="1">
      <c r="A387" s="190">
        <v>379</v>
      </c>
      <c r="B387" s="190" t="s">
        <v>40</v>
      </c>
      <c r="C387" s="190" t="s">
        <v>3123</v>
      </c>
      <c r="D387" s="190">
        <v>9</v>
      </c>
      <c r="E387" s="237" t="s">
        <v>1710</v>
      </c>
      <c r="F387" s="237" t="s">
        <v>1711</v>
      </c>
      <c r="G387" s="237" t="s">
        <v>1169</v>
      </c>
      <c r="H387" s="238"/>
      <c r="I387" s="239" t="str">
        <f t="shared" si="12"/>
        <v>59 years, 6 month(s), 22 day(s)</v>
      </c>
      <c r="J387" s="240">
        <v>24388</v>
      </c>
      <c r="K387" s="239" t="str">
        <f t="shared" si="14"/>
        <v>14 years, 6 month(s), 3 day(s)</v>
      </c>
      <c r="L387" s="240">
        <v>40843</v>
      </c>
      <c r="M387" s="241"/>
      <c r="N387" s="241"/>
      <c r="O387" s="193" t="s">
        <v>1714</v>
      </c>
      <c r="P387" s="242" t="s">
        <v>2682</v>
      </c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25.5" customHeight="1">
      <c r="A388" s="190">
        <v>380</v>
      </c>
      <c r="B388" s="190" t="s">
        <v>28</v>
      </c>
      <c r="C388" s="190" t="s">
        <v>3123</v>
      </c>
      <c r="D388" s="190">
        <v>376413</v>
      </c>
      <c r="E388" s="237" t="s">
        <v>34</v>
      </c>
      <c r="F388" s="237" t="s">
        <v>35</v>
      </c>
      <c r="G388" s="237" t="s">
        <v>36</v>
      </c>
      <c r="H388" s="238"/>
      <c r="I388" s="239" t="str">
        <f t="shared" si="12"/>
        <v>33 years, 0 month(s), 16 day(s)</v>
      </c>
      <c r="J388" s="240">
        <v>34073</v>
      </c>
      <c r="K388" s="239" t="str">
        <f t="shared" si="14"/>
        <v>3 years, 4 month(s), 3 day(s)</v>
      </c>
      <c r="L388" s="240">
        <v>44922</v>
      </c>
      <c r="M388" s="241"/>
      <c r="N388" s="241"/>
      <c r="O388" s="193" t="s">
        <v>965</v>
      </c>
      <c r="P388" s="242" t="s">
        <v>2818</v>
      </c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25.5" customHeight="1">
      <c r="A389" s="190">
        <v>381</v>
      </c>
      <c r="B389" s="190" t="s">
        <v>28</v>
      </c>
      <c r="C389" s="190" t="s">
        <v>3123</v>
      </c>
      <c r="D389" s="190">
        <v>376414</v>
      </c>
      <c r="E389" s="237" t="s">
        <v>195</v>
      </c>
      <c r="F389" s="237" t="s">
        <v>196</v>
      </c>
      <c r="G389" s="237" t="s">
        <v>197</v>
      </c>
      <c r="H389" s="238"/>
      <c r="I389" s="239" t="str">
        <f t="shared" si="12"/>
        <v>27 years, 0 month(s), 14 day(s)</v>
      </c>
      <c r="J389" s="240">
        <v>36266</v>
      </c>
      <c r="K389" s="239" t="str">
        <f t="shared" si="14"/>
        <v>3 years, 4 month(s), 3 day(s)</v>
      </c>
      <c r="L389" s="240">
        <v>44922</v>
      </c>
      <c r="M389" s="241"/>
      <c r="N389" s="241"/>
      <c r="O389" s="193" t="s">
        <v>169</v>
      </c>
      <c r="P389" s="242" t="s">
        <v>2802</v>
      </c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25.5" customHeight="1">
      <c r="A390" s="190">
        <v>382</v>
      </c>
      <c r="B390" s="190" t="s">
        <v>40</v>
      </c>
      <c r="C390" s="190" t="s">
        <v>3123</v>
      </c>
      <c r="D390" s="190">
        <v>11</v>
      </c>
      <c r="E390" s="237" t="s">
        <v>1456</v>
      </c>
      <c r="F390" s="237" t="s">
        <v>1582</v>
      </c>
      <c r="G390" s="237" t="s">
        <v>1583</v>
      </c>
      <c r="H390" s="238"/>
      <c r="I390" s="239" t="str">
        <f t="shared" si="12"/>
        <v>43 years, 4 month(s), 26 day(s)</v>
      </c>
      <c r="J390" s="240">
        <v>30289</v>
      </c>
      <c r="K390" s="239" t="str">
        <f t="shared" si="14"/>
        <v>12 years, 5 month(s), 9 day(s)</v>
      </c>
      <c r="L390" s="240">
        <v>41599</v>
      </c>
      <c r="M390" s="241"/>
      <c r="N390" s="241"/>
      <c r="O390" s="193" t="s">
        <v>1563</v>
      </c>
      <c r="P390" s="242" t="s">
        <v>2759</v>
      </c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25.5" customHeight="1">
      <c r="A391" s="190">
        <v>383</v>
      </c>
      <c r="B391" s="190" t="s">
        <v>28</v>
      </c>
      <c r="C391" s="190" t="s">
        <v>3123</v>
      </c>
      <c r="D391" s="190">
        <v>375982</v>
      </c>
      <c r="E391" s="237" t="s">
        <v>1456</v>
      </c>
      <c r="F391" s="237" t="s">
        <v>1457</v>
      </c>
      <c r="G391" s="237" t="s">
        <v>934</v>
      </c>
      <c r="H391" s="238"/>
      <c r="I391" s="239" t="str">
        <f t="shared" si="12"/>
        <v>26 years, 8 month(s), 20 day(s)</v>
      </c>
      <c r="J391" s="240">
        <v>36382</v>
      </c>
      <c r="K391" s="239" t="str">
        <f t="shared" si="14"/>
        <v>3 years, 4 month(s), 25 day(s)</v>
      </c>
      <c r="L391" s="240">
        <v>44900</v>
      </c>
      <c r="M391" s="241"/>
      <c r="N391" s="241"/>
      <c r="O391" s="193" t="s">
        <v>1451</v>
      </c>
      <c r="P391" s="242" t="s">
        <v>3007</v>
      </c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25.5" customHeight="1">
      <c r="A392" s="190">
        <v>384</v>
      </c>
      <c r="B392" s="190" t="s">
        <v>366</v>
      </c>
      <c r="C392" s="190" t="s">
        <v>3123</v>
      </c>
      <c r="D392" s="190">
        <v>196786</v>
      </c>
      <c r="E392" s="237" t="s">
        <v>2631</v>
      </c>
      <c r="F392" s="237" t="s">
        <v>2632</v>
      </c>
      <c r="G392" s="237" t="s">
        <v>2633</v>
      </c>
      <c r="H392" s="238"/>
      <c r="I392" s="239" t="str">
        <f t="shared" si="12"/>
        <v>41 years, 10 month(s), 21 day(s)</v>
      </c>
      <c r="J392" s="240">
        <v>30842</v>
      </c>
      <c r="K392" s="239" t="str">
        <f t="shared" si="14"/>
        <v>16 years, 9 month(s), 29 day(s)</v>
      </c>
      <c r="L392" s="240">
        <v>39995</v>
      </c>
      <c r="M392" s="241"/>
      <c r="N392" s="241"/>
      <c r="O392" s="193" t="s">
        <v>2625</v>
      </c>
      <c r="P392" s="242" t="s">
        <v>2854</v>
      </c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25.5" customHeight="1">
      <c r="A393" s="190">
        <v>385</v>
      </c>
      <c r="B393" s="190" t="s">
        <v>40</v>
      </c>
      <c r="C393" s="190" t="s">
        <v>3123</v>
      </c>
      <c r="D393" s="190">
        <v>6</v>
      </c>
      <c r="E393" s="237" t="s">
        <v>1829</v>
      </c>
      <c r="F393" s="237" t="s">
        <v>1830</v>
      </c>
      <c r="G393" s="237" t="s">
        <v>1831</v>
      </c>
      <c r="H393" s="238"/>
      <c r="I393" s="239" t="str">
        <f t="shared" ref="I393:I456" si="15">DATEDIF(J393,DATE(2026,4,30),"y")&amp;" years, "&amp;DATEDIF(J393,DATE(2026,4,30),"ym")&amp;" month(s), "&amp;DATEDIF(J393,DATE(2026,4,30),"md")&amp;" day(s)"</f>
        <v>27 years, 0 month(s), 22 day(s)</v>
      </c>
      <c r="J393" s="240">
        <v>36258</v>
      </c>
      <c r="K393" s="239" t="str">
        <f t="shared" si="14"/>
        <v>1 years, 1 month(s), 4 day(s)</v>
      </c>
      <c r="L393" s="240">
        <v>45742</v>
      </c>
      <c r="M393" s="241"/>
      <c r="N393" s="241"/>
      <c r="O393" s="193" t="s">
        <v>1804</v>
      </c>
      <c r="P393" s="242" t="s">
        <v>2679</v>
      </c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25.5" customHeight="1">
      <c r="A394" s="190">
        <v>386</v>
      </c>
      <c r="B394" s="190" t="s">
        <v>96</v>
      </c>
      <c r="C394" s="190" t="s">
        <v>3123</v>
      </c>
      <c r="D394" s="190" t="s">
        <v>3281</v>
      </c>
      <c r="E394" s="237" t="s">
        <v>272</v>
      </c>
      <c r="F394" s="237" t="s">
        <v>273</v>
      </c>
      <c r="G394" s="237" t="s">
        <v>274</v>
      </c>
      <c r="H394" s="238"/>
      <c r="I394" s="239" t="str">
        <f t="shared" si="15"/>
        <v>33 years, 3 month(s), 22 day(s)</v>
      </c>
      <c r="J394" s="240">
        <v>33977</v>
      </c>
      <c r="K394" s="239" t="str">
        <f t="shared" si="14"/>
        <v>4 years, 7 month(s), 14 day(s)</v>
      </c>
      <c r="L394" s="240">
        <v>44455</v>
      </c>
      <c r="M394" s="240">
        <v>43759</v>
      </c>
      <c r="N394" s="241"/>
      <c r="O394" s="193" t="s">
        <v>271</v>
      </c>
      <c r="P394" s="242" t="s">
        <v>2848</v>
      </c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25.5" customHeight="1">
      <c r="A395" s="190">
        <v>387</v>
      </c>
      <c r="B395" s="190" t="s">
        <v>40</v>
      </c>
      <c r="C395" s="190" t="s">
        <v>3123</v>
      </c>
      <c r="D395" s="190">
        <v>6</v>
      </c>
      <c r="E395" s="237" t="s">
        <v>1687</v>
      </c>
      <c r="F395" s="237" t="s">
        <v>1688</v>
      </c>
      <c r="G395" s="237" t="s">
        <v>1689</v>
      </c>
      <c r="H395" s="238"/>
      <c r="I395" s="239" t="str">
        <f t="shared" si="15"/>
        <v>25 years, 10 month(s), 17 day(s)</v>
      </c>
      <c r="J395" s="240">
        <v>36690</v>
      </c>
      <c r="K395" s="239" t="str">
        <f t="shared" si="14"/>
        <v>1 years, 1 month(s), 13 day(s)</v>
      </c>
      <c r="L395" s="240">
        <v>45733</v>
      </c>
      <c r="M395" s="241"/>
      <c r="N395" s="241"/>
      <c r="O395" s="193" t="s">
        <v>2826</v>
      </c>
      <c r="P395" s="237" t="s">
        <v>2834</v>
      </c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25.5" customHeight="1">
      <c r="A396" s="190">
        <v>388</v>
      </c>
      <c r="B396" s="190" t="s">
        <v>96</v>
      </c>
      <c r="C396" s="190" t="s">
        <v>3123</v>
      </c>
      <c r="D396" s="190" t="s">
        <v>3282</v>
      </c>
      <c r="E396" s="237" t="s">
        <v>2531</v>
      </c>
      <c r="F396" s="237" t="s">
        <v>1440</v>
      </c>
      <c r="G396" s="237" t="s">
        <v>2532</v>
      </c>
      <c r="H396" s="238"/>
      <c r="I396" s="239" t="str">
        <f t="shared" si="15"/>
        <v>38 years, 2 month(s), 10 day(s)</v>
      </c>
      <c r="J396" s="240">
        <v>32193</v>
      </c>
      <c r="K396" s="239" t="str">
        <f t="shared" si="14"/>
        <v>9 years, 2 month(s), 29 day(s)</v>
      </c>
      <c r="L396" s="240">
        <v>42767</v>
      </c>
      <c r="M396" s="241"/>
      <c r="N396" s="241"/>
      <c r="O396" s="193" t="s">
        <v>2525</v>
      </c>
      <c r="P396" s="242" t="s">
        <v>2848</v>
      </c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25.5" customHeight="1">
      <c r="A397" s="190">
        <v>389</v>
      </c>
      <c r="B397" s="190" t="s">
        <v>96</v>
      </c>
      <c r="C397" s="190" t="s">
        <v>3123</v>
      </c>
      <c r="D397" s="190" t="s">
        <v>3283</v>
      </c>
      <c r="E397" s="237" t="s">
        <v>2864</v>
      </c>
      <c r="F397" s="237" t="s">
        <v>475</v>
      </c>
      <c r="G397" s="237" t="s">
        <v>476</v>
      </c>
      <c r="H397" s="238"/>
      <c r="I397" s="239" t="str">
        <f t="shared" si="15"/>
        <v>30 years, 0 month(s), 11 day(s)</v>
      </c>
      <c r="J397" s="240">
        <v>35174</v>
      </c>
      <c r="K397" s="239" t="str">
        <f t="shared" si="14"/>
        <v>4 years, 5 month(s), 26 day(s)</v>
      </c>
      <c r="L397" s="240">
        <v>44504</v>
      </c>
      <c r="M397" s="240">
        <v>43759</v>
      </c>
      <c r="N397" s="241"/>
      <c r="O397" s="193" t="s">
        <v>2863</v>
      </c>
      <c r="P397" s="242" t="s">
        <v>2848</v>
      </c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25.5" customHeight="1">
      <c r="A398" s="190">
        <v>390</v>
      </c>
      <c r="B398" s="190" t="s">
        <v>28</v>
      </c>
      <c r="C398" s="190" t="s">
        <v>3123</v>
      </c>
      <c r="D398" s="190">
        <v>339457</v>
      </c>
      <c r="E398" s="237" t="s">
        <v>2219</v>
      </c>
      <c r="F398" s="237" t="s">
        <v>3284</v>
      </c>
      <c r="G398" s="237" t="s">
        <v>732</v>
      </c>
      <c r="H398" s="238"/>
      <c r="I398" s="239" t="str">
        <f t="shared" si="15"/>
        <v>30 years, 3 month(s), 28 day(s)</v>
      </c>
      <c r="J398" s="240">
        <v>35066</v>
      </c>
      <c r="K398" s="239" t="str">
        <f t="shared" si="14"/>
        <v>6 years, 6 month(s), 9 day(s)</v>
      </c>
      <c r="L398" s="240">
        <v>43759</v>
      </c>
      <c r="M398" s="241"/>
      <c r="N398" s="241"/>
      <c r="O398" s="193" t="s">
        <v>2195</v>
      </c>
      <c r="P398" s="242" t="s">
        <v>2849</v>
      </c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25.5" customHeight="1">
      <c r="A399" s="190">
        <v>391</v>
      </c>
      <c r="B399" s="190" t="s">
        <v>96</v>
      </c>
      <c r="C399" s="190" t="s">
        <v>3123</v>
      </c>
      <c r="D399" s="190" t="s">
        <v>3285</v>
      </c>
      <c r="E399" s="237" t="s">
        <v>689</v>
      </c>
      <c r="F399" s="237" t="s">
        <v>690</v>
      </c>
      <c r="G399" s="237" t="s">
        <v>691</v>
      </c>
      <c r="H399" s="238"/>
      <c r="I399" s="239" t="str">
        <f t="shared" si="15"/>
        <v>38 years, 8 month(s), 23 day(s)</v>
      </c>
      <c r="J399" s="240">
        <v>31996</v>
      </c>
      <c r="K399" s="239" t="str">
        <f t="shared" si="14"/>
        <v>4 years, 7 month(s), 14 day(s)</v>
      </c>
      <c r="L399" s="240">
        <v>44455</v>
      </c>
      <c r="M399" s="241"/>
      <c r="N399" s="241"/>
      <c r="O399" s="193" t="s">
        <v>688</v>
      </c>
      <c r="P399" s="242" t="s">
        <v>2848</v>
      </c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25.5" customHeight="1">
      <c r="A400" s="190">
        <v>392</v>
      </c>
      <c r="B400" s="190" t="s">
        <v>40</v>
      </c>
      <c r="C400" s="190" t="s">
        <v>3123</v>
      </c>
      <c r="D400" s="190">
        <v>22</v>
      </c>
      <c r="E400" s="237" t="s">
        <v>1487</v>
      </c>
      <c r="F400" s="237" t="s">
        <v>553</v>
      </c>
      <c r="G400" s="237" t="s">
        <v>1488</v>
      </c>
      <c r="H400" s="238"/>
      <c r="I400" s="239" t="str">
        <f t="shared" si="15"/>
        <v>48 years, 3 month(s), 29 day(s)</v>
      </c>
      <c r="J400" s="240">
        <v>28491</v>
      </c>
      <c r="K400" s="239" t="str">
        <f t="shared" si="14"/>
        <v>5 years, 2 month(s), 4 day(s)</v>
      </c>
      <c r="L400" s="240">
        <v>44253</v>
      </c>
      <c r="M400" s="240">
        <v>40513</v>
      </c>
      <c r="N400" s="241"/>
      <c r="O400" s="193" t="s">
        <v>1486</v>
      </c>
      <c r="P400" s="242" t="s">
        <v>2761</v>
      </c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25.5" customHeight="1">
      <c r="A401" s="190">
        <v>393</v>
      </c>
      <c r="B401" s="190" t="s">
        <v>24</v>
      </c>
      <c r="C401" s="190" t="s">
        <v>3123</v>
      </c>
      <c r="D401" s="190">
        <v>311639</v>
      </c>
      <c r="E401" s="237" t="s">
        <v>2017</v>
      </c>
      <c r="F401" s="237" t="s">
        <v>2018</v>
      </c>
      <c r="G401" s="237" t="s">
        <v>2019</v>
      </c>
      <c r="H401" s="238"/>
      <c r="I401" s="239" t="str">
        <f t="shared" si="15"/>
        <v>31 years, 7 month(s), 27 day(s)</v>
      </c>
      <c r="J401" s="240">
        <v>34580</v>
      </c>
      <c r="K401" s="239" t="str">
        <f t="shared" si="14"/>
        <v>8 years, 7 month(s), 14 day(s)</v>
      </c>
      <c r="L401" s="240">
        <v>42994</v>
      </c>
      <c r="M401" s="241"/>
      <c r="N401" s="241"/>
      <c r="O401" s="193" t="s">
        <v>2005</v>
      </c>
      <c r="P401" s="242" t="s">
        <v>2849</v>
      </c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25.5" customHeight="1">
      <c r="A402" s="190">
        <v>394</v>
      </c>
      <c r="B402" s="190" t="s">
        <v>28</v>
      </c>
      <c r="C402" s="190" t="s">
        <v>3123</v>
      </c>
      <c r="D402" s="190">
        <v>376415</v>
      </c>
      <c r="E402" s="237" t="s">
        <v>2373</v>
      </c>
      <c r="F402" s="237" t="s">
        <v>2374</v>
      </c>
      <c r="G402" s="237" t="s">
        <v>2375</v>
      </c>
      <c r="H402" s="238"/>
      <c r="I402" s="239" t="str">
        <f t="shared" si="15"/>
        <v>29 years, 10 month(s), 21 day(s)</v>
      </c>
      <c r="J402" s="240">
        <v>35225</v>
      </c>
      <c r="K402" s="239" t="str">
        <f t="shared" si="14"/>
        <v>3 years, 4 month(s), 3 day(s)</v>
      </c>
      <c r="L402" s="240">
        <v>44922</v>
      </c>
      <c r="M402" s="241"/>
      <c r="N402" s="241"/>
      <c r="O402" s="193" t="s">
        <v>2348</v>
      </c>
      <c r="P402" s="242" t="s">
        <v>2849</v>
      </c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25.5" customHeight="1">
      <c r="A403" s="190">
        <v>395</v>
      </c>
      <c r="B403" s="190" t="s">
        <v>253</v>
      </c>
      <c r="C403" s="190" t="s">
        <v>3123</v>
      </c>
      <c r="D403" s="190" t="s">
        <v>3286</v>
      </c>
      <c r="E403" s="237" t="s">
        <v>393</v>
      </c>
      <c r="F403" s="237" t="s">
        <v>394</v>
      </c>
      <c r="G403" s="237" t="s">
        <v>395</v>
      </c>
      <c r="H403" s="238"/>
      <c r="I403" s="239" t="str">
        <f t="shared" si="15"/>
        <v>39 years, 3 month(s), 15 day(s)</v>
      </c>
      <c r="J403" s="240">
        <v>31792</v>
      </c>
      <c r="K403" s="239" t="str">
        <f t="shared" si="14"/>
        <v>8 years, 2 month(s), 14 day(s)</v>
      </c>
      <c r="L403" s="240">
        <v>43147</v>
      </c>
      <c r="M403" s="240">
        <v>39995</v>
      </c>
      <c r="N403" s="241"/>
      <c r="O403" s="193" t="s">
        <v>392</v>
      </c>
      <c r="P403" s="242" t="s">
        <v>2848</v>
      </c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25.5" customHeight="1">
      <c r="A404" s="190">
        <v>396</v>
      </c>
      <c r="B404" s="190" t="s">
        <v>40</v>
      </c>
      <c r="C404" s="190" t="s">
        <v>3123</v>
      </c>
      <c r="D404" s="190">
        <v>9</v>
      </c>
      <c r="E404" s="237" t="s">
        <v>879</v>
      </c>
      <c r="F404" s="237" t="s">
        <v>880</v>
      </c>
      <c r="G404" s="237" t="s">
        <v>881</v>
      </c>
      <c r="H404" s="238"/>
      <c r="I404" s="239" t="str">
        <f t="shared" si="15"/>
        <v>49 years, 1 month(s), 27 day(s)</v>
      </c>
      <c r="J404" s="240">
        <v>28187</v>
      </c>
      <c r="K404" s="239" t="str">
        <f t="shared" si="14"/>
        <v>7 years, 4 month(s), 26 day(s)</v>
      </c>
      <c r="L404" s="240">
        <v>43438</v>
      </c>
      <c r="M404" s="241"/>
      <c r="N404" s="241"/>
      <c r="O404" s="193" t="s">
        <v>837</v>
      </c>
      <c r="P404" s="242" t="s">
        <v>2791</v>
      </c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25.5" customHeight="1">
      <c r="A405" s="190">
        <v>397</v>
      </c>
      <c r="B405" s="190" t="s">
        <v>28</v>
      </c>
      <c r="C405" s="190" t="s">
        <v>3123</v>
      </c>
      <c r="D405" s="190">
        <v>376416</v>
      </c>
      <c r="E405" s="237" t="s">
        <v>2224</v>
      </c>
      <c r="F405" s="237" t="s">
        <v>2225</v>
      </c>
      <c r="G405" s="237" t="s">
        <v>2226</v>
      </c>
      <c r="H405" s="243" t="s">
        <v>268</v>
      </c>
      <c r="I405" s="239" t="str">
        <f t="shared" si="15"/>
        <v>35 years, 6 month(s), 1 day(s)</v>
      </c>
      <c r="J405" s="240">
        <v>33175</v>
      </c>
      <c r="K405" s="239" t="str">
        <f t="shared" si="14"/>
        <v>3 years, 4 month(s), 3 day(s)</v>
      </c>
      <c r="L405" s="240">
        <v>44922</v>
      </c>
      <c r="M405" s="241"/>
      <c r="N405" s="241"/>
      <c r="O405" s="193" t="s">
        <v>2223</v>
      </c>
      <c r="P405" s="242" t="s">
        <v>2849</v>
      </c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25.5" customHeight="1">
      <c r="A406" s="190">
        <v>398</v>
      </c>
      <c r="B406" s="190" t="s">
        <v>253</v>
      </c>
      <c r="C406" s="190" t="s">
        <v>3123</v>
      </c>
      <c r="D406" s="190" t="s">
        <v>3287</v>
      </c>
      <c r="E406" s="237" t="s">
        <v>353</v>
      </c>
      <c r="F406" s="237" t="s">
        <v>354</v>
      </c>
      <c r="G406" s="237" t="s">
        <v>355</v>
      </c>
      <c r="H406" s="238"/>
      <c r="I406" s="239" t="str">
        <f t="shared" si="15"/>
        <v>36 years, 6 month(s), 6 day(s)</v>
      </c>
      <c r="J406" s="240">
        <v>32805</v>
      </c>
      <c r="K406" s="239" t="str">
        <f t="shared" si="14"/>
        <v>8 years, 2 month(s), 14 day(s)</v>
      </c>
      <c r="L406" s="240">
        <v>43147</v>
      </c>
      <c r="M406" s="240">
        <v>42318</v>
      </c>
      <c r="N406" s="241"/>
      <c r="O406" s="193" t="s">
        <v>352</v>
      </c>
      <c r="P406" s="242" t="s">
        <v>2848</v>
      </c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25.5" customHeight="1">
      <c r="A407" s="190">
        <v>399</v>
      </c>
      <c r="B407" s="190" t="s">
        <v>40</v>
      </c>
      <c r="C407" s="190" t="s">
        <v>3123</v>
      </c>
      <c r="D407" s="190">
        <v>18</v>
      </c>
      <c r="E407" s="237" t="s">
        <v>1463</v>
      </c>
      <c r="F407" s="237" t="s">
        <v>1464</v>
      </c>
      <c r="G407" s="237" t="s">
        <v>1024</v>
      </c>
      <c r="H407" s="238"/>
      <c r="I407" s="239" t="str">
        <f t="shared" si="15"/>
        <v>60 years, 2 month(s), 23 day(s)</v>
      </c>
      <c r="J407" s="240">
        <v>24145</v>
      </c>
      <c r="K407" s="239" t="str">
        <f t="shared" si="14"/>
        <v>16 years, 0 month(s), 2 day(s)</v>
      </c>
      <c r="L407" s="240">
        <v>40296</v>
      </c>
      <c r="M407" s="241"/>
      <c r="N407" s="241"/>
      <c r="O407" s="193" t="s">
        <v>1451</v>
      </c>
      <c r="P407" s="242" t="s">
        <v>3659</v>
      </c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25.5" customHeight="1">
      <c r="A408" s="190">
        <v>400</v>
      </c>
      <c r="B408" s="190" t="s">
        <v>28</v>
      </c>
      <c r="C408" s="190" t="s">
        <v>3123</v>
      </c>
      <c r="D408" s="190">
        <v>375983</v>
      </c>
      <c r="E408" s="237" t="s">
        <v>403</v>
      </c>
      <c r="F408" s="237" t="s">
        <v>404</v>
      </c>
      <c r="G408" s="237" t="s">
        <v>405</v>
      </c>
      <c r="H408" s="238"/>
      <c r="I408" s="239" t="str">
        <f t="shared" si="15"/>
        <v>33 years, 0 month(s), 19 day(s)</v>
      </c>
      <c r="J408" s="240">
        <v>34070</v>
      </c>
      <c r="K408" s="239" t="str">
        <f t="shared" si="14"/>
        <v>3 years, 4 month(s), 25 day(s)</v>
      </c>
      <c r="L408" s="240">
        <v>44900</v>
      </c>
      <c r="M408" s="241"/>
      <c r="N408" s="241"/>
      <c r="O408" s="193" t="s">
        <v>398</v>
      </c>
      <c r="P408" s="242" t="s">
        <v>2849</v>
      </c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25.5" customHeight="1">
      <c r="A409" s="190">
        <v>401</v>
      </c>
      <c r="B409" s="190" t="s">
        <v>96</v>
      </c>
      <c r="C409" s="190" t="s">
        <v>3123</v>
      </c>
      <c r="D409" s="190" t="s">
        <v>3288</v>
      </c>
      <c r="E409" s="237" t="s">
        <v>747</v>
      </c>
      <c r="F409" s="237" t="s">
        <v>3289</v>
      </c>
      <c r="G409" s="237" t="s">
        <v>749</v>
      </c>
      <c r="H409" s="238"/>
      <c r="I409" s="239" t="str">
        <f t="shared" si="15"/>
        <v>35 years, 0 month(s), 8 day(s)</v>
      </c>
      <c r="J409" s="240">
        <v>33350</v>
      </c>
      <c r="K409" s="239" t="str">
        <f t="shared" si="14"/>
        <v>4 years, 7 month(s), 14 day(s)</v>
      </c>
      <c r="L409" s="240">
        <v>44455</v>
      </c>
      <c r="M409" s="240">
        <v>41912</v>
      </c>
      <c r="N409" s="241"/>
      <c r="O409" s="193" t="s">
        <v>746</v>
      </c>
      <c r="P409" s="242" t="s">
        <v>2848</v>
      </c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25.5" customHeight="1">
      <c r="A410" s="190">
        <v>402</v>
      </c>
      <c r="B410" s="190" t="s">
        <v>253</v>
      </c>
      <c r="C410" s="190" t="s">
        <v>3123</v>
      </c>
      <c r="D410" s="190" t="s">
        <v>3290</v>
      </c>
      <c r="E410" s="237" t="s">
        <v>651</v>
      </c>
      <c r="F410" s="237" t="s">
        <v>652</v>
      </c>
      <c r="G410" s="237" t="s">
        <v>653</v>
      </c>
      <c r="H410" s="243" t="s">
        <v>268</v>
      </c>
      <c r="I410" s="239" t="str">
        <f t="shared" si="15"/>
        <v>47 years, 8 month(s), 2 day(s)</v>
      </c>
      <c r="J410" s="240">
        <v>28730</v>
      </c>
      <c r="K410" s="239" t="str">
        <f t="shared" si="14"/>
        <v>8 years, 2 month(s), 14 day(s)</v>
      </c>
      <c r="L410" s="240">
        <v>43147</v>
      </c>
      <c r="M410" s="240">
        <v>37804</v>
      </c>
      <c r="N410" s="241"/>
      <c r="O410" s="193" t="s">
        <v>650</v>
      </c>
      <c r="P410" s="242" t="s">
        <v>2848</v>
      </c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25.5" customHeight="1">
      <c r="A411" s="190">
        <v>403</v>
      </c>
      <c r="B411" s="190" t="s">
        <v>40</v>
      </c>
      <c r="C411" s="190" t="s">
        <v>3123</v>
      </c>
      <c r="D411" s="190">
        <v>6</v>
      </c>
      <c r="E411" s="237" t="s">
        <v>1832</v>
      </c>
      <c r="F411" s="237" t="s">
        <v>1833</v>
      </c>
      <c r="G411" s="237" t="s">
        <v>1834</v>
      </c>
      <c r="H411" s="238"/>
      <c r="I411" s="239" t="str">
        <f t="shared" si="15"/>
        <v>27 years, 3 month(s), 18 day(s)</v>
      </c>
      <c r="J411" s="240">
        <v>36172</v>
      </c>
      <c r="K411" s="239" t="str">
        <f t="shared" si="14"/>
        <v>1 years, 1 month(s), 13 day(s)</v>
      </c>
      <c r="L411" s="240">
        <v>45733</v>
      </c>
      <c r="M411" s="241"/>
      <c r="N411" s="241"/>
      <c r="O411" s="193" t="s">
        <v>1804</v>
      </c>
      <c r="P411" s="242" t="s">
        <v>2679</v>
      </c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25.5" customHeight="1">
      <c r="A412" s="190">
        <v>404</v>
      </c>
      <c r="B412" s="190" t="s">
        <v>57</v>
      </c>
      <c r="C412" s="190" t="s">
        <v>3123</v>
      </c>
      <c r="D412" s="190">
        <v>198789</v>
      </c>
      <c r="E412" s="237" t="s">
        <v>1745</v>
      </c>
      <c r="F412" s="237" t="s">
        <v>1746</v>
      </c>
      <c r="G412" s="237" t="s">
        <v>1747</v>
      </c>
      <c r="H412" s="238"/>
      <c r="I412" s="239" t="str">
        <f t="shared" si="15"/>
        <v>44 years, 0 month(s), 21 day(s)</v>
      </c>
      <c r="J412" s="240">
        <v>30050</v>
      </c>
      <c r="K412" s="239" t="str">
        <f t="shared" si="14"/>
        <v>16 years, 9 month(s), 29 day(s)</v>
      </c>
      <c r="L412" s="240">
        <v>39995</v>
      </c>
      <c r="M412" s="241"/>
      <c r="N412" s="241"/>
      <c r="O412" s="193" t="s">
        <v>1740</v>
      </c>
      <c r="P412" s="242" t="s">
        <v>3085</v>
      </c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25.5" customHeight="1">
      <c r="A413" s="190">
        <v>405</v>
      </c>
      <c r="B413" s="190" t="s">
        <v>40</v>
      </c>
      <c r="C413" s="190" t="s">
        <v>3123</v>
      </c>
      <c r="D413" s="190">
        <v>9</v>
      </c>
      <c r="E413" s="237" t="s">
        <v>1690</v>
      </c>
      <c r="F413" s="237" t="s">
        <v>1691</v>
      </c>
      <c r="G413" s="237" t="s">
        <v>1692</v>
      </c>
      <c r="H413" s="238"/>
      <c r="I413" s="239" t="str">
        <f t="shared" si="15"/>
        <v>48 years, 8 month(s), 17 day(s)</v>
      </c>
      <c r="J413" s="240">
        <v>28350</v>
      </c>
      <c r="K413" s="239" t="str">
        <f t="shared" si="14"/>
        <v>26 years, 0 month(s), 12 day(s)</v>
      </c>
      <c r="L413" s="240">
        <v>36634</v>
      </c>
      <c r="M413" s="241"/>
      <c r="N413" s="241"/>
      <c r="O413" s="193" t="s">
        <v>3064</v>
      </c>
      <c r="P413" s="242" t="s">
        <v>2712</v>
      </c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25.5" customHeight="1">
      <c r="A414" s="190">
        <v>406</v>
      </c>
      <c r="B414" s="190" t="s">
        <v>96</v>
      </c>
      <c r="C414" s="190" t="s">
        <v>3123</v>
      </c>
      <c r="D414" s="190" t="s">
        <v>3291</v>
      </c>
      <c r="E414" s="237" t="s">
        <v>1962</v>
      </c>
      <c r="F414" s="237" t="s">
        <v>1963</v>
      </c>
      <c r="G414" s="237" t="s">
        <v>1964</v>
      </c>
      <c r="H414" s="238"/>
      <c r="I414" s="239" t="str">
        <f t="shared" si="15"/>
        <v>35 years, 6 month(s), 2 day(s)</v>
      </c>
      <c r="J414" s="240">
        <v>33174</v>
      </c>
      <c r="K414" s="239" t="str">
        <f t="shared" si="14"/>
        <v>4 years, 7 month(s), 14 day(s)</v>
      </c>
      <c r="L414" s="240">
        <v>44455</v>
      </c>
      <c r="M414" s="240">
        <v>43721</v>
      </c>
      <c r="N414" s="241"/>
      <c r="O414" s="193" t="s">
        <v>2386</v>
      </c>
      <c r="P414" s="242" t="s">
        <v>2848</v>
      </c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25.5" customHeight="1">
      <c r="A415" s="190">
        <v>407</v>
      </c>
      <c r="B415" s="190" t="s">
        <v>40</v>
      </c>
      <c r="C415" s="190" t="s">
        <v>3123</v>
      </c>
      <c r="D415" s="190">
        <v>6</v>
      </c>
      <c r="E415" s="237" t="s">
        <v>1899</v>
      </c>
      <c r="F415" s="237" t="s">
        <v>1900</v>
      </c>
      <c r="G415" s="237" t="s">
        <v>1901</v>
      </c>
      <c r="H415" s="238"/>
      <c r="I415" s="239" t="str">
        <f t="shared" si="15"/>
        <v>56 years, 7 month(s), 16 day(s)</v>
      </c>
      <c r="J415" s="240">
        <v>25460</v>
      </c>
      <c r="K415" s="239" t="str">
        <f t="shared" si="14"/>
        <v>1 years, 1 month(s), 13 day(s)</v>
      </c>
      <c r="L415" s="240">
        <v>45733</v>
      </c>
      <c r="M415" s="241"/>
      <c r="N415" s="241"/>
      <c r="O415" s="193" t="s">
        <v>1804</v>
      </c>
      <c r="P415" s="242" t="s">
        <v>2679</v>
      </c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25.5" customHeight="1">
      <c r="A416" s="190">
        <v>408</v>
      </c>
      <c r="B416" s="190" t="s">
        <v>96</v>
      </c>
      <c r="C416" s="190" t="s">
        <v>3123</v>
      </c>
      <c r="D416" s="190" t="s">
        <v>3292</v>
      </c>
      <c r="E416" s="237" t="s">
        <v>1660</v>
      </c>
      <c r="F416" s="237" t="s">
        <v>1661</v>
      </c>
      <c r="G416" s="237" t="s">
        <v>1662</v>
      </c>
      <c r="H416" s="238"/>
      <c r="I416" s="239" t="str">
        <f t="shared" si="15"/>
        <v>33 years, 3 month(s), 11 day(s)</v>
      </c>
      <c r="J416" s="240">
        <v>33988</v>
      </c>
      <c r="K416" s="239" t="str">
        <f t="shared" si="14"/>
        <v>4 years, 7 month(s), 14 day(s)</v>
      </c>
      <c r="L416" s="240">
        <v>44455</v>
      </c>
      <c r="M416" s="240">
        <v>42260</v>
      </c>
      <c r="N416" s="241"/>
      <c r="O416" s="193" t="s">
        <v>1709</v>
      </c>
      <c r="P416" s="242" t="s">
        <v>3072</v>
      </c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25.5" customHeight="1">
      <c r="A417" s="190">
        <v>409</v>
      </c>
      <c r="B417" s="190" t="s">
        <v>57</v>
      </c>
      <c r="C417" s="190" t="s">
        <v>3123</v>
      </c>
      <c r="D417" s="190">
        <v>207852</v>
      </c>
      <c r="E417" s="237" t="s">
        <v>2240</v>
      </c>
      <c r="F417" s="237" t="s">
        <v>1843</v>
      </c>
      <c r="G417" s="237" t="s">
        <v>2242</v>
      </c>
      <c r="H417" s="238"/>
      <c r="I417" s="239" t="str">
        <f t="shared" si="15"/>
        <v>39 years, 7 month(s), 29 day(s)</v>
      </c>
      <c r="J417" s="240">
        <v>31656</v>
      </c>
      <c r="K417" s="239" t="str">
        <f t="shared" si="14"/>
        <v>15 years, 4 month(s), 29 day(s)</v>
      </c>
      <c r="L417" s="240">
        <v>40513</v>
      </c>
      <c r="M417" s="241"/>
      <c r="N417" s="241"/>
      <c r="O417" s="193" t="s">
        <v>2229</v>
      </c>
      <c r="P417" s="242" t="s">
        <v>2849</v>
      </c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25.5" customHeight="1">
      <c r="A418" s="190">
        <v>410</v>
      </c>
      <c r="B418" s="190" t="s">
        <v>96</v>
      </c>
      <c r="C418" s="190" t="s">
        <v>3123</v>
      </c>
      <c r="D418" s="190" t="s">
        <v>3293</v>
      </c>
      <c r="E418" s="237" t="s">
        <v>2564</v>
      </c>
      <c r="F418" s="237" t="s">
        <v>2565</v>
      </c>
      <c r="G418" s="237" t="s">
        <v>2566</v>
      </c>
      <c r="H418" s="238"/>
      <c r="I418" s="239" t="str">
        <f t="shared" si="15"/>
        <v>34 years, 1 month(s), 4 day(s)</v>
      </c>
      <c r="J418" s="240">
        <v>33689</v>
      </c>
      <c r="K418" s="239" t="str">
        <f t="shared" si="14"/>
        <v>3 years, 5 month(s), 5 day(s)</v>
      </c>
      <c r="L418" s="240">
        <v>44890</v>
      </c>
      <c r="M418" s="241"/>
      <c r="N418" s="241"/>
      <c r="O418" s="193" t="s">
        <v>2556</v>
      </c>
      <c r="P418" s="242" t="s">
        <v>2985</v>
      </c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25.5" customHeight="1">
      <c r="A419" s="190">
        <v>411</v>
      </c>
      <c r="B419" s="190" t="s">
        <v>40</v>
      </c>
      <c r="C419" s="190" t="s">
        <v>3123</v>
      </c>
      <c r="D419" s="190">
        <v>11</v>
      </c>
      <c r="E419" s="237" t="s">
        <v>1753</v>
      </c>
      <c r="F419" s="237" t="s">
        <v>1754</v>
      </c>
      <c r="G419" s="237" t="s">
        <v>759</v>
      </c>
      <c r="H419" s="238"/>
      <c r="I419" s="239" t="str">
        <f t="shared" si="15"/>
        <v>59 years, 10 month(s), 1 day(s)</v>
      </c>
      <c r="J419" s="240">
        <v>24287</v>
      </c>
      <c r="K419" s="239" t="str">
        <f t="shared" si="14"/>
        <v>21 years, 8 month(s), 14 day(s)</v>
      </c>
      <c r="L419" s="240">
        <v>38215</v>
      </c>
      <c r="M419" s="241"/>
      <c r="N419" s="241"/>
      <c r="O419" s="193" t="s">
        <v>1740</v>
      </c>
      <c r="P419" s="242" t="s">
        <v>2764</v>
      </c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25.5" customHeight="1">
      <c r="A420" s="190">
        <v>412</v>
      </c>
      <c r="B420" s="190" t="s">
        <v>28</v>
      </c>
      <c r="C420" s="190" t="s">
        <v>3123</v>
      </c>
      <c r="D420" s="190">
        <v>376418</v>
      </c>
      <c r="E420" s="237" t="s">
        <v>462</v>
      </c>
      <c r="F420" s="237" t="s">
        <v>463</v>
      </c>
      <c r="G420" s="237" t="s">
        <v>464</v>
      </c>
      <c r="H420" s="243" t="s">
        <v>268</v>
      </c>
      <c r="I420" s="239" t="str">
        <f t="shared" si="15"/>
        <v>29 years, 5 month(s), 15 day(s)</v>
      </c>
      <c r="J420" s="240">
        <v>35384</v>
      </c>
      <c r="K420" s="239" t="str">
        <f t="shared" si="14"/>
        <v>3 years, 4 month(s), 3 day(s)</v>
      </c>
      <c r="L420" s="240">
        <v>44922</v>
      </c>
      <c r="M420" s="241"/>
      <c r="N420" s="241"/>
      <c r="O420" s="193" t="s">
        <v>446</v>
      </c>
      <c r="P420" s="242" t="s">
        <v>2849</v>
      </c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25.5" customHeight="1">
      <c r="A421" s="190">
        <v>413</v>
      </c>
      <c r="B421" s="190" t="s">
        <v>96</v>
      </c>
      <c r="C421" s="190" t="s">
        <v>3123</v>
      </c>
      <c r="D421" s="190" t="s">
        <v>3294</v>
      </c>
      <c r="E421" s="237" t="s">
        <v>1986</v>
      </c>
      <c r="F421" s="237" t="s">
        <v>1987</v>
      </c>
      <c r="G421" s="237" t="s">
        <v>1988</v>
      </c>
      <c r="H421" s="238"/>
      <c r="I421" s="239" t="str">
        <f t="shared" si="15"/>
        <v>36 years, 3 month(s), 16 day(s)</v>
      </c>
      <c r="J421" s="240">
        <v>32887</v>
      </c>
      <c r="K421" s="239" t="str">
        <f t="shared" si="14"/>
        <v>4 years, 5 month(s), 26 day(s)</v>
      </c>
      <c r="L421" s="240">
        <v>44504</v>
      </c>
      <c r="M421" s="240">
        <v>38297</v>
      </c>
      <c r="N421" s="241"/>
      <c r="O421" s="193" t="s">
        <v>2879</v>
      </c>
      <c r="P421" s="242" t="s">
        <v>2848</v>
      </c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25.5" customHeight="1">
      <c r="A422" s="190">
        <v>414</v>
      </c>
      <c r="B422" s="190" t="s">
        <v>96</v>
      </c>
      <c r="C422" s="190" t="s">
        <v>3123</v>
      </c>
      <c r="D422" s="190" t="s">
        <v>3295</v>
      </c>
      <c r="E422" s="237" t="s">
        <v>791</v>
      </c>
      <c r="F422" s="237" t="s">
        <v>2642</v>
      </c>
      <c r="G422" s="237" t="s">
        <v>793</v>
      </c>
      <c r="H422" s="238"/>
      <c r="I422" s="239" t="str">
        <f t="shared" si="15"/>
        <v>39 years, 9 month(s), 14 day(s)</v>
      </c>
      <c r="J422" s="240">
        <v>31609</v>
      </c>
      <c r="K422" s="239" t="str">
        <f t="shared" si="14"/>
        <v>14 years, 6 month(s), 16 day(s)</v>
      </c>
      <c r="L422" s="240">
        <v>40830</v>
      </c>
      <c r="M422" s="241"/>
      <c r="N422" s="241"/>
      <c r="O422" s="193" t="s">
        <v>790</v>
      </c>
      <c r="P422" s="242" t="s">
        <v>2848</v>
      </c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25.5" customHeight="1">
      <c r="A423" s="190">
        <v>415</v>
      </c>
      <c r="B423" s="190" t="s">
        <v>28</v>
      </c>
      <c r="C423" s="190" t="s">
        <v>3123</v>
      </c>
      <c r="D423" s="190">
        <v>375623</v>
      </c>
      <c r="E423" s="237" t="s">
        <v>2343</v>
      </c>
      <c r="F423" s="237" t="s">
        <v>2344</v>
      </c>
      <c r="G423" s="237" t="s">
        <v>2345</v>
      </c>
      <c r="H423" s="238"/>
      <c r="I423" s="239" t="str">
        <f t="shared" si="15"/>
        <v>32 years, 7 month(s), 17 day(s)</v>
      </c>
      <c r="J423" s="240">
        <v>34225</v>
      </c>
      <c r="K423" s="239" t="str">
        <f t="shared" si="14"/>
        <v>3 years, 5 month(s), 16 day(s)</v>
      </c>
      <c r="L423" s="240">
        <v>44879</v>
      </c>
      <c r="M423" s="241"/>
      <c r="N423" s="241"/>
      <c r="O423" s="193" t="s">
        <v>154</v>
      </c>
      <c r="P423" s="242" t="s">
        <v>2802</v>
      </c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25.5" customHeight="1">
      <c r="A424" s="190">
        <v>416</v>
      </c>
      <c r="B424" s="190" t="s">
        <v>40</v>
      </c>
      <c r="C424" s="190" t="s">
        <v>3123</v>
      </c>
      <c r="D424" s="190">
        <v>16</v>
      </c>
      <c r="E424" s="237" t="s">
        <v>1421</v>
      </c>
      <c r="F424" s="237" t="s">
        <v>3296</v>
      </c>
      <c r="G424" s="237" t="s">
        <v>1423</v>
      </c>
      <c r="H424" s="238"/>
      <c r="I424" s="239" t="str">
        <f t="shared" si="15"/>
        <v>50 years, 4 month(s), 1 day(s)</v>
      </c>
      <c r="J424" s="240">
        <v>27757</v>
      </c>
      <c r="K424" s="239" t="str">
        <f t="shared" si="14"/>
        <v>11 years, 5 month(s), 20 day(s)</v>
      </c>
      <c r="L424" s="240">
        <v>41953</v>
      </c>
      <c r="M424" s="241"/>
      <c r="N424" s="241"/>
      <c r="O424" s="193" t="s">
        <v>1330</v>
      </c>
      <c r="P424" s="242" t="s">
        <v>3661</v>
      </c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25.5" customHeight="1">
      <c r="A425" s="190">
        <v>417</v>
      </c>
      <c r="B425" s="190" t="s">
        <v>366</v>
      </c>
      <c r="C425" s="190" t="s">
        <v>3123</v>
      </c>
      <c r="D425" s="190">
        <v>207821</v>
      </c>
      <c r="E425" s="237" t="s">
        <v>2060</v>
      </c>
      <c r="F425" s="237" t="s">
        <v>770</v>
      </c>
      <c r="G425" s="237" t="s">
        <v>2061</v>
      </c>
      <c r="H425" s="238"/>
      <c r="I425" s="239" t="str">
        <f t="shared" si="15"/>
        <v>38 years, 7 month(s), 22 day(s)</v>
      </c>
      <c r="J425" s="240">
        <v>32028</v>
      </c>
      <c r="K425" s="239" t="str">
        <f t="shared" si="14"/>
        <v>15 years, 9 month(s), 29 day(s)</v>
      </c>
      <c r="L425" s="240">
        <v>40360</v>
      </c>
      <c r="M425" s="241"/>
      <c r="N425" s="241"/>
      <c r="O425" s="193" t="s">
        <v>2051</v>
      </c>
      <c r="P425" s="242" t="s">
        <v>2849</v>
      </c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25.5" customHeight="1">
      <c r="A426" s="190">
        <v>418</v>
      </c>
      <c r="B426" s="190" t="s">
        <v>28</v>
      </c>
      <c r="C426" s="190" t="s">
        <v>3123</v>
      </c>
      <c r="D426" s="190">
        <v>376419</v>
      </c>
      <c r="E426" s="237" t="s">
        <v>2415</v>
      </c>
      <c r="F426" s="237" t="s">
        <v>2416</v>
      </c>
      <c r="G426" s="237" t="s">
        <v>2417</v>
      </c>
      <c r="H426" s="243" t="s">
        <v>268</v>
      </c>
      <c r="I426" s="239" t="str">
        <f t="shared" si="15"/>
        <v>29 years, 9 month(s), 25 day(s)</v>
      </c>
      <c r="J426" s="240">
        <v>35251</v>
      </c>
      <c r="K426" s="239" t="str">
        <f t="shared" si="14"/>
        <v>3 years, 4 month(s), 3 day(s)</v>
      </c>
      <c r="L426" s="240">
        <v>44922</v>
      </c>
      <c r="M426" s="241"/>
      <c r="N426" s="241"/>
      <c r="O426" s="193" t="s">
        <v>2386</v>
      </c>
      <c r="P426" s="242" t="s">
        <v>2849</v>
      </c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25.5" customHeight="1">
      <c r="A427" s="190">
        <v>419</v>
      </c>
      <c r="B427" s="190" t="s">
        <v>28</v>
      </c>
      <c r="C427" s="190" t="s">
        <v>3123</v>
      </c>
      <c r="D427" s="190">
        <v>375984</v>
      </c>
      <c r="E427" s="237" t="s">
        <v>593</v>
      </c>
      <c r="F427" s="237" t="s">
        <v>594</v>
      </c>
      <c r="G427" s="237" t="s">
        <v>595</v>
      </c>
      <c r="H427" s="238"/>
      <c r="I427" s="239" t="str">
        <f t="shared" si="15"/>
        <v>34 years, 4 month(s), 20 day(s)</v>
      </c>
      <c r="J427" s="240">
        <v>33582</v>
      </c>
      <c r="K427" s="239" t="str">
        <f t="shared" si="14"/>
        <v>3 years, 4 month(s), 25 day(s)</v>
      </c>
      <c r="L427" s="240">
        <v>44900</v>
      </c>
      <c r="M427" s="241"/>
      <c r="N427" s="241"/>
      <c r="O427" s="193" t="s">
        <v>580</v>
      </c>
      <c r="P427" s="242" t="s">
        <v>2849</v>
      </c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25.5" customHeight="1">
      <c r="A428" s="190">
        <v>420</v>
      </c>
      <c r="B428" s="190" t="s">
        <v>28</v>
      </c>
      <c r="C428" s="190" t="s">
        <v>3123</v>
      </c>
      <c r="D428" s="190">
        <v>375985</v>
      </c>
      <c r="E428" s="237" t="s">
        <v>566</v>
      </c>
      <c r="F428" s="237" t="s">
        <v>567</v>
      </c>
      <c r="G428" s="237" t="s">
        <v>568</v>
      </c>
      <c r="H428" s="238"/>
      <c r="I428" s="239" t="str">
        <f t="shared" si="15"/>
        <v>27 years, 7 month(s), 22 day(s)</v>
      </c>
      <c r="J428" s="240">
        <v>36046</v>
      </c>
      <c r="K428" s="239" t="str">
        <f t="shared" si="14"/>
        <v>3 years, 4 month(s), 25 day(s)</v>
      </c>
      <c r="L428" s="240">
        <v>44900</v>
      </c>
      <c r="M428" s="241"/>
      <c r="N428" s="241"/>
      <c r="O428" s="193" t="s">
        <v>531</v>
      </c>
      <c r="P428" s="242" t="s">
        <v>2849</v>
      </c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25.5" customHeight="1">
      <c r="A429" s="190">
        <v>421</v>
      </c>
      <c r="B429" s="190" t="s">
        <v>160</v>
      </c>
      <c r="C429" s="190" t="s">
        <v>3123</v>
      </c>
      <c r="D429" s="190" t="s">
        <v>3297</v>
      </c>
      <c r="E429" s="237" t="s">
        <v>2019</v>
      </c>
      <c r="F429" s="237" t="s">
        <v>2174</v>
      </c>
      <c r="G429" s="237" t="s">
        <v>2175</v>
      </c>
      <c r="H429" s="238"/>
      <c r="I429" s="239" t="str">
        <f t="shared" si="15"/>
        <v>52 years, 3 month(s), 10 day(s)</v>
      </c>
      <c r="J429" s="240">
        <v>27049</v>
      </c>
      <c r="K429" s="239" t="str">
        <f t="shared" si="14"/>
        <v>17 years, 7 month(s), 29 day(s)</v>
      </c>
      <c r="L429" s="240">
        <v>39692</v>
      </c>
      <c r="M429" s="240">
        <v>36473</v>
      </c>
      <c r="N429" s="241"/>
      <c r="O429" s="193" t="s">
        <v>2173</v>
      </c>
      <c r="P429" s="242" t="s">
        <v>2848</v>
      </c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25.5" customHeight="1">
      <c r="A430" s="190">
        <v>422</v>
      </c>
      <c r="B430" s="190" t="s">
        <v>277</v>
      </c>
      <c r="C430" s="190" t="s">
        <v>3123</v>
      </c>
      <c r="D430" s="190">
        <v>196794</v>
      </c>
      <c r="E430" s="237" t="s">
        <v>2019</v>
      </c>
      <c r="F430" s="237" t="s">
        <v>2115</v>
      </c>
      <c r="G430" s="237" t="s">
        <v>2116</v>
      </c>
      <c r="H430" s="238"/>
      <c r="I430" s="239" t="str">
        <f t="shared" si="15"/>
        <v>43 years, 7 month(s), 1 day(s)</v>
      </c>
      <c r="J430" s="240">
        <v>30223</v>
      </c>
      <c r="K430" s="239" t="str">
        <f t="shared" si="14"/>
        <v>16 years, 9 month(s), 29 day(s)</v>
      </c>
      <c r="L430" s="240">
        <v>39995</v>
      </c>
      <c r="M430" s="241"/>
      <c r="N430" s="241"/>
      <c r="O430" s="193" t="s">
        <v>2088</v>
      </c>
      <c r="P430" s="242" t="s">
        <v>2849</v>
      </c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25.5" customHeight="1">
      <c r="A431" s="190">
        <v>423</v>
      </c>
      <c r="B431" s="190" t="s">
        <v>2798</v>
      </c>
      <c r="C431" s="190" t="s">
        <v>3123</v>
      </c>
      <c r="D431" s="190" t="s">
        <v>3298</v>
      </c>
      <c r="E431" s="237" t="s">
        <v>21</v>
      </c>
      <c r="F431" s="237" t="s">
        <v>22</v>
      </c>
      <c r="G431" s="237" t="s">
        <v>23</v>
      </c>
      <c r="H431" s="238"/>
      <c r="I431" s="239" t="str">
        <f t="shared" si="15"/>
        <v>50 years, 6 month(s), 1 day(s)</v>
      </c>
      <c r="J431" s="240">
        <v>27696</v>
      </c>
      <c r="K431" s="239" t="str">
        <f t="shared" ref="K431:K494" si="16">DATEDIF(L431,DATE(2026,4,30),"y")&amp;" years, "&amp;DATEDIF(L431,DATE(2026,4,30),"ym")&amp;" month(s), "&amp;DATEDIF(L431,DATE(2026,4,30),"md")&amp;" day(s)"</f>
        <v>30 years, 10 month(s), 29 day(s)</v>
      </c>
      <c r="L431" s="240">
        <v>34851</v>
      </c>
      <c r="M431" s="241"/>
      <c r="N431" s="241"/>
      <c r="O431" s="193" t="s">
        <v>18</v>
      </c>
      <c r="P431" s="242" t="s">
        <v>2799</v>
      </c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25.5" customHeight="1">
      <c r="A432" s="190">
        <v>424</v>
      </c>
      <c r="B432" s="190" t="s">
        <v>40</v>
      </c>
      <c r="C432" s="190" t="s">
        <v>3123</v>
      </c>
      <c r="D432" s="190">
        <v>7</v>
      </c>
      <c r="E432" s="237" t="s">
        <v>929</v>
      </c>
      <c r="F432" s="237" t="s">
        <v>1274</v>
      </c>
      <c r="G432" s="237" t="s">
        <v>206</v>
      </c>
      <c r="H432" s="238"/>
      <c r="I432" s="239" t="str">
        <f t="shared" si="15"/>
        <v>34 years, 8 month(s), 0 day(s)</v>
      </c>
      <c r="J432" s="240">
        <v>33480</v>
      </c>
      <c r="K432" s="239" t="str">
        <f t="shared" si="16"/>
        <v>3 years, 2 month(s), 16 day(s)</v>
      </c>
      <c r="L432" s="240">
        <v>44971</v>
      </c>
      <c r="M432" s="241"/>
      <c r="N432" s="241"/>
      <c r="O432" s="193" t="s">
        <v>1229</v>
      </c>
      <c r="P432" s="242" t="s">
        <v>2677</v>
      </c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25.5" customHeight="1">
      <c r="A433" s="190">
        <v>425</v>
      </c>
      <c r="B433" s="190" t="s">
        <v>366</v>
      </c>
      <c r="C433" s="190" t="s">
        <v>3123</v>
      </c>
      <c r="D433" s="190">
        <v>196797</v>
      </c>
      <c r="E433" s="237" t="s">
        <v>929</v>
      </c>
      <c r="F433" s="237" t="s">
        <v>930</v>
      </c>
      <c r="G433" s="237" t="s">
        <v>931</v>
      </c>
      <c r="H433" s="238"/>
      <c r="I433" s="239" t="str">
        <f t="shared" si="15"/>
        <v>47 years, 1 month(s), 15 day(s)</v>
      </c>
      <c r="J433" s="240">
        <v>28929</v>
      </c>
      <c r="K433" s="239" t="str">
        <f t="shared" si="16"/>
        <v>16 years, 9 month(s), 29 day(s)</v>
      </c>
      <c r="L433" s="240">
        <v>39995</v>
      </c>
      <c r="M433" s="241"/>
      <c r="N433" s="241"/>
      <c r="O433" s="193" t="s">
        <v>919</v>
      </c>
      <c r="P433" s="242" t="s">
        <v>2959</v>
      </c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25.5" customHeight="1">
      <c r="A434" s="190">
        <v>426</v>
      </c>
      <c r="B434" s="190" t="s">
        <v>160</v>
      </c>
      <c r="C434" s="190" t="s">
        <v>3123</v>
      </c>
      <c r="D434" s="190" t="s">
        <v>3299</v>
      </c>
      <c r="E434" s="237" t="s">
        <v>2253</v>
      </c>
      <c r="F434" s="237" t="s">
        <v>2254</v>
      </c>
      <c r="G434" s="237" t="s">
        <v>2255</v>
      </c>
      <c r="H434" s="238"/>
      <c r="I434" s="239" t="str">
        <f t="shared" si="15"/>
        <v>47 years, 8 month(s), 20 day(s)</v>
      </c>
      <c r="J434" s="240">
        <v>28712</v>
      </c>
      <c r="K434" s="239" t="str">
        <f t="shared" si="16"/>
        <v>21 years, 7 month(s), 24 day(s)</v>
      </c>
      <c r="L434" s="240">
        <v>38236</v>
      </c>
      <c r="M434" s="241"/>
      <c r="N434" s="241"/>
      <c r="O434" s="247" t="s">
        <v>2891</v>
      </c>
      <c r="P434" s="242" t="s">
        <v>2848</v>
      </c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25.5" customHeight="1">
      <c r="A435" s="190">
        <v>427</v>
      </c>
      <c r="B435" s="190" t="s">
        <v>246</v>
      </c>
      <c r="C435" s="190" t="s">
        <v>3123</v>
      </c>
      <c r="D435" s="190" t="s">
        <v>3300</v>
      </c>
      <c r="E435" s="237" t="s">
        <v>892</v>
      </c>
      <c r="F435" s="237" t="s">
        <v>422</v>
      </c>
      <c r="G435" s="237" t="s">
        <v>893</v>
      </c>
      <c r="H435" s="238"/>
      <c r="I435" s="239" t="str">
        <f t="shared" si="15"/>
        <v>39 years, 4 month(s), 21 day(s)</v>
      </c>
      <c r="J435" s="240">
        <v>31755</v>
      </c>
      <c r="K435" s="239" t="str">
        <f t="shared" si="16"/>
        <v>8 years, 7 month(s), 14 day(s)</v>
      </c>
      <c r="L435" s="240">
        <v>42994</v>
      </c>
      <c r="M435" s="241"/>
      <c r="N435" s="241"/>
      <c r="O435" s="193" t="s">
        <v>891</v>
      </c>
      <c r="P435" s="242" t="s">
        <v>2950</v>
      </c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25.5" customHeight="1">
      <c r="A436" s="190">
        <v>428</v>
      </c>
      <c r="B436" s="190" t="s">
        <v>253</v>
      </c>
      <c r="C436" s="190" t="s">
        <v>3123</v>
      </c>
      <c r="D436" s="190" t="s">
        <v>3301</v>
      </c>
      <c r="E436" s="237" t="s">
        <v>2039</v>
      </c>
      <c r="F436" s="237" t="s">
        <v>2040</v>
      </c>
      <c r="G436" s="237" t="s">
        <v>2041</v>
      </c>
      <c r="H436" s="238"/>
      <c r="I436" s="239" t="str">
        <f t="shared" si="15"/>
        <v>39 years, 11 month(s), 3 day(s)</v>
      </c>
      <c r="J436" s="240">
        <v>31559</v>
      </c>
      <c r="K436" s="239" t="str">
        <f t="shared" si="16"/>
        <v>15 years, 4 month(s), 29 day(s)</v>
      </c>
      <c r="L436" s="240">
        <v>40513</v>
      </c>
      <c r="M436" s="241"/>
      <c r="N436" s="241"/>
      <c r="O436" s="193" t="s">
        <v>3302</v>
      </c>
      <c r="P436" s="242" t="s">
        <v>2848</v>
      </c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25.5" customHeight="1">
      <c r="A437" s="190">
        <v>429</v>
      </c>
      <c r="B437" s="190" t="s">
        <v>40</v>
      </c>
      <c r="C437" s="190" t="s">
        <v>3123</v>
      </c>
      <c r="D437" s="190">
        <v>16</v>
      </c>
      <c r="E437" s="237" t="s">
        <v>1442</v>
      </c>
      <c r="F437" s="237" t="s">
        <v>1443</v>
      </c>
      <c r="G437" s="237" t="s">
        <v>1439</v>
      </c>
      <c r="H437" s="238"/>
      <c r="I437" s="239" t="str">
        <f t="shared" si="15"/>
        <v>52 years, 4 month(s), 9 day(s)</v>
      </c>
      <c r="J437" s="240">
        <v>27019</v>
      </c>
      <c r="K437" s="239" t="str">
        <f t="shared" si="16"/>
        <v>14 years, 2 month(s), 7 day(s)</v>
      </c>
      <c r="L437" s="240">
        <v>40962</v>
      </c>
      <c r="M437" s="241"/>
      <c r="N437" s="241"/>
      <c r="O437" s="193" t="s">
        <v>1348</v>
      </c>
      <c r="P437" s="242" t="s">
        <v>2766</v>
      </c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25.5" customHeight="1">
      <c r="A438" s="190">
        <v>430</v>
      </c>
      <c r="B438" s="190" t="s">
        <v>28</v>
      </c>
      <c r="C438" s="190" t="s">
        <v>3123</v>
      </c>
      <c r="D438" s="190">
        <v>376420</v>
      </c>
      <c r="E438" s="237" t="s">
        <v>1674</v>
      </c>
      <c r="F438" s="237" t="s">
        <v>1675</v>
      </c>
      <c r="G438" s="237" t="s">
        <v>1676</v>
      </c>
      <c r="H438" s="238"/>
      <c r="I438" s="239" t="str">
        <f t="shared" si="15"/>
        <v>31 years, 1 month(s), 21 day(s)</v>
      </c>
      <c r="J438" s="240">
        <v>34767</v>
      </c>
      <c r="K438" s="239" t="str">
        <f t="shared" si="16"/>
        <v>3 years, 4 month(s), 3 day(s)</v>
      </c>
      <c r="L438" s="240">
        <v>44922</v>
      </c>
      <c r="M438" s="241"/>
      <c r="N438" s="241"/>
      <c r="O438" s="193" t="s">
        <v>1704</v>
      </c>
      <c r="P438" s="242" t="s">
        <v>3068</v>
      </c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25.5" customHeight="1">
      <c r="A439" s="190">
        <v>431</v>
      </c>
      <c r="B439" s="190" t="s">
        <v>28</v>
      </c>
      <c r="C439" s="190" t="s">
        <v>3123</v>
      </c>
      <c r="D439" s="190">
        <v>375624</v>
      </c>
      <c r="E439" s="237" t="s">
        <v>80</v>
      </c>
      <c r="F439" s="237" t="s">
        <v>81</v>
      </c>
      <c r="G439" s="237" t="s">
        <v>82</v>
      </c>
      <c r="H439" s="238"/>
      <c r="I439" s="239" t="str">
        <f t="shared" si="15"/>
        <v>32 years, 7 month(s), 7 day(s)</v>
      </c>
      <c r="J439" s="240">
        <v>34235</v>
      </c>
      <c r="K439" s="239" t="str">
        <f t="shared" si="16"/>
        <v>3 years, 5 month(s), 16 day(s)</v>
      </c>
      <c r="L439" s="240">
        <v>44879</v>
      </c>
      <c r="M439" s="241"/>
      <c r="N439" s="241"/>
      <c r="O439" s="193" t="s">
        <v>1065</v>
      </c>
      <c r="P439" s="242" t="s">
        <v>2818</v>
      </c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25.5" customHeight="1">
      <c r="A440" s="190">
        <v>432</v>
      </c>
      <c r="B440" s="190" t="s">
        <v>96</v>
      </c>
      <c r="C440" s="190" t="s">
        <v>3123</v>
      </c>
      <c r="D440" s="190" t="s">
        <v>3303</v>
      </c>
      <c r="E440" s="237" t="s">
        <v>1311</v>
      </c>
      <c r="F440" s="237" t="s">
        <v>1312</v>
      </c>
      <c r="G440" s="237" t="s">
        <v>1313</v>
      </c>
      <c r="H440" s="238"/>
      <c r="I440" s="239" t="str">
        <f t="shared" si="15"/>
        <v>32 years, 5 month(s), 2 day(s)</v>
      </c>
      <c r="J440" s="240">
        <v>34301</v>
      </c>
      <c r="K440" s="239" t="str">
        <f t="shared" si="16"/>
        <v>4 years, 7 month(s), 14 day(s)</v>
      </c>
      <c r="L440" s="240">
        <v>44455</v>
      </c>
      <c r="M440" s="241"/>
      <c r="N440" s="241"/>
      <c r="O440" s="193" t="s">
        <v>1296</v>
      </c>
      <c r="P440" s="242" t="s">
        <v>2999</v>
      </c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25.5" customHeight="1">
      <c r="A441" s="190">
        <v>433</v>
      </c>
      <c r="B441" s="190" t="s">
        <v>28</v>
      </c>
      <c r="C441" s="190" t="s">
        <v>3123</v>
      </c>
      <c r="D441" s="190">
        <v>375986</v>
      </c>
      <c r="E441" s="237" t="s">
        <v>1378</v>
      </c>
      <c r="F441" s="237" t="s">
        <v>1379</v>
      </c>
      <c r="G441" s="237" t="s">
        <v>1380</v>
      </c>
      <c r="H441" s="238"/>
      <c r="I441" s="239" t="str">
        <f t="shared" si="15"/>
        <v>25 years, 3 month(s), 29 day(s)</v>
      </c>
      <c r="J441" s="240">
        <v>36892</v>
      </c>
      <c r="K441" s="239" t="str">
        <f t="shared" si="16"/>
        <v>3 years, 4 month(s), 25 day(s)</v>
      </c>
      <c r="L441" s="240">
        <v>44900</v>
      </c>
      <c r="M441" s="241"/>
      <c r="N441" s="241"/>
      <c r="O441" s="193" t="s">
        <v>1368</v>
      </c>
      <c r="P441" s="242" t="s">
        <v>3007</v>
      </c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25.5" customHeight="1">
      <c r="A442" s="190">
        <v>434</v>
      </c>
      <c r="B442" s="190" t="s">
        <v>28</v>
      </c>
      <c r="C442" s="190" t="s">
        <v>3123</v>
      </c>
      <c r="D442" s="190">
        <v>375987</v>
      </c>
      <c r="E442" s="237" t="s">
        <v>571</v>
      </c>
      <c r="F442" s="237" t="s">
        <v>572</v>
      </c>
      <c r="G442" s="237" t="s">
        <v>3304</v>
      </c>
      <c r="H442" s="238"/>
      <c r="I442" s="239" t="str">
        <f t="shared" si="15"/>
        <v>32 years, 5 month(s), 6 day(s)</v>
      </c>
      <c r="J442" s="240">
        <v>34297</v>
      </c>
      <c r="K442" s="239" t="str">
        <f t="shared" si="16"/>
        <v>3 years, 4 month(s), 25 day(s)</v>
      </c>
      <c r="L442" s="240">
        <v>44900</v>
      </c>
      <c r="M442" s="241"/>
      <c r="N442" s="241"/>
      <c r="O442" s="193" t="s">
        <v>531</v>
      </c>
      <c r="P442" s="242" t="s">
        <v>2849</v>
      </c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25.5" customHeight="1">
      <c r="A443" s="190">
        <v>435</v>
      </c>
      <c r="B443" s="190" t="s">
        <v>40</v>
      </c>
      <c r="C443" s="190" t="s">
        <v>3123</v>
      </c>
      <c r="D443" s="190">
        <v>14</v>
      </c>
      <c r="E443" s="237" t="s">
        <v>1391</v>
      </c>
      <c r="F443" s="237" t="s">
        <v>1392</v>
      </c>
      <c r="G443" s="237" t="s">
        <v>1393</v>
      </c>
      <c r="H443" s="238"/>
      <c r="I443" s="239" t="str">
        <f t="shared" si="15"/>
        <v>41 years, 7 month(s), 10 day(s)</v>
      </c>
      <c r="J443" s="240">
        <v>30945</v>
      </c>
      <c r="K443" s="239" t="str">
        <f t="shared" si="16"/>
        <v>14 years, 6 month(s), 16 day(s)</v>
      </c>
      <c r="L443" s="240">
        <v>40830</v>
      </c>
      <c r="M443" s="241"/>
      <c r="N443" s="241"/>
      <c r="O443" s="193" t="s">
        <v>1368</v>
      </c>
      <c r="P443" s="242" t="s">
        <v>2767</v>
      </c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25.5" customHeight="1">
      <c r="A444" s="190">
        <v>436</v>
      </c>
      <c r="B444" s="190" t="s">
        <v>28</v>
      </c>
      <c r="C444" s="190" t="s">
        <v>3123</v>
      </c>
      <c r="D444" s="190">
        <v>376421</v>
      </c>
      <c r="E444" s="237" t="s">
        <v>1507</v>
      </c>
      <c r="F444" s="237" t="s">
        <v>1508</v>
      </c>
      <c r="G444" s="237" t="s">
        <v>1509</v>
      </c>
      <c r="H444" s="238"/>
      <c r="I444" s="239" t="str">
        <f t="shared" si="15"/>
        <v>26 years, 7 month(s), 30 day(s)</v>
      </c>
      <c r="J444" s="240">
        <v>36403</v>
      </c>
      <c r="K444" s="239" t="str">
        <f t="shared" si="16"/>
        <v>3 years, 4 month(s), 3 day(s)</v>
      </c>
      <c r="L444" s="240">
        <v>44922</v>
      </c>
      <c r="M444" s="241"/>
      <c r="N444" s="241"/>
      <c r="O444" s="193" t="s">
        <v>1486</v>
      </c>
      <c r="P444" s="242" t="s">
        <v>2818</v>
      </c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25.5" customHeight="1">
      <c r="A445" s="190">
        <v>437</v>
      </c>
      <c r="B445" s="190" t="s">
        <v>40</v>
      </c>
      <c r="C445" s="190" t="s">
        <v>3123</v>
      </c>
      <c r="D445" s="190">
        <v>6</v>
      </c>
      <c r="E445" s="237" t="s">
        <v>3078</v>
      </c>
      <c r="F445" s="237" t="s">
        <v>3079</v>
      </c>
      <c r="G445" s="237" t="s">
        <v>3080</v>
      </c>
      <c r="H445" s="238"/>
      <c r="I445" s="239" t="str">
        <f t="shared" si="15"/>
        <v>29 years, 6 month(s), 25 day(s)</v>
      </c>
      <c r="J445" s="240">
        <v>35343</v>
      </c>
      <c r="K445" s="239" t="str">
        <f t="shared" si="16"/>
        <v>0 years, 1 month(s), 5 day(s)</v>
      </c>
      <c r="L445" s="240">
        <v>46106</v>
      </c>
      <c r="M445" s="241"/>
      <c r="N445" s="241"/>
      <c r="O445" s="193" t="s">
        <v>1723</v>
      </c>
      <c r="P445" s="242" t="s">
        <v>2974</v>
      </c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25.5" customHeight="1">
      <c r="A446" s="190">
        <v>438</v>
      </c>
      <c r="B446" s="190" t="s">
        <v>40</v>
      </c>
      <c r="C446" s="190" t="s">
        <v>3123</v>
      </c>
      <c r="D446" s="190">
        <v>7</v>
      </c>
      <c r="E446" s="237" t="s">
        <v>947</v>
      </c>
      <c r="F446" s="237" t="s">
        <v>948</v>
      </c>
      <c r="G446" s="237" t="s">
        <v>949</v>
      </c>
      <c r="H446" s="238"/>
      <c r="I446" s="239" t="str">
        <f t="shared" si="15"/>
        <v>45 years, 0 month(s), 26 day(s)</v>
      </c>
      <c r="J446" s="240">
        <v>29680</v>
      </c>
      <c r="K446" s="239" t="str">
        <f t="shared" si="16"/>
        <v>3 years, 3 month(s), 21 day(s)</v>
      </c>
      <c r="L446" s="240">
        <v>44935</v>
      </c>
      <c r="M446" s="241"/>
      <c r="N446" s="241"/>
      <c r="O446" s="193" t="s">
        <v>919</v>
      </c>
      <c r="P446" s="242" t="s">
        <v>2768</v>
      </c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25.5" customHeight="1">
      <c r="A447" s="190">
        <v>439</v>
      </c>
      <c r="B447" s="190" t="s">
        <v>40</v>
      </c>
      <c r="C447" s="190" t="s">
        <v>3123</v>
      </c>
      <c r="D447" s="190">
        <v>6</v>
      </c>
      <c r="E447" s="237" t="s">
        <v>2944</v>
      </c>
      <c r="F447" s="237" t="s">
        <v>2945</v>
      </c>
      <c r="G447" s="237" t="s">
        <v>2946</v>
      </c>
      <c r="H447" s="238"/>
      <c r="I447" s="239" t="str">
        <f t="shared" si="15"/>
        <v>26 years, 4 month(s), 5 day(s)</v>
      </c>
      <c r="J447" s="240">
        <v>36519</v>
      </c>
      <c r="K447" s="239" t="str">
        <f t="shared" si="16"/>
        <v>0 years, 1 month(s), 5 day(s)</v>
      </c>
      <c r="L447" s="240">
        <v>46106</v>
      </c>
      <c r="M447" s="241"/>
      <c r="N447" s="241"/>
      <c r="O447" s="193" t="s">
        <v>837</v>
      </c>
      <c r="P447" s="242" t="s">
        <v>2947</v>
      </c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25.5" customHeight="1">
      <c r="A448" s="190">
        <v>440</v>
      </c>
      <c r="B448" s="190" t="s">
        <v>246</v>
      </c>
      <c r="C448" s="190" t="s">
        <v>3123</v>
      </c>
      <c r="D448" s="190" t="s">
        <v>3305</v>
      </c>
      <c r="E448" s="237" t="s">
        <v>1321</v>
      </c>
      <c r="F448" s="237" t="s">
        <v>1322</v>
      </c>
      <c r="G448" s="237" t="s">
        <v>1323</v>
      </c>
      <c r="H448" s="238"/>
      <c r="I448" s="239" t="str">
        <f t="shared" si="15"/>
        <v>38 years, 5 month(s), 2 day(s)</v>
      </c>
      <c r="J448" s="240">
        <v>32109</v>
      </c>
      <c r="K448" s="239" t="str">
        <f t="shared" si="16"/>
        <v>9 years, 2 month(s), 29 day(s)</v>
      </c>
      <c r="L448" s="240">
        <v>42767</v>
      </c>
      <c r="M448" s="241"/>
      <c r="N448" s="241"/>
      <c r="O448" s="193" t="s">
        <v>1296</v>
      </c>
      <c r="P448" s="242" t="s">
        <v>2999</v>
      </c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25.5" customHeight="1">
      <c r="A449" s="190">
        <v>441</v>
      </c>
      <c r="B449" s="190" t="s">
        <v>40</v>
      </c>
      <c r="C449" s="190" t="s">
        <v>3123</v>
      </c>
      <c r="D449" s="190">
        <v>7</v>
      </c>
      <c r="E449" s="237" t="s">
        <v>1875</v>
      </c>
      <c r="F449" s="237" t="s">
        <v>1876</v>
      </c>
      <c r="G449" s="237" t="s">
        <v>1877</v>
      </c>
      <c r="H449" s="238"/>
      <c r="I449" s="239" t="str">
        <f t="shared" si="15"/>
        <v>37 years, 7 month(s), 9 day(s)</v>
      </c>
      <c r="J449" s="240">
        <v>32407</v>
      </c>
      <c r="K449" s="239" t="str">
        <f t="shared" si="16"/>
        <v>2 years, 8 month(s), 13 day(s)</v>
      </c>
      <c r="L449" s="240">
        <v>45155</v>
      </c>
      <c r="M449" s="241"/>
      <c r="N449" s="241"/>
      <c r="O449" s="193" t="s">
        <v>1890</v>
      </c>
      <c r="P449" s="242" t="s">
        <v>2720</v>
      </c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25.5" customHeight="1">
      <c r="A450" s="190">
        <v>442</v>
      </c>
      <c r="B450" s="190" t="s">
        <v>28</v>
      </c>
      <c r="C450" s="190" t="s">
        <v>3123</v>
      </c>
      <c r="D450" s="190">
        <v>376422</v>
      </c>
      <c r="E450" s="237" t="s">
        <v>2520</v>
      </c>
      <c r="F450" s="237" t="s">
        <v>2521</v>
      </c>
      <c r="G450" s="237" t="s">
        <v>2522</v>
      </c>
      <c r="H450" s="238"/>
      <c r="I450" s="239" t="str">
        <f t="shared" si="15"/>
        <v>27 years, 2 month(s), 24 day(s)</v>
      </c>
      <c r="J450" s="240">
        <v>36197</v>
      </c>
      <c r="K450" s="239" t="str">
        <f t="shared" si="16"/>
        <v>3 years, 4 month(s), 3 day(s)</v>
      </c>
      <c r="L450" s="240">
        <v>44922</v>
      </c>
      <c r="M450" s="241"/>
      <c r="N450" s="241"/>
      <c r="O450" s="193" t="s">
        <v>2488</v>
      </c>
      <c r="P450" s="242" t="s">
        <v>2901</v>
      </c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25.5" customHeight="1">
      <c r="A451" s="190">
        <v>443</v>
      </c>
      <c r="B451" s="190" t="s">
        <v>20</v>
      </c>
      <c r="C451" s="190" t="s">
        <v>3123</v>
      </c>
      <c r="D451" s="190" t="s">
        <v>3306</v>
      </c>
      <c r="E451" s="237" t="s">
        <v>91</v>
      </c>
      <c r="F451" s="237" t="s">
        <v>92</v>
      </c>
      <c r="G451" s="237" t="s">
        <v>93</v>
      </c>
      <c r="H451" s="238"/>
      <c r="I451" s="239" t="str">
        <f t="shared" si="15"/>
        <v>51 years, 8 month(s), 0 day(s)</v>
      </c>
      <c r="J451" s="240">
        <v>27271</v>
      </c>
      <c r="K451" s="239" t="str">
        <f t="shared" si="16"/>
        <v>22 years, 3 month(s), 14 day(s)</v>
      </c>
      <c r="L451" s="240">
        <v>38002</v>
      </c>
      <c r="M451" s="240">
        <v>35689</v>
      </c>
      <c r="N451" s="241"/>
      <c r="O451" s="193" t="s">
        <v>90</v>
      </c>
      <c r="P451" s="242" t="s">
        <v>2816</v>
      </c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25.5" customHeight="1">
      <c r="A452" s="190">
        <v>444</v>
      </c>
      <c r="B452" s="190" t="s">
        <v>40</v>
      </c>
      <c r="C452" s="190" t="s">
        <v>3123</v>
      </c>
      <c r="D452" s="190">
        <v>6</v>
      </c>
      <c r="E452" s="237" t="s">
        <v>1781</v>
      </c>
      <c r="F452" s="237" t="s">
        <v>1782</v>
      </c>
      <c r="G452" s="237" t="s">
        <v>1783</v>
      </c>
      <c r="H452" s="238"/>
      <c r="I452" s="239" t="str">
        <f t="shared" si="15"/>
        <v>30 years, 5 month(s), 4 day(s)</v>
      </c>
      <c r="J452" s="240">
        <v>35029</v>
      </c>
      <c r="K452" s="239" t="str">
        <f t="shared" si="16"/>
        <v>2 years, 8 month(s), 13 day(s)</v>
      </c>
      <c r="L452" s="240">
        <v>45155</v>
      </c>
      <c r="M452" s="241"/>
      <c r="N452" s="241"/>
      <c r="O452" s="193" t="s">
        <v>1486</v>
      </c>
      <c r="P452" s="242" t="s">
        <v>3046</v>
      </c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25.5" customHeight="1">
      <c r="A453" s="190">
        <v>445</v>
      </c>
      <c r="B453" s="190" t="s">
        <v>40</v>
      </c>
      <c r="C453" s="190" t="s">
        <v>3123</v>
      </c>
      <c r="D453" s="190">
        <v>19</v>
      </c>
      <c r="E453" s="237" t="s">
        <v>604</v>
      </c>
      <c r="F453" s="237" t="s">
        <v>1859</v>
      </c>
      <c r="G453" s="237" t="s">
        <v>916</v>
      </c>
      <c r="H453" s="238"/>
      <c r="I453" s="239" t="str">
        <f t="shared" si="15"/>
        <v>63 years, 7 month(s), 10 day(s)</v>
      </c>
      <c r="J453" s="240">
        <v>22909</v>
      </c>
      <c r="K453" s="239" t="str">
        <f t="shared" si="16"/>
        <v>34 years, 10 month(s), 11 day(s)</v>
      </c>
      <c r="L453" s="240">
        <v>33408</v>
      </c>
      <c r="M453" s="241"/>
      <c r="N453" s="241"/>
      <c r="O453" s="193" t="s">
        <v>1858</v>
      </c>
      <c r="P453" s="242" t="s">
        <v>2769</v>
      </c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25.5" customHeight="1">
      <c r="A454" s="190">
        <v>446</v>
      </c>
      <c r="B454" s="190" t="s">
        <v>24</v>
      </c>
      <c r="C454" s="190" t="s">
        <v>3123</v>
      </c>
      <c r="D454" s="190">
        <v>315314</v>
      </c>
      <c r="E454" s="237" t="s">
        <v>2895</v>
      </c>
      <c r="F454" s="237" t="s">
        <v>2896</v>
      </c>
      <c r="G454" s="237" t="s">
        <v>2897</v>
      </c>
      <c r="H454" s="238"/>
      <c r="I454" s="239" t="str">
        <f t="shared" si="15"/>
        <v>36 years, 9 month(s), 23 day(s)</v>
      </c>
      <c r="J454" s="240">
        <v>32696</v>
      </c>
      <c r="K454" s="239" t="str">
        <f t="shared" si="16"/>
        <v>7 years, 6 month(s), 22 day(s)</v>
      </c>
      <c r="L454" s="240">
        <v>43381</v>
      </c>
      <c r="M454" s="241"/>
      <c r="N454" s="241"/>
      <c r="O454" s="193" t="s">
        <v>2324</v>
      </c>
      <c r="P454" s="242" t="s">
        <v>2854</v>
      </c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25.5" customHeight="1">
      <c r="A455" s="190">
        <v>447</v>
      </c>
      <c r="B455" s="190" t="s">
        <v>57</v>
      </c>
      <c r="C455" s="190" t="s">
        <v>3123</v>
      </c>
      <c r="D455" s="190">
        <v>207851</v>
      </c>
      <c r="E455" s="237" t="s">
        <v>191</v>
      </c>
      <c r="F455" s="237" t="s">
        <v>192</v>
      </c>
      <c r="G455" s="237" t="s">
        <v>146</v>
      </c>
      <c r="H455" s="238"/>
      <c r="I455" s="239" t="str">
        <f t="shared" si="15"/>
        <v>41 years, 2 month(s), 30 day(s)</v>
      </c>
      <c r="J455" s="240">
        <v>31078</v>
      </c>
      <c r="K455" s="239" t="str">
        <f t="shared" si="16"/>
        <v>15 years, 4 month(s), 29 day(s)</v>
      </c>
      <c r="L455" s="240">
        <v>40513</v>
      </c>
      <c r="M455" s="241"/>
      <c r="N455" s="241"/>
      <c r="O455" s="193" t="s">
        <v>154</v>
      </c>
      <c r="P455" s="242" t="s">
        <v>2841</v>
      </c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25.5" customHeight="1">
      <c r="A456" s="190">
        <v>448</v>
      </c>
      <c r="B456" s="190" t="s">
        <v>40</v>
      </c>
      <c r="C456" s="190" t="s">
        <v>3123</v>
      </c>
      <c r="D456" s="190">
        <v>7</v>
      </c>
      <c r="E456" s="237" t="s">
        <v>191</v>
      </c>
      <c r="F456" s="237" t="s">
        <v>1799</v>
      </c>
      <c r="G456" s="237" t="s">
        <v>146</v>
      </c>
      <c r="H456" s="238"/>
      <c r="I456" s="239" t="str">
        <f t="shared" si="15"/>
        <v>30 years, 10 month(s), 1 day(s)</v>
      </c>
      <c r="J456" s="240">
        <v>34879</v>
      </c>
      <c r="K456" s="239" t="str">
        <f t="shared" si="16"/>
        <v>4 years, 3 month(s), 19 day(s)</v>
      </c>
      <c r="L456" s="240">
        <v>44572</v>
      </c>
      <c r="M456" s="241"/>
      <c r="N456" s="241"/>
      <c r="O456" s="193" t="s">
        <v>1788</v>
      </c>
      <c r="P456" s="242" t="s">
        <v>2770</v>
      </c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25.5" customHeight="1">
      <c r="A457" s="190">
        <v>449</v>
      </c>
      <c r="B457" s="190" t="s">
        <v>28</v>
      </c>
      <c r="C457" s="190" t="s">
        <v>3123</v>
      </c>
      <c r="D457" s="190">
        <v>375988</v>
      </c>
      <c r="E457" s="237" t="s">
        <v>123</v>
      </c>
      <c r="F457" s="237" t="s">
        <v>124</v>
      </c>
      <c r="G457" s="237" t="s">
        <v>125</v>
      </c>
      <c r="H457" s="238"/>
      <c r="I457" s="239" t="str">
        <f t="shared" ref="I457:I520" si="17">DATEDIF(J457,DATE(2026,4,30),"y")&amp;" years, "&amp;DATEDIF(J457,DATE(2026,4,30),"ym")&amp;" month(s), "&amp;DATEDIF(J457,DATE(2026,4,30),"md")&amp;" day(s)"</f>
        <v>33 years, 6 month(s), 11 day(s)</v>
      </c>
      <c r="J457" s="240">
        <v>33896</v>
      </c>
      <c r="K457" s="239" t="str">
        <f t="shared" si="16"/>
        <v>3 years, 4 month(s), 25 day(s)</v>
      </c>
      <c r="L457" s="240">
        <v>44900</v>
      </c>
      <c r="M457" s="241"/>
      <c r="N457" s="241"/>
      <c r="O457" s="193" t="s">
        <v>122</v>
      </c>
      <c r="P457" s="242" t="s">
        <v>2820</v>
      </c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25.5" customHeight="1">
      <c r="A458" s="190">
        <v>450</v>
      </c>
      <c r="B458" s="190" t="s">
        <v>40</v>
      </c>
      <c r="C458" s="190" t="s">
        <v>3123</v>
      </c>
      <c r="D458" s="190">
        <v>7</v>
      </c>
      <c r="E458" s="237" t="s">
        <v>1187</v>
      </c>
      <c r="F458" s="237" t="s">
        <v>646</v>
      </c>
      <c r="G458" s="237" t="s">
        <v>1906</v>
      </c>
      <c r="H458" s="238"/>
      <c r="I458" s="239" t="str">
        <f t="shared" si="17"/>
        <v>29 years, 8 month(s), 13 day(s)</v>
      </c>
      <c r="J458" s="240">
        <v>35294</v>
      </c>
      <c r="K458" s="239" t="str">
        <f t="shared" si="16"/>
        <v>2 years, 8 month(s), 13 day(s)</v>
      </c>
      <c r="L458" s="240">
        <v>45155</v>
      </c>
      <c r="M458" s="241"/>
      <c r="N458" s="241"/>
      <c r="O458" s="193" t="s">
        <v>1890</v>
      </c>
      <c r="P458" s="242" t="s">
        <v>3307</v>
      </c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25.5" customHeight="1">
      <c r="A459" s="190">
        <v>451</v>
      </c>
      <c r="B459" s="190" t="s">
        <v>40</v>
      </c>
      <c r="C459" s="190" t="s">
        <v>3123</v>
      </c>
      <c r="D459" s="190">
        <v>14</v>
      </c>
      <c r="E459" s="237" t="s">
        <v>1187</v>
      </c>
      <c r="F459" s="237" t="s">
        <v>1737</v>
      </c>
      <c r="G459" s="237" t="s">
        <v>1589</v>
      </c>
      <c r="H459" s="238"/>
      <c r="I459" s="239" t="str">
        <f t="shared" si="17"/>
        <v>49 years, 1 month(s), 8 day(s)</v>
      </c>
      <c r="J459" s="240">
        <v>28206</v>
      </c>
      <c r="K459" s="239" t="str">
        <f t="shared" si="16"/>
        <v>20 years, 8 month(s), 8 day(s)</v>
      </c>
      <c r="L459" s="240">
        <v>38586</v>
      </c>
      <c r="M459" s="241"/>
      <c r="N459" s="241"/>
      <c r="O459" s="193" t="s">
        <v>1723</v>
      </c>
      <c r="P459" s="242" t="s">
        <v>2771</v>
      </c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25.5" customHeight="1">
      <c r="A460" s="190">
        <v>452</v>
      </c>
      <c r="B460" s="190" t="s">
        <v>40</v>
      </c>
      <c r="C460" s="190" t="s">
        <v>3123</v>
      </c>
      <c r="D460" s="190">
        <v>7</v>
      </c>
      <c r="E460" s="237" t="s">
        <v>884</v>
      </c>
      <c r="F460" s="237" t="s">
        <v>3308</v>
      </c>
      <c r="G460" s="237" t="s">
        <v>886</v>
      </c>
      <c r="H460" s="238"/>
      <c r="I460" s="239" t="str">
        <f t="shared" si="17"/>
        <v>27 years, 4 month(s), 15 day(s)</v>
      </c>
      <c r="J460" s="240">
        <v>36144</v>
      </c>
      <c r="K460" s="239" t="str">
        <f t="shared" si="16"/>
        <v>3 years, 3 month(s), 21 day(s)</v>
      </c>
      <c r="L460" s="240">
        <v>44935</v>
      </c>
      <c r="M460" s="241"/>
      <c r="N460" s="241"/>
      <c r="O460" s="193" t="s">
        <v>837</v>
      </c>
      <c r="P460" s="242" t="s">
        <v>3642</v>
      </c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25.5" customHeight="1">
      <c r="A461" s="190">
        <v>453</v>
      </c>
      <c r="B461" s="190" t="s">
        <v>96</v>
      </c>
      <c r="C461" s="190" t="s">
        <v>3123</v>
      </c>
      <c r="D461" s="190" t="s">
        <v>3309</v>
      </c>
      <c r="E461" s="237" t="s">
        <v>1234</v>
      </c>
      <c r="F461" s="237" t="s">
        <v>2099</v>
      </c>
      <c r="G461" s="237" t="s">
        <v>2098</v>
      </c>
      <c r="H461" s="238"/>
      <c r="I461" s="239" t="str">
        <f t="shared" si="17"/>
        <v>34 years, 2 month(s), 1 day(s)</v>
      </c>
      <c r="J461" s="240">
        <v>33663</v>
      </c>
      <c r="K461" s="239" t="str">
        <f t="shared" si="16"/>
        <v>4 years, 6 month(s), 1 day(s)</v>
      </c>
      <c r="L461" s="240">
        <v>44498</v>
      </c>
      <c r="M461" s="240">
        <v>42015</v>
      </c>
      <c r="N461" s="241"/>
      <c r="O461" s="193" t="s">
        <v>531</v>
      </c>
      <c r="P461" s="242" t="s">
        <v>2848</v>
      </c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25.5" customHeight="1">
      <c r="A462" s="190">
        <v>454</v>
      </c>
      <c r="B462" s="190" t="s">
        <v>96</v>
      </c>
      <c r="C462" s="190" t="s">
        <v>3123</v>
      </c>
      <c r="D462" s="190" t="s">
        <v>3310</v>
      </c>
      <c r="E462" s="237" t="s">
        <v>1234</v>
      </c>
      <c r="F462" s="237" t="s">
        <v>1235</v>
      </c>
      <c r="G462" s="237" t="s">
        <v>1236</v>
      </c>
      <c r="H462" s="238"/>
      <c r="I462" s="239" t="str">
        <f t="shared" si="17"/>
        <v>33 years, 3 month(s), 25 day(s)</v>
      </c>
      <c r="J462" s="240">
        <v>33974</v>
      </c>
      <c r="K462" s="239" t="str">
        <f t="shared" si="16"/>
        <v>4 years, 5 month(s), 26 day(s)</v>
      </c>
      <c r="L462" s="240">
        <v>44504</v>
      </c>
      <c r="M462" s="240">
        <v>44125</v>
      </c>
      <c r="N462" s="241"/>
      <c r="O462" s="193" t="s">
        <v>1229</v>
      </c>
      <c r="P462" s="242" t="s">
        <v>2985</v>
      </c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25.5" customHeight="1">
      <c r="A463" s="190">
        <v>455</v>
      </c>
      <c r="B463" s="190" t="s">
        <v>40</v>
      </c>
      <c r="C463" s="190" t="s">
        <v>3123</v>
      </c>
      <c r="D463" s="190">
        <v>6</v>
      </c>
      <c r="E463" s="237" t="s">
        <v>1614</v>
      </c>
      <c r="F463" s="237" t="s">
        <v>1615</v>
      </c>
      <c r="G463" s="237" t="s">
        <v>365</v>
      </c>
      <c r="H463" s="238"/>
      <c r="I463" s="239" t="str">
        <f t="shared" si="17"/>
        <v>55 years, 10 month(s), 14 day(s)</v>
      </c>
      <c r="J463" s="240">
        <v>25735</v>
      </c>
      <c r="K463" s="239" t="str">
        <f t="shared" si="16"/>
        <v>27 years, 3 month(s), 29 day(s)</v>
      </c>
      <c r="L463" s="240">
        <v>36161</v>
      </c>
      <c r="M463" s="241"/>
      <c r="N463" s="241"/>
      <c r="O463" s="193" t="s">
        <v>1588</v>
      </c>
      <c r="P463" s="242" t="s">
        <v>2679</v>
      </c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25.5" customHeight="1">
      <c r="A464" s="190">
        <v>456</v>
      </c>
      <c r="B464" s="190" t="s">
        <v>160</v>
      </c>
      <c r="C464" s="190" t="s">
        <v>3123</v>
      </c>
      <c r="D464" s="190" t="s">
        <v>3311</v>
      </c>
      <c r="E464" s="237" t="s">
        <v>2604</v>
      </c>
      <c r="F464" s="237" t="s">
        <v>3312</v>
      </c>
      <c r="G464" s="237" t="s">
        <v>2606</v>
      </c>
      <c r="H464" s="238"/>
      <c r="I464" s="239" t="str">
        <f t="shared" si="17"/>
        <v>48 years, 2 month(s), 11 day(s)</v>
      </c>
      <c r="J464" s="240">
        <v>28540</v>
      </c>
      <c r="K464" s="239" t="str">
        <f t="shared" si="16"/>
        <v>21 years, 7 month(s), 24 day(s)</v>
      </c>
      <c r="L464" s="240">
        <v>38236</v>
      </c>
      <c r="M464" s="240">
        <v>37406</v>
      </c>
      <c r="N464" s="241"/>
      <c r="O464" s="193" t="s">
        <v>2603</v>
      </c>
      <c r="P464" s="242" t="s">
        <v>3313</v>
      </c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25.5" customHeight="1">
      <c r="A465" s="190">
        <v>457</v>
      </c>
      <c r="B465" s="190" t="s">
        <v>40</v>
      </c>
      <c r="C465" s="190" t="s">
        <v>3123</v>
      </c>
      <c r="D465" s="190">
        <v>7</v>
      </c>
      <c r="E465" s="237" t="s">
        <v>1855</v>
      </c>
      <c r="F465" s="237" t="s">
        <v>1856</v>
      </c>
      <c r="G465" s="237" t="s">
        <v>1857</v>
      </c>
      <c r="H465" s="238"/>
      <c r="I465" s="239" t="str">
        <f t="shared" si="17"/>
        <v>33 years, 5 month(s), 17 day(s)</v>
      </c>
      <c r="J465" s="240">
        <v>33921</v>
      </c>
      <c r="K465" s="239" t="str">
        <f t="shared" si="16"/>
        <v>3 years, 2 month(s), 16 day(s)</v>
      </c>
      <c r="L465" s="240">
        <v>44971</v>
      </c>
      <c r="M465" s="241"/>
      <c r="N465" s="241"/>
      <c r="O465" s="193" t="s">
        <v>2853</v>
      </c>
      <c r="P465" s="242" t="s">
        <v>2773</v>
      </c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25.5" customHeight="1">
      <c r="A466" s="190">
        <v>458</v>
      </c>
      <c r="B466" s="190" t="s">
        <v>366</v>
      </c>
      <c r="C466" s="190" t="s">
        <v>3123</v>
      </c>
      <c r="D466" s="190">
        <v>207827</v>
      </c>
      <c r="E466" s="237" t="s">
        <v>1462</v>
      </c>
      <c r="F466" s="237" t="s">
        <v>1496</v>
      </c>
      <c r="G466" s="237" t="s">
        <v>1497</v>
      </c>
      <c r="H466" s="238"/>
      <c r="I466" s="239" t="str">
        <f t="shared" si="17"/>
        <v>46 years, 5 month(s), 5 day(s)</v>
      </c>
      <c r="J466" s="240">
        <v>29184</v>
      </c>
      <c r="K466" s="239" t="str">
        <f t="shared" si="16"/>
        <v>15 years, 9 month(s), 29 day(s)</v>
      </c>
      <c r="L466" s="240">
        <v>40360</v>
      </c>
      <c r="M466" s="241"/>
      <c r="N466" s="241"/>
      <c r="O466" s="193" t="s">
        <v>1486</v>
      </c>
      <c r="P466" s="242" t="s">
        <v>2818</v>
      </c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25.5" customHeight="1">
      <c r="A467" s="190">
        <v>459</v>
      </c>
      <c r="B467" s="190" t="s">
        <v>40</v>
      </c>
      <c r="C467" s="190" t="s">
        <v>3123</v>
      </c>
      <c r="D467" s="190">
        <v>19</v>
      </c>
      <c r="E467" s="237" t="s">
        <v>1369</v>
      </c>
      <c r="F467" s="237" t="s">
        <v>1370</v>
      </c>
      <c r="G467" s="237" t="s">
        <v>630</v>
      </c>
      <c r="H467" s="238"/>
      <c r="I467" s="239" t="str">
        <f t="shared" si="17"/>
        <v>46 years, 6 month(s), 7 day(s)</v>
      </c>
      <c r="J467" s="240">
        <v>29151</v>
      </c>
      <c r="K467" s="239" t="str">
        <f t="shared" si="16"/>
        <v>15 years, 1 month(s), 6 day(s)</v>
      </c>
      <c r="L467" s="240">
        <v>40626</v>
      </c>
      <c r="M467" s="241"/>
      <c r="N467" s="241"/>
      <c r="O467" s="193" t="s">
        <v>1396</v>
      </c>
      <c r="P467" s="242" t="s">
        <v>3656</v>
      </c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25.5" customHeight="1">
      <c r="A468" s="190">
        <v>460</v>
      </c>
      <c r="B468" s="190" t="s">
        <v>96</v>
      </c>
      <c r="C468" s="190" t="s">
        <v>3123</v>
      </c>
      <c r="D468" s="190" t="s">
        <v>3314</v>
      </c>
      <c r="E468" s="237" t="s">
        <v>2349</v>
      </c>
      <c r="F468" s="237" t="s">
        <v>2350</v>
      </c>
      <c r="G468" s="237" t="s">
        <v>2351</v>
      </c>
      <c r="H468" s="238"/>
      <c r="I468" s="239" t="str">
        <f t="shared" si="17"/>
        <v>35 years, 10 month(s), 26 day(s)</v>
      </c>
      <c r="J468" s="240">
        <v>33028</v>
      </c>
      <c r="K468" s="239" t="str">
        <f t="shared" si="16"/>
        <v>4 years, 5 month(s), 26 day(s)</v>
      </c>
      <c r="L468" s="240">
        <v>44504</v>
      </c>
      <c r="M468" s="240">
        <v>43759</v>
      </c>
      <c r="N468" s="241"/>
      <c r="O468" s="193" t="s">
        <v>479</v>
      </c>
      <c r="P468" s="242" t="s">
        <v>2848</v>
      </c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25.5" customHeight="1">
      <c r="A469" s="190">
        <v>461</v>
      </c>
      <c r="B469" s="190" t="s">
        <v>40</v>
      </c>
      <c r="C469" s="190" t="s">
        <v>3123</v>
      </c>
      <c r="D469" s="190">
        <v>11</v>
      </c>
      <c r="E469" s="237" t="s">
        <v>1467</v>
      </c>
      <c r="F469" s="237" t="s">
        <v>1468</v>
      </c>
      <c r="G469" s="237" t="s">
        <v>1469</v>
      </c>
      <c r="H469" s="238"/>
      <c r="I469" s="239" t="str">
        <f t="shared" si="17"/>
        <v>31 years, 4 month(s), 5 day(s)</v>
      </c>
      <c r="J469" s="240">
        <v>34693</v>
      </c>
      <c r="K469" s="239" t="str">
        <f t="shared" si="16"/>
        <v>2 years, 8 month(s), 13 day(s)</v>
      </c>
      <c r="L469" s="240">
        <v>45155</v>
      </c>
      <c r="M469" s="241"/>
      <c r="N469" s="241"/>
      <c r="O469" s="193" t="s">
        <v>1451</v>
      </c>
      <c r="P469" s="242" t="s">
        <v>2775</v>
      </c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25.5" customHeight="1">
      <c r="A470" s="190">
        <v>462</v>
      </c>
      <c r="B470" s="190" t="s">
        <v>96</v>
      </c>
      <c r="C470" s="190" t="s">
        <v>3123</v>
      </c>
      <c r="D470" s="190" t="s">
        <v>3315</v>
      </c>
      <c r="E470" s="237" t="s">
        <v>2264</v>
      </c>
      <c r="F470" s="237" t="s">
        <v>2265</v>
      </c>
      <c r="G470" s="237" t="s">
        <v>2266</v>
      </c>
      <c r="H470" s="238"/>
      <c r="I470" s="239" t="str">
        <f t="shared" si="17"/>
        <v>44 years, 9 month(s), 12 day(s)</v>
      </c>
      <c r="J470" s="240">
        <v>29785</v>
      </c>
      <c r="K470" s="239" t="str">
        <f t="shared" si="16"/>
        <v>4 years, 7 month(s), 14 day(s)</v>
      </c>
      <c r="L470" s="240">
        <v>44455</v>
      </c>
      <c r="M470" s="241"/>
      <c r="N470" s="240">
        <v>42052</v>
      </c>
      <c r="O470" s="193" t="s">
        <v>2263</v>
      </c>
      <c r="P470" s="242" t="s">
        <v>2848</v>
      </c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25.5" customHeight="1">
      <c r="A471" s="190">
        <v>463</v>
      </c>
      <c r="B471" s="190" t="s">
        <v>24</v>
      </c>
      <c r="C471" s="190" t="s">
        <v>3123</v>
      </c>
      <c r="D471" s="190">
        <v>311641</v>
      </c>
      <c r="E471" s="237" t="s">
        <v>2073</v>
      </c>
      <c r="F471" s="237" t="s">
        <v>2074</v>
      </c>
      <c r="G471" s="237" t="s">
        <v>2075</v>
      </c>
      <c r="H471" s="238"/>
      <c r="I471" s="239" t="str">
        <f t="shared" si="17"/>
        <v>33 years, 8 month(s), 27 day(s)</v>
      </c>
      <c r="J471" s="240">
        <v>33819</v>
      </c>
      <c r="K471" s="239" t="str">
        <f t="shared" si="16"/>
        <v>8 years, 7 month(s), 14 day(s)</v>
      </c>
      <c r="L471" s="240">
        <v>42994</v>
      </c>
      <c r="M471" s="241"/>
      <c r="N471" s="241"/>
      <c r="O471" s="193" t="s">
        <v>2051</v>
      </c>
      <c r="P471" s="242" t="s">
        <v>2849</v>
      </c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25.5" customHeight="1">
      <c r="A472" s="190">
        <v>464</v>
      </c>
      <c r="B472" s="190" t="s">
        <v>96</v>
      </c>
      <c r="C472" s="190" t="s">
        <v>3123</v>
      </c>
      <c r="D472" s="190" t="s">
        <v>3316</v>
      </c>
      <c r="E472" s="237" t="s">
        <v>1126</v>
      </c>
      <c r="F472" s="237" t="s">
        <v>1127</v>
      </c>
      <c r="G472" s="237" t="s">
        <v>1128</v>
      </c>
      <c r="H472" s="238"/>
      <c r="I472" s="239" t="str">
        <f t="shared" si="17"/>
        <v>34 years, 7 month(s), 8 day(s)</v>
      </c>
      <c r="J472" s="240">
        <v>33503</v>
      </c>
      <c r="K472" s="239" t="str">
        <f t="shared" si="16"/>
        <v>4 years, 5 month(s), 26 day(s)</v>
      </c>
      <c r="L472" s="240">
        <v>44504</v>
      </c>
      <c r="M472" s="240">
        <v>43759</v>
      </c>
      <c r="N472" s="241"/>
      <c r="O472" s="193" t="s">
        <v>1065</v>
      </c>
      <c r="P472" s="242" t="s">
        <v>2985</v>
      </c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25.5" customHeight="1">
      <c r="A473" s="190">
        <v>465</v>
      </c>
      <c r="B473" s="190" t="s">
        <v>40</v>
      </c>
      <c r="C473" s="190" t="s">
        <v>3123</v>
      </c>
      <c r="D473" s="190">
        <v>6</v>
      </c>
      <c r="E473" s="237" t="s">
        <v>2835</v>
      </c>
      <c r="F473" s="237" t="s">
        <v>2836</v>
      </c>
      <c r="G473" s="237" t="s">
        <v>2837</v>
      </c>
      <c r="H473" s="238"/>
      <c r="I473" s="239" t="str">
        <f t="shared" si="17"/>
        <v>25 years, 0 month(s), 6 day(s)</v>
      </c>
      <c r="J473" s="240">
        <v>37005</v>
      </c>
      <c r="K473" s="239" t="str">
        <f t="shared" si="16"/>
        <v>0 years, 2 month(s), 14 day(s)</v>
      </c>
      <c r="L473" s="240">
        <v>46069</v>
      </c>
      <c r="M473" s="241"/>
      <c r="N473" s="241"/>
      <c r="O473" s="193" t="s">
        <v>2826</v>
      </c>
      <c r="P473" s="242" t="s">
        <v>2830</v>
      </c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25.5" customHeight="1">
      <c r="A474" s="190">
        <v>466</v>
      </c>
      <c r="B474" s="190" t="s">
        <v>96</v>
      </c>
      <c r="C474" s="190" t="s">
        <v>3123</v>
      </c>
      <c r="D474" s="190" t="s">
        <v>3317</v>
      </c>
      <c r="E474" s="237" t="s">
        <v>2280</v>
      </c>
      <c r="F474" s="237" t="s">
        <v>2281</v>
      </c>
      <c r="G474" s="237" t="s">
        <v>2282</v>
      </c>
      <c r="H474" s="238"/>
      <c r="I474" s="239" t="str">
        <f t="shared" si="17"/>
        <v>42 years, 2 month(s), 12 day(s)</v>
      </c>
      <c r="J474" s="240">
        <v>30730</v>
      </c>
      <c r="K474" s="239" t="str">
        <f t="shared" si="16"/>
        <v>4 years, 5 month(s), 26 day(s)</v>
      </c>
      <c r="L474" s="240">
        <v>44504</v>
      </c>
      <c r="M474" s="241"/>
      <c r="N474" s="240">
        <v>42159</v>
      </c>
      <c r="O474" s="193" t="s">
        <v>2279</v>
      </c>
      <c r="P474" s="242" t="s">
        <v>2848</v>
      </c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25.5" customHeight="1">
      <c r="A475" s="190">
        <v>467</v>
      </c>
      <c r="B475" s="190" t="s">
        <v>96</v>
      </c>
      <c r="C475" s="190" t="s">
        <v>3123</v>
      </c>
      <c r="D475" s="190" t="s">
        <v>3318</v>
      </c>
      <c r="E475" s="237" t="s">
        <v>170</v>
      </c>
      <c r="F475" s="237" t="s">
        <v>171</v>
      </c>
      <c r="G475" s="237" t="s">
        <v>172</v>
      </c>
      <c r="H475" s="238"/>
      <c r="I475" s="239" t="str">
        <f t="shared" si="17"/>
        <v>32 years, 3 month(s), 30 day(s)</v>
      </c>
      <c r="J475" s="240">
        <v>34334</v>
      </c>
      <c r="K475" s="239" t="str">
        <f t="shared" si="16"/>
        <v>4 years, 7 month(s), 14 day(s)</v>
      </c>
      <c r="L475" s="240">
        <v>44455</v>
      </c>
      <c r="M475" s="240">
        <v>42994</v>
      </c>
      <c r="N475" s="241"/>
      <c r="O475" s="193" t="s">
        <v>169</v>
      </c>
      <c r="P475" s="242" t="s">
        <v>2845</v>
      </c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25.5" customHeight="1">
      <c r="A476" s="190">
        <v>468</v>
      </c>
      <c r="B476" s="190" t="s">
        <v>24</v>
      </c>
      <c r="C476" s="190" t="s">
        <v>3123</v>
      </c>
      <c r="D476" s="190">
        <v>339456</v>
      </c>
      <c r="E476" s="237" t="s">
        <v>511</v>
      </c>
      <c r="F476" s="237" t="s">
        <v>512</v>
      </c>
      <c r="G476" s="237" t="s">
        <v>513</v>
      </c>
      <c r="H476" s="238"/>
      <c r="I476" s="239" t="str">
        <f t="shared" si="17"/>
        <v>30 years, 2 month(s), 15 day(s)</v>
      </c>
      <c r="J476" s="240">
        <v>35110</v>
      </c>
      <c r="K476" s="239" t="str">
        <f t="shared" si="16"/>
        <v>6 years, 6 month(s), 9 day(s)</v>
      </c>
      <c r="L476" s="240">
        <v>43759</v>
      </c>
      <c r="M476" s="241"/>
      <c r="N476" s="241"/>
      <c r="O476" s="193" t="s">
        <v>479</v>
      </c>
      <c r="P476" s="242" t="s">
        <v>2849</v>
      </c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25.5" customHeight="1">
      <c r="A477" s="190">
        <v>469</v>
      </c>
      <c r="B477" s="190" t="s">
        <v>246</v>
      </c>
      <c r="C477" s="190" t="s">
        <v>3123</v>
      </c>
      <c r="D477" s="190" t="s">
        <v>3319</v>
      </c>
      <c r="E477" s="237" t="s">
        <v>151</v>
      </c>
      <c r="F477" s="237" t="s">
        <v>1006</v>
      </c>
      <c r="G477" s="237" t="s">
        <v>1007</v>
      </c>
      <c r="H477" s="238"/>
      <c r="I477" s="239" t="str">
        <f t="shared" si="17"/>
        <v>34 years, 2 month(s), 30 day(s)</v>
      </c>
      <c r="J477" s="240">
        <v>33634</v>
      </c>
      <c r="K477" s="239" t="str">
        <f t="shared" si="16"/>
        <v>12 years, 4 month(s), 0 day(s)</v>
      </c>
      <c r="L477" s="240">
        <v>41638</v>
      </c>
      <c r="M477" s="241"/>
      <c r="N477" s="241"/>
      <c r="O477" s="193" t="s">
        <v>965</v>
      </c>
      <c r="P477" s="242" t="s">
        <v>2964</v>
      </c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25.5" customHeight="1">
      <c r="A478" s="190">
        <v>470</v>
      </c>
      <c r="B478" s="190" t="s">
        <v>40</v>
      </c>
      <c r="C478" s="190" t="s">
        <v>3123</v>
      </c>
      <c r="D478" s="190">
        <v>8</v>
      </c>
      <c r="E478" s="237" t="s">
        <v>151</v>
      </c>
      <c r="F478" s="237" t="s">
        <v>1586</v>
      </c>
      <c r="G478" s="237" t="s">
        <v>1587</v>
      </c>
      <c r="H478" s="238"/>
      <c r="I478" s="239" t="str">
        <f t="shared" si="17"/>
        <v>49 years, 5 month(s), 20 day(s)</v>
      </c>
      <c r="J478" s="240">
        <v>28074</v>
      </c>
      <c r="K478" s="239" t="str">
        <f t="shared" si="16"/>
        <v>3 years, 3 month(s), 21 day(s)</v>
      </c>
      <c r="L478" s="240">
        <v>44935</v>
      </c>
      <c r="M478" s="241"/>
      <c r="N478" s="241"/>
      <c r="O478" s="193" t="s">
        <v>1563</v>
      </c>
      <c r="P478" s="242" t="s">
        <v>3053</v>
      </c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25.5" customHeight="1">
      <c r="A479" s="190">
        <v>471</v>
      </c>
      <c r="B479" s="190" t="s">
        <v>40</v>
      </c>
      <c r="C479" s="190" t="s">
        <v>3123</v>
      </c>
      <c r="D479" s="190">
        <v>11</v>
      </c>
      <c r="E479" s="237" t="s">
        <v>151</v>
      </c>
      <c r="F479" s="237" t="s">
        <v>1618</v>
      </c>
      <c r="G479" s="237" t="s">
        <v>1619</v>
      </c>
      <c r="H479" s="238"/>
      <c r="I479" s="239" t="str">
        <f t="shared" si="17"/>
        <v>32 years, 8 month(s), 24 day(s)</v>
      </c>
      <c r="J479" s="240">
        <v>34187</v>
      </c>
      <c r="K479" s="239" t="str">
        <f t="shared" si="16"/>
        <v>6 years, 4 month(s), 14 day(s)</v>
      </c>
      <c r="L479" s="240">
        <v>43815</v>
      </c>
      <c r="M479" s="241"/>
      <c r="N479" s="241"/>
      <c r="O479" s="193" t="s">
        <v>1588</v>
      </c>
      <c r="P479" s="242" t="s">
        <v>2679</v>
      </c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25.5" customHeight="1">
      <c r="A480" s="190">
        <v>472</v>
      </c>
      <c r="B480" s="190" t="s">
        <v>40</v>
      </c>
      <c r="C480" s="190" t="s">
        <v>3123</v>
      </c>
      <c r="D480" s="190">
        <v>10</v>
      </c>
      <c r="E480" s="237" t="s">
        <v>151</v>
      </c>
      <c r="F480" s="237" t="s">
        <v>1549</v>
      </c>
      <c r="G480" s="237" t="s">
        <v>1550</v>
      </c>
      <c r="H480" s="238"/>
      <c r="I480" s="239" t="str">
        <f t="shared" si="17"/>
        <v>28 years, 6 month(s), 23 day(s)</v>
      </c>
      <c r="J480" s="240">
        <v>35710</v>
      </c>
      <c r="K480" s="239" t="str">
        <f t="shared" si="16"/>
        <v>5 years, 3 month(s), 19 day(s)</v>
      </c>
      <c r="L480" s="240">
        <v>44207</v>
      </c>
      <c r="M480" s="241"/>
      <c r="N480" s="241"/>
      <c r="O480" s="193" t="s">
        <v>3000</v>
      </c>
      <c r="P480" s="242" t="s">
        <v>3001</v>
      </c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25.5" customHeight="1">
      <c r="A481" s="190">
        <v>473</v>
      </c>
      <c r="B481" s="190" t="s">
        <v>40</v>
      </c>
      <c r="C481" s="190" t="s">
        <v>3123</v>
      </c>
      <c r="D481" s="190">
        <v>13</v>
      </c>
      <c r="E481" s="237" t="s">
        <v>151</v>
      </c>
      <c r="F481" s="237" t="s">
        <v>1878</v>
      </c>
      <c r="G481" s="237" t="s">
        <v>971</v>
      </c>
      <c r="H481" s="238"/>
      <c r="I481" s="239" t="str">
        <f t="shared" si="17"/>
        <v>63 years, 11 month(s), 23 day(s)</v>
      </c>
      <c r="J481" s="240">
        <v>22773</v>
      </c>
      <c r="K481" s="239" t="str">
        <f t="shared" si="16"/>
        <v>27 years, 3 month(s), 29 day(s)</v>
      </c>
      <c r="L481" s="240">
        <v>36161</v>
      </c>
      <c r="M481" s="241"/>
      <c r="N481" s="241"/>
      <c r="O481" s="193" t="s">
        <v>1858</v>
      </c>
      <c r="P481" s="242" t="s">
        <v>2776</v>
      </c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25.5" customHeight="1">
      <c r="A482" s="190">
        <v>474</v>
      </c>
      <c r="B482" s="190" t="s">
        <v>644</v>
      </c>
      <c r="C482" s="190" t="s">
        <v>3123</v>
      </c>
      <c r="D482" s="190">
        <v>264196</v>
      </c>
      <c r="E482" s="237" t="s">
        <v>1991</v>
      </c>
      <c r="F482" s="237" t="s">
        <v>1992</v>
      </c>
      <c r="G482" s="237" t="s">
        <v>1993</v>
      </c>
      <c r="H482" s="238"/>
      <c r="I482" s="239" t="str">
        <f t="shared" si="17"/>
        <v>41 years, 8 month(s), 2 day(s)</v>
      </c>
      <c r="J482" s="240">
        <v>30922</v>
      </c>
      <c r="K482" s="239" t="str">
        <f t="shared" si="16"/>
        <v>11 years, 1 month(s), 5 day(s)</v>
      </c>
      <c r="L482" s="240">
        <v>42088</v>
      </c>
      <c r="M482" s="241"/>
      <c r="N482" s="241"/>
      <c r="O482" s="193" t="s">
        <v>1979</v>
      </c>
      <c r="P482" s="242" t="s">
        <v>2849</v>
      </c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25.5" customHeight="1">
      <c r="A483" s="190">
        <v>475</v>
      </c>
      <c r="B483" s="190" t="s">
        <v>40</v>
      </c>
      <c r="C483" s="190" t="s">
        <v>3123</v>
      </c>
      <c r="D483" s="190">
        <v>24</v>
      </c>
      <c r="E483" s="237" t="s">
        <v>1297</v>
      </c>
      <c r="F483" s="237" t="s">
        <v>1298</v>
      </c>
      <c r="G483" s="237" t="s">
        <v>1299</v>
      </c>
      <c r="H483" s="243" t="s">
        <v>268</v>
      </c>
      <c r="I483" s="239" t="str">
        <f t="shared" si="17"/>
        <v>55 years, 8 month(s), 25 day(s)</v>
      </c>
      <c r="J483" s="240">
        <v>25785</v>
      </c>
      <c r="K483" s="239" t="str">
        <f t="shared" si="16"/>
        <v>26 years, 0 month(s), 12 day(s)</v>
      </c>
      <c r="L483" s="240">
        <v>36634</v>
      </c>
      <c r="M483" s="241"/>
      <c r="N483" s="241"/>
      <c r="O483" s="193" t="s">
        <v>1486</v>
      </c>
      <c r="P483" s="242" t="s">
        <v>3017</v>
      </c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25.5" customHeight="1">
      <c r="A484" s="190">
        <v>476</v>
      </c>
      <c r="B484" s="190" t="s">
        <v>40</v>
      </c>
      <c r="C484" s="190" t="s">
        <v>3123</v>
      </c>
      <c r="D484" s="190">
        <v>7</v>
      </c>
      <c r="E484" s="237" t="s">
        <v>1835</v>
      </c>
      <c r="F484" s="237" t="s">
        <v>1836</v>
      </c>
      <c r="G484" s="237" t="s">
        <v>1837</v>
      </c>
      <c r="H484" s="238"/>
      <c r="I484" s="239" t="str">
        <f t="shared" si="17"/>
        <v>38 years, 1 month(s), 26 day(s)</v>
      </c>
      <c r="J484" s="240">
        <v>32206</v>
      </c>
      <c r="K484" s="239" t="str">
        <f t="shared" si="16"/>
        <v>7 years, 4 month(s), 26 day(s)</v>
      </c>
      <c r="L484" s="240">
        <v>43438</v>
      </c>
      <c r="M484" s="241"/>
      <c r="N484" s="241"/>
      <c r="O484" s="193" t="s">
        <v>1804</v>
      </c>
      <c r="P484" s="242" t="s">
        <v>2677</v>
      </c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25.5" customHeight="1">
      <c r="A485" s="190">
        <v>477</v>
      </c>
      <c r="B485" s="190" t="s">
        <v>40</v>
      </c>
      <c r="C485" s="190" t="s">
        <v>3123</v>
      </c>
      <c r="D485" s="190">
        <v>12</v>
      </c>
      <c r="E485" s="237" t="s">
        <v>950</v>
      </c>
      <c r="F485" s="237" t="s">
        <v>951</v>
      </c>
      <c r="G485" s="237" t="s">
        <v>952</v>
      </c>
      <c r="H485" s="238"/>
      <c r="I485" s="239" t="str">
        <f t="shared" si="17"/>
        <v>54 years, 2 month(s), 13 day(s)</v>
      </c>
      <c r="J485" s="240">
        <v>26346</v>
      </c>
      <c r="K485" s="239" t="str">
        <f t="shared" si="16"/>
        <v>20 years, 3 month(s), 11 day(s)</v>
      </c>
      <c r="L485" s="240">
        <v>38736</v>
      </c>
      <c r="M485" s="241"/>
      <c r="N485" s="241"/>
      <c r="O485" s="193" t="s">
        <v>919</v>
      </c>
      <c r="P485" s="242" t="s">
        <v>2778</v>
      </c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25.5" customHeight="1">
      <c r="A486" s="190">
        <v>478</v>
      </c>
      <c r="B486" s="190" t="s">
        <v>28</v>
      </c>
      <c r="C486" s="190" t="s">
        <v>3123</v>
      </c>
      <c r="D486" s="190">
        <v>375635</v>
      </c>
      <c r="E486" s="237" t="s">
        <v>2274</v>
      </c>
      <c r="F486" s="237" t="s">
        <v>2275</v>
      </c>
      <c r="G486" s="237" t="s">
        <v>2276</v>
      </c>
      <c r="H486" s="238"/>
      <c r="I486" s="239" t="str">
        <f t="shared" si="17"/>
        <v>31 years, 3 month(s), 20 day(s)</v>
      </c>
      <c r="J486" s="240">
        <v>34709</v>
      </c>
      <c r="K486" s="239" t="str">
        <f t="shared" si="16"/>
        <v>3 years, 5 month(s), 16 day(s)</v>
      </c>
      <c r="L486" s="240">
        <v>44879</v>
      </c>
      <c r="M486" s="241"/>
      <c r="N486" s="241"/>
      <c r="O486" s="193" t="s">
        <v>2263</v>
      </c>
      <c r="P486" s="242" t="s">
        <v>2849</v>
      </c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25.5" customHeight="1">
      <c r="A487" s="190">
        <v>479</v>
      </c>
      <c r="B487" s="190" t="s">
        <v>40</v>
      </c>
      <c r="C487" s="190" t="s">
        <v>3123</v>
      </c>
      <c r="D487" s="190">
        <v>11</v>
      </c>
      <c r="E487" s="237" t="s">
        <v>1881</v>
      </c>
      <c r="F487" s="237" t="s">
        <v>1882</v>
      </c>
      <c r="G487" s="237" t="s">
        <v>1883</v>
      </c>
      <c r="H487" s="238"/>
      <c r="I487" s="239" t="str">
        <f t="shared" si="17"/>
        <v>61 years, 9 month(s), 28 day(s)</v>
      </c>
      <c r="J487" s="240">
        <v>23560</v>
      </c>
      <c r="K487" s="239" t="str">
        <f t="shared" si="16"/>
        <v>27 years, 3 month(s), 29 day(s)</v>
      </c>
      <c r="L487" s="240">
        <v>36161</v>
      </c>
      <c r="M487" s="241"/>
      <c r="N487" s="241"/>
      <c r="O487" s="193" t="s">
        <v>1858</v>
      </c>
      <c r="P487" s="242" t="s">
        <v>2779</v>
      </c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25.5" customHeight="1">
      <c r="A488" s="190">
        <v>480</v>
      </c>
      <c r="B488" s="190" t="s">
        <v>57</v>
      </c>
      <c r="C488" s="190" t="s">
        <v>3123</v>
      </c>
      <c r="D488" s="190">
        <v>207848</v>
      </c>
      <c r="E488" s="237" t="s">
        <v>58</v>
      </c>
      <c r="F488" s="237" t="s">
        <v>59</v>
      </c>
      <c r="G488" s="237" t="s">
        <v>60</v>
      </c>
      <c r="H488" s="238"/>
      <c r="I488" s="239" t="str">
        <f t="shared" si="17"/>
        <v>44 years, 9 month(s), 21 day(s)</v>
      </c>
      <c r="J488" s="240">
        <v>29776</v>
      </c>
      <c r="K488" s="239" t="str">
        <f t="shared" si="16"/>
        <v>15 years, 4 month(s), 29 day(s)</v>
      </c>
      <c r="L488" s="240">
        <v>40513</v>
      </c>
      <c r="M488" s="241"/>
      <c r="N488" s="241"/>
      <c r="O488" s="193" t="s">
        <v>965</v>
      </c>
      <c r="P488" s="242" t="s">
        <v>2966</v>
      </c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25.5" customHeight="1">
      <c r="A489" s="190">
        <v>481</v>
      </c>
      <c r="B489" s="190" t="s">
        <v>246</v>
      </c>
      <c r="C489" s="190" t="s">
        <v>3123</v>
      </c>
      <c r="D489" s="190" t="s">
        <v>3320</v>
      </c>
      <c r="E489" s="237" t="s">
        <v>577</v>
      </c>
      <c r="F489" s="237" t="s">
        <v>578</v>
      </c>
      <c r="G489" s="237" t="s">
        <v>579</v>
      </c>
      <c r="H489" s="238"/>
      <c r="I489" s="239" t="str">
        <f t="shared" si="17"/>
        <v>42 years, 10 month(s), 11 day(s)</v>
      </c>
      <c r="J489" s="240">
        <v>30486</v>
      </c>
      <c r="K489" s="239" t="str">
        <f t="shared" si="16"/>
        <v>2 years, 11 month(s), 8 day(s)</v>
      </c>
      <c r="L489" s="240">
        <v>45068</v>
      </c>
      <c r="M489" s="240">
        <v>39995</v>
      </c>
      <c r="N489" s="241"/>
      <c r="O489" s="193" t="s">
        <v>3090</v>
      </c>
      <c r="P489" s="242" t="s">
        <v>3091</v>
      </c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25.5" customHeight="1">
      <c r="A490" s="190">
        <v>482</v>
      </c>
      <c r="B490" s="190" t="s">
        <v>96</v>
      </c>
      <c r="C490" s="190" t="s">
        <v>3123</v>
      </c>
      <c r="D490" s="190" t="s">
        <v>3321</v>
      </c>
      <c r="E490" s="237" t="s">
        <v>480</v>
      </c>
      <c r="F490" s="237" t="s">
        <v>481</v>
      </c>
      <c r="G490" s="237" t="s">
        <v>482</v>
      </c>
      <c r="H490" s="238"/>
      <c r="I490" s="239" t="str">
        <f t="shared" si="17"/>
        <v>39 years, 10 month(s), 23 day(s)</v>
      </c>
      <c r="J490" s="240">
        <v>31570</v>
      </c>
      <c r="K490" s="239" t="str">
        <f t="shared" si="16"/>
        <v>7 years, 1 month(s), 12 day(s)</v>
      </c>
      <c r="L490" s="240">
        <v>43542</v>
      </c>
      <c r="M490" s="240">
        <v>40210</v>
      </c>
      <c r="N490" s="241"/>
      <c r="O490" s="193" t="s">
        <v>479</v>
      </c>
      <c r="P490" s="245" t="s">
        <v>2848</v>
      </c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25.5" customHeight="1">
      <c r="A491" s="190">
        <v>483</v>
      </c>
      <c r="B491" s="190" t="s">
        <v>3322</v>
      </c>
      <c r="C491" s="190" t="s">
        <v>3123</v>
      </c>
      <c r="D491" s="190">
        <v>376423</v>
      </c>
      <c r="E491" s="237" t="s">
        <v>1083</v>
      </c>
      <c r="F491" s="237" t="s">
        <v>1569</v>
      </c>
      <c r="G491" s="237" t="s">
        <v>1570</v>
      </c>
      <c r="H491" s="238"/>
      <c r="I491" s="239" t="str">
        <f t="shared" si="17"/>
        <v>28 years, 5 month(s), 20 day(s)</v>
      </c>
      <c r="J491" s="240">
        <v>35744</v>
      </c>
      <c r="K491" s="239" t="str">
        <f t="shared" si="16"/>
        <v>3 years, 4 month(s), 3 day(s)</v>
      </c>
      <c r="L491" s="240">
        <v>44922</v>
      </c>
      <c r="M491" s="241"/>
      <c r="N491" s="241"/>
      <c r="O491" s="193" t="s">
        <v>1563</v>
      </c>
      <c r="P491" s="242" t="s">
        <v>2802</v>
      </c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25.5" customHeight="1">
      <c r="A492" s="190">
        <v>484</v>
      </c>
      <c r="B492" s="190" t="s">
        <v>24</v>
      </c>
      <c r="C492" s="190" t="s">
        <v>3123</v>
      </c>
      <c r="D492" s="190">
        <v>333270</v>
      </c>
      <c r="E492" s="237" t="s">
        <v>1083</v>
      </c>
      <c r="F492" s="237" t="s">
        <v>2884</v>
      </c>
      <c r="G492" s="237" t="s">
        <v>2885</v>
      </c>
      <c r="H492" s="238"/>
      <c r="I492" s="239" t="str">
        <f t="shared" si="17"/>
        <v>31 years, 5 month(s), 7 day(s)</v>
      </c>
      <c r="J492" s="240">
        <v>34661</v>
      </c>
      <c r="K492" s="239" t="str">
        <f t="shared" si="16"/>
        <v>6 years, 8 month(s), 7 day(s)</v>
      </c>
      <c r="L492" s="240">
        <v>43700</v>
      </c>
      <c r="M492" s="241"/>
      <c r="N492" s="241"/>
      <c r="O492" s="193" t="s">
        <v>2088</v>
      </c>
      <c r="P492" s="242" t="s">
        <v>2854</v>
      </c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25.5" customHeight="1">
      <c r="A493" s="190">
        <v>485</v>
      </c>
      <c r="B493" s="190" t="s">
        <v>160</v>
      </c>
      <c r="C493" s="190" t="s">
        <v>3123</v>
      </c>
      <c r="D493" s="190" t="s">
        <v>3323</v>
      </c>
      <c r="E493" s="237" t="s">
        <v>1083</v>
      </c>
      <c r="F493" s="237" t="s">
        <v>1086</v>
      </c>
      <c r="G493" s="237" t="s">
        <v>1087</v>
      </c>
      <c r="H493" s="238"/>
      <c r="I493" s="239" t="str">
        <f t="shared" si="17"/>
        <v>51 years, 0 month(s), 13 day(s)</v>
      </c>
      <c r="J493" s="240">
        <v>27501</v>
      </c>
      <c r="K493" s="239" t="str">
        <f t="shared" si="16"/>
        <v>17 years, 7 month(s), 29 day(s)</v>
      </c>
      <c r="L493" s="240">
        <v>39692</v>
      </c>
      <c r="M493" s="240">
        <v>38230</v>
      </c>
      <c r="N493" s="241"/>
      <c r="O493" s="193" t="s">
        <v>1037</v>
      </c>
      <c r="P493" s="242" t="s">
        <v>2975</v>
      </c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25.5" customHeight="1">
      <c r="A494" s="190">
        <v>486</v>
      </c>
      <c r="B494" s="190" t="s">
        <v>40</v>
      </c>
      <c r="C494" s="190" t="s">
        <v>3123</v>
      </c>
      <c r="D494" s="190">
        <v>19</v>
      </c>
      <c r="E494" s="237" t="s">
        <v>1426</v>
      </c>
      <c r="F494" s="237" t="s">
        <v>1427</v>
      </c>
      <c r="G494" s="237" t="s">
        <v>1428</v>
      </c>
      <c r="H494" s="238"/>
      <c r="I494" s="239" t="str">
        <f t="shared" si="17"/>
        <v>50 years, 4 month(s), 28 day(s)</v>
      </c>
      <c r="J494" s="240">
        <v>27730</v>
      </c>
      <c r="K494" s="239" t="str">
        <f t="shared" si="16"/>
        <v>20 years, 8 month(s), 29 day(s)</v>
      </c>
      <c r="L494" s="240">
        <v>38565</v>
      </c>
      <c r="M494" s="241"/>
      <c r="N494" s="241"/>
      <c r="O494" s="193" t="s">
        <v>3015</v>
      </c>
      <c r="P494" s="242" t="s">
        <v>3657</v>
      </c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25.5" customHeight="1">
      <c r="A495" s="190">
        <v>487</v>
      </c>
      <c r="B495" s="190" t="s">
        <v>160</v>
      </c>
      <c r="C495" s="190" t="s">
        <v>3123</v>
      </c>
      <c r="D495" s="190" t="s">
        <v>3324</v>
      </c>
      <c r="E495" s="237" t="s">
        <v>1291</v>
      </c>
      <c r="F495" s="237" t="s">
        <v>1292</v>
      </c>
      <c r="G495" s="237" t="s">
        <v>1293</v>
      </c>
      <c r="H495" s="238"/>
      <c r="I495" s="239" t="str">
        <f t="shared" si="17"/>
        <v>46 years, 11 month(s), 23 day(s)</v>
      </c>
      <c r="J495" s="240">
        <v>28982</v>
      </c>
      <c r="K495" s="239" t="str">
        <f t="shared" ref="K495:K517" si="18">DATEDIF(L495,DATE(2026,4,30),"y")&amp;" years, "&amp;DATEDIF(L495,DATE(2026,4,30),"ym")&amp;" month(s), "&amp;DATEDIF(L495,DATE(2026,4,30),"md")&amp;" day(s)"</f>
        <v>21 years, 7 month(s), 27 day(s)</v>
      </c>
      <c r="L495" s="240">
        <v>38233</v>
      </c>
      <c r="M495" s="240">
        <v>37606</v>
      </c>
      <c r="N495" s="241"/>
      <c r="O495" s="193" t="s">
        <v>3060</v>
      </c>
      <c r="P495" s="242" t="s">
        <v>3061</v>
      </c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25.5" customHeight="1">
      <c r="A496" s="190">
        <v>488</v>
      </c>
      <c r="B496" s="190" t="s">
        <v>40</v>
      </c>
      <c r="C496" s="190" t="s">
        <v>3123</v>
      </c>
      <c r="D496" s="190">
        <v>6</v>
      </c>
      <c r="E496" s="237" t="s">
        <v>1622</v>
      </c>
      <c r="F496" s="237" t="s">
        <v>1623</v>
      </c>
      <c r="G496" s="237" t="s">
        <v>1624</v>
      </c>
      <c r="H496" s="238"/>
      <c r="I496" s="239" t="str">
        <f t="shared" si="17"/>
        <v>51 years, 6 month(s), 19 day(s)</v>
      </c>
      <c r="J496" s="240">
        <v>27313</v>
      </c>
      <c r="K496" s="239" t="str">
        <f t="shared" si="18"/>
        <v>9 years, 0 month(s), 20 day(s)</v>
      </c>
      <c r="L496" s="240">
        <v>42835</v>
      </c>
      <c r="M496" s="241"/>
      <c r="N496" s="241"/>
      <c r="O496" s="193" t="s">
        <v>1588</v>
      </c>
      <c r="P496" s="242" t="s">
        <v>2679</v>
      </c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25.5" customHeight="1">
      <c r="A497" s="190">
        <v>489</v>
      </c>
      <c r="B497" s="190" t="s">
        <v>160</v>
      </c>
      <c r="C497" s="190" t="s">
        <v>3123</v>
      </c>
      <c r="D497" s="190" t="s">
        <v>3325</v>
      </c>
      <c r="E497" s="237" t="s">
        <v>1622</v>
      </c>
      <c r="F497" s="237" t="s">
        <v>2588</v>
      </c>
      <c r="G497" s="237" t="s">
        <v>2589</v>
      </c>
      <c r="H497" s="238"/>
      <c r="I497" s="239" t="str">
        <f t="shared" si="17"/>
        <v>49 years, 2 month(s), 5 day(s)</v>
      </c>
      <c r="J497" s="240">
        <v>28181</v>
      </c>
      <c r="K497" s="239" t="str">
        <f t="shared" si="18"/>
        <v>21 years, 7 month(s), 24 day(s)</v>
      </c>
      <c r="L497" s="240">
        <v>38236</v>
      </c>
      <c r="M497" s="241"/>
      <c r="N497" s="241"/>
      <c r="O497" s="193" t="s">
        <v>2587</v>
      </c>
      <c r="P497" s="242" t="s">
        <v>3326</v>
      </c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25.5" customHeight="1">
      <c r="A498" s="190">
        <v>490</v>
      </c>
      <c r="B498" s="190" t="s">
        <v>57</v>
      </c>
      <c r="C498" s="190" t="s">
        <v>3123</v>
      </c>
      <c r="D498" s="190" t="s">
        <v>3327</v>
      </c>
      <c r="E498" s="237" t="s">
        <v>1622</v>
      </c>
      <c r="F498" s="237" t="s">
        <v>2069</v>
      </c>
      <c r="G498" s="237" t="s">
        <v>2070</v>
      </c>
      <c r="H498" s="238"/>
      <c r="I498" s="239" t="str">
        <f t="shared" si="17"/>
        <v>42 years, 11 month(s), 29 day(s)</v>
      </c>
      <c r="J498" s="240">
        <v>30437</v>
      </c>
      <c r="K498" s="239" t="str">
        <f t="shared" si="18"/>
        <v>14 years, 10 month(s), 15 day(s)</v>
      </c>
      <c r="L498" s="240">
        <v>40709</v>
      </c>
      <c r="M498" s="241"/>
      <c r="N498" s="241"/>
      <c r="O498" s="193" t="s">
        <v>2051</v>
      </c>
      <c r="P498" s="242" t="s">
        <v>2849</v>
      </c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25.5" customHeight="1">
      <c r="A499" s="190">
        <v>491</v>
      </c>
      <c r="B499" s="190" t="s">
        <v>28</v>
      </c>
      <c r="C499" s="190" t="s">
        <v>3123</v>
      </c>
      <c r="D499" s="190">
        <v>339490</v>
      </c>
      <c r="E499" s="237" t="s">
        <v>2438</v>
      </c>
      <c r="F499" s="237" t="s">
        <v>2511</v>
      </c>
      <c r="G499" s="237" t="s">
        <v>2512</v>
      </c>
      <c r="H499" s="238"/>
      <c r="I499" s="239" t="str">
        <f t="shared" si="17"/>
        <v>32 years, 3 month(s), 2 day(s)</v>
      </c>
      <c r="J499" s="240">
        <v>34362</v>
      </c>
      <c r="K499" s="239" t="str">
        <f t="shared" si="18"/>
        <v>6 years, 6 month(s), 9 day(s)</v>
      </c>
      <c r="L499" s="240">
        <v>43759</v>
      </c>
      <c r="M499" s="241"/>
      <c r="N499" s="241"/>
      <c r="O499" s="193" t="s">
        <v>2902</v>
      </c>
      <c r="P499" s="242" t="s">
        <v>2901</v>
      </c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25.5" customHeight="1">
      <c r="A500" s="190">
        <v>492</v>
      </c>
      <c r="B500" s="190" t="s">
        <v>40</v>
      </c>
      <c r="C500" s="190" t="s">
        <v>3123</v>
      </c>
      <c r="D500" s="190">
        <v>13</v>
      </c>
      <c r="E500" s="237" t="s">
        <v>1275</v>
      </c>
      <c r="F500" s="237" t="s">
        <v>1276</v>
      </c>
      <c r="G500" s="237" t="s">
        <v>1277</v>
      </c>
      <c r="H500" s="238"/>
      <c r="I500" s="239" t="str">
        <f t="shared" si="17"/>
        <v>56 years, 6 month(s), 9 day(s)</v>
      </c>
      <c r="J500" s="240">
        <v>25497</v>
      </c>
      <c r="K500" s="239" t="str">
        <f t="shared" si="18"/>
        <v>27 years, 3 month(s), 29 day(s)</v>
      </c>
      <c r="L500" s="240">
        <v>36161</v>
      </c>
      <c r="M500" s="241"/>
      <c r="N500" s="241"/>
      <c r="O500" s="193" t="s">
        <v>1065</v>
      </c>
      <c r="P500" s="242" t="s">
        <v>2781</v>
      </c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25.5" customHeight="1">
      <c r="A501" s="190">
        <v>493</v>
      </c>
      <c r="B501" s="190" t="s">
        <v>40</v>
      </c>
      <c r="C501" s="190" t="s">
        <v>3123</v>
      </c>
      <c r="D501" s="190">
        <v>9</v>
      </c>
      <c r="E501" s="237" t="s">
        <v>1553</v>
      </c>
      <c r="F501" s="237" t="s">
        <v>1554</v>
      </c>
      <c r="G501" s="237" t="s">
        <v>393</v>
      </c>
      <c r="H501" s="238"/>
      <c r="I501" s="239" t="str">
        <f t="shared" si="17"/>
        <v>41 years, 8 month(s), 5 day(s)</v>
      </c>
      <c r="J501" s="240">
        <v>30919</v>
      </c>
      <c r="K501" s="239" t="str">
        <f t="shared" si="18"/>
        <v>7 years, 4 month(s), 26 day(s)</v>
      </c>
      <c r="L501" s="240">
        <v>43438</v>
      </c>
      <c r="M501" s="241"/>
      <c r="N501" s="241"/>
      <c r="O501" s="193" t="s">
        <v>1537</v>
      </c>
      <c r="P501" s="242" t="s">
        <v>2682</v>
      </c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25.5" customHeight="1">
      <c r="A502" s="190">
        <v>494</v>
      </c>
      <c r="B502" s="190" t="s">
        <v>1500</v>
      </c>
      <c r="C502" s="190" t="s">
        <v>3123</v>
      </c>
      <c r="D502" s="190">
        <v>207857</v>
      </c>
      <c r="E502" s="237" t="s">
        <v>1512</v>
      </c>
      <c r="F502" s="237" t="s">
        <v>1513</v>
      </c>
      <c r="G502" s="237" t="s">
        <v>1514</v>
      </c>
      <c r="H502" s="243" t="s">
        <v>3328</v>
      </c>
      <c r="I502" s="239" t="str">
        <f t="shared" si="17"/>
        <v>44 years, 6 month(s), 1 day(s)</v>
      </c>
      <c r="J502" s="240">
        <v>29888</v>
      </c>
      <c r="K502" s="239" t="str">
        <f t="shared" si="18"/>
        <v>15 years, 4 month(s), 29 day(s)</v>
      </c>
      <c r="L502" s="240">
        <v>40513</v>
      </c>
      <c r="M502" s="241"/>
      <c r="N502" s="241"/>
      <c r="O502" s="193" t="s">
        <v>1486</v>
      </c>
      <c r="P502" s="242" t="s">
        <v>2818</v>
      </c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25.5" customHeight="1">
      <c r="A503" s="190">
        <v>495</v>
      </c>
      <c r="B503" s="190" t="s">
        <v>40</v>
      </c>
      <c r="C503" s="190" t="s">
        <v>3123</v>
      </c>
      <c r="D503" s="190">
        <v>15</v>
      </c>
      <c r="E503" s="237" t="s">
        <v>1627</v>
      </c>
      <c r="F503" s="237" t="s">
        <v>1628</v>
      </c>
      <c r="G503" s="237" t="s">
        <v>1629</v>
      </c>
      <c r="H503" s="238"/>
      <c r="I503" s="239" t="str">
        <f t="shared" si="17"/>
        <v>38 years, 10 month(s), 27 day(s)</v>
      </c>
      <c r="J503" s="240">
        <v>31931</v>
      </c>
      <c r="K503" s="239" t="str">
        <f t="shared" si="18"/>
        <v>13 years, 5 month(s), 9 day(s)</v>
      </c>
      <c r="L503" s="240">
        <v>41234</v>
      </c>
      <c r="M503" s="241"/>
      <c r="N503" s="241"/>
      <c r="O503" s="193" t="s">
        <v>1588</v>
      </c>
      <c r="P503" s="242" t="s">
        <v>3641</v>
      </c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25.5" customHeight="1">
      <c r="A504" s="190">
        <v>496</v>
      </c>
      <c r="B504" s="190" t="s">
        <v>40</v>
      </c>
      <c r="C504" s="190" t="s">
        <v>3123</v>
      </c>
      <c r="D504" s="190">
        <v>14</v>
      </c>
      <c r="E504" s="237" t="s">
        <v>133</v>
      </c>
      <c r="F504" s="237" t="s">
        <v>134</v>
      </c>
      <c r="G504" s="237" t="s">
        <v>135</v>
      </c>
      <c r="H504" s="238"/>
      <c r="I504" s="239" t="str">
        <f t="shared" si="17"/>
        <v>51 years, 9 month(s), 2 day(s)</v>
      </c>
      <c r="J504" s="240">
        <v>27238</v>
      </c>
      <c r="K504" s="239" t="str">
        <f t="shared" si="18"/>
        <v>19 years, 11 month(s), 22 day(s)</v>
      </c>
      <c r="L504" s="240">
        <v>38845</v>
      </c>
      <c r="M504" s="241"/>
      <c r="N504" s="241"/>
      <c r="O504" s="193" t="s">
        <v>122</v>
      </c>
      <c r="P504" s="242" t="s">
        <v>2821</v>
      </c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25.5" customHeight="1">
      <c r="A505" s="190">
        <v>497</v>
      </c>
      <c r="B505" s="190" t="s">
        <v>160</v>
      </c>
      <c r="C505" s="190" t="s">
        <v>3123</v>
      </c>
      <c r="D505" s="190" t="s">
        <v>3329</v>
      </c>
      <c r="E505" s="237" t="s">
        <v>854</v>
      </c>
      <c r="F505" s="237" t="s">
        <v>2560</v>
      </c>
      <c r="G505" s="237" t="s">
        <v>2561</v>
      </c>
      <c r="H505" s="238"/>
      <c r="I505" s="239" t="str">
        <f t="shared" si="17"/>
        <v>51 years, 2 month(s), 25 day(s)</v>
      </c>
      <c r="J505" s="240">
        <v>27430</v>
      </c>
      <c r="K505" s="239" t="str">
        <f t="shared" si="18"/>
        <v>17 years, 7 month(s), 29 day(s)</v>
      </c>
      <c r="L505" s="240">
        <v>39692</v>
      </c>
      <c r="M505" s="241"/>
      <c r="N505" s="240">
        <v>38621</v>
      </c>
      <c r="O505" s="193" t="s">
        <v>1037</v>
      </c>
      <c r="P505" s="242" t="s">
        <v>2975</v>
      </c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25.5" customHeight="1">
      <c r="A506" s="190">
        <v>498</v>
      </c>
      <c r="B506" s="190" t="s">
        <v>40</v>
      </c>
      <c r="C506" s="190" t="s">
        <v>3123</v>
      </c>
      <c r="D506" s="190">
        <v>10</v>
      </c>
      <c r="E506" s="237" t="s">
        <v>955</v>
      </c>
      <c r="F506" s="237" t="s">
        <v>956</v>
      </c>
      <c r="G506" s="237" t="s">
        <v>957</v>
      </c>
      <c r="H506" s="238"/>
      <c r="I506" s="239" t="str">
        <f t="shared" si="17"/>
        <v>37 years, 8 month(s), 15 day(s)</v>
      </c>
      <c r="J506" s="240">
        <v>32370</v>
      </c>
      <c r="K506" s="239" t="str">
        <f t="shared" si="18"/>
        <v>12 years, 5 month(s), 9 day(s)</v>
      </c>
      <c r="L506" s="240">
        <v>41599</v>
      </c>
      <c r="M506" s="241"/>
      <c r="N506" s="241"/>
      <c r="O506" s="193" t="s">
        <v>3002</v>
      </c>
      <c r="P506" s="242" t="s">
        <v>3003</v>
      </c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25.5" customHeight="1">
      <c r="A507" s="190">
        <v>499</v>
      </c>
      <c r="B507" s="190" t="s">
        <v>277</v>
      </c>
      <c r="C507" s="190" t="s">
        <v>3123</v>
      </c>
      <c r="D507" s="190">
        <v>151046</v>
      </c>
      <c r="E507" s="237" t="s">
        <v>1142</v>
      </c>
      <c r="F507" s="237" t="s">
        <v>3330</v>
      </c>
      <c r="G507" s="237" t="s">
        <v>1144</v>
      </c>
      <c r="H507" s="238"/>
      <c r="I507" s="239" t="str">
        <f t="shared" si="17"/>
        <v>51 years, 6 month(s), 15 day(s)</v>
      </c>
      <c r="J507" s="240">
        <v>27317</v>
      </c>
      <c r="K507" s="239" t="str">
        <f t="shared" si="18"/>
        <v>22 years, 9 month(s), 2 day(s)</v>
      </c>
      <c r="L507" s="240">
        <v>37830</v>
      </c>
      <c r="M507" s="241"/>
      <c r="N507" s="241"/>
      <c r="O507" s="193" t="s">
        <v>1065</v>
      </c>
      <c r="P507" s="242" t="s">
        <v>2854</v>
      </c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25.5" customHeight="1">
      <c r="A508" s="190">
        <v>500</v>
      </c>
      <c r="B508" s="190" t="s">
        <v>40</v>
      </c>
      <c r="C508" s="190" t="s">
        <v>3123</v>
      </c>
      <c r="D508" s="190">
        <v>18</v>
      </c>
      <c r="E508" s="237" t="s">
        <v>1358</v>
      </c>
      <c r="F508" s="237" t="s">
        <v>1359</v>
      </c>
      <c r="G508" s="237" t="s">
        <v>1360</v>
      </c>
      <c r="H508" s="238"/>
      <c r="I508" s="239" t="str">
        <f t="shared" si="17"/>
        <v>40 years, 6 month(s), 11 day(s)</v>
      </c>
      <c r="J508" s="240">
        <v>31339</v>
      </c>
      <c r="K508" s="239" t="str">
        <f t="shared" si="18"/>
        <v>15 years, 1 month(s), 6 day(s)</v>
      </c>
      <c r="L508" s="240">
        <v>40626</v>
      </c>
      <c r="M508" s="241"/>
      <c r="N508" s="241"/>
      <c r="O508" s="193" t="s">
        <v>1330</v>
      </c>
      <c r="P508" s="242" t="s">
        <v>3331</v>
      </c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25.5" customHeight="1">
      <c r="A509" s="190">
        <v>501</v>
      </c>
      <c r="B509" s="190" t="s">
        <v>3322</v>
      </c>
      <c r="C509" s="190" t="s">
        <v>3123</v>
      </c>
      <c r="D509" s="190">
        <v>375625</v>
      </c>
      <c r="E509" s="237" t="s">
        <v>377</v>
      </c>
      <c r="F509" s="237" t="s">
        <v>378</v>
      </c>
      <c r="G509" s="237" t="s">
        <v>379</v>
      </c>
      <c r="H509" s="238"/>
      <c r="I509" s="239" t="str">
        <f t="shared" si="17"/>
        <v>27 years, 9 month(s), 18 day(s)</v>
      </c>
      <c r="J509" s="240">
        <v>35988</v>
      </c>
      <c r="K509" s="239" t="str">
        <f t="shared" si="18"/>
        <v>3 years, 5 month(s), 16 day(s)</v>
      </c>
      <c r="L509" s="240">
        <v>44879</v>
      </c>
      <c r="M509" s="241"/>
      <c r="N509" s="241"/>
      <c r="O509" s="193" t="s">
        <v>352</v>
      </c>
      <c r="P509" s="242" t="s">
        <v>2849</v>
      </c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25.5" customHeight="1">
      <c r="A510" s="190">
        <v>502</v>
      </c>
      <c r="B510" s="190" t="s">
        <v>24</v>
      </c>
      <c r="C510" s="190" t="s">
        <v>3123</v>
      </c>
      <c r="D510" s="190">
        <v>311624</v>
      </c>
      <c r="E510" s="237" t="s">
        <v>2506</v>
      </c>
      <c r="F510" s="237" t="s">
        <v>2507</v>
      </c>
      <c r="G510" s="237" t="s">
        <v>2508</v>
      </c>
      <c r="H510" s="238"/>
      <c r="I510" s="239" t="str">
        <f t="shared" si="17"/>
        <v>33 years, 7 month(s), 5 day(s)</v>
      </c>
      <c r="J510" s="240">
        <v>33872</v>
      </c>
      <c r="K510" s="239" t="str">
        <f t="shared" si="18"/>
        <v>8 years, 7 month(s), 14 day(s)</v>
      </c>
      <c r="L510" s="240">
        <v>42994</v>
      </c>
      <c r="M510" s="241"/>
      <c r="N510" s="241"/>
      <c r="O510" s="193" t="s">
        <v>2488</v>
      </c>
      <c r="P510" s="242" t="s">
        <v>2849</v>
      </c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25.5" customHeight="1">
      <c r="A511" s="190">
        <v>503</v>
      </c>
      <c r="B511" s="190" t="s">
        <v>96</v>
      </c>
      <c r="C511" s="190" t="s">
        <v>3123</v>
      </c>
      <c r="D511" s="190" t="s">
        <v>3332</v>
      </c>
      <c r="E511" s="237" t="s">
        <v>240</v>
      </c>
      <c r="F511" s="237" t="s">
        <v>241</v>
      </c>
      <c r="G511" s="237" t="s">
        <v>242</v>
      </c>
      <c r="H511" s="238"/>
      <c r="I511" s="239" t="str">
        <f t="shared" si="17"/>
        <v>37 years, 6 month(s), 4 day(s)</v>
      </c>
      <c r="J511" s="240">
        <v>32442</v>
      </c>
      <c r="K511" s="239" t="str">
        <f t="shared" si="18"/>
        <v>7 years, 1 month(s), 12 day(s)</v>
      </c>
      <c r="L511" s="240">
        <v>43542</v>
      </c>
      <c r="M511" s="241"/>
      <c r="N511" s="241"/>
      <c r="O511" s="193" t="s">
        <v>239</v>
      </c>
      <c r="P511" s="242" t="s">
        <v>2848</v>
      </c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25.5" customHeight="1">
      <c r="A512" s="190">
        <v>504</v>
      </c>
      <c r="B512" s="190" t="s">
        <v>20</v>
      </c>
      <c r="C512" s="190" t="s">
        <v>3123</v>
      </c>
      <c r="D512" s="190" t="s">
        <v>3333</v>
      </c>
      <c r="E512" s="237" t="s">
        <v>1654</v>
      </c>
      <c r="F512" s="237" t="s">
        <v>1655</v>
      </c>
      <c r="G512" s="237" t="s">
        <v>1205</v>
      </c>
      <c r="H512" s="238"/>
      <c r="I512" s="239" t="str">
        <f t="shared" si="17"/>
        <v>53 years, 3 month(s), 3 day(s)</v>
      </c>
      <c r="J512" s="240">
        <v>26691</v>
      </c>
      <c r="K512" s="239" t="str">
        <f t="shared" si="18"/>
        <v>24 years, 5 month(s), 24 day(s)</v>
      </c>
      <c r="L512" s="240">
        <v>37201</v>
      </c>
      <c r="M512" s="241"/>
      <c r="N512" s="241"/>
      <c r="O512" s="193" t="s">
        <v>1656</v>
      </c>
      <c r="P512" s="242" t="s">
        <v>3057</v>
      </c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25.5" customHeight="1">
      <c r="A513" s="190">
        <v>505</v>
      </c>
      <c r="B513" s="190" t="s">
        <v>28</v>
      </c>
      <c r="C513" s="190" t="s">
        <v>3123</v>
      </c>
      <c r="D513" s="190">
        <v>375636</v>
      </c>
      <c r="E513" s="237" t="s">
        <v>2448</v>
      </c>
      <c r="F513" s="237" t="s">
        <v>2449</v>
      </c>
      <c r="G513" s="237" t="s">
        <v>2450</v>
      </c>
      <c r="H513" s="238"/>
      <c r="I513" s="239" t="str">
        <f t="shared" si="17"/>
        <v>33 years, 8 month(s), 26 day(s)</v>
      </c>
      <c r="J513" s="240">
        <v>33820</v>
      </c>
      <c r="K513" s="239" t="str">
        <f t="shared" si="18"/>
        <v>3 years, 5 month(s), 16 day(s)</v>
      </c>
      <c r="L513" s="240">
        <v>44879</v>
      </c>
      <c r="M513" s="241"/>
      <c r="N513" s="241"/>
      <c r="O513" s="193" t="s">
        <v>2420</v>
      </c>
      <c r="P513" s="242" t="s">
        <v>2849</v>
      </c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25.5" customHeight="1">
      <c r="A514" s="190">
        <v>506</v>
      </c>
      <c r="B514" s="190" t="s">
        <v>28</v>
      </c>
      <c r="C514" s="190" t="s">
        <v>3123</v>
      </c>
      <c r="D514" s="190">
        <v>375989</v>
      </c>
      <c r="E514" s="237" t="s">
        <v>382</v>
      </c>
      <c r="F514" s="237" t="s">
        <v>383</v>
      </c>
      <c r="G514" s="237" t="s">
        <v>384</v>
      </c>
      <c r="H514" s="238"/>
      <c r="I514" s="239" t="str">
        <f t="shared" si="17"/>
        <v>33 years, 4 month(s), 17 day(s)</v>
      </c>
      <c r="J514" s="240">
        <v>33951</v>
      </c>
      <c r="K514" s="239" t="str">
        <f t="shared" si="18"/>
        <v>3 years, 4 month(s), 25 day(s)</v>
      </c>
      <c r="L514" s="240">
        <v>44900</v>
      </c>
      <c r="M514" s="241"/>
      <c r="N514" s="241"/>
      <c r="O514" s="193" t="s">
        <v>352</v>
      </c>
      <c r="P514" s="242" t="s">
        <v>2849</v>
      </c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25.5" customHeight="1">
      <c r="A515" s="190">
        <v>507</v>
      </c>
      <c r="B515" s="190" t="s">
        <v>40</v>
      </c>
      <c r="C515" s="190" t="s">
        <v>3123</v>
      </c>
      <c r="D515" s="190">
        <v>8</v>
      </c>
      <c r="E515" s="237" t="s">
        <v>1801</v>
      </c>
      <c r="F515" s="237" t="s">
        <v>3334</v>
      </c>
      <c r="G515" s="237" t="s">
        <v>1803</v>
      </c>
      <c r="H515" s="238"/>
      <c r="I515" s="239" t="str">
        <f t="shared" si="17"/>
        <v>43 years, 11 month(s), 20 day(s)</v>
      </c>
      <c r="J515" s="240">
        <v>30081</v>
      </c>
      <c r="K515" s="239" t="str">
        <f t="shared" si="18"/>
        <v>3 years, 2 month(s), 16 day(s)</v>
      </c>
      <c r="L515" s="240">
        <v>44971</v>
      </c>
      <c r="M515" s="241"/>
      <c r="N515" s="241"/>
      <c r="O515" s="193" t="s">
        <v>1788</v>
      </c>
      <c r="P515" s="242" t="s">
        <v>2782</v>
      </c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25.5" customHeight="1">
      <c r="A516" s="190">
        <v>508</v>
      </c>
      <c r="B516" s="190" t="s">
        <v>40</v>
      </c>
      <c r="C516" s="190" t="s">
        <v>3123</v>
      </c>
      <c r="D516" s="190">
        <v>1</v>
      </c>
      <c r="E516" s="237" t="s">
        <v>1032</v>
      </c>
      <c r="F516" s="237" t="s">
        <v>1033</v>
      </c>
      <c r="G516" s="237" t="s">
        <v>1034</v>
      </c>
      <c r="H516" s="238"/>
      <c r="I516" s="239" t="str">
        <f t="shared" si="17"/>
        <v>47 years, 5 month(s), 24 day(s)</v>
      </c>
      <c r="J516" s="240">
        <v>28800</v>
      </c>
      <c r="K516" s="239" t="str">
        <f t="shared" si="18"/>
        <v>4 years, 3 month(s), 19 day(s)</v>
      </c>
      <c r="L516" s="240">
        <v>44572</v>
      </c>
      <c r="M516" s="241"/>
      <c r="N516" s="241"/>
      <c r="O516" s="193" t="s">
        <v>1008</v>
      </c>
      <c r="P516" s="242" t="s">
        <v>2711</v>
      </c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25.5" customHeight="1">
      <c r="A517" s="190">
        <v>509</v>
      </c>
      <c r="B517" s="190" t="s">
        <v>24</v>
      </c>
      <c r="C517" s="190" t="s">
        <v>3123</v>
      </c>
      <c r="D517" s="190">
        <v>339459</v>
      </c>
      <c r="E517" s="237" t="s">
        <v>107</v>
      </c>
      <c r="F517" s="237" t="s">
        <v>108</v>
      </c>
      <c r="G517" s="237" t="s">
        <v>109</v>
      </c>
      <c r="H517" s="238"/>
      <c r="I517" s="239" t="str">
        <f t="shared" si="17"/>
        <v>31 years, 10 month(s), 28 day(s)</v>
      </c>
      <c r="J517" s="240">
        <v>34487</v>
      </c>
      <c r="K517" s="239" t="str">
        <f t="shared" si="18"/>
        <v>6 years, 6 month(s), 9 day(s)</v>
      </c>
      <c r="L517" s="240">
        <v>43759</v>
      </c>
      <c r="M517" s="241"/>
      <c r="N517" s="241"/>
      <c r="O517" s="193" t="s">
        <v>90</v>
      </c>
      <c r="P517" s="242" t="s">
        <v>2819</v>
      </c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25.5" customHeight="1">
      <c r="A518" s="190">
        <v>510</v>
      </c>
      <c r="B518" s="190" t="s">
        <v>40</v>
      </c>
      <c r="C518" s="190" t="s">
        <v>3123</v>
      </c>
      <c r="D518" s="190">
        <v>6</v>
      </c>
      <c r="E518" s="237" t="s">
        <v>2611</v>
      </c>
      <c r="F518" s="237" t="s">
        <v>2924</v>
      </c>
      <c r="G518" s="237" t="s">
        <v>2925</v>
      </c>
      <c r="H518" s="238"/>
      <c r="I518" s="239" t="str">
        <f t="shared" si="17"/>
        <v>28 years, 7 month(s), 27 day(s)</v>
      </c>
      <c r="J518" s="240">
        <v>35676</v>
      </c>
      <c r="K518" s="239" t="str">
        <f ca="1">DATEDIF(L518,TODAY(),"y")&amp;" years, "&amp;DATEDIF(L518,TODAY(),"ym")&amp;" month(s), "&amp;DATEDIF(L518,TODAY(),"md")&amp;" day(s)"</f>
        <v>0 years, 1 month(s), 3 day(s)</v>
      </c>
      <c r="L518" s="240">
        <v>46239</v>
      </c>
      <c r="M518" s="241"/>
      <c r="N518" s="241"/>
      <c r="O518" s="258" t="s">
        <v>3650</v>
      </c>
      <c r="P518" s="245" t="s">
        <v>3651</v>
      </c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25.5" customHeight="1">
      <c r="A519" s="190">
        <v>511</v>
      </c>
      <c r="B519" s="190" t="s">
        <v>160</v>
      </c>
      <c r="C519" s="190" t="s">
        <v>3123</v>
      </c>
      <c r="D519" s="190" t="s">
        <v>3335</v>
      </c>
      <c r="E519" s="237" t="s">
        <v>2641</v>
      </c>
      <c r="F519" s="237" t="s">
        <v>792</v>
      </c>
      <c r="G519" s="237" t="s">
        <v>2643</v>
      </c>
      <c r="H519" s="238"/>
      <c r="I519" s="239" t="str">
        <f t="shared" si="17"/>
        <v>47 years, 11 month(s), 13 day(s)</v>
      </c>
      <c r="J519" s="240">
        <v>28627</v>
      </c>
      <c r="K519" s="239" t="str">
        <f t="shared" ref="K519:K582" si="19">DATEDIF(L519,DATE(2026,4,30),"y")&amp;" years, "&amp;DATEDIF(L519,DATE(2026,4,30),"ym")&amp;" month(s), "&amp;DATEDIF(L519,DATE(2026,4,30),"md")&amp;" day(s)"</f>
        <v>16 years, 3 month(s), 12 day(s)</v>
      </c>
      <c r="L519" s="240">
        <v>40196</v>
      </c>
      <c r="M519" s="240">
        <v>38632</v>
      </c>
      <c r="N519" s="241"/>
      <c r="O519" s="247" t="s">
        <v>2640</v>
      </c>
      <c r="P519" s="242" t="s">
        <v>2996</v>
      </c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25.5" customHeight="1">
      <c r="A520" s="190">
        <v>512</v>
      </c>
      <c r="B520" s="190" t="s">
        <v>40</v>
      </c>
      <c r="C520" s="190" t="s">
        <v>3123</v>
      </c>
      <c r="D520" s="190">
        <v>6</v>
      </c>
      <c r="E520" s="237" t="s">
        <v>636</v>
      </c>
      <c r="F520" s="237" t="s">
        <v>1028</v>
      </c>
      <c r="G520" s="237" t="s">
        <v>1029</v>
      </c>
      <c r="H520" s="238"/>
      <c r="I520" s="239" t="str">
        <f t="shared" si="17"/>
        <v>41 years, 1 month(s), 6 day(s)</v>
      </c>
      <c r="J520" s="240">
        <v>31130</v>
      </c>
      <c r="K520" s="239" t="str">
        <f t="shared" si="19"/>
        <v>7 years, 4 month(s), 26 day(s)</v>
      </c>
      <c r="L520" s="240">
        <v>43438</v>
      </c>
      <c r="M520" s="241"/>
      <c r="N520" s="241"/>
      <c r="O520" s="193" t="s">
        <v>1008</v>
      </c>
      <c r="P520" s="242" t="s">
        <v>2783</v>
      </c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25.5" customHeight="1">
      <c r="A521" s="190">
        <v>513</v>
      </c>
      <c r="B521" s="190" t="s">
        <v>160</v>
      </c>
      <c r="C521" s="190" t="s">
        <v>3123</v>
      </c>
      <c r="D521" s="190" t="s">
        <v>3336</v>
      </c>
      <c r="E521" s="237" t="s">
        <v>636</v>
      </c>
      <c r="F521" s="237" t="s">
        <v>2610</v>
      </c>
      <c r="G521" s="237" t="s">
        <v>2611</v>
      </c>
      <c r="H521" s="238"/>
      <c r="I521" s="239" t="str">
        <f t="shared" ref="I521:I584" si="20">DATEDIF(J521,DATE(2026,4,30),"y")&amp;" years, "&amp;DATEDIF(J521,DATE(2026,4,30),"ym")&amp;" month(s), "&amp;DATEDIF(J521,DATE(2026,4,30),"md")&amp;" day(s)"</f>
        <v>49 years, 11 month(s), 2 day(s)</v>
      </c>
      <c r="J521" s="240">
        <v>27908</v>
      </c>
      <c r="K521" s="239" t="str">
        <f t="shared" si="19"/>
        <v>16 years, 3 month(s), 12 day(s)</v>
      </c>
      <c r="L521" s="240">
        <v>40196</v>
      </c>
      <c r="M521" s="240">
        <v>37757</v>
      </c>
      <c r="N521" s="241"/>
      <c r="O521" s="193" t="s">
        <v>2609</v>
      </c>
      <c r="P521" s="242" t="s">
        <v>2875</v>
      </c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25.5" customHeight="1">
      <c r="A522" s="190">
        <v>514</v>
      </c>
      <c r="B522" s="190" t="s">
        <v>160</v>
      </c>
      <c r="C522" s="190" t="s">
        <v>3123</v>
      </c>
      <c r="D522" s="190" t="s">
        <v>3337</v>
      </c>
      <c r="E522" s="237" t="s">
        <v>636</v>
      </c>
      <c r="F522" s="237" t="s">
        <v>1657</v>
      </c>
      <c r="G522" s="237" t="s">
        <v>1658</v>
      </c>
      <c r="H522" s="238"/>
      <c r="I522" s="239" t="str">
        <f t="shared" si="20"/>
        <v>48 years, 3 month(s), 30 day(s)</v>
      </c>
      <c r="J522" s="240">
        <v>28490</v>
      </c>
      <c r="K522" s="239" t="str">
        <f t="shared" si="19"/>
        <v>20 years, 3 month(s), 14 day(s)</v>
      </c>
      <c r="L522" s="240">
        <v>38733</v>
      </c>
      <c r="M522" s="241"/>
      <c r="N522" s="241"/>
      <c r="O522" s="193" t="s">
        <v>1065</v>
      </c>
      <c r="P522" s="242" t="s">
        <v>2984</v>
      </c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25.5" customHeight="1">
      <c r="A523" s="190">
        <v>515</v>
      </c>
      <c r="B523" s="190" t="s">
        <v>24</v>
      </c>
      <c r="C523" s="190" t="s">
        <v>3123</v>
      </c>
      <c r="D523" s="190">
        <v>339484</v>
      </c>
      <c r="E523" s="237" t="s">
        <v>552</v>
      </c>
      <c r="F523" s="237" t="s">
        <v>553</v>
      </c>
      <c r="G523" s="237" t="s">
        <v>554</v>
      </c>
      <c r="H523" s="238"/>
      <c r="I523" s="239" t="str">
        <f t="shared" si="20"/>
        <v>29 years, 4 month(s), 13 day(s)</v>
      </c>
      <c r="J523" s="240">
        <v>35416</v>
      </c>
      <c r="K523" s="239" t="str">
        <f t="shared" si="19"/>
        <v>6 years, 6 month(s), 9 day(s)</v>
      </c>
      <c r="L523" s="240">
        <v>43759</v>
      </c>
      <c r="M523" s="241"/>
      <c r="N523" s="241"/>
      <c r="O523" s="193" t="s">
        <v>531</v>
      </c>
      <c r="P523" s="242" t="s">
        <v>2849</v>
      </c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25.5" customHeight="1">
      <c r="A524" s="190">
        <v>516</v>
      </c>
      <c r="B524" s="190" t="s">
        <v>40</v>
      </c>
      <c r="C524" s="190" t="s">
        <v>3123</v>
      </c>
      <c r="D524" s="190">
        <v>9</v>
      </c>
      <c r="E524" s="237" t="s">
        <v>1649</v>
      </c>
      <c r="F524" s="237" t="s">
        <v>1650</v>
      </c>
      <c r="G524" s="237" t="s">
        <v>1651</v>
      </c>
      <c r="H524" s="238"/>
      <c r="I524" s="239" t="str">
        <f t="shared" si="20"/>
        <v>57 years, 6 month(s), 26 day(s)</v>
      </c>
      <c r="J524" s="240">
        <v>25115</v>
      </c>
      <c r="K524" s="239" t="str">
        <f t="shared" si="19"/>
        <v>20 years, 7 month(s), 0 day(s)</v>
      </c>
      <c r="L524" s="240">
        <v>38625</v>
      </c>
      <c r="M524" s="241"/>
      <c r="N524" s="241"/>
      <c r="O524" s="193" t="s">
        <v>1638</v>
      </c>
      <c r="P524" s="242" t="s">
        <v>2682</v>
      </c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25.5" customHeight="1">
      <c r="A525" s="190">
        <v>517</v>
      </c>
      <c r="B525" s="190" t="s">
        <v>40</v>
      </c>
      <c r="C525" s="190" t="s">
        <v>3123</v>
      </c>
      <c r="D525" s="190">
        <v>11</v>
      </c>
      <c r="E525" s="237" t="s">
        <v>68</v>
      </c>
      <c r="F525" s="237" t="s">
        <v>69</v>
      </c>
      <c r="G525" s="237" t="s">
        <v>70</v>
      </c>
      <c r="H525" s="238"/>
      <c r="I525" s="239" t="str">
        <f t="shared" si="20"/>
        <v>39 years, 5 month(s), 8 day(s)</v>
      </c>
      <c r="J525" s="240">
        <v>31738</v>
      </c>
      <c r="K525" s="239" t="str">
        <f t="shared" si="19"/>
        <v>14 years, 2 month(s), 7 day(s)</v>
      </c>
      <c r="L525" s="240">
        <v>40962</v>
      </c>
      <c r="M525" s="241"/>
      <c r="N525" s="241"/>
      <c r="O525" s="193" t="s">
        <v>56</v>
      </c>
      <c r="P525" s="242" t="s">
        <v>2785</v>
      </c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25.5" customHeight="1">
      <c r="A526" s="190">
        <v>518</v>
      </c>
      <c r="B526" s="190" t="s">
        <v>57</v>
      </c>
      <c r="C526" s="190" t="s">
        <v>3123</v>
      </c>
      <c r="D526" s="190">
        <v>244591</v>
      </c>
      <c r="E526" s="237" t="s">
        <v>2333</v>
      </c>
      <c r="F526" s="237" t="s">
        <v>2334</v>
      </c>
      <c r="G526" s="237" t="s">
        <v>70</v>
      </c>
      <c r="H526" s="238"/>
      <c r="I526" s="239" t="str">
        <f t="shared" si="20"/>
        <v>35 years, 2 month(s), 16 day(s)</v>
      </c>
      <c r="J526" s="240">
        <v>33283</v>
      </c>
      <c r="K526" s="239" t="str">
        <f t="shared" si="19"/>
        <v>13 years, 1 month(s), 29 day(s)</v>
      </c>
      <c r="L526" s="240">
        <v>41334</v>
      </c>
      <c r="M526" s="241"/>
      <c r="N526" s="241"/>
      <c r="O526" s="193" t="s">
        <v>2324</v>
      </c>
      <c r="P526" s="245" t="s">
        <v>2849</v>
      </c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25.5" customHeight="1">
      <c r="A527" s="190">
        <v>519</v>
      </c>
      <c r="B527" s="190" t="s">
        <v>160</v>
      </c>
      <c r="C527" s="190" t="s">
        <v>3123</v>
      </c>
      <c r="D527" s="190" t="s">
        <v>3338</v>
      </c>
      <c r="E527" s="237" t="s">
        <v>468</v>
      </c>
      <c r="F527" s="237" t="s">
        <v>469</v>
      </c>
      <c r="G527" s="237" t="s">
        <v>470</v>
      </c>
      <c r="H527" s="238"/>
      <c r="I527" s="239" t="str">
        <f t="shared" si="20"/>
        <v>50 years, 2 month(s), 17 day(s)</v>
      </c>
      <c r="J527" s="240">
        <v>27803</v>
      </c>
      <c r="K527" s="239" t="str">
        <f t="shared" si="19"/>
        <v>17 years, 4 month(s), 15 day(s)</v>
      </c>
      <c r="L527" s="240">
        <v>39797</v>
      </c>
      <c r="M527" s="240">
        <v>37757</v>
      </c>
      <c r="N527" s="241"/>
      <c r="O527" s="193" t="s">
        <v>2872</v>
      </c>
      <c r="P527" s="242" t="s">
        <v>2848</v>
      </c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25.5" customHeight="1">
      <c r="A528" s="190">
        <v>520</v>
      </c>
      <c r="B528" s="190" t="s">
        <v>96</v>
      </c>
      <c r="C528" s="190" t="s">
        <v>3123</v>
      </c>
      <c r="D528" s="190" t="s">
        <v>3339</v>
      </c>
      <c r="E528" s="237" t="s">
        <v>1137</v>
      </c>
      <c r="F528" s="237" t="s">
        <v>1138</v>
      </c>
      <c r="G528" s="237" t="s">
        <v>1139</v>
      </c>
      <c r="H528" s="238"/>
      <c r="I528" s="239" t="str">
        <f t="shared" si="20"/>
        <v>34 years, 3 month(s), 2 day(s)</v>
      </c>
      <c r="J528" s="240">
        <v>33631</v>
      </c>
      <c r="K528" s="239" t="str">
        <f t="shared" si="19"/>
        <v>6 years, 6 month(s), 9 day(s)</v>
      </c>
      <c r="L528" s="240">
        <v>43759</v>
      </c>
      <c r="M528" s="241"/>
      <c r="N528" s="241"/>
      <c r="O528" s="193" t="s">
        <v>1065</v>
      </c>
      <c r="P528" s="242" t="s">
        <v>2985</v>
      </c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25.5" customHeight="1">
      <c r="A529" s="190">
        <v>521</v>
      </c>
      <c r="B529" s="190" t="s">
        <v>366</v>
      </c>
      <c r="C529" s="190" t="s">
        <v>3123</v>
      </c>
      <c r="D529" s="190">
        <v>151033</v>
      </c>
      <c r="E529" s="237" t="s">
        <v>452</v>
      </c>
      <c r="F529" s="237" t="s">
        <v>453</v>
      </c>
      <c r="G529" s="237" t="s">
        <v>454</v>
      </c>
      <c r="H529" s="238"/>
      <c r="I529" s="239" t="str">
        <f t="shared" si="20"/>
        <v>53 years, 0 month(s), 15 day(s)</v>
      </c>
      <c r="J529" s="240">
        <v>26769</v>
      </c>
      <c r="K529" s="239" t="str">
        <f t="shared" si="19"/>
        <v>22 years, 9 month(s), 2 day(s)</v>
      </c>
      <c r="L529" s="240">
        <v>37830</v>
      </c>
      <c r="M529" s="241"/>
      <c r="N529" s="241"/>
      <c r="O529" s="193" t="s">
        <v>446</v>
      </c>
      <c r="P529" s="242" t="s">
        <v>2849</v>
      </c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25.5" customHeight="1">
      <c r="A530" s="190">
        <v>522</v>
      </c>
      <c r="B530" s="190" t="s">
        <v>366</v>
      </c>
      <c r="C530" s="190" t="s">
        <v>3123</v>
      </c>
      <c r="D530" s="190">
        <v>203701</v>
      </c>
      <c r="E530" s="237" t="s">
        <v>2192</v>
      </c>
      <c r="F530" s="237" t="s">
        <v>619</v>
      </c>
      <c r="G530" s="237" t="s">
        <v>2100</v>
      </c>
      <c r="H530" s="238"/>
      <c r="I530" s="239" t="str">
        <f t="shared" si="20"/>
        <v>44 years, 1 month(s), 27 day(s)</v>
      </c>
      <c r="J530" s="240">
        <v>30013</v>
      </c>
      <c r="K530" s="239" t="str">
        <f t="shared" si="19"/>
        <v>16 years, 2 month(s), 29 day(s)</v>
      </c>
      <c r="L530" s="240">
        <v>40210</v>
      </c>
      <c r="M530" s="241"/>
      <c r="N530" s="241"/>
      <c r="O530" s="193" t="s">
        <v>2186</v>
      </c>
      <c r="P530" s="242" t="s">
        <v>2849</v>
      </c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25.5" customHeight="1">
      <c r="A531" s="190">
        <v>523</v>
      </c>
      <c r="B531" s="190" t="s">
        <v>366</v>
      </c>
      <c r="C531" s="190" t="s">
        <v>3123</v>
      </c>
      <c r="D531" s="190">
        <v>203695</v>
      </c>
      <c r="E531" s="237" t="s">
        <v>1151</v>
      </c>
      <c r="F531" s="237" t="s">
        <v>1152</v>
      </c>
      <c r="G531" s="237" t="s">
        <v>1153</v>
      </c>
      <c r="H531" s="238"/>
      <c r="I531" s="239" t="str">
        <f t="shared" si="20"/>
        <v>44 years, 3 month(s), 2 day(s)</v>
      </c>
      <c r="J531" s="240">
        <v>29979</v>
      </c>
      <c r="K531" s="239" t="str">
        <f t="shared" si="19"/>
        <v>16 years, 2 month(s), 29 day(s)</v>
      </c>
      <c r="L531" s="240">
        <v>40210</v>
      </c>
      <c r="M531" s="241"/>
      <c r="N531" s="241"/>
      <c r="O531" s="193" t="s">
        <v>1065</v>
      </c>
      <c r="P531" s="245" t="s">
        <v>2854</v>
      </c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25.5" customHeight="1">
      <c r="A532" s="190">
        <v>524</v>
      </c>
      <c r="B532" s="190" t="s">
        <v>96</v>
      </c>
      <c r="C532" s="190" t="s">
        <v>3123</v>
      </c>
      <c r="D532" s="190" t="s">
        <v>3340</v>
      </c>
      <c r="E532" s="237" t="s">
        <v>485</v>
      </c>
      <c r="F532" s="237" t="s">
        <v>3341</v>
      </c>
      <c r="G532" s="237" t="s">
        <v>487</v>
      </c>
      <c r="H532" s="238"/>
      <c r="I532" s="239" t="str">
        <f t="shared" si="20"/>
        <v>35 years, 1 month(s), 8 day(s)</v>
      </c>
      <c r="J532" s="240">
        <v>33319</v>
      </c>
      <c r="K532" s="239" t="str">
        <f t="shared" si="19"/>
        <v>7 years, 1 month(s), 12 day(s)</v>
      </c>
      <c r="L532" s="240">
        <v>43542</v>
      </c>
      <c r="M532" s="241"/>
      <c r="N532" s="241"/>
      <c r="O532" s="193" t="s">
        <v>479</v>
      </c>
      <c r="P532" s="245" t="s">
        <v>2848</v>
      </c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25.5" customHeight="1">
      <c r="A533" s="190">
        <v>525</v>
      </c>
      <c r="B533" s="190" t="s">
        <v>40</v>
      </c>
      <c r="C533" s="190" t="s">
        <v>3123</v>
      </c>
      <c r="D533" s="190">
        <v>7</v>
      </c>
      <c r="E533" s="237" t="s">
        <v>1695</v>
      </c>
      <c r="F533" s="237" t="s">
        <v>835</v>
      </c>
      <c r="G533" s="237" t="s">
        <v>834</v>
      </c>
      <c r="H533" s="238"/>
      <c r="I533" s="239" t="str">
        <f t="shared" si="20"/>
        <v>31 years, 4 month(s), 28 day(s)</v>
      </c>
      <c r="J533" s="240">
        <v>34670</v>
      </c>
      <c r="K533" s="239" t="str">
        <f t="shared" si="19"/>
        <v>1 years, 1 month(s), 13 day(s)</v>
      </c>
      <c r="L533" s="240">
        <v>45733</v>
      </c>
      <c r="M533" s="241"/>
      <c r="N533" s="241"/>
      <c r="O533" s="193" t="s">
        <v>801</v>
      </c>
      <c r="P533" s="237" t="s">
        <v>3342</v>
      </c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25.5" customHeight="1">
      <c r="A534" s="190">
        <v>526</v>
      </c>
      <c r="B534" s="190" t="s">
        <v>40</v>
      </c>
      <c r="C534" s="190" t="s">
        <v>3123</v>
      </c>
      <c r="D534" s="190">
        <v>7</v>
      </c>
      <c r="E534" s="237" t="s">
        <v>1695</v>
      </c>
      <c r="F534" s="237" t="s">
        <v>1696</v>
      </c>
      <c r="G534" s="237" t="s">
        <v>1697</v>
      </c>
      <c r="H534" s="238"/>
      <c r="I534" s="239" t="str">
        <f t="shared" si="20"/>
        <v>35 years, 1 month(s), 19 day(s)</v>
      </c>
      <c r="J534" s="240">
        <v>33308</v>
      </c>
      <c r="K534" s="239" t="str">
        <f t="shared" si="19"/>
        <v>3 years, 2 month(s), 16 day(s)</v>
      </c>
      <c r="L534" s="240">
        <v>44971</v>
      </c>
      <c r="M534" s="241"/>
      <c r="N534" s="241"/>
      <c r="O534" s="193" t="s">
        <v>1698</v>
      </c>
      <c r="P534" s="242" t="s">
        <v>2714</v>
      </c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25.5" customHeight="1">
      <c r="A535" s="190">
        <v>527</v>
      </c>
      <c r="B535" s="190" t="s">
        <v>40</v>
      </c>
      <c r="C535" s="190" t="s">
        <v>3123</v>
      </c>
      <c r="D535" s="190">
        <v>15</v>
      </c>
      <c r="E535" s="237" t="s">
        <v>1363</v>
      </c>
      <c r="F535" s="237" t="s">
        <v>1364</v>
      </c>
      <c r="G535" s="237" t="s">
        <v>1365</v>
      </c>
      <c r="H535" s="238"/>
      <c r="I535" s="239" t="str">
        <f t="shared" si="20"/>
        <v>61 years, 4 month(s), 21 day(s)</v>
      </c>
      <c r="J535" s="240">
        <v>23720</v>
      </c>
      <c r="K535" s="239" t="str">
        <f t="shared" si="19"/>
        <v>37 years, 0 month(s), 29 day(s)</v>
      </c>
      <c r="L535" s="240">
        <v>32599</v>
      </c>
      <c r="M535" s="241"/>
      <c r="N535" s="241"/>
      <c r="O535" s="193" t="s">
        <v>1330</v>
      </c>
      <c r="P535" s="242" t="s">
        <v>2786</v>
      </c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25.5" customHeight="1">
      <c r="A536" s="190">
        <v>528</v>
      </c>
      <c r="B536" s="190" t="s">
        <v>366</v>
      </c>
      <c r="C536" s="190" t="s">
        <v>3123</v>
      </c>
      <c r="D536" s="190">
        <v>207843</v>
      </c>
      <c r="E536" s="237" t="s">
        <v>1128</v>
      </c>
      <c r="F536" s="237" t="s">
        <v>1156</v>
      </c>
      <c r="G536" s="237" t="s">
        <v>906</v>
      </c>
      <c r="H536" s="238"/>
      <c r="I536" s="239" t="str">
        <f t="shared" si="20"/>
        <v>42 years, 7 month(s), 27 day(s)</v>
      </c>
      <c r="J536" s="240">
        <v>30562</v>
      </c>
      <c r="K536" s="239" t="str">
        <f t="shared" si="19"/>
        <v>16 years, 2 month(s), 29 day(s)</v>
      </c>
      <c r="L536" s="240">
        <v>40210</v>
      </c>
      <c r="M536" s="241"/>
      <c r="N536" s="241"/>
      <c r="O536" s="193" t="s">
        <v>1065</v>
      </c>
      <c r="P536" s="242" t="s">
        <v>2854</v>
      </c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25.5" customHeight="1">
      <c r="A537" s="190">
        <v>529</v>
      </c>
      <c r="B537" s="190" t="s">
        <v>96</v>
      </c>
      <c r="C537" s="190" t="s">
        <v>3123</v>
      </c>
      <c r="D537" s="190" t="s">
        <v>3343</v>
      </c>
      <c r="E537" s="237" t="s">
        <v>206</v>
      </c>
      <c r="F537" s="237" t="s">
        <v>207</v>
      </c>
      <c r="G537" s="237" t="s">
        <v>208</v>
      </c>
      <c r="H537" s="238"/>
      <c r="I537" s="239" t="str">
        <f t="shared" si="20"/>
        <v>34 years, 0 month(s), 28 day(s)</v>
      </c>
      <c r="J537" s="240">
        <v>33696</v>
      </c>
      <c r="K537" s="239" t="str">
        <f t="shared" si="19"/>
        <v>7 years, 1 month(s), 12 day(s)</v>
      </c>
      <c r="L537" s="240">
        <v>43542</v>
      </c>
      <c r="M537" s="241"/>
      <c r="N537" s="241"/>
      <c r="O537" s="193" t="s">
        <v>205</v>
      </c>
      <c r="P537" s="242" t="s">
        <v>2848</v>
      </c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25.5" customHeight="1">
      <c r="A538" s="190">
        <v>530</v>
      </c>
      <c r="B538" s="190" t="s">
        <v>96</v>
      </c>
      <c r="C538" s="190" t="s">
        <v>3123</v>
      </c>
      <c r="D538" s="190" t="s">
        <v>3344</v>
      </c>
      <c r="E538" s="237" t="s">
        <v>2236</v>
      </c>
      <c r="F538" s="237" t="s">
        <v>2237</v>
      </c>
      <c r="G538" s="237" t="s">
        <v>934</v>
      </c>
      <c r="H538" s="238"/>
      <c r="I538" s="239" t="str">
        <f t="shared" si="20"/>
        <v>39 years, 9 month(s), 21 day(s)</v>
      </c>
      <c r="J538" s="240">
        <v>31602</v>
      </c>
      <c r="K538" s="239" t="str">
        <f t="shared" si="19"/>
        <v>4 years, 7 month(s), 14 day(s)</v>
      </c>
      <c r="L538" s="240">
        <v>44455</v>
      </c>
      <c r="M538" s="240">
        <v>40513</v>
      </c>
      <c r="N538" s="241"/>
      <c r="O538" s="193" t="s">
        <v>2229</v>
      </c>
      <c r="P538" s="242" t="s">
        <v>2848</v>
      </c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25.5" customHeight="1">
      <c r="A539" s="190">
        <v>531</v>
      </c>
      <c r="B539" s="190" t="s">
        <v>246</v>
      </c>
      <c r="C539" s="190" t="s">
        <v>3123</v>
      </c>
      <c r="D539" s="190" t="s">
        <v>3345</v>
      </c>
      <c r="E539" s="237" t="s">
        <v>2463</v>
      </c>
      <c r="F539" s="237" t="s">
        <v>285</v>
      </c>
      <c r="G539" s="237" t="s">
        <v>2464</v>
      </c>
      <c r="H539" s="238"/>
      <c r="I539" s="239" t="str">
        <f t="shared" si="20"/>
        <v>37 years, 0 month(s), 11 day(s)</v>
      </c>
      <c r="J539" s="240">
        <v>32617</v>
      </c>
      <c r="K539" s="239" t="str">
        <f t="shared" si="19"/>
        <v>6 years, 6 month(s), 9 day(s)</v>
      </c>
      <c r="L539" s="240">
        <v>43759</v>
      </c>
      <c r="M539" s="241"/>
      <c r="N539" s="241"/>
      <c r="O539" s="193" t="s">
        <v>2458</v>
      </c>
      <c r="P539" s="242" t="s">
        <v>2848</v>
      </c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25.5" customHeight="1">
      <c r="A540" s="190">
        <v>532</v>
      </c>
      <c r="B540" s="190" t="s">
        <v>160</v>
      </c>
      <c r="C540" s="190" t="s">
        <v>3123</v>
      </c>
      <c r="D540" s="190" t="s">
        <v>3346</v>
      </c>
      <c r="E540" s="237" t="s">
        <v>807</v>
      </c>
      <c r="F540" s="237" t="s">
        <v>808</v>
      </c>
      <c r="G540" s="237" t="s">
        <v>809</v>
      </c>
      <c r="H540" s="238"/>
      <c r="I540" s="239" t="str">
        <f t="shared" si="20"/>
        <v>55 years, 1 month(s), 1 day(s)</v>
      </c>
      <c r="J540" s="240">
        <v>26021</v>
      </c>
      <c r="K540" s="239" t="str">
        <f t="shared" si="19"/>
        <v>25 years, 5 month(s), 3 day(s)</v>
      </c>
      <c r="L540" s="240">
        <v>36857</v>
      </c>
      <c r="M540" s="241"/>
      <c r="N540" s="241"/>
      <c r="O540" s="193" t="s">
        <v>801</v>
      </c>
      <c r="P540" s="242" t="s">
        <v>2904</v>
      </c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25.5" customHeight="1">
      <c r="A541" s="190">
        <v>533</v>
      </c>
      <c r="B541" s="190" t="s">
        <v>24</v>
      </c>
      <c r="C541" s="190" t="s">
        <v>3123</v>
      </c>
      <c r="D541" s="190">
        <v>311643</v>
      </c>
      <c r="E541" s="237" t="s">
        <v>2537</v>
      </c>
      <c r="F541" s="237" t="s">
        <v>2374</v>
      </c>
      <c r="G541" s="237" t="s">
        <v>2538</v>
      </c>
      <c r="H541" s="238"/>
      <c r="I541" s="239" t="str">
        <f t="shared" si="20"/>
        <v>33 years, 5 month(s), 28 day(s)</v>
      </c>
      <c r="J541" s="240">
        <v>33910</v>
      </c>
      <c r="K541" s="239" t="str">
        <f t="shared" si="19"/>
        <v>8 years, 7 month(s), 14 day(s)</v>
      </c>
      <c r="L541" s="240">
        <v>42994</v>
      </c>
      <c r="M541" s="241"/>
      <c r="N541" s="241"/>
      <c r="O541" s="193" t="s">
        <v>2525</v>
      </c>
      <c r="P541" s="242" t="s">
        <v>2849</v>
      </c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25.5" customHeight="1">
      <c r="A542" s="190">
        <v>534</v>
      </c>
      <c r="B542" s="190" t="s">
        <v>96</v>
      </c>
      <c r="C542" s="190" t="s">
        <v>3123</v>
      </c>
      <c r="D542" s="190" t="s">
        <v>3347</v>
      </c>
      <c r="E542" s="237" t="s">
        <v>1658</v>
      </c>
      <c r="F542" s="237" t="s">
        <v>2177</v>
      </c>
      <c r="G542" s="237" t="s">
        <v>2178</v>
      </c>
      <c r="H542" s="238"/>
      <c r="I542" s="239" t="str">
        <f t="shared" si="20"/>
        <v>33 years, 4 month(s), 25 day(s)</v>
      </c>
      <c r="J542" s="240">
        <v>33943</v>
      </c>
      <c r="K542" s="239" t="str">
        <f t="shared" si="19"/>
        <v>9 years, 7 month(s), 14 day(s)</v>
      </c>
      <c r="L542" s="240">
        <v>42629</v>
      </c>
      <c r="M542" s="241"/>
      <c r="N542" s="241"/>
      <c r="O542" s="193" t="s">
        <v>2173</v>
      </c>
      <c r="P542" s="242" t="s">
        <v>2999</v>
      </c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25.5" customHeight="1">
      <c r="A543" s="190">
        <v>535</v>
      </c>
      <c r="B543" s="190" t="s">
        <v>366</v>
      </c>
      <c r="C543" s="190" t="s">
        <v>3123</v>
      </c>
      <c r="D543" s="190">
        <v>196804</v>
      </c>
      <c r="E543" s="237" t="s">
        <v>2064</v>
      </c>
      <c r="F543" s="237" t="s">
        <v>2065</v>
      </c>
      <c r="G543" s="237" t="s">
        <v>2066</v>
      </c>
      <c r="H543" s="238"/>
      <c r="I543" s="239" t="str">
        <f t="shared" si="20"/>
        <v>46 years, 4 month(s), 7 day(s)</v>
      </c>
      <c r="J543" s="240">
        <v>29212</v>
      </c>
      <c r="K543" s="239" t="str">
        <f t="shared" si="19"/>
        <v>16 years, 9 month(s), 29 day(s)</v>
      </c>
      <c r="L543" s="240">
        <v>39995</v>
      </c>
      <c r="M543" s="241"/>
      <c r="N543" s="241"/>
      <c r="O543" s="193" t="s">
        <v>2051</v>
      </c>
      <c r="P543" s="242" t="s">
        <v>2849</v>
      </c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25.5" customHeight="1">
      <c r="A544" s="190">
        <v>536</v>
      </c>
      <c r="B544" s="190" t="s">
        <v>253</v>
      </c>
      <c r="C544" s="190" t="s">
        <v>3123</v>
      </c>
      <c r="D544" s="190" t="s">
        <v>3348</v>
      </c>
      <c r="E544" s="237" t="s">
        <v>399</v>
      </c>
      <c r="F544" s="237" t="s">
        <v>400</v>
      </c>
      <c r="G544" s="237" t="s">
        <v>401</v>
      </c>
      <c r="H544" s="238"/>
      <c r="I544" s="239" t="str">
        <f t="shared" si="20"/>
        <v>44 years, 3 month(s), 24 day(s)</v>
      </c>
      <c r="J544" s="240">
        <v>29957</v>
      </c>
      <c r="K544" s="239" t="str">
        <f t="shared" si="19"/>
        <v>8 years, 2 month(s), 14 day(s)</v>
      </c>
      <c r="L544" s="240">
        <v>43147</v>
      </c>
      <c r="M544" s="240">
        <v>39295</v>
      </c>
      <c r="N544" s="241"/>
      <c r="O544" s="193" t="s">
        <v>398</v>
      </c>
      <c r="P544" s="242" t="s">
        <v>2848</v>
      </c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25.5" customHeight="1">
      <c r="A545" s="190">
        <v>537</v>
      </c>
      <c r="B545" s="190" t="s">
        <v>96</v>
      </c>
      <c r="C545" s="190" t="s">
        <v>3123</v>
      </c>
      <c r="D545" s="190" t="s">
        <v>3349</v>
      </c>
      <c r="E545" s="237" t="s">
        <v>838</v>
      </c>
      <c r="F545" s="237" t="s">
        <v>839</v>
      </c>
      <c r="G545" s="237" t="s">
        <v>840</v>
      </c>
      <c r="H545" s="238"/>
      <c r="I545" s="239" t="str">
        <f t="shared" si="20"/>
        <v>33 years, 5 month(s), 15 day(s)</v>
      </c>
      <c r="J545" s="240">
        <v>33923</v>
      </c>
      <c r="K545" s="239" t="str">
        <f t="shared" si="19"/>
        <v>4 years, 5 month(s), 26 day(s)</v>
      </c>
      <c r="L545" s="240">
        <v>44504</v>
      </c>
      <c r="M545" s="240">
        <v>43759</v>
      </c>
      <c r="N545" s="241"/>
      <c r="O545" s="193" t="s">
        <v>837</v>
      </c>
      <c r="P545" s="242" t="s">
        <v>2930</v>
      </c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25.5" customHeight="1">
      <c r="A546" s="190">
        <v>538</v>
      </c>
      <c r="B546" s="190" t="s">
        <v>28</v>
      </c>
      <c r="C546" s="190" t="s">
        <v>3123</v>
      </c>
      <c r="D546" s="190">
        <v>376424</v>
      </c>
      <c r="E546" s="237" t="s">
        <v>2319</v>
      </c>
      <c r="F546" s="237" t="s">
        <v>2320</v>
      </c>
      <c r="G546" s="237" t="s">
        <v>2321</v>
      </c>
      <c r="H546" s="238"/>
      <c r="I546" s="239" t="str">
        <f t="shared" si="20"/>
        <v>32 years, 8 month(s), 21 day(s)</v>
      </c>
      <c r="J546" s="240">
        <v>34190</v>
      </c>
      <c r="K546" s="239" t="str">
        <f t="shared" si="19"/>
        <v>3 years, 4 month(s), 3 day(s)</v>
      </c>
      <c r="L546" s="240">
        <v>44922</v>
      </c>
      <c r="M546" s="241"/>
      <c r="N546" s="241"/>
      <c r="O546" s="193" t="s">
        <v>2306</v>
      </c>
      <c r="P546" s="242" t="s">
        <v>2849</v>
      </c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25.5" customHeight="1">
      <c r="A547" s="190">
        <v>539</v>
      </c>
      <c r="B547" s="190" t="s">
        <v>366</v>
      </c>
      <c r="C547" s="190" t="s">
        <v>3123</v>
      </c>
      <c r="D547" s="190">
        <v>196802</v>
      </c>
      <c r="E547" s="237" t="s">
        <v>1050</v>
      </c>
      <c r="F547" s="237" t="s">
        <v>1051</v>
      </c>
      <c r="G547" s="237" t="s">
        <v>1052</v>
      </c>
      <c r="H547" s="238"/>
      <c r="I547" s="239" t="str">
        <f t="shared" si="20"/>
        <v>46 years, 7 month(s), 26 day(s)</v>
      </c>
      <c r="J547" s="240">
        <v>29102</v>
      </c>
      <c r="K547" s="239" t="str">
        <f t="shared" si="19"/>
        <v>16 years, 9 month(s), 29 day(s)</v>
      </c>
      <c r="L547" s="240">
        <v>39995</v>
      </c>
      <c r="M547" s="241"/>
      <c r="N547" s="241"/>
      <c r="O547" s="193" t="s">
        <v>2051</v>
      </c>
      <c r="P547" s="242" t="s">
        <v>3350</v>
      </c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25.5" customHeight="1">
      <c r="A548" s="190">
        <v>540</v>
      </c>
      <c r="B548" s="190" t="s">
        <v>40</v>
      </c>
      <c r="C548" s="190" t="s">
        <v>3123</v>
      </c>
      <c r="D548" s="190">
        <v>15</v>
      </c>
      <c r="E548" s="237" t="s">
        <v>1470</v>
      </c>
      <c r="F548" s="237" t="s">
        <v>1471</v>
      </c>
      <c r="G548" s="237" t="s">
        <v>1472</v>
      </c>
      <c r="H548" s="238"/>
      <c r="I548" s="239" t="str">
        <f t="shared" si="20"/>
        <v>45 years, 9 month(s), 24 day(s)</v>
      </c>
      <c r="J548" s="240">
        <v>29408</v>
      </c>
      <c r="K548" s="239" t="str">
        <f t="shared" si="19"/>
        <v>22 years, 2 month(s), 28 day(s)</v>
      </c>
      <c r="L548" s="240">
        <v>38019</v>
      </c>
      <c r="M548" s="241"/>
      <c r="N548" s="241"/>
      <c r="O548" s="193" t="s">
        <v>1451</v>
      </c>
      <c r="P548" s="245" t="s">
        <v>2787</v>
      </c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25.5" customHeight="1">
      <c r="A549" s="190">
        <v>541</v>
      </c>
      <c r="B549" s="190" t="s">
        <v>644</v>
      </c>
      <c r="C549" s="190" t="s">
        <v>3123</v>
      </c>
      <c r="D549" s="190">
        <v>207861</v>
      </c>
      <c r="E549" s="237" t="s">
        <v>1163</v>
      </c>
      <c r="F549" s="237" t="s">
        <v>690</v>
      </c>
      <c r="G549" s="237" t="s">
        <v>1164</v>
      </c>
      <c r="H549" s="238"/>
      <c r="I549" s="239" t="str">
        <f t="shared" si="20"/>
        <v>45 years, 8 month(s), 28 day(s)</v>
      </c>
      <c r="J549" s="240">
        <v>29435</v>
      </c>
      <c r="K549" s="239" t="str">
        <f t="shared" si="19"/>
        <v>15 years, 4 month(s), 29 day(s)</v>
      </c>
      <c r="L549" s="240">
        <v>40513</v>
      </c>
      <c r="M549" s="241"/>
      <c r="N549" s="241"/>
      <c r="O549" s="193" t="s">
        <v>1065</v>
      </c>
      <c r="P549" s="242" t="s">
        <v>2854</v>
      </c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25.5" customHeight="1">
      <c r="A550" s="190">
        <v>542</v>
      </c>
      <c r="B550" s="190" t="s">
        <v>40</v>
      </c>
      <c r="C550" s="190" t="s">
        <v>3123</v>
      </c>
      <c r="D550" s="190">
        <v>18</v>
      </c>
      <c r="E550" s="237" t="s">
        <v>387</v>
      </c>
      <c r="F550" s="237" t="s">
        <v>388</v>
      </c>
      <c r="G550" s="237" t="s">
        <v>389</v>
      </c>
      <c r="H550" s="238"/>
      <c r="I550" s="239" t="str">
        <f t="shared" si="20"/>
        <v>42 years, 10 month(s), 24 day(s)</v>
      </c>
      <c r="J550" s="240">
        <v>30473</v>
      </c>
      <c r="K550" s="239" t="str">
        <f t="shared" si="19"/>
        <v>14 years, 6 month(s), 16 day(s)</v>
      </c>
      <c r="L550" s="240">
        <v>40830</v>
      </c>
      <c r="M550" s="241"/>
      <c r="N550" s="241"/>
      <c r="O550" s="193" t="s">
        <v>3004</v>
      </c>
      <c r="P550" s="242" t="s">
        <v>2788</v>
      </c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25.5" customHeight="1">
      <c r="A551" s="190">
        <v>543</v>
      </c>
      <c r="B551" s="190" t="s">
        <v>366</v>
      </c>
      <c r="C551" s="190" t="s">
        <v>3123</v>
      </c>
      <c r="D551" s="190">
        <v>207862</v>
      </c>
      <c r="E551" s="237" t="s">
        <v>367</v>
      </c>
      <c r="F551" s="237" t="s">
        <v>368</v>
      </c>
      <c r="G551" s="237" t="s">
        <v>369</v>
      </c>
      <c r="H551" s="238"/>
      <c r="I551" s="239" t="str">
        <f t="shared" si="20"/>
        <v>41 years, 3 month(s), 19 day(s)</v>
      </c>
      <c r="J551" s="240">
        <v>31058</v>
      </c>
      <c r="K551" s="239" t="str">
        <f t="shared" si="19"/>
        <v>15 years, 4 month(s), 29 day(s)</v>
      </c>
      <c r="L551" s="240">
        <v>40513</v>
      </c>
      <c r="M551" s="241"/>
      <c r="N551" s="241"/>
      <c r="O551" s="193" t="s">
        <v>801</v>
      </c>
      <c r="P551" s="242" t="s">
        <v>2802</v>
      </c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25.5" customHeight="1">
      <c r="A552" s="190">
        <v>544</v>
      </c>
      <c r="B552" s="190" t="s">
        <v>96</v>
      </c>
      <c r="C552" s="190" t="s">
        <v>3123</v>
      </c>
      <c r="D552" s="190" t="s">
        <v>3351</v>
      </c>
      <c r="E552" s="237" t="s">
        <v>720</v>
      </c>
      <c r="F552" s="237" t="s">
        <v>721</v>
      </c>
      <c r="G552" s="237" t="s">
        <v>722</v>
      </c>
      <c r="H552" s="238"/>
      <c r="I552" s="239" t="str">
        <f t="shared" si="20"/>
        <v>46 years, 7 month(s), 17 day(s)</v>
      </c>
      <c r="J552" s="240">
        <v>29111</v>
      </c>
      <c r="K552" s="239" t="str">
        <f t="shared" si="19"/>
        <v>7 years, 1 month(s), 12 day(s)</v>
      </c>
      <c r="L552" s="240">
        <v>43542</v>
      </c>
      <c r="M552" s="241"/>
      <c r="N552" s="240" t="s">
        <v>3352</v>
      </c>
      <c r="O552" s="193" t="s">
        <v>719</v>
      </c>
      <c r="P552" s="242" t="s">
        <v>2848</v>
      </c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25.5" customHeight="1">
      <c r="A553" s="190">
        <v>545</v>
      </c>
      <c r="B553" s="190" t="s">
        <v>20</v>
      </c>
      <c r="C553" s="190" t="s">
        <v>3123</v>
      </c>
      <c r="D553" s="190" t="s">
        <v>3353</v>
      </c>
      <c r="E553" s="237" t="s">
        <v>2811</v>
      </c>
      <c r="F553" s="237" t="s">
        <v>2069</v>
      </c>
      <c r="G553" s="237" t="s">
        <v>2593</v>
      </c>
      <c r="H553" s="238"/>
      <c r="I553" s="239" t="str">
        <f t="shared" si="20"/>
        <v>54 years, 0 month(s), 7 day(s)</v>
      </c>
      <c r="J553" s="240">
        <v>26412</v>
      </c>
      <c r="K553" s="239" t="str">
        <f t="shared" si="19"/>
        <v>30 years, 9 month(s), 29 day(s)</v>
      </c>
      <c r="L553" s="240">
        <v>34881</v>
      </c>
      <c r="M553" s="241"/>
      <c r="N553" s="241"/>
      <c r="O553" s="193" t="s">
        <v>56</v>
      </c>
      <c r="P553" s="242" t="s">
        <v>2812</v>
      </c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25.5" customHeight="1">
      <c r="A554" s="190">
        <v>546</v>
      </c>
      <c r="B554" s="190" t="s">
        <v>28</v>
      </c>
      <c r="C554" s="190" t="s">
        <v>3123</v>
      </c>
      <c r="D554" s="190">
        <v>375626</v>
      </c>
      <c r="E554" s="237" t="s">
        <v>2381</v>
      </c>
      <c r="F554" s="237" t="s">
        <v>2382</v>
      </c>
      <c r="G554" s="237" t="s">
        <v>2383</v>
      </c>
      <c r="H554" s="238"/>
      <c r="I554" s="239" t="str">
        <f t="shared" si="20"/>
        <v>31 years, 2 month(s), 8 day(s)</v>
      </c>
      <c r="J554" s="240">
        <v>34752</v>
      </c>
      <c r="K554" s="239" t="str">
        <f t="shared" si="19"/>
        <v>3 years, 5 month(s), 16 day(s)</v>
      </c>
      <c r="L554" s="240">
        <v>44879</v>
      </c>
      <c r="M554" s="241"/>
      <c r="N554" s="241"/>
      <c r="O554" s="193" t="s">
        <v>2348</v>
      </c>
      <c r="P554" s="242" t="s">
        <v>2849</v>
      </c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25.5" customHeight="1">
      <c r="A555" s="190">
        <v>547</v>
      </c>
      <c r="B555" s="190" t="s">
        <v>28</v>
      </c>
      <c r="C555" s="190" t="s">
        <v>3123</v>
      </c>
      <c r="D555" s="190">
        <v>375990</v>
      </c>
      <c r="E555" s="237" t="s">
        <v>341</v>
      </c>
      <c r="F555" s="237" t="s">
        <v>342</v>
      </c>
      <c r="G555" s="237" t="s">
        <v>343</v>
      </c>
      <c r="H555" s="238"/>
      <c r="I555" s="239" t="str">
        <f t="shared" si="20"/>
        <v>31 years, 11 month(s), 4 day(s)</v>
      </c>
      <c r="J555" s="240">
        <v>34480</v>
      </c>
      <c r="K555" s="239" t="str">
        <f t="shared" si="19"/>
        <v>3 years, 4 month(s), 25 day(s)</v>
      </c>
      <c r="L555" s="240">
        <v>44900</v>
      </c>
      <c r="M555" s="241"/>
      <c r="N555" s="241"/>
      <c r="O555" s="193" t="s">
        <v>301</v>
      </c>
      <c r="P555" s="242" t="s">
        <v>2849</v>
      </c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25.5" customHeight="1">
      <c r="A556" s="190">
        <v>548</v>
      </c>
      <c r="B556" s="190" t="s">
        <v>28</v>
      </c>
      <c r="C556" s="190" t="s">
        <v>3123</v>
      </c>
      <c r="D556" s="190">
        <v>376425</v>
      </c>
      <c r="E556" s="237" t="s">
        <v>857</v>
      </c>
      <c r="F556" s="237" t="s">
        <v>858</v>
      </c>
      <c r="G556" s="237" t="s">
        <v>401</v>
      </c>
      <c r="H556" s="238"/>
      <c r="I556" s="239" t="str">
        <f t="shared" si="20"/>
        <v>27 years, 5 month(s), 15 day(s)</v>
      </c>
      <c r="J556" s="240">
        <v>36114</v>
      </c>
      <c r="K556" s="239" t="str">
        <f t="shared" si="19"/>
        <v>3 years, 4 month(s), 3 day(s)</v>
      </c>
      <c r="L556" s="240">
        <v>44922</v>
      </c>
      <c r="M556" s="241"/>
      <c r="N556" s="241"/>
      <c r="O556" s="193" t="s">
        <v>837</v>
      </c>
      <c r="P556" s="242" t="s">
        <v>2934</v>
      </c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25.5" customHeight="1">
      <c r="A557" s="190">
        <v>549</v>
      </c>
      <c r="B557" s="190" t="s">
        <v>253</v>
      </c>
      <c r="C557" s="190" t="s">
        <v>3123</v>
      </c>
      <c r="D557" s="190" t="s">
        <v>3354</v>
      </c>
      <c r="E557" s="237" t="s">
        <v>1132</v>
      </c>
      <c r="F557" s="237" t="s">
        <v>1133</v>
      </c>
      <c r="G557" s="237" t="s">
        <v>1134</v>
      </c>
      <c r="H557" s="238"/>
      <c r="I557" s="239" t="str">
        <f t="shared" si="20"/>
        <v>45 years, 0 month(s), 23 day(s)</v>
      </c>
      <c r="J557" s="240">
        <v>29683</v>
      </c>
      <c r="K557" s="239" t="str">
        <f t="shared" si="19"/>
        <v>7 years, 1 month(s), 12 day(s)</v>
      </c>
      <c r="L557" s="240">
        <v>43542</v>
      </c>
      <c r="M557" s="240">
        <v>37757</v>
      </c>
      <c r="N557" s="241"/>
      <c r="O557" s="193" t="s">
        <v>1065</v>
      </c>
      <c r="P557" s="242" t="s">
        <v>2985</v>
      </c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25.5" customHeight="1">
      <c r="A558" s="190">
        <v>550</v>
      </c>
      <c r="B558" s="190" t="s">
        <v>40</v>
      </c>
      <c r="C558" s="190" t="s">
        <v>3123</v>
      </c>
      <c r="D558" s="190">
        <v>6</v>
      </c>
      <c r="E558" s="237" t="s">
        <v>3081</v>
      </c>
      <c r="F558" s="237" t="s">
        <v>3082</v>
      </c>
      <c r="G558" s="237" t="s">
        <v>3083</v>
      </c>
      <c r="H558" s="238"/>
      <c r="I558" s="239" t="str">
        <f t="shared" si="20"/>
        <v>27 years, 5 month(s), 19 day(s)</v>
      </c>
      <c r="J558" s="240">
        <v>36110</v>
      </c>
      <c r="K558" s="239" t="str">
        <f t="shared" si="19"/>
        <v>0 years, 1 month(s), 5 day(s)</v>
      </c>
      <c r="L558" s="240">
        <v>46106</v>
      </c>
      <c r="M558" s="241"/>
      <c r="N558" s="241"/>
      <c r="O558" s="193" t="s">
        <v>1723</v>
      </c>
      <c r="P558" s="242" t="s">
        <v>2974</v>
      </c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25.5" customHeight="1">
      <c r="A559" s="190">
        <v>551</v>
      </c>
      <c r="B559" s="190" t="s">
        <v>24</v>
      </c>
      <c r="C559" s="190" t="s">
        <v>3123</v>
      </c>
      <c r="D559" s="190">
        <v>311645</v>
      </c>
      <c r="E559" s="237" t="s">
        <v>976</v>
      </c>
      <c r="F559" s="237" t="s">
        <v>977</v>
      </c>
      <c r="G559" s="237" t="s">
        <v>242</v>
      </c>
      <c r="H559" s="238"/>
      <c r="I559" s="239" t="str">
        <f t="shared" si="20"/>
        <v>34 years, 9 month(s), 14 day(s)</v>
      </c>
      <c r="J559" s="240">
        <v>33435</v>
      </c>
      <c r="K559" s="239" t="str">
        <f t="shared" si="19"/>
        <v>8 years, 7 month(s), 14 day(s)</v>
      </c>
      <c r="L559" s="240">
        <v>42994</v>
      </c>
      <c r="M559" s="241"/>
      <c r="N559" s="241"/>
      <c r="O559" s="193" t="s">
        <v>965</v>
      </c>
      <c r="P559" s="242" t="s">
        <v>2818</v>
      </c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25.5" customHeight="1">
      <c r="A560" s="190">
        <v>552</v>
      </c>
      <c r="B560" s="190" t="s">
        <v>28</v>
      </c>
      <c r="C560" s="190" t="s">
        <v>3123</v>
      </c>
      <c r="D560" s="190">
        <v>375991</v>
      </c>
      <c r="E560" s="237" t="s">
        <v>423</v>
      </c>
      <c r="F560" s="237" t="s">
        <v>1263</v>
      </c>
      <c r="G560" s="237" t="s">
        <v>1264</v>
      </c>
      <c r="H560" s="238"/>
      <c r="I560" s="239" t="str">
        <f t="shared" si="20"/>
        <v>31 years, 4 month(s), 12 day(s)</v>
      </c>
      <c r="J560" s="240">
        <v>34686</v>
      </c>
      <c r="K560" s="239" t="str">
        <f t="shared" si="19"/>
        <v>3 years, 4 month(s), 25 day(s)</v>
      </c>
      <c r="L560" s="240">
        <v>44900</v>
      </c>
      <c r="M560" s="241"/>
      <c r="N560" s="241"/>
      <c r="O560" s="193" t="s">
        <v>1229</v>
      </c>
      <c r="P560" s="242" t="s">
        <v>2987</v>
      </c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25.5" customHeight="1">
      <c r="A561" s="190">
        <v>553</v>
      </c>
      <c r="B561" s="190" t="s">
        <v>40</v>
      </c>
      <c r="C561" s="190" t="s">
        <v>3123</v>
      </c>
      <c r="D561" s="190">
        <v>11</v>
      </c>
      <c r="E561" s="237" t="s">
        <v>423</v>
      </c>
      <c r="F561" s="237" t="s">
        <v>1280</v>
      </c>
      <c r="G561" s="237" t="s">
        <v>1281</v>
      </c>
      <c r="H561" s="238"/>
      <c r="I561" s="239" t="str">
        <f t="shared" si="20"/>
        <v>44 years, 8 month(s), 16 day(s)</v>
      </c>
      <c r="J561" s="240">
        <v>29812</v>
      </c>
      <c r="K561" s="239" t="str">
        <f t="shared" si="19"/>
        <v>14 years, 6 month(s), 3 day(s)</v>
      </c>
      <c r="L561" s="240">
        <v>40843</v>
      </c>
      <c r="M561" s="241"/>
      <c r="N561" s="241"/>
      <c r="O561" s="193" t="s">
        <v>1229</v>
      </c>
      <c r="P561" s="242" t="s">
        <v>2789</v>
      </c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25.5" customHeight="1">
      <c r="A562" s="190">
        <v>554</v>
      </c>
      <c r="B562" s="190" t="s">
        <v>253</v>
      </c>
      <c r="C562" s="190" t="s">
        <v>3123</v>
      </c>
      <c r="D562" s="190" t="s">
        <v>3355</v>
      </c>
      <c r="E562" s="237" t="s">
        <v>211</v>
      </c>
      <c r="F562" s="237" t="s">
        <v>212</v>
      </c>
      <c r="G562" s="237" t="s">
        <v>213</v>
      </c>
      <c r="H562" s="238"/>
      <c r="I562" s="239" t="str">
        <f t="shared" si="20"/>
        <v>36 years, 6 month(s), 14 day(s)</v>
      </c>
      <c r="J562" s="240">
        <v>32797</v>
      </c>
      <c r="K562" s="239" t="str">
        <f t="shared" si="19"/>
        <v>7 years, 1 month(s), 12 day(s)</v>
      </c>
      <c r="L562" s="240">
        <v>43542</v>
      </c>
      <c r="M562" s="241"/>
      <c r="N562" s="241"/>
      <c r="O562" s="193" t="s">
        <v>205</v>
      </c>
      <c r="P562" s="242" t="s">
        <v>2848</v>
      </c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25.5" customHeight="1">
      <c r="A563" s="190">
        <v>555</v>
      </c>
      <c r="B563" s="190" t="s">
        <v>253</v>
      </c>
      <c r="C563" s="190" t="s">
        <v>3123</v>
      </c>
      <c r="D563" s="190" t="s">
        <v>3356</v>
      </c>
      <c r="E563" s="237" t="s">
        <v>211</v>
      </c>
      <c r="F563" s="237" t="s">
        <v>1086</v>
      </c>
      <c r="G563" s="237" t="s">
        <v>1099</v>
      </c>
      <c r="H563" s="238"/>
      <c r="I563" s="239" t="str">
        <f t="shared" si="20"/>
        <v>48 years, 3 month(s), 11 day(s)</v>
      </c>
      <c r="J563" s="240">
        <v>28509</v>
      </c>
      <c r="K563" s="239" t="str">
        <f t="shared" si="19"/>
        <v>8 years, 2 month(s), 14 day(s)</v>
      </c>
      <c r="L563" s="240">
        <v>43147</v>
      </c>
      <c r="M563" s="240">
        <v>38803</v>
      </c>
      <c r="N563" s="241"/>
      <c r="O563" s="193" t="s">
        <v>1065</v>
      </c>
      <c r="P563" s="242" t="s">
        <v>2985</v>
      </c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25.5" customHeight="1">
      <c r="A564" s="190">
        <v>556</v>
      </c>
      <c r="B564" s="190" t="s">
        <v>160</v>
      </c>
      <c r="C564" s="190" t="s">
        <v>3123</v>
      </c>
      <c r="D564" s="190" t="s">
        <v>3357</v>
      </c>
      <c r="E564" s="237" t="s">
        <v>1811</v>
      </c>
      <c r="F564" s="237" t="s">
        <v>400</v>
      </c>
      <c r="G564" s="237" t="s">
        <v>1812</v>
      </c>
      <c r="H564" s="238"/>
      <c r="I564" s="239" t="str">
        <f t="shared" si="20"/>
        <v>45 years, 3 month(s), 29 day(s)</v>
      </c>
      <c r="J564" s="240">
        <v>29587</v>
      </c>
      <c r="K564" s="239" t="str">
        <f t="shared" si="19"/>
        <v>21 years, 7 month(s), 24 day(s)</v>
      </c>
      <c r="L564" s="240">
        <v>38236</v>
      </c>
      <c r="M564" s="240">
        <v>37979</v>
      </c>
      <c r="N564" s="241"/>
      <c r="O564" s="193" t="s">
        <v>3358</v>
      </c>
      <c r="P564" s="242" t="s">
        <v>2814</v>
      </c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25.5" customHeight="1">
      <c r="A565" s="190">
        <v>557</v>
      </c>
      <c r="B565" s="190" t="s">
        <v>24</v>
      </c>
      <c r="C565" s="190" t="s">
        <v>3123</v>
      </c>
      <c r="D565" s="190">
        <v>286374</v>
      </c>
      <c r="E565" s="237" t="s">
        <v>1373</v>
      </c>
      <c r="F565" s="237" t="s">
        <v>1374</v>
      </c>
      <c r="G565" s="237" t="s">
        <v>1375</v>
      </c>
      <c r="H565" s="238"/>
      <c r="I565" s="239" t="str">
        <f t="shared" si="20"/>
        <v>35 years, 3 month(s), 1 day(s)</v>
      </c>
      <c r="J565" s="240">
        <v>33267</v>
      </c>
      <c r="K565" s="239" t="str">
        <f t="shared" si="19"/>
        <v>9 years, 9 month(s), 29 day(s)</v>
      </c>
      <c r="L565" s="240">
        <v>42552</v>
      </c>
      <c r="M565" s="241"/>
      <c r="N565" s="241"/>
      <c r="O565" s="244" t="s">
        <v>1368</v>
      </c>
      <c r="P565" s="245" t="s">
        <v>3007</v>
      </c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25.5" customHeight="1">
      <c r="A566" s="190">
        <v>558</v>
      </c>
      <c r="B566" s="190" t="s">
        <v>40</v>
      </c>
      <c r="C566" s="190" t="s">
        <v>3123</v>
      </c>
      <c r="D566" s="190">
        <v>7</v>
      </c>
      <c r="E566" s="237" t="s">
        <v>1701</v>
      </c>
      <c r="F566" s="237" t="s">
        <v>1702</v>
      </c>
      <c r="G566" s="237" t="s">
        <v>1703</v>
      </c>
      <c r="H566" s="238"/>
      <c r="I566" s="239" t="str">
        <f t="shared" si="20"/>
        <v>36 years, 5 month(s), 2 day(s)</v>
      </c>
      <c r="J566" s="240">
        <v>32840</v>
      </c>
      <c r="K566" s="239" t="str">
        <f t="shared" si="19"/>
        <v>2 years, 8 month(s), 13 day(s)</v>
      </c>
      <c r="L566" s="240">
        <v>45155</v>
      </c>
      <c r="M566" s="241"/>
      <c r="N566" s="241"/>
      <c r="O566" s="193" t="s">
        <v>1698</v>
      </c>
      <c r="P566" s="242" t="s">
        <v>2714</v>
      </c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25.5" customHeight="1">
      <c r="A567" s="190">
        <v>559</v>
      </c>
      <c r="B567" s="190" t="s">
        <v>28</v>
      </c>
      <c r="C567" s="190" t="s">
        <v>3123</v>
      </c>
      <c r="D567" s="190">
        <v>375627</v>
      </c>
      <c r="E567" s="237" t="s">
        <v>2551</v>
      </c>
      <c r="F567" s="237" t="s">
        <v>2552</v>
      </c>
      <c r="G567" s="237" t="s">
        <v>2553</v>
      </c>
      <c r="H567" s="238"/>
      <c r="I567" s="239" t="str">
        <f t="shared" si="20"/>
        <v>34 years, 1 month(s), 19 day(s)</v>
      </c>
      <c r="J567" s="240">
        <v>33674</v>
      </c>
      <c r="K567" s="239" t="str">
        <f t="shared" si="19"/>
        <v>3 years, 5 month(s), 16 day(s)</v>
      </c>
      <c r="L567" s="240">
        <v>44879</v>
      </c>
      <c r="M567" s="241"/>
      <c r="N567" s="241"/>
      <c r="O567" s="193" t="s">
        <v>2525</v>
      </c>
      <c r="P567" s="242" t="s">
        <v>2849</v>
      </c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25.5" customHeight="1">
      <c r="A568" s="190">
        <v>560</v>
      </c>
      <c r="B568" s="190" t="s">
        <v>96</v>
      </c>
      <c r="C568" s="190" t="s">
        <v>3123</v>
      </c>
      <c r="D568" s="190" t="s">
        <v>3359</v>
      </c>
      <c r="E568" s="237" t="s">
        <v>2426</v>
      </c>
      <c r="F568" s="237" t="s">
        <v>2427</v>
      </c>
      <c r="G568" s="237" t="s">
        <v>2428</v>
      </c>
      <c r="H568" s="238"/>
      <c r="I568" s="239" t="str">
        <f t="shared" si="20"/>
        <v>38 years, 2 month(s), 10 day(s)</v>
      </c>
      <c r="J568" s="240">
        <v>32193</v>
      </c>
      <c r="K568" s="239" t="str">
        <f t="shared" si="19"/>
        <v>4 years, 7 month(s), 14 day(s)</v>
      </c>
      <c r="L568" s="240">
        <v>44455</v>
      </c>
      <c r="M568" s="240">
        <v>41892</v>
      </c>
      <c r="N568" s="241"/>
      <c r="O568" s="193" t="s">
        <v>2420</v>
      </c>
      <c r="P568" s="242" t="s">
        <v>2848</v>
      </c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25.5" customHeight="1">
      <c r="A569" s="190">
        <v>561</v>
      </c>
      <c r="B569" s="190" t="s">
        <v>28</v>
      </c>
      <c r="C569" s="190" t="s">
        <v>3123</v>
      </c>
      <c r="D569" s="190" t="s">
        <v>3360</v>
      </c>
      <c r="E569" s="237" t="s">
        <v>228</v>
      </c>
      <c r="F569" s="237" t="s">
        <v>229</v>
      </c>
      <c r="G569" s="237" t="s">
        <v>230</v>
      </c>
      <c r="H569" s="238"/>
      <c r="I569" s="239" t="str">
        <f t="shared" si="20"/>
        <v>30 years, 8 month(s), 25 day(s)</v>
      </c>
      <c r="J569" s="240">
        <v>34916</v>
      </c>
      <c r="K569" s="239" t="str">
        <f t="shared" si="19"/>
        <v>3 years, 4 month(s), 25 day(s)</v>
      </c>
      <c r="L569" s="240">
        <v>44900</v>
      </c>
      <c r="M569" s="241"/>
      <c r="N569" s="241"/>
      <c r="O569" s="193" t="s">
        <v>227</v>
      </c>
      <c r="P569" s="242" t="s">
        <v>2849</v>
      </c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25.5" customHeight="1">
      <c r="A570" s="190">
        <v>562</v>
      </c>
      <c r="B570" s="190" t="s">
        <v>96</v>
      </c>
      <c r="C570" s="190" t="s">
        <v>3123</v>
      </c>
      <c r="D570" s="190" t="s">
        <v>3361</v>
      </c>
      <c r="E570" s="237" t="s">
        <v>2285</v>
      </c>
      <c r="F570" s="237" t="s">
        <v>2286</v>
      </c>
      <c r="G570" s="237" t="s">
        <v>2287</v>
      </c>
      <c r="H570" s="238"/>
      <c r="I570" s="239" t="str">
        <f t="shared" si="20"/>
        <v>48 years, 8 month(s), 18 day(s)</v>
      </c>
      <c r="J570" s="240">
        <v>28349</v>
      </c>
      <c r="K570" s="239" t="str">
        <f t="shared" si="19"/>
        <v>4 years, 7 month(s), 14 day(s)</v>
      </c>
      <c r="L570" s="240">
        <v>44455</v>
      </c>
      <c r="M570" s="241"/>
      <c r="N570" s="240">
        <v>42141</v>
      </c>
      <c r="O570" s="189" t="s">
        <v>2894</v>
      </c>
      <c r="P570" s="242" t="s">
        <v>2893</v>
      </c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25.5" customHeight="1">
      <c r="A571" s="190">
        <v>563</v>
      </c>
      <c r="B571" s="190" t="s">
        <v>366</v>
      </c>
      <c r="C571" s="190" t="s">
        <v>3123</v>
      </c>
      <c r="D571" s="190">
        <v>203706</v>
      </c>
      <c r="E571" s="237" t="s">
        <v>2119</v>
      </c>
      <c r="F571" s="237" t="s">
        <v>2120</v>
      </c>
      <c r="G571" s="237" t="s">
        <v>2121</v>
      </c>
      <c r="H571" s="238"/>
      <c r="I571" s="239" t="str">
        <f t="shared" si="20"/>
        <v>42 years, 10 month(s), 17 day(s)</v>
      </c>
      <c r="J571" s="240">
        <v>30480</v>
      </c>
      <c r="K571" s="239" t="str">
        <f t="shared" si="19"/>
        <v>16 years, 2 month(s), 29 day(s)</v>
      </c>
      <c r="L571" s="240">
        <v>40210</v>
      </c>
      <c r="M571" s="241"/>
      <c r="N571" s="241"/>
      <c r="O571" s="193" t="s">
        <v>2088</v>
      </c>
      <c r="P571" s="242" t="s">
        <v>2849</v>
      </c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25.5" customHeight="1">
      <c r="A572" s="190">
        <v>564</v>
      </c>
      <c r="B572" s="190" t="s">
        <v>40</v>
      </c>
      <c r="C572" s="190" t="s">
        <v>3123</v>
      </c>
      <c r="D572" s="190">
        <v>11</v>
      </c>
      <c r="E572" s="237" t="s">
        <v>887</v>
      </c>
      <c r="F572" s="237" t="s">
        <v>888</v>
      </c>
      <c r="G572" s="237" t="s">
        <v>639</v>
      </c>
      <c r="H572" s="238"/>
      <c r="I572" s="239" t="str">
        <f t="shared" si="20"/>
        <v>35 years, 8 month(s), 15 day(s)</v>
      </c>
      <c r="J572" s="240">
        <v>33100</v>
      </c>
      <c r="K572" s="239" t="str">
        <f t="shared" si="19"/>
        <v>6 years, 3 month(s), 14 day(s)</v>
      </c>
      <c r="L572" s="240">
        <v>43846</v>
      </c>
      <c r="M572" s="241"/>
      <c r="N572" s="241"/>
      <c r="O572" s="193" t="s">
        <v>837</v>
      </c>
      <c r="P572" s="242" t="s">
        <v>2935</v>
      </c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25.5" customHeight="1">
      <c r="A573" s="190">
        <v>565</v>
      </c>
      <c r="B573" s="190" t="s">
        <v>40</v>
      </c>
      <c r="C573" s="190" t="s">
        <v>3123</v>
      </c>
      <c r="D573" s="190">
        <v>7</v>
      </c>
      <c r="E573" s="237" t="s">
        <v>331</v>
      </c>
      <c r="F573" s="237" t="s">
        <v>186</v>
      </c>
      <c r="G573" s="237" t="s">
        <v>332</v>
      </c>
      <c r="H573" s="238"/>
      <c r="I573" s="239" t="str">
        <f t="shared" si="20"/>
        <v>46 years, 8 month(s), 0 day(s)</v>
      </c>
      <c r="J573" s="240">
        <v>29097</v>
      </c>
      <c r="K573" s="239" t="str">
        <f t="shared" si="19"/>
        <v>8 years, 2 month(s), 21 day(s)</v>
      </c>
      <c r="L573" s="240">
        <v>43140</v>
      </c>
      <c r="M573" s="241"/>
      <c r="N573" s="241"/>
      <c r="O573" s="193" t="s">
        <v>301</v>
      </c>
      <c r="P573" s="242" t="s">
        <v>2716</v>
      </c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25.5" customHeight="1">
      <c r="A574" s="190">
        <v>566</v>
      </c>
      <c r="B574" s="190" t="s">
        <v>96</v>
      </c>
      <c r="C574" s="190" t="s">
        <v>3123</v>
      </c>
      <c r="D574" s="190" t="s">
        <v>3362</v>
      </c>
      <c r="E574" s="237" t="s">
        <v>1316</v>
      </c>
      <c r="F574" s="237" t="s">
        <v>1317</v>
      </c>
      <c r="G574" s="237" t="s">
        <v>1318</v>
      </c>
      <c r="H574" s="238"/>
      <c r="I574" s="239" t="str">
        <f t="shared" si="20"/>
        <v>31 years, 4 month(s), 4 day(s)</v>
      </c>
      <c r="J574" s="240">
        <v>34694</v>
      </c>
      <c r="K574" s="239" t="str">
        <f t="shared" si="19"/>
        <v>4 years, 7 month(s), 14 day(s)</v>
      </c>
      <c r="L574" s="240">
        <v>44455</v>
      </c>
      <c r="M574" s="240">
        <v>43759</v>
      </c>
      <c r="N574" s="241"/>
      <c r="O574" s="193" t="s">
        <v>479</v>
      </c>
      <c r="P574" s="242" t="s">
        <v>2848</v>
      </c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25.5" customHeight="1">
      <c r="A575" s="190">
        <v>567</v>
      </c>
      <c r="B575" s="190" t="s">
        <v>40</v>
      </c>
      <c r="C575" s="190" t="s">
        <v>3123</v>
      </c>
      <c r="D575" s="190">
        <v>11</v>
      </c>
      <c r="E575" s="237" t="s">
        <v>960</v>
      </c>
      <c r="F575" s="237" t="s">
        <v>3363</v>
      </c>
      <c r="G575" s="237" t="s">
        <v>962</v>
      </c>
      <c r="H575" s="238"/>
      <c r="I575" s="239" t="str">
        <f t="shared" si="20"/>
        <v>50 years, 8 month(s), 1 day(s)</v>
      </c>
      <c r="J575" s="240">
        <v>27635</v>
      </c>
      <c r="K575" s="239" t="str">
        <f t="shared" si="19"/>
        <v>10 years, 4 month(s), 22 day(s)</v>
      </c>
      <c r="L575" s="240">
        <v>42346</v>
      </c>
      <c r="M575" s="241"/>
      <c r="N575" s="241"/>
      <c r="O575" s="193" t="s">
        <v>919</v>
      </c>
      <c r="P575" s="242" t="s">
        <v>2792</v>
      </c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25.5" customHeight="1">
      <c r="A576" s="190">
        <v>568</v>
      </c>
      <c r="B576" s="190" t="s">
        <v>246</v>
      </c>
      <c r="C576" s="190" t="s">
        <v>3123</v>
      </c>
      <c r="D576" s="190" t="s">
        <v>3364</v>
      </c>
      <c r="E576" s="237" t="s">
        <v>1741</v>
      </c>
      <c r="F576" s="237" t="s">
        <v>1742</v>
      </c>
      <c r="G576" s="237" t="s">
        <v>1743</v>
      </c>
      <c r="H576" s="238"/>
      <c r="I576" s="239" t="str">
        <f t="shared" si="20"/>
        <v>38 years, 0 month(s), 7 day(s)</v>
      </c>
      <c r="J576" s="240">
        <v>32256</v>
      </c>
      <c r="K576" s="239" t="str">
        <f t="shared" si="19"/>
        <v>2 years, 11 month(s), 8 day(s)</v>
      </c>
      <c r="L576" s="240">
        <v>45068</v>
      </c>
      <c r="M576" s="241"/>
      <c r="N576" s="241"/>
      <c r="O576" s="193" t="s">
        <v>1740</v>
      </c>
      <c r="P576" s="242" t="s">
        <v>3084</v>
      </c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25.5" customHeight="1">
      <c r="A577" s="190">
        <v>569</v>
      </c>
      <c r="B577" s="190" t="s">
        <v>28</v>
      </c>
      <c r="C577" s="190" t="s">
        <v>3123</v>
      </c>
      <c r="D577" s="190">
        <v>376426</v>
      </c>
      <c r="E577" s="237" t="s">
        <v>894</v>
      </c>
      <c r="F577" s="237" t="s">
        <v>895</v>
      </c>
      <c r="G577" s="237" t="s">
        <v>896</v>
      </c>
      <c r="H577" s="238"/>
      <c r="I577" s="239" t="str">
        <f t="shared" si="20"/>
        <v>31 years, 5 month(s), 6 day(s)</v>
      </c>
      <c r="J577" s="240">
        <v>34662</v>
      </c>
      <c r="K577" s="239" t="str">
        <f t="shared" si="19"/>
        <v>3 years, 4 month(s), 3 day(s)</v>
      </c>
      <c r="L577" s="240">
        <v>44922</v>
      </c>
      <c r="M577" s="241"/>
      <c r="N577" s="241"/>
      <c r="O577" s="193" t="s">
        <v>891</v>
      </c>
      <c r="P577" s="242" t="s">
        <v>2952</v>
      </c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25.5" customHeight="1">
      <c r="A578" s="190">
        <v>570</v>
      </c>
      <c r="B578" s="190" t="s">
        <v>40</v>
      </c>
      <c r="C578" s="190" t="s">
        <v>3123</v>
      </c>
      <c r="D578" s="190">
        <v>19</v>
      </c>
      <c r="E578" s="237" t="s">
        <v>1224</v>
      </c>
      <c r="F578" s="237" t="s">
        <v>1225</v>
      </c>
      <c r="G578" s="237" t="s">
        <v>1226</v>
      </c>
      <c r="H578" s="238"/>
      <c r="I578" s="239" t="str">
        <f t="shared" si="20"/>
        <v>51 years, 3 month(s), 5 day(s)</v>
      </c>
      <c r="J578" s="240">
        <v>27419</v>
      </c>
      <c r="K578" s="239" t="str">
        <f t="shared" si="19"/>
        <v>26 years, 11 month(s), 29 day(s)</v>
      </c>
      <c r="L578" s="240">
        <v>36281</v>
      </c>
      <c r="M578" s="241"/>
      <c r="N578" s="241"/>
      <c r="O578" s="193" t="s">
        <v>3365</v>
      </c>
      <c r="P578" s="237" t="s">
        <v>3006</v>
      </c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25.5" customHeight="1">
      <c r="A579" s="190">
        <v>571</v>
      </c>
      <c r="B579" s="190" t="s">
        <v>57</v>
      </c>
      <c r="C579" s="190" t="s">
        <v>3123</v>
      </c>
      <c r="D579" s="190">
        <v>238073</v>
      </c>
      <c r="E579" s="237" t="s">
        <v>1942</v>
      </c>
      <c r="F579" s="237" t="s">
        <v>2159</v>
      </c>
      <c r="G579" s="237" t="s">
        <v>2160</v>
      </c>
      <c r="H579" s="238"/>
      <c r="I579" s="239" t="str">
        <f t="shared" si="20"/>
        <v>36 years, 10 month(s), 28 day(s)</v>
      </c>
      <c r="J579" s="240">
        <v>32661</v>
      </c>
      <c r="K579" s="239" t="str">
        <f t="shared" si="19"/>
        <v>13 years, 9 month(s), 28 day(s)</v>
      </c>
      <c r="L579" s="240">
        <v>41092</v>
      </c>
      <c r="M579" s="241"/>
      <c r="N579" s="241"/>
      <c r="O579" s="193" t="s">
        <v>2136</v>
      </c>
      <c r="P579" s="242" t="s">
        <v>2849</v>
      </c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25.5" customHeight="1">
      <c r="A580" s="190">
        <v>572</v>
      </c>
      <c r="B580" s="190" t="s">
        <v>96</v>
      </c>
      <c r="C580" s="190" t="s">
        <v>3123</v>
      </c>
      <c r="D580" s="190" t="s">
        <v>3366</v>
      </c>
      <c r="E580" s="237" t="s">
        <v>1942</v>
      </c>
      <c r="F580" s="237" t="s">
        <v>1943</v>
      </c>
      <c r="G580" s="237" t="s">
        <v>760</v>
      </c>
      <c r="H580" s="238"/>
      <c r="I580" s="239" t="str">
        <f t="shared" si="20"/>
        <v>30 years, 10 month(s), 10 day(s)</v>
      </c>
      <c r="J580" s="240">
        <v>34870</v>
      </c>
      <c r="K580" s="239" t="str">
        <f t="shared" si="19"/>
        <v>3 years, 5 month(s), 26 day(s)</v>
      </c>
      <c r="L580" s="240">
        <v>44869</v>
      </c>
      <c r="M580" s="240">
        <v>43754</v>
      </c>
      <c r="N580" s="241"/>
      <c r="O580" s="193" t="s">
        <v>1941</v>
      </c>
      <c r="P580" s="242" t="s">
        <v>2848</v>
      </c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25.5" customHeight="1">
      <c r="A581" s="190">
        <v>573</v>
      </c>
      <c r="B581" s="190" t="s">
        <v>96</v>
      </c>
      <c r="C581" s="190" t="s">
        <v>3123</v>
      </c>
      <c r="D581" s="190" t="s">
        <v>3367</v>
      </c>
      <c r="E581" s="237" t="s">
        <v>618</v>
      </c>
      <c r="F581" s="237" t="s">
        <v>619</v>
      </c>
      <c r="G581" s="237" t="s">
        <v>620</v>
      </c>
      <c r="H581" s="238"/>
      <c r="I581" s="239" t="str">
        <f t="shared" si="20"/>
        <v>35 years, 5 month(s), 27 day(s)</v>
      </c>
      <c r="J581" s="240">
        <v>33180</v>
      </c>
      <c r="K581" s="239" t="str">
        <f t="shared" si="19"/>
        <v>3 years, 5 month(s), 26 day(s)</v>
      </c>
      <c r="L581" s="240">
        <v>44869</v>
      </c>
      <c r="M581" s="240">
        <v>43759</v>
      </c>
      <c r="N581" s="241"/>
      <c r="O581" s="193" t="s">
        <v>3654</v>
      </c>
      <c r="P581" s="242" t="s">
        <v>2848</v>
      </c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25.5" customHeight="1">
      <c r="A582" s="190">
        <v>574</v>
      </c>
      <c r="B582" s="190" t="s">
        <v>40</v>
      </c>
      <c r="C582" s="190" t="s">
        <v>3123</v>
      </c>
      <c r="D582" s="190">
        <v>7</v>
      </c>
      <c r="E582" s="237" t="s">
        <v>149</v>
      </c>
      <c r="F582" s="237" t="s">
        <v>150</v>
      </c>
      <c r="G582" s="237" t="s">
        <v>151</v>
      </c>
      <c r="H582" s="238"/>
      <c r="I582" s="239" t="str">
        <f t="shared" si="20"/>
        <v>42 years, 4 month(s), 6 day(s)</v>
      </c>
      <c r="J582" s="240">
        <v>30674</v>
      </c>
      <c r="K582" s="239" t="str">
        <f t="shared" si="19"/>
        <v>20 years, 8 month(s), 29 day(s)</v>
      </c>
      <c r="L582" s="240">
        <v>38565</v>
      </c>
      <c r="M582" s="241"/>
      <c r="N582" s="241"/>
      <c r="O582" s="193" t="s">
        <v>138</v>
      </c>
      <c r="P582" s="242" t="s">
        <v>2714</v>
      </c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25.5" customHeight="1">
      <c r="A583" s="190">
        <v>575</v>
      </c>
      <c r="B583" s="190" t="s">
        <v>40</v>
      </c>
      <c r="C583" s="190" t="s">
        <v>3123</v>
      </c>
      <c r="D583" s="190">
        <v>17</v>
      </c>
      <c r="E583" s="237" t="s">
        <v>1475</v>
      </c>
      <c r="F583" s="237" t="s">
        <v>1476</v>
      </c>
      <c r="G583" s="237" t="s">
        <v>1477</v>
      </c>
      <c r="H583" s="238"/>
      <c r="I583" s="239" t="str">
        <f t="shared" si="20"/>
        <v>51 years, 7 month(s), 7 day(s)</v>
      </c>
      <c r="J583" s="240">
        <v>27295</v>
      </c>
      <c r="K583" s="239" t="str">
        <f t="shared" ref="K583:K595" si="21">DATEDIF(L583,DATE(2026,4,30),"y")&amp;" years, "&amp;DATEDIF(L583,DATE(2026,4,30),"ym")&amp;" month(s), "&amp;DATEDIF(L583,DATE(2026,4,30),"md")&amp;" day(s)"</f>
        <v>27 years, 3 month(s), 29 day(s)</v>
      </c>
      <c r="L583" s="240">
        <v>36161</v>
      </c>
      <c r="M583" s="241"/>
      <c r="N583" s="241"/>
      <c r="O583" s="193" t="s">
        <v>1451</v>
      </c>
      <c r="P583" s="242" t="s">
        <v>2674</v>
      </c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25.5" customHeight="1">
      <c r="A584" s="190">
        <v>576</v>
      </c>
      <c r="B584" s="190" t="s">
        <v>28</v>
      </c>
      <c r="C584" s="190" t="s">
        <v>3123</v>
      </c>
      <c r="D584" s="190">
        <v>376427</v>
      </c>
      <c r="E584" s="237" t="s">
        <v>516</v>
      </c>
      <c r="F584" s="237" t="s">
        <v>517</v>
      </c>
      <c r="G584" s="237" t="s">
        <v>518</v>
      </c>
      <c r="H584" s="238"/>
      <c r="I584" s="239" t="str">
        <f t="shared" si="20"/>
        <v>28 years, 10 month(s), 3 day(s)</v>
      </c>
      <c r="J584" s="240">
        <v>35608</v>
      </c>
      <c r="K584" s="239" t="str">
        <f t="shared" si="21"/>
        <v>3 years, 4 month(s), 3 day(s)</v>
      </c>
      <c r="L584" s="240">
        <v>44922</v>
      </c>
      <c r="M584" s="241"/>
      <c r="N584" s="241"/>
      <c r="O584" s="193" t="s">
        <v>479</v>
      </c>
      <c r="P584" s="242" t="s">
        <v>2849</v>
      </c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25.5" customHeight="1">
      <c r="A585" s="190">
        <v>577</v>
      </c>
      <c r="B585" s="190" t="s">
        <v>96</v>
      </c>
      <c r="C585" s="190" t="s">
        <v>3123</v>
      </c>
      <c r="D585" s="190" t="s">
        <v>3368</v>
      </c>
      <c r="E585" s="237" t="s">
        <v>753</v>
      </c>
      <c r="F585" s="237" t="s">
        <v>754</v>
      </c>
      <c r="G585" s="237" t="s">
        <v>755</v>
      </c>
      <c r="H585" s="238"/>
      <c r="I585" s="239" t="str">
        <f t="shared" ref="I585:I595" si="22">DATEDIF(J585,DATE(2026,4,30),"y")&amp;" years, "&amp;DATEDIF(J585,DATE(2026,4,30),"ym")&amp;" month(s), "&amp;DATEDIF(J585,DATE(2026,4,30),"md")&amp;" day(s)"</f>
        <v>41 years, 7 month(s), 23 day(s)</v>
      </c>
      <c r="J585" s="240">
        <v>30932</v>
      </c>
      <c r="K585" s="239" t="str">
        <f t="shared" si="21"/>
        <v>3 years, 5 month(s), 26 day(s)</v>
      </c>
      <c r="L585" s="240">
        <v>44869</v>
      </c>
      <c r="M585" s="240">
        <v>40513</v>
      </c>
      <c r="N585" s="241"/>
      <c r="O585" s="193" t="s">
        <v>752</v>
      </c>
      <c r="P585" s="242" t="s">
        <v>2848</v>
      </c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25.5" customHeight="1">
      <c r="A586" s="190">
        <v>578</v>
      </c>
      <c r="B586" s="190" t="s">
        <v>40</v>
      </c>
      <c r="C586" s="190" t="s">
        <v>3123</v>
      </c>
      <c r="D586" s="190">
        <v>11</v>
      </c>
      <c r="E586" s="237" t="s">
        <v>1886</v>
      </c>
      <c r="F586" s="237" t="s">
        <v>1887</v>
      </c>
      <c r="G586" s="237" t="s">
        <v>1689</v>
      </c>
      <c r="H586" s="238"/>
      <c r="I586" s="239" t="str">
        <f t="shared" si="22"/>
        <v>50 years, 1 month(s), 22 day(s)</v>
      </c>
      <c r="J586" s="240">
        <v>27827</v>
      </c>
      <c r="K586" s="239" t="str">
        <f t="shared" si="21"/>
        <v>26 years, 0 month(s), 12 day(s)</v>
      </c>
      <c r="L586" s="240">
        <v>36634</v>
      </c>
      <c r="M586" s="241"/>
      <c r="N586" s="241"/>
      <c r="O586" s="193" t="s">
        <v>1858</v>
      </c>
      <c r="P586" s="242" t="s">
        <v>2794</v>
      </c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25.5" customHeight="1">
      <c r="A587" s="190">
        <v>579</v>
      </c>
      <c r="B587" s="190" t="s">
        <v>40</v>
      </c>
      <c r="C587" s="190" t="s">
        <v>3123</v>
      </c>
      <c r="D587" s="190">
        <v>6</v>
      </c>
      <c r="E587" s="237" t="s">
        <v>1002</v>
      </c>
      <c r="F587" s="237" t="s">
        <v>1840</v>
      </c>
      <c r="G587" s="237" t="s">
        <v>1841</v>
      </c>
      <c r="H587" s="238"/>
      <c r="I587" s="239" t="str">
        <f t="shared" si="22"/>
        <v>49 years, 11 month(s), 29 day(s)</v>
      </c>
      <c r="J587" s="240">
        <v>27881</v>
      </c>
      <c r="K587" s="239" t="str">
        <f t="shared" si="21"/>
        <v>1 years, 1 month(s), 13 day(s)</v>
      </c>
      <c r="L587" s="240">
        <v>45733</v>
      </c>
      <c r="M587" s="241"/>
      <c r="N587" s="241"/>
      <c r="O587" s="193" t="s">
        <v>1804</v>
      </c>
      <c r="P587" s="242" t="s">
        <v>2679</v>
      </c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25.5" customHeight="1">
      <c r="A588" s="190">
        <v>580</v>
      </c>
      <c r="B588" s="190" t="s">
        <v>40</v>
      </c>
      <c r="C588" s="190" t="s">
        <v>3123</v>
      </c>
      <c r="D588" s="190">
        <v>6</v>
      </c>
      <c r="E588" s="237" t="s">
        <v>1842</v>
      </c>
      <c r="F588" s="237" t="s">
        <v>1843</v>
      </c>
      <c r="G588" s="237" t="s">
        <v>920</v>
      </c>
      <c r="H588" s="238"/>
      <c r="I588" s="239" t="str">
        <f t="shared" si="22"/>
        <v>28 years, 6 month(s), 15 day(s)</v>
      </c>
      <c r="J588" s="240">
        <v>35718</v>
      </c>
      <c r="K588" s="239" t="str">
        <f t="shared" si="21"/>
        <v>1 years, 1 month(s), 13 day(s)</v>
      </c>
      <c r="L588" s="240">
        <v>45733</v>
      </c>
      <c r="M588" s="241"/>
      <c r="N588" s="241"/>
      <c r="O588" s="193" t="s">
        <v>1804</v>
      </c>
      <c r="P588" s="242" t="s">
        <v>2679</v>
      </c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25.5" customHeight="1">
      <c r="A589" s="190">
        <v>581</v>
      </c>
      <c r="B589" s="190" t="s">
        <v>40</v>
      </c>
      <c r="C589" s="190" t="s">
        <v>3123</v>
      </c>
      <c r="D589" s="190">
        <v>16</v>
      </c>
      <c r="E589" s="237" t="s">
        <v>1705</v>
      </c>
      <c r="F589" s="237" t="s">
        <v>1706</v>
      </c>
      <c r="G589" s="237" t="s">
        <v>1224</v>
      </c>
      <c r="H589" s="238"/>
      <c r="I589" s="239" t="str">
        <f t="shared" si="22"/>
        <v>38 years, 6 month(s), 16 day(s)</v>
      </c>
      <c r="J589" s="240">
        <v>32064</v>
      </c>
      <c r="K589" s="239" t="str">
        <f t="shared" si="21"/>
        <v>9 years, 0 month(s), 20 day(s)</v>
      </c>
      <c r="L589" s="240">
        <v>42835</v>
      </c>
      <c r="M589" s="241"/>
      <c r="N589" s="241"/>
      <c r="O589" s="193" t="s">
        <v>1698</v>
      </c>
      <c r="P589" s="242" t="s">
        <v>3066</v>
      </c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25.5" customHeight="1">
      <c r="A590" s="190">
        <v>582</v>
      </c>
      <c r="B590" s="190" t="s">
        <v>28</v>
      </c>
      <c r="C590" s="190" t="s">
        <v>3123</v>
      </c>
      <c r="D590" s="190">
        <v>376428</v>
      </c>
      <c r="E590" s="237" t="s">
        <v>347</v>
      </c>
      <c r="F590" s="237" t="s">
        <v>348</v>
      </c>
      <c r="G590" s="237" t="s">
        <v>349</v>
      </c>
      <c r="H590" s="238"/>
      <c r="I590" s="239" t="str">
        <f t="shared" si="22"/>
        <v>27 years, 7 month(s), 5 day(s)</v>
      </c>
      <c r="J590" s="240">
        <v>36063</v>
      </c>
      <c r="K590" s="239" t="str">
        <f t="shared" si="21"/>
        <v>3 years, 4 month(s), 3 day(s)</v>
      </c>
      <c r="L590" s="240">
        <v>44922</v>
      </c>
      <c r="M590" s="241"/>
      <c r="N590" s="241"/>
      <c r="O590" s="193" t="s">
        <v>580</v>
      </c>
      <c r="P590" s="242" t="s">
        <v>2849</v>
      </c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25.5" customHeight="1">
      <c r="A591" s="190">
        <v>583</v>
      </c>
      <c r="B591" s="190" t="s">
        <v>160</v>
      </c>
      <c r="C591" s="190" t="s">
        <v>3123</v>
      </c>
      <c r="D591" s="190" t="s">
        <v>3369</v>
      </c>
      <c r="E591" s="237" t="s">
        <v>2656</v>
      </c>
      <c r="F591" s="237" t="s">
        <v>684</v>
      </c>
      <c r="G591" s="237" t="s">
        <v>2657</v>
      </c>
      <c r="H591" s="238"/>
      <c r="I591" s="239" t="str">
        <f t="shared" si="22"/>
        <v>45 years, 4 month(s), 11 day(s)</v>
      </c>
      <c r="J591" s="240">
        <v>29574</v>
      </c>
      <c r="K591" s="239" t="str">
        <f t="shared" si="21"/>
        <v>17 years, 7 month(s), 29 day(s)</v>
      </c>
      <c r="L591" s="240">
        <v>39692</v>
      </c>
      <c r="M591" s="240">
        <v>37830</v>
      </c>
      <c r="N591" s="241"/>
      <c r="O591" s="193" t="s">
        <v>2655</v>
      </c>
      <c r="P591" s="242" t="s">
        <v>2989</v>
      </c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25.5" customHeight="1">
      <c r="A592" s="190">
        <v>584</v>
      </c>
      <c r="B592" s="190" t="s">
        <v>366</v>
      </c>
      <c r="C592" s="190" t="s">
        <v>3123</v>
      </c>
      <c r="D592" s="190">
        <v>196796</v>
      </c>
      <c r="E592" s="237" t="s">
        <v>1055</v>
      </c>
      <c r="F592" s="237" t="s">
        <v>690</v>
      </c>
      <c r="G592" s="237" t="s">
        <v>1056</v>
      </c>
      <c r="H592" s="238"/>
      <c r="I592" s="239" t="str">
        <f t="shared" si="22"/>
        <v>46 years, 7 month(s), 18 day(s)</v>
      </c>
      <c r="J592" s="240">
        <v>29110</v>
      </c>
      <c r="K592" s="239" t="str">
        <f t="shared" si="21"/>
        <v>16 years, 9 month(s), 29 day(s)</v>
      </c>
      <c r="L592" s="240">
        <v>39995</v>
      </c>
      <c r="M592" s="241"/>
      <c r="N592" s="241"/>
      <c r="O592" s="193" t="s">
        <v>2051</v>
      </c>
      <c r="P592" s="242" t="s">
        <v>3350</v>
      </c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25.5" customHeight="1">
      <c r="A593" s="190">
        <v>585</v>
      </c>
      <c r="B593" s="190" t="s">
        <v>28</v>
      </c>
      <c r="C593" s="190" t="s">
        <v>3123</v>
      </c>
      <c r="D593" s="190">
        <v>375628</v>
      </c>
      <c r="E593" s="237" t="s">
        <v>1771</v>
      </c>
      <c r="F593" s="237" t="s">
        <v>1772</v>
      </c>
      <c r="G593" s="237" t="s">
        <v>1773</v>
      </c>
      <c r="H593" s="238"/>
      <c r="I593" s="239" t="str">
        <f t="shared" si="22"/>
        <v>30 years, 1 month(s), 2 day(s)</v>
      </c>
      <c r="J593" s="240">
        <v>35152</v>
      </c>
      <c r="K593" s="239" t="str">
        <f t="shared" si="21"/>
        <v>3 years, 5 month(s), 16 day(s)</v>
      </c>
      <c r="L593" s="240">
        <v>44879</v>
      </c>
      <c r="M593" s="241"/>
      <c r="N593" s="241"/>
      <c r="O593" s="193" t="s">
        <v>1765</v>
      </c>
      <c r="P593" s="242" t="s">
        <v>3087</v>
      </c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25.5" customHeight="1">
      <c r="A594" s="190">
        <v>586</v>
      </c>
      <c r="B594" s="190" t="s">
        <v>40</v>
      </c>
      <c r="C594" s="190" t="s">
        <v>3123</v>
      </c>
      <c r="D594" s="190">
        <v>6</v>
      </c>
      <c r="E594" s="237" t="s">
        <v>3047</v>
      </c>
      <c r="F594" s="237" t="s">
        <v>3048</v>
      </c>
      <c r="G594" s="237" t="s">
        <v>636</v>
      </c>
      <c r="H594" s="238"/>
      <c r="I594" s="239" t="str">
        <f t="shared" si="22"/>
        <v>26 years, 2 month(s), 15 day(s)</v>
      </c>
      <c r="J594" s="240">
        <v>36571</v>
      </c>
      <c r="K594" s="239" t="str">
        <f t="shared" si="21"/>
        <v>0 years, 1 month(s), 5 day(s)</v>
      </c>
      <c r="L594" s="240">
        <v>46106</v>
      </c>
      <c r="M594" s="241"/>
      <c r="N594" s="241"/>
      <c r="O594" s="193" t="s">
        <v>1486</v>
      </c>
      <c r="P594" s="242" t="s">
        <v>2974</v>
      </c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25.5" customHeight="1">
      <c r="A595" s="190">
        <v>587</v>
      </c>
      <c r="B595" s="190" t="s">
        <v>644</v>
      </c>
      <c r="C595" s="190" t="s">
        <v>3123</v>
      </c>
      <c r="D595" s="190">
        <v>207845</v>
      </c>
      <c r="E595" s="237" t="s">
        <v>645</v>
      </c>
      <c r="F595" s="237" t="s">
        <v>646</v>
      </c>
      <c r="G595" s="237" t="s">
        <v>647</v>
      </c>
      <c r="H595" s="238"/>
      <c r="I595" s="239" t="str">
        <f t="shared" si="22"/>
        <v>44 years, 5 month(s), 17 day(s)</v>
      </c>
      <c r="J595" s="240">
        <v>29903</v>
      </c>
      <c r="K595" s="239" t="str">
        <f t="shared" si="21"/>
        <v>15 years, 4 month(s), 29 day(s)</v>
      </c>
      <c r="L595" s="240">
        <v>40513</v>
      </c>
      <c r="M595" s="241"/>
      <c r="N595" s="241"/>
      <c r="O595" s="193" t="s">
        <v>643</v>
      </c>
      <c r="P595" s="242" t="s">
        <v>2849</v>
      </c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</sheetData>
  <mergeCells count="7">
    <mergeCell ref="A6:P6"/>
    <mergeCell ref="A7:P7"/>
    <mergeCell ref="A1:P1"/>
    <mergeCell ref="A2:P2"/>
    <mergeCell ref="A3:P3"/>
    <mergeCell ref="A4:P4"/>
    <mergeCell ref="A5:M5"/>
  </mergeCells>
  <pageMargins left="0.7" right="0.7" top="0.75" bottom="0.75" header="0" footer="0"/>
  <pageSetup paperSize="9" scale="3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/>
  <cols>
    <col min="1" max="4" width="9" customWidth="1"/>
    <col min="5" max="7" width="18.140625" customWidth="1"/>
    <col min="8" max="8" width="9" customWidth="1"/>
    <col min="9" max="9" width="30.28515625" customWidth="1"/>
    <col min="10" max="10" width="15.28515625" customWidth="1"/>
    <col min="11" max="11" width="30.28515625" customWidth="1"/>
    <col min="12" max="13" width="16.7109375" customWidth="1"/>
    <col min="14" max="15" width="22.140625" customWidth="1"/>
    <col min="16" max="26" width="9" customWidth="1"/>
  </cols>
  <sheetData>
    <row r="1" spans="1:26" ht="12.75" customHeight="1"/>
    <row r="2" spans="1:26" ht="12.75" customHeight="1">
      <c r="A2" s="186" t="s">
        <v>6</v>
      </c>
      <c r="B2" s="186" t="s">
        <v>9</v>
      </c>
      <c r="C2" s="186" t="s">
        <v>3113</v>
      </c>
      <c r="D2" s="206" t="s">
        <v>3114</v>
      </c>
      <c r="E2" s="186" t="s">
        <v>3115</v>
      </c>
      <c r="F2" s="186" t="s">
        <v>3116</v>
      </c>
      <c r="G2" s="186" t="s">
        <v>12</v>
      </c>
      <c r="H2" s="186" t="s">
        <v>3117</v>
      </c>
      <c r="I2" s="186" t="s">
        <v>3118</v>
      </c>
      <c r="J2" s="207" t="s">
        <v>3119</v>
      </c>
      <c r="K2" s="186" t="s">
        <v>3370</v>
      </c>
      <c r="L2" s="207" t="s">
        <v>3121</v>
      </c>
      <c r="M2" s="207" t="s">
        <v>3371</v>
      </c>
    </row>
    <row r="3" spans="1:26" ht="14.25" customHeight="1">
      <c r="A3" s="194">
        <v>1</v>
      </c>
      <c r="B3" s="190" t="s">
        <v>40</v>
      </c>
      <c r="C3" s="194" t="s">
        <v>3123</v>
      </c>
      <c r="D3" s="194">
        <v>7</v>
      </c>
      <c r="E3" s="203" t="s">
        <v>899</v>
      </c>
      <c r="F3" s="203" t="s">
        <v>900</v>
      </c>
      <c r="G3" s="203" t="s">
        <v>901</v>
      </c>
      <c r="H3" s="194"/>
      <c r="I3" s="208" t="s">
        <v>3372</v>
      </c>
      <c r="J3" s="209">
        <v>23060</v>
      </c>
      <c r="K3" s="208" t="str">
        <f t="shared" ref="K3:K139" si="0">DATEDIF(L3,DATE(2025,9,30),"y")&amp;" years, "&amp;DATEDIF(L3,DATE(2025,9,30),"ym")&amp;" month(s), "&amp;DATEDIF(L3,DATE(2025,9,30),"md")&amp;" day(s)"</f>
        <v>43 years, 4 month(s), 29 day(s)</v>
      </c>
      <c r="L3" s="209">
        <v>30072</v>
      </c>
      <c r="M3" s="209"/>
      <c r="N3" s="189" t="s">
        <v>891</v>
      </c>
      <c r="O3" s="210" t="s">
        <v>3373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4.25" customHeight="1">
      <c r="A4" s="194">
        <v>2</v>
      </c>
      <c r="B4" s="190" t="s">
        <v>24</v>
      </c>
      <c r="C4" s="194" t="s">
        <v>3123</v>
      </c>
      <c r="D4" s="211">
        <v>196791</v>
      </c>
      <c r="E4" s="203" t="s">
        <v>102</v>
      </c>
      <c r="F4" s="203" t="s">
        <v>103</v>
      </c>
      <c r="G4" s="203" t="s">
        <v>104</v>
      </c>
      <c r="H4" s="194"/>
      <c r="I4" s="208" t="s">
        <v>3374</v>
      </c>
      <c r="J4" s="209">
        <v>30484</v>
      </c>
      <c r="K4" s="208" t="str">
        <f t="shared" si="0"/>
        <v>16 years, 2 month(s), 29 day(s)</v>
      </c>
      <c r="L4" s="209">
        <v>39995</v>
      </c>
      <c r="M4" s="209"/>
      <c r="N4" s="189" t="s">
        <v>90</v>
      </c>
      <c r="O4" s="212" t="s">
        <v>2818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4.25" customHeight="1">
      <c r="A5" s="194">
        <v>3</v>
      </c>
      <c r="B5" s="190" t="s">
        <v>160</v>
      </c>
      <c r="C5" s="194" t="s">
        <v>3123</v>
      </c>
      <c r="D5" s="194" t="s">
        <v>3128</v>
      </c>
      <c r="E5" s="203" t="s">
        <v>1980</v>
      </c>
      <c r="F5" s="203" t="s">
        <v>1981</v>
      </c>
      <c r="G5" s="203" t="s">
        <v>1982</v>
      </c>
      <c r="H5" s="194" t="s">
        <v>268</v>
      </c>
      <c r="I5" s="208" t="s">
        <v>3375</v>
      </c>
      <c r="J5" s="209">
        <v>27088</v>
      </c>
      <c r="K5" s="208" t="str">
        <f t="shared" si="0"/>
        <v>22 years, 4 month(s), 14 day(s)</v>
      </c>
      <c r="L5" s="209">
        <v>37757</v>
      </c>
      <c r="M5" s="209"/>
      <c r="N5" s="189" t="s">
        <v>1979</v>
      </c>
      <c r="O5" s="210" t="s">
        <v>2848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>
      <c r="A6" s="194">
        <v>4</v>
      </c>
      <c r="B6" s="190" t="s">
        <v>160</v>
      </c>
      <c r="C6" s="194" t="s">
        <v>3123</v>
      </c>
      <c r="D6" s="194" t="s">
        <v>3376</v>
      </c>
      <c r="E6" s="203" t="s">
        <v>3377</v>
      </c>
      <c r="F6" s="203" t="s">
        <v>3378</v>
      </c>
      <c r="G6" s="203" t="s">
        <v>3379</v>
      </c>
      <c r="H6" s="194"/>
      <c r="I6" s="208" t="s">
        <v>3380</v>
      </c>
      <c r="J6" s="209">
        <v>28478</v>
      </c>
      <c r="K6" s="208" t="str">
        <f t="shared" si="0"/>
        <v>22 years, 2 month(s), 2 day(s)</v>
      </c>
      <c r="L6" s="209">
        <v>37830</v>
      </c>
      <c r="M6" s="209"/>
      <c r="N6" s="189" t="s">
        <v>2324</v>
      </c>
      <c r="O6" s="210" t="s">
        <v>2848</v>
      </c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4.25" customHeight="1">
      <c r="A7" s="194">
        <v>5</v>
      </c>
      <c r="B7" s="190" t="s">
        <v>40</v>
      </c>
      <c r="C7" s="194" t="s">
        <v>3123</v>
      </c>
      <c r="D7" s="194">
        <v>9</v>
      </c>
      <c r="E7" s="203" t="s">
        <v>1197</v>
      </c>
      <c r="F7" s="203" t="s">
        <v>1198</v>
      </c>
      <c r="G7" s="203" t="s">
        <v>1199</v>
      </c>
      <c r="H7" s="194"/>
      <c r="I7" s="208" t="s">
        <v>3381</v>
      </c>
      <c r="J7" s="209">
        <v>24518</v>
      </c>
      <c r="K7" s="208" t="str">
        <f t="shared" si="0"/>
        <v>33 years, 8 month(s), 29 day(s)</v>
      </c>
      <c r="L7" s="209">
        <v>33604</v>
      </c>
      <c r="M7" s="209"/>
      <c r="N7" s="193" t="s">
        <v>1065</v>
      </c>
      <c r="O7" s="210" t="s">
        <v>2682</v>
      </c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4.25" customHeight="1">
      <c r="A8" s="194">
        <v>6</v>
      </c>
      <c r="B8" s="190" t="s">
        <v>20</v>
      </c>
      <c r="C8" s="194" t="s">
        <v>3123</v>
      </c>
      <c r="D8" s="213" t="s">
        <v>3132</v>
      </c>
      <c r="E8" s="203" t="s">
        <v>1589</v>
      </c>
      <c r="F8" s="203" t="s">
        <v>2557</v>
      </c>
      <c r="G8" s="203" t="s">
        <v>151</v>
      </c>
      <c r="H8" s="194"/>
      <c r="I8" s="208" t="s">
        <v>3382</v>
      </c>
      <c r="J8" s="209">
        <v>29126</v>
      </c>
      <c r="K8" s="208" t="str">
        <f t="shared" si="0"/>
        <v>24 years, 10 month(s), 3 day(s)</v>
      </c>
      <c r="L8" s="209">
        <v>36857</v>
      </c>
      <c r="M8" s="209"/>
      <c r="N8" s="189" t="s">
        <v>2556</v>
      </c>
      <c r="O8" s="210" t="s">
        <v>3383</v>
      </c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4.25" customHeight="1">
      <c r="A9" s="194">
        <v>7</v>
      </c>
      <c r="B9" s="190" t="s">
        <v>20</v>
      </c>
      <c r="C9" s="194" t="s">
        <v>3123</v>
      </c>
      <c r="D9" s="194" t="s">
        <v>3133</v>
      </c>
      <c r="E9" s="203" t="s">
        <v>1589</v>
      </c>
      <c r="F9" s="203" t="s">
        <v>1724</v>
      </c>
      <c r="G9" s="203" t="s">
        <v>242</v>
      </c>
      <c r="H9" s="194"/>
      <c r="I9" s="208" t="s">
        <v>3384</v>
      </c>
      <c r="J9" s="209">
        <v>28752</v>
      </c>
      <c r="K9" s="208" t="str">
        <f t="shared" si="0"/>
        <v>23 years, 10 month(s), 24 day(s)</v>
      </c>
      <c r="L9" s="209">
        <v>37201</v>
      </c>
      <c r="M9" s="209"/>
      <c r="N9" s="189" t="s">
        <v>1723</v>
      </c>
      <c r="O9" s="210" t="s">
        <v>3077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4.25" customHeight="1">
      <c r="A10" s="214">
        <v>8</v>
      </c>
      <c r="B10" s="50" t="s">
        <v>40</v>
      </c>
      <c r="C10" s="214" t="s">
        <v>3123</v>
      </c>
      <c r="D10" s="214">
        <v>12</v>
      </c>
      <c r="E10" s="215" t="s">
        <v>1343</v>
      </c>
      <c r="F10" s="215" t="s">
        <v>1344</v>
      </c>
      <c r="G10" s="215" t="s">
        <v>1345</v>
      </c>
      <c r="H10" s="214"/>
      <c r="I10" s="216" t="s">
        <v>3385</v>
      </c>
      <c r="J10" s="217">
        <v>26569</v>
      </c>
      <c r="K10" s="208" t="str">
        <f t="shared" si="0"/>
        <v>27 years, 6 month(s), 14 day(s)</v>
      </c>
      <c r="L10" s="217">
        <v>35870</v>
      </c>
      <c r="M10" s="217" t="s">
        <v>3386</v>
      </c>
      <c r="N10" s="218" t="s">
        <v>1330</v>
      </c>
      <c r="O10" s="219" t="s">
        <v>2684</v>
      </c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spans="1:26" ht="14.25" customHeight="1">
      <c r="A11" s="194">
        <v>9</v>
      </c>
      <c r="B11" s="190" t="s">
        <v>160</v>
      </c>
      <c r="C11" s="194" t="s">
        <v>3123</v>
      </c>
      <c r="D11" s="194" t="s">
        <v>3136</v>
      </c>
      <c r="E11" s="203" t="s">
        <v>2196</v>
      </c>
      <c r="F11" s="203" t="s">
        <v>3137</v>
      </c>
      <c r="G11" s="203" t="s">
        <v>2198</v>
      </c>
      <c r="H11" s="194"/>
      <c r="I11" s="208" t="s">
        <v>3387</v>
      </c>
      <c r="J11" s="209">
        <v>28681</v>
      </c>
      <c r="K11" s="208" t="str">
        <f t="shared" si="0"/>
        <v>21 years, 0 month(s), 24 day(s)</v>
      </c>
      <c r="L11" s="209">
        <v>38236</v>
      </c>
      <c r="M11" s="209"/>
      <c r="N11" s="189" t="s">
        <v>2195</v>
      </c>
      <c r="O11" s="210" t="s">
        <v>2848</v>
      </c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4.25" customHeight="1">
      <c r="A12" s="194">
        <v>10</v>
      </c>
      <c r="B12" s="190" t="s">
        <v>160</v>
      </c>
      <c r="C12" s="194" t="s">
        <v>3123</v>
      </c>
      <c r="D12" s="194" t="s">
        <v>3140</v>
      </c>
      <c r="E12" s="203" t="s">
        <v>2137</v>
      </c>
      <c r="F12" s="203" t="s">
        <v>2138</v>
      </c>
      <c r="G12" s="203" t="s">
        <v>2139</v>
      </c>
      <c r="H12" s="194"/>
      <c r="I12" s="208" t="s">
        <v>3388</v>
      </c>
      <c r="J12" s="209">
        <v>28580</v>
      </c>
      <c r="K12" s="208" t="str">
        <f t="shared" si="0"/>
        <v>21 years, 0 month(s), 24 day(s)</v>
      </c>
      <c r="L12" s="209">
        <v>38236</v>
      </c>
      <c r="M12" s="209"/>
      <c r="N12" s="189" t="s">
        <v>2136</v>
      </c>
      <c r="O12" s="210" t="s">
        <v>2848</v>
      </c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4.25" customHeight="1">
      <c r="A13" s="194">
        <v>11</v>
      </c>
      <c r="B13" s="190" t="s">
        <v>160</v>
      </c>
      <c r="C13" s="194" t="s">
        <v>3123</v>
      </c>
      <c r="D13" s="194" t="s">
        <v>3143</v>
      </c>
      <c r="E13" s="203" t="s">
        <v>2582</v>
      </c>
      <c r="F13" s="203" t="s">
        <v>2583</v>
      </c>
      <c r="G13" s="203" t="s">
        <v>2584</v>
      </c>
      <c r="H13" s="194"/>
      <c r="I13" s="208" t="s">
        <v>3389</v>
      </c>
      <c r="J13" s="209">
        <v>27164</v>
      </c>
      <c r="K13" s="208" t="str">
        <f t="shared" si="0"/>
        <v>17 years, 0 month(s), 29 day(s)</v>
      </c>
      <c r="L13" s="209">
        <v>39692</v>
      </c>
      <c r="M13" s="209"/>
      <c r="N13" s="193" t="s">
        <v>2581</v>
      </c>
      <c r="O13" s="210" t="s">
        <v>2989</v>
      </c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4.25" customHeight="1">
      <c r="A14" s="194">
        <v>12</v>
      </c>
      <c r="B14" s="190" t="s">
        <v>160</v>
      </c>
      <c r="C14" s="194" t="s">
        <v>3123</v>
      </c>
      <c r="D14" s="194" t="s">
        <v>3146</v>
      </c>
      <c r="E14" s="203" t="s">
        <v>318</v>
      </c>
      <c r="F14" s="203" t="s">
        <v>925</v>
      </c>
      <c r="G14" s="203" t="s">
        <v>926</v>
      </c>
      <c r="H14" s="194"/>
      <c r="I14" s="208" t="s">
        <v>3390</v>
      </c>
      <c r="J14" s="209">
        <v>29225</v>
      </c>
      <c r="K14" s="208" t="str">
        <f t="shared" si="0"/>
        <v>21 years, 0 month(s), 14 day(s)</v>
      </c>
      <c r="L14" s="209">
        <v>38246</v>
      </c>
      <c r="M14" s="209"/>
      <c r="N14" s="189" t="s">
        <v>3391</v>
      </c>
      <c r="O14" s="210" t="s">
        <v>3392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4.25" customHeight="1">
      <c r="A15" s="194">
        <v>13</v>
      </c>
      <c r="B15" s="190" t="s">
        <v>366</v>
      </c>
      <c r="C15" s="194" t="s">
        <v>3123</v>
      </c>
      <c r="D15" s="194">
        <v>203704</v>
      </c>
      <c r="E15" s="203" t="s">
        <v>1539</v>
      </c>
      <c r="F15" s="203" t="s">
        <v>1186</v>
      </c>
      <c r="G15" s="203" t="s">
        <v>2330</v>
      </c>
      <c r="H15" s="194"/>
      <c r="I15" s="208" t="s">
        <v>3393</v>
      </c>
      <c r="J15" s="209">
        <v>30880</v>
      </c>
      <c r="K15" s="208" t="str">
        <f t="shared" si="0"/>
        <v>15 years, 7 month(s), 29 day(s)</v>
      </c>
      <c r="L15" s="209">
        <v>40210</v>
      </c>
      <c r="M15" s="209"/>
      <c r="N15" s="189" t="s">
        <v>2324</v>
      </c>
      <c r="O15" s="212" t="s">
        <v>2849</v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4.25" customHeight="1">
      <c r="A16" s="194">
        <v>14</v>
      </c>
      <c r="B16" s="190" t="s">
        <v>160</v>
      </c>
      <c r="C16" s="194" t="s">
        <v>3123</v>
      </c>
      <c r="D16" s="194" t="s">
        <v>3152</v>
      </c>
      <c r="E16" s="203" t="s">
        <v>2089</v>
      </c>
      <c r="F16" s="195" t="s">
        <v>1436</v>
      </c>
      <c r="G16" s="203" t="s">
        <v>2090</v>
      </c>
      <c r="H16" s="194"/>
      <c r="I16" s="208" t="s">
        <v>3394</v>
      </c>
      <c r="J16" s="209">
        <v>26875</v>
      </c>
      <c r="K16" s="208" t="str">
        <f t="shared" si="0"/>
        <v>16 years, 8 month(s), 25 day(s)</v>
      </c>
      <c r="L16" s="209">
        <v>39818</v>
      </c>
      <c r="M16" s="209"/>
      <c r="N16" s="193" t="s">
        <v>2088</v>
      </c>
      <c r="O16" s="210" t="s">
        <v>2848</v>
      </c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4.25" customHeight="1">
      <c r="A17" s="194">
        <v>15</v>
      </c>
      <c r="B17" s="190" t="s">
        <v>40</v>
      </c>
      <c r="C17" s="194" t="s">
        <v>3123</v>
      </c>
      <c r="D17" s="194">
        <v>7</v>
      </c>
      <c r="E17" s="203" t="s">
        <v>904</v>
      </c>
      <c r="F17" s="203" t="s">
        <v>684</v>
      </c>
      <c r="G17" s="203" t="s">
        <v>256</v>
      </c>
      <c r="H17" s="194"/>
      <c r="I17" s="208" t="s">
        <v>3395</v>
      </c>
      <c r="J17" s="209">
        <v>27522</v>
      </c>
      <c r="K17" s="208" t="str">
        <f t="shared" si="0"/>
        <v>24 years, 9 month(s), 13 day(s)</v>
      </c>
      <c r="L17" s="209">
        <v>36877</v>
      </c>
      <c r="M17" s="209"/>
      <c r="N17" s="193" t="s">
        <v>1588</v>
      </c>
      <c r="O17" s="210" t="s">
        <v>2693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4.25" customHeight="1">
      <c r="A18" s="194">
        <v>16</v>
      </c>
      <c r="B18" s="190" t="s">
        <v>40</v>
      </c>
      <c r="C18" s="194" t="s">
        <v>3123</v>
      </c>
      <c r="D18" s="194">
        <v>12</v>
      </c>
      <c r="E18" s="203" t="s">
        <v>85</v>
      </c>
      <c r="F18" s="203" t="s">
        <v>86</v>
      </c>
      <c r="G18" s="203" t="s">
        <v>87</v>
      </c>
      <c r="H18" s="194"/>
      <c r="I18" s="208" t="s">
        <v>3396</v>
      </c>
      <c r="J18" s="209">
        <v>22803</v>
      </c>
      <c r="K18" s="208" t="str">
        <f t="shared" si="0"/>
        <v>40 years, 8 month(s), 29 day(s)</v>
      </c>
      <c r="L18" s="209">
        <v>31048</v>
      </c>
      <c r="M18" s="209"/>
      <c r="N18" s="189" t="s">
        <v>79</v>
      </c>
      <c r="O18" s="210" t="s">
        <v>2695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4.25" customHeight="1">
      <c r="A19" s="194">
        <v>17</v>
      </c>
      <c r="B19" s="190" t="s">
        <v>160</v>
      </c>
      <c r="C19" s="194" t="s">
        <v>3123</v>
      </c>
      <c r="D19" s="194" t="s">
        <v>3156</v>
      </c>
      <c r="E19" s="204" t="s">
        <v>920</v>
      </c>
      <c r="F19" s="191" t="s">
        <v>501</v>
      </c>
      <c r="G19" s="191" t="s">
        <v>921</v>
      </c>
      <c r="H19" s="192"/>
      <c r="I19" s="208" t="s">
        <v>3397</v>
      </c>
      <c r="J19" s="209">
        <v>26919</v>
      </c>
      <c r="K19" s="208" t="str">
        <f t="shared" si="0"/>
        <v>21 years, 0 month(s), 24 day(s)</v>
      </c>
      <c r="L19" s="209">
        <v>38236</v>
      </c>
      <c r="M19" s="209"/>
      <c r="N19" s="189" t="s">
        <v>919</v>
      </c>
      <c r="O19" s="210" t="s">
        <v>2958</v>
      </c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4.25" customHeight="1">
      <c r="A20" s="194">
        <v>18</v>
      </c>
      <c r="B20" s="190" t="s">
        <v>40</v>
      </c>
      <c r="C20" s="194" t="s">
        <v>3123</v>
      </c>
      <c r="D20" s="194">
        <v>22</v>
      </c>
      <c r="E20" s="203" t="s">
        <v>1727</v>
      </c>
      <c r="F20" s="203" t="s">
        <v>1728</v>
      </c>
      <c r="G20" s="203" t="s">
        <v>1729</v>
      </c>
      <c r="H20" s="194"/>
      <c r="I20" s="208" t="s">
        <v>3398</v>
      </c>
      <c r="J20" s="209">
        <v>28277</v>
      </c>
      <c r="K20" s="208" t="str">
        <f t="shared" si="0"/>
        <v>21 years, 3 month(s), 16 day(s)</v>
      </c>
      <c r="L20" s="209">
        <v>38152</v>
      </c>
      <c r="M20" s="209"/>
      <c r="N20" s="189" t="s">
        <v>1723</v>
      </c>
      <c r="O20" s="210" t="s">
        <v>2697</v>
      </c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4.25" customHeight="1">
      <c r="A21" s="214">
        <v>19</v>
      </c>
      <c r="B21" s="50" t="s">
        <v>40</v>
      </c>
      <c r="C21" s="214" t="s">
        <v>3123</v>
      </c>
      <c r="D21" s="214">
        <v>12</v>
      </c>
      <c r="E21" s="215" t="s">
        <v>1894</v>
      </c>
      <c r="F21" s="215" t="s">
        <v>1895</v>
      </c>
      <c r="G21" s="215" t="s">
        <v>1896</v>
      </c>
      <c r="H21" s="214"/>
      <c r="I21" s="216" t="s">
        <v>3399</v>
      </c>
      <c r="J21" s="217">
        <v>29297</v>
      </c>
      <c r="K21" s="208" t="str">
        <f t="shared" si="0"/>
        <v>18 years, 7 month(s), 4 day(s)</v>
      </c>
      <c r="L21" s="217">
        <v>39139</v>
      </c>
      <c r="M21" s="217" t="s">
        <v>3400</v>
      </c>
      <c r="N21" s="221" t="s">
        <v>1890</v>
      </c>
      <c r="O21" s="219" t="s">
        <v>2698</v>
      </c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spans="1:26" ht="14.25" customHeight="1">
      <c r="A22" s="194">
        <v>20</v>
      </c>
      <c r="B22" s="190" t="s">
        <v>160</v>
      </c>
      <c r="C22" s="194" t="s">
        <v>3123</v>
      </c>
      <c r="D22" s="194" t="s">
        <v>3164</v>
      </c>
      <c r="E22" s="203" t="s">
        <v>2615</v>
      </c>
      <c r="F22" s="203" t="s">
        <v>2616</v>
      </c>
      <c r="G22" s="203" t="s">
        <v>2617</v>
      </c>
      <c r="H22" s="194"/>
      <c r="I22" s="208" t="s">
        <v>3401</v>
      </c>
      <c r="J22" s="209">
        <v>28328</v>
      </c>
      <c r="K22" s="208" t="str">
        <f t="shared" si="0"/>
        <v>16 years, 0 month(s), 14 day(s)</v>
      </c>
      <c r="L22" s="209">
        <v>40072</v>
      </c>
      <c r="M22" s="209"/>
      <c r="N22" s="193" t="s">
        <v>2614</v>
      </c>
      <c r="O22" s="210" t="s">
        <v>2989</v>
      </c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4.25" customHeight="1">
      <c r="A23" s="194">
        <v>21</v>
      </c>
      <c r="B23" s="190" t="s">
        <v>366</v>
      </c>
      <c r="C23" s="194" t="s">
        <v>3123</v>
      </c>
      <c r="D23" s="194">
        <v>207819</v>
      </c>
      <c r="E23" s="195" t="s">
        <v>410</v>
      </c>
      <c r="F23" s="203" t="s">
        <v>2402</v>
      </c>
      <c r="G23" s="203" t="s">
        <v>2403</v>
      </c>
      <c r="H23" s="194"/>
      <c r="I23" s="208" t="s">
        <v>3402</v>
      </c>
      <c r="J23" s="209">
        <v>32356</v>
      </c>
      <c r="K23" s="208" t="str">
        <f t="shared" si="0"/>
        <v>15 years, 2 month(s), 29 day(s)</v>
      </c>
      <c r="L23" s="209">
        <v>40360</v>
      </c>
      <c r="M23" s="209"/>
      <c r="N23" s="189" t="s">
        <v>2386</v>
      </c>
      <c r="O23" s="212" t="s">
        <v>2849</v>
      </c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4.25" customHeight="1">
      <c r="A24" s="194">
        <v>22</v>
      </c>
      <c r="B24" s="190" t="s">
        <v>40</v>
      </c>
      <c r="C24" s="194" t="s">
        <v>3123</v>
      </c>
      <c r="D24" s="194">
        <v>8</v>
      </c>
      <c r="E24" s="203" t="s">
        <v>200</v>
      </c>
      <c r="F24" s="203" t="s">
        <v>201</v>
      </c>
      <c r="G24" s="203" t="s">
        <v>202</v>
      </c>
      <c r="H24" s="194"/>
      <c r="I24" s="208" t="s">
        <v>3403</v>
      </c>
      <c r="J24" s="209">
        <v>29208</v>
      </c>
      <c r="K24" s="208" t="str">
        <f t="shared" si="0"/>
        <v>21 years, 9 month(s), 15 day(s)</v>
      </c>
      <c r="L24" s="209">
        <v>37970</v>
      </c>
      <c r="M24" s="209"/>
      <c r="N24" s="193" t="s">
        <v>154</v>
      </c>
      <c r="O24" s="212" t="s">
        <v>2700</v>
      </c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4.25" customHeight="1">
      <c r="A25" s="194">
        <v>23</v>
      </c>
      <c r="B25" s="190" t="s">
        <v>160</v>
      </c>
      <c r="C25" s="194" t="s">
        <v>3123</v>
      </c>
      <c r="D25" s="194" t="s">
        <v>3173</v>
      </c>
      <c r="E25" s="203" t="s">
        <v>1076</v>
      </c>
      <c r="F25" s="203" t="s">
        <v>1077</v>
      </c>
      <c r="G25" s="203" t="s">
        <v>647</v>
      </c>
      <c r="H25" s="194"/>
      <c r="I25" s="208" t="s">
        <v>3404</v>
      </c>
      <c r="J25" s="209">
        <v>29848</v>
      </c>
      <c r="K25" s="208" t="str">
        <f t="shared" si="0"/>
        <v>16 years, 9 month(s), 15 day(s)</v>
      </c>
      <c r="L25" s="209">
        <v>39797</v>
      </c>
      <c r="M25" s="209"/>
      <c r="N25" s="193" t="s">
        <v>1065</v>
      </c>
      <c r="O25" s="210" t="s">
        <v>2982</v>
      </c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4.25" customHeight="1">
      <c r="A26" s="194">
        <v>24</v>
      </c>
      <c r="B26" s="190" t="s">
        <v>20</v>
      </c>
      <c r="C26" s="194" t="s">
        <v>3123</v>
      </c>
      <c r="D26" s="213" t="s">
        <v>3405</v>
      </c>
      <c r="E26" s="203" t="s">
        <v>155</v>
      </c>
      <c r="F26" s="203" t="s">
        <v>3175</v>
      </c>
      <c r="G26" s="203" t="s">
        <v>157</v>
      </c>
      <c r="H26" s="194"/>
      <c r="I26" s="208" t="s">
        <v>3406</v>
      </c>
      <c r="J26" s="209">
        <v>25907</v>
      </c>
      <c r="K26" s="208" t="str">
        <f t="shared" si="0"/>
        <v>26 years, 6 month(s), 1 day(s)</v>
      </c>
      <c r="L26" s="209">
        <v>36248</v>
      </c>
      <c r="M26" s="209"/>
      <c r="N26" s="193" t="s">
        <v>154</v>
      </c>
      <c r="O26" s="210" t="s">
        <v>3407</v>
      </c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4.25" customHeight="1">
      <c r="A27" s="194">
        <v>25</v>
      </c>
      <c r="B27" s="190" t="s">
        <v>160</v>
      </c>
      <c r="C27" s="194" t="s">
        <v>3123</v>
      </c>
      <c r="D27" s="194" t="s">
        <v>3408</v>
      </c>
      <c r="E27" s="203" t="s">
        <v>3409</v>
      </c>
      <c r="F27" s="203" t="s">
        <v>3410</v>
      </c>
      <c r="G27" s="203" t="s">
        <v>3411</v>
      </c>
      <c r="H27" s="194"/>
      <c r="I27" s="208" t="s">
        <v>3412</v>
      </c>
      <c r="J27" s="209">
        <v>28981</v>
      </c>
      <c r="K27" s="208" t="str">
        <f t="shared" si="0"/>
        <v>21 years, 0 month(s), 29 day(s)</v>
      </c>
      <c r="L27" s="209">
        <v>38231</v>
      </c>
      <c r="M27" s="209"/>
      <c r="N27" s="189" t="s">
        <v>3413</v>
      </c>
      <c r="O27" s="210" t="s">
        <v>2848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4.25" customHeight="1">
      <c r="A28" s="194">
        <v>26</v>
      </c>
      <c r="B28" s="190" t="s">
        <v>366</v>
      </c>
      <c r="C28" s="194" t="s">
        <v>3123</v>
      </c>
      <c r="D28" s="194">
        <v>203697</v>
      </c>
      <c r="E28" s="195" t="s">
        <v>2033</v>
      </c>
      <c r="F28" s="195" t="s">
        <v>2107</v>
      </c>
      <c r="G28" s="195" t="s">
        <v>2108</v>
      </c>
      <c r="H28" s="194"/>
      <c r="I28" s="208" t="s">
        <v>3414</v>
      </c>
      <c r="J28" s="209">
        <v>31328</v>
      </c>
      <c r="K28" s="208" t="str">
        <f t="shared" si="0"/>
        <v>15 years, 7 month(s), 29 day(s)</v>
      </c>
      <c r="L28" s="209">
        <v>40210</v>
      </c>
      <c r="M28" s="209"/>
      <c r="N28" s="193" t="s">
        <v>1037</v>
      </c>
      <c r="O28" s="210" t="s">
        <v>3350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4.25" customHeight="1">
      <c r="A29" s="194">
        <v>27</v>
      </c>
      <c r="B29" s="190" t="s">
        <v>160</v>
      </c>
      <c r="C29" s="194" t="s">
        <v>3123</v>
      </c>
      <c r="D29" s="194" t="s">
        <v>3187</v>
      </c>
      <c r="E29" s="203" t="s">
        <v>2661</v>
      </c>
      <c r="F29" s="203" t="s">
        <v>2662</v>
      </c>
      <c r="G29" s="203" t="s">
        <v>2663</v>
      </c>
      <c r="H29" s="194"/>
      <c r="I29" s="208" t="s">
        <v>3415</v>
      </c>
      <c r="J29" s="209">
        <v>28993</v>
      </c>
      <c r="K29" s="208" t="str">
        <f t="shared" si="0"/>
        <v>15 years, 8 month(s), 12 day(s)</v>
      </c>
      <c r="L29" s="209">
        <v>40196</v>
      </c>
      <c r="M29" s="209"/>
      <c r="N29" s="189" t="s">
        <v>2660</v>
      </c>
      <c r="O29" s="210" t="s">
        <v>2989</v>
      </c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4.25" customHeight="1">
      <c r="A30" s="194">
        <v>28</v>
      </c>
      <c r="B30" s="190" t="s">
        <v>40</v>
      </c>
      <c r="C30" s="194" t="s">
        <v>3123</v>
      </c>
      <c r="D30" s="194">
        <v>1</v>
      </c>
      <c r="E30" s="203" t="s">
        <v>1020</v>
      </c>
      <c r="F30" s="203" t="s">
        <v>528</v>
      </c>
      <c r="G30" s="203" t="s">
        <v>1021</v>
      </c>
      <c r="H30" s="194"/>
      <c r="I30" s="208" t="s">
        <v>3416</v>
      </c>
      <c r="J30" s="209">
        <v>25092</v>
      </c>
      <c r="K30" s="208" t="str">
        <f t="shared" si="0"/>
        <v>24 years, 8 month(s), 27 day(s)</v>
      </c>
      <c r="L30" s="209">
        <v>36894</v>
      </c>
      <c r="M30" s="209"/>
      <c r="N30" s="189" t="s">
        <v>1008</v>
      </c>
      <c r="O30" s="212" t="s">
        <v>3417</v>
      </c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4.25" customHeight="1">
      <c r="A31" s="194">
        <v>29</v>
      </c>
      <c r="B31" s="190" t="s">
        <v>160</v>
      </c>
      <c r="C31" s="194" t="s">
        <v>3123</v>
      </c>
      <c r="D31" s="194" t="s">
        <v>3196</v>
      </c>
      <c r="E31" s="203" t="s">
        <v>1481</v>
      </c>
      <c r="F31" s="203" t="s">
        <v>1482</v>
      </c>
      <c r="G31" s="203" t="s">
        <v>1483</v>
      </c>
      <c r="H31" s="194"/>
      <c r="I31" s="208" t="s">
        <v>3418</v>
      </c>
      <c r="J31" s="209">
        <v>29801</v>
      </c>
      <c r="K31" s="208" t="str">
        <f t="shared" si="0"/>
        <v>21 years, 0 month(s), 24 day(s)</v>
      </c>
      <c r="L31" s="209">
        <v>38236</v>
      </c>
      <c r="M31" s="209"/>
      <c r="N31" s="193" t="s">
        <v>1480</v>
      </c>
      <c r="O31" s="210" t="s">
        <v>3419</v>
      </c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4.25" customHeight="1">
      <c r="A32" s="194">
        <v>30</v>
      </c>
      <c r="B32" s="190" t="s">
        <v>40</v>
      </c>
      <c r="C32" s="194" t="s">
        <v>3123</v>
      </c>
      <c r="D32" s="194">
        <v>7</v>
      </c>
      <c r="E32" s="203" t="s">
        <v>1523</v>
      </c>
      <c r="F32" s="203" t="s">
        <v>1524</v>
      </c>
      <c r="G32" s="203" t="s">
        <v>1525</v>
      </c>
      <c r="H32" s="194"/>
      <c r="I32" s="208" t="s">
        <v>3420</v>
      </c>
      <c r="J32" s="209">
        <v>24310</v>
      </c>
      <c r="K32" s="208" t="str">
        <f t="shared" si="0"/>
        <v>26 years, 8 month(s), 29 day(s)</v>
      </c>
      <c r="L32" s="209">
        <v>36161</v>
      </c>
      <c r="M32" s="209"/>
      <c r="N32" s="193" t="s">
        <v>1486</v>
      </c>
      <c r="O32" s="210" t="s">
        <v>2716</v>
      </c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4.25" customHeight="1">
      <c r="A33" s="194">
        <v>31</v>
      </c>
      <c r="B33" s="190" t="s">
        <v>20</v>
      </c>
      <c r="C33" s="194" t="s">
        <v>3123</v>
      </c>
      <c r="D33" s="194" t="s">
        <v>3199</v>
      </c>
      <c r="E33" s="203" t="s">
        <v>1066</v>
      </c>
      <c r="F33" s="203" t="s">
        <v>1067</v>
      </c>
      <c r="G33" s="203" t="s">
        <v>1068</v>
      </c>
      <c r="H33" s="194"/>
      <c r="I33" s="208" t="s">
        <v>3421</v>
      </c>
      <c r="J33" s="209">
        <v>27386</v>
      </c>
      <c r="K33" s="208" t="str">
        <f t="shared" si="0"/>
        <v>24 years, 10 month(s), 3 day(s)</v>
      </c>
      <c r="L33" s="209">
        <v>36857</v>
      </c>
      <c r="M33" s="209"/>
      <c r="N33" s="193" t="s">
        <v>1065</v>
      </c>
      <c r="O33" s="210" t="s">
        <v>3422</v>
      </c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4.25" customHeight="1">
      <c r="A34" s="194">
        <v>32</v>
      </c>
      <c r="B34" s="222" t="s">
        <v>253</v>
      </c>
      <c r="C34" s="194" t="s">
        <v>3123</v>
      </c>
      <c r="D34" s="194" t="s">
        <v>3202</v>
      </c>
      <c r="E34" s="203" t="s">
        <v>1891</v>
      </c>
      <c r="F34" s="203" t="s">
        <v>501</v>
      </c>
      <c r="G34" s="203" t="s">
        <v>2230</v>
      </c>
      <c r="H34" s="194"/>
      <c r="I34" s="208" t="s">
        <v>3423</v>
      </c>
      <c r="J34" s="209">
        <v>28093</v>
      </c>
      <c r="K34" s="208" t="str">
        <f t="shared" si="0"/>
        <v>17 years, 0 month(s), 29 day(s)</v>
      </c>
      <c r="L34" s="209">
        <v>39692</v>
      </c>
      <c r="M34" s="209"/>
      <c r="N34" s="189" t="s">
        <v>2229</v>
      </c>
      <c r="O34" s="210" t="s">
        <v>2848</v>
      </c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4.25" customHeight="1">
      <c r="A35" s="194">
        <v>33</v>
      </c>
      <c r="B35" s="190" t="s">
        <v>160</v>
      </c>
      <c r="C35" s="194" t="s">
        <v>3123</v>
      </c>
      <c r="D35" s="194" t="s">
        <v>3203</v>
      </c>
      <c r="E35" s="203" t="s">
        <v>2620</v>
      </c>
      <c r="F35" s="203" t="s">
        <v>2069</v>
      </c>
      <c r="G35" s="203" t="s">
        <v>2622</v>
      </c>
      <c r="H35" s="194"/>
      <c r="I35" s="208" t="s">
        <v>3424</v>
      </c>
      <c r="J35" s="209">
        <v>28452</v>
      </c>
      <c r="K35" s="208" t="str">
        <f t="shared" si="0"/>
        <v>15 years, 8 month(s), 12 day(s)</v>
      </c>
      <c r="L35" s="209">
        <v>40196</v>
      </c>
      <c r="M35" s="209"/>
      <c r="N35" s="193" t="s">
        <v>3425</v>
      </c>
      <c r="O35" s="210" t="s">
        <v>2989</v>
      </c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4.25" customHeight="1">
      <c r="A36" s="194">
        <v>34</v>
      </c>
      <c r="B36" s="190" t="s">
        <v>1043</v>
      </c>
      <c r="C36" s="194" t="s">
        <v>3123</v>
      </c>
      <c r="D36" s="194">
        <v>151050</v>
      </c>
      <c r="E36" s="203" t="s">
        <v>2465</v>
      </c>
      <c r="F36" s="203" t="s">
        <v>2466</v>
      </c>
      <c r="G36" s="203" t="s">
        <v>2467</v>
      </c>
      <c r="H36" s="194"/>
      <c r="I36" s="208" t="s">
        <v>3426</v>
      </c>
      <c r="J36" s="209">
        <v>27561</v>
      </c>
      <c r="K36" s="208" t="str">
        <f t="shared" si="0"/>
        <v>22 years, 2 month(s), 2 day(s)</v>
      </c>
      <c r="L36" s="209">
        <v>37830</v>
      </c>
      <c r="M36" s="209"/>
      <c r="N36" s="189" t="s">
        <v>2458</v>
      </c>
      <c r="O36" s="212" t="s">
        <v>2849</v>
      </c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4.25" customHeight="1">
      <c r="A37" s="194">
        <v>35</v>
      </c>
      <c r="B37" s="190" t="s">
        <v>40</v>
      </c>
      <c r="C37" s="194" t="s">
        <v>3123</v>
      </c>
      <c r="D37" s="194">
        <v>17</v>
      </c>
      <c r="E37" s="203" t="s">
        <v>256</v>
      </c>
      <c r="F37" s="203" t="s">
        <v>1528</v>
      </c>
      <c r="G37" s="203" t="s">
        <v>1529</v>
      </c>
      <c r="H37" s="194"/>
      <c r="I37" s="208" t="s">
        <v>3427</v>
      </c>
      <c r="J37" s="209">
        <v>25665</v>
      </c>
      <c r="K37" s="208" t="str">
        <f t="shared" si="0"/>
        <v>20 years, 3 month(s), 24 day(s)</v>
      </c>
      <c r="L37" s="209">
        <v>38509</v>
      </c>
      <c r="M37" s="209"/>
      <c r="N37" s="193" t="s">
        <v>1486</v>
      </c>
      <c r="O37" s="210" t="s">
        <v>2721</v>
      </c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4.25" customHeight="1">
      <c r="A38" s="194">
        <v>36</v>
      </c>
      <c r="B38" s="190" t="s">
        <v>40</v>
      </c>
      <c r="C38" s="194" t="s">
        <v>3123</v>
      </c>
      <c r="D38" s="194">
        <v>7</v>
      </c>
      <c r="E38" s="203" t="s">
        <v>256</v>
      </c>
      <c r="F38" s="203" t="s">
        <v>1208</v>
      </c>
      <c r="G38" s="203" t="s">
        <v>1209</v>
      </c>
      <c r="H38" s="194"/>
      <c r="I38" s="208" t="s">
        <v>3428</v>
      </c>
      <c r="J38" s="209">
        <v>23693</v>
      </c>
      <c r="K38" s="208" t="str">
        <f t="shared" si="0"/>
        <v>38 years, 1 month(s), 22 day(s)</v>
      </c>
      <c r="L38" s="209">
        <v>31997</v>
      </c>
      <c r="M38" s="209"/>
      <c r="N38" s="193" t="s">
        <v>1065</v>
      </c>
      <c r="O38" s="223" t="s">
        <v>2717</v>
      </c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4.25" customHeight="1">
      <c r="A39" s="194">
        <v>37</v>
      </c>
      <c r="B39" s="190" t="s">
        <v>40</v>
      </c>
      <c r="C39" s="194" t="s">
        <v>3123</v>
      </c>
      <c r="D39" s="194">
        <v>7</v>
      </c>
      <c r="E39" s="203" t="s">
        <v>256</v>
      </c>
      <c r="F39" s="203" t="s">
        <v>1866</v>
      </c>
      <c r="G39" s="203" t="s">
        <v>3206</v>
      </c>
      <c r="H39" s="194"/>
      <c r="I39" s="208" t="s">
        <v>3429</v>
      </c>
      <c r="J39" s="209">
        <v>28299</v>
      </c>
      <c r="K39" s="208" t="str">
        <f t="shared" si="0"/>
        <v>21 years, 9 month(s), 29 day(s)</v>
      </c>
      <c r="L39" s="209">
        <v>37956</v>
      </c>
      <c r="M39" s="209"/>
      <c r="N39" s="189" t="s">
        <v>1858</v>
      </c>
      <c r="O39" s="212" t="s">
        <v>2685</v>
      </c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 ht="14.25" customHeight="1">
      <c r="A40" s="194">
        <v>38</v>
      </c>
      <c r="B40" s="190" t="s">
        <v>20</v>
      </c>
      <c r="C40" s="194" t="s">
        <v>3123</v>
      </c>
      <c r="D40" s="194" t="s">
        <v>3207</v>
      </c>
      <c r="E40" s="203" t="s">
        <v>802</v>
      </c>
      <c r="F40" s="203" t="s">
        <v>803</v>
      </c>
      <c r="G40" s="203" t="s">
        <v>804</v>
      </c>
      <c r="H40" s="194" t="s">
        <v>268</v>
      </c>
      <c r="I40" s="208" t="s">
        <v>3430</v>
      </c>
      <c r="J40" s="209">
        <v>27612</v>
      </c>
      <c r="K40" s="208" t="str">
        <f t="shared" si="0"/>
        <v>24 years, 10 month(s), 3 day(s)</v>
      </c>
      <c r="L40" s="209">
        <v>36857</v>
      </c>
      <c r="M40" s="209"/>
      <c r="N40" s="189" t="s">
        <v>801</v>
      </c>
      <c r="O40" s="210" t="s">
        <v>1928</v>
      </c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4.25" customHeight="1">
      <c r="A41" s="194">
        <v>39</v>
      </c>
      <c r="B41" s="190" t="s">
        <v>40</v>
      </c>
      <c r="C41" s="194" t="s">
        <v>3123</v>
      </c>
      <c r="D41" s="211">
        <v>17</v>
      </c>
      <c r="E41" s="203" t="s">
        <v>1544</v>
      </c>
      <c r="F41" s="203" t="s">
        <v>1545</v>
      </c>
      <c r="G41" s="203" t="s">
        <v>1546</v>
      </c>
      <c r="H41" s="194"/>
      <c r="I41" s="208" t="s">
        <v>3431</v>
      </c>
      <c r="J41" s="209">
        <v>23619</v>
      </c>
      <c r="K41" s="208" t="str">
        <f t="shared" si="0"/>
        <v>19 years, 3 month(s), 22 day(s)</v>
      </c>
      <c r="L41" s="209">
        <v>38876</v>
      </c>
      <c r="M41" s="209"/>
      <c r="N41" s="193" t="s">
        <v>1537</v>
      </c>
      <c r="O41" s="212" t="s">
        <v>2723</v>
      </c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4.25" customHeight="1">
      <c r="A42" s="194">
        <v>40</v>
      </c>
      <c r="B42" s="190" t="s">
        <v>366</v>
      </c>
      <c r="C42" s="194" t="s">
        <v>3123</v>
      </c>
      <c r="D42" s="211">
        <v>203707</v>
      </c>
      <c r="E42" s="224" t="s">
        <v>1147</v>
      </c>
      <c r="F42" s="224" t="s">
        <v>322</v>
      </c>
      <c r="G42" s="225" t="s">
        <v>1148</v>
      </c>
      <c r="H42" s="226"/>
      <c r="I42" s="208" t="s">
        <v>3432</v>
      </c>
      <c r="J42" s="209">
        <v>30763</v>
      </c>
      <c r="K42" s="208" t="str">
        <f t="shared" si="0"/>
        <v>15 years, 7 month(s), 29 day(s)</v>
      </c>
      <c r="L42" s="209">
        <v>40210</v>
      </c>
      <c r="M42" s="209"/>
      <c r="N42" s="193" t="s">
        <v>1065</v>
      </c>
      <c r="O42" s="212" t="s">
        <v>2854</v>
      </c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4.25" customHeight="1">
      <c r="A43" s="194">
        <v>41</v>
      </c>
      <c r="B43" s="194" t="s">
        <v>253</v>
      </c>
      <c r="C43" s="194" t="s">
        <v>3123</v>
      </c>
      <c r="D43" s="194" t="s">
        <v>3214</v>
      </c>
      <c r="E43" s="203" t="s">
        <v>412</v>
      </c>
      <c r="F43" s="203" t="s">
        <v>413</v>
      </c>
      <c r="G43" s="203" t="s">
        <v>414</v>
      </c>
      <c r="H43" s="187"/>
      <c r="I43" s="208" t="s">
        <v>3433</v>
      </c>
      <c r="J43" s="209">
        <v>27100</v>
      </c>
      <c r="K43" s="208" t="str">
        <f t="shared" si="0"/>
        <v>21 years, 8 month(s), 27 day(s)</v>
      </c>
      <c r="L43" s="209">
        <v>37989</v>
      </c>
      <c r="M43" s="209"/>
      <c r="N43" s="193" t="s">
        <v>411</v>
      </c>
      <c r="O43" s="210" t="s">
        <v>2848</v>
      </c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4.25" customHeight="1">
      <c r="A44" s="194">
        <v>42</v>
      </c>
      <c r="B44" s="190" t="s">
        <v>366</v>
      </c>
      <c r="C44" s="194" t="s">
        <v>3123</v>
      </c>
      <c r="D44" s="194">
        <v>207818</v>
      </c>
      <c r="E44" s="203" t="s">
        <v>1159</v>
      </c>
      <c r="F44" s="203" t="s">
        <v>754</v>
      </c>
      <c r="G44" s="195" t="s">
        <v>1160</v>
      </c>
      <c r="H44" s="227"/>
      <c r="I44" s="208" t="s">
        <v>3434</v>
      </c>
      <c r="J44" s="209">
        <v>29787</v>
      </c>
      <c r="K44" s="208" t="str">
        <f t="shared" si="0"/>
        <v>15 years, 2 month(s), 29 day(s)</v>
      </c>
      <c r="L44" s="209">
        <v>40360</v>
      </c>
      <c r="M44" s="209"/>
      <c r="N44" s="193" t="s">
        <v>1065</v>
      </c>
      <c r="O44" s="212" t="s">
        <v>2854</v>
      </c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4.25" customHeight="1">
      <c r="A45" s="194">
        <v>43</v>
      </c>
      <c r="B45" s="190" t="s">
        <v>40</v>
      </c>
      <c r="C45" s="194" t="s">
        <v>3123</v>
      </c>
      <c r="D45" s="194">
        <v>12</v>
      </c>
      <c r="E45" s="203" t="s">
        <v>997</v>
      </c>
      <c r="F45" s="203" t="s">
        <v>1871</v>
      </c>
      <c r="G45" s="203" t="s">
        <v>1872</v>
      </c>
      <c r="H45" s="194"/>
      <c r="I45" s="208" t="s">
        <v>3435</v>
      </c>
      <c r="J45" s="209">
        <v>25987</v>
      </c>
      <c r="K45" s="208" t="str">
        <f t="shared" si="0"/>
        <v>34 years, 6 month(s), 29 day(s)</v>
      </c>
      <c r="L45" s="209">
        <v>33298</v>
      </c>
      <c r="M45" s="209"/>
      <c r="N45" s="189" t="s">
        <v>1858</v>
      </c>
      <c r="O45" s="212" t="s">
        <v>2726</v>
      </c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4.25" customHeight="1">
      <c r="A46" s="194">
        <v>44</v>
      </c>
      <c r="B46" s="190" t="s">
        <v>40</v>
      </c>
      <c r="C46" s="194" t="s">
        <v>3123</v>
      </c>
      <c r="D46" s="194">
        <v>7</v>
      </c>
      <c r="E46" s="195" t="s">
        <v>1573</v>
      </c>
      <c r="F46" s="195" t="s">
        <v>1113</v>
      </c>
      <c r="G46" s="195" t="s">
        <v>1574</v>
      </c>
      <c r="H46" s="194"/>
      <c r="I46" s="208" t="s">
        <v>3436</v>
      </c>
      <c r="J46" s="209">
        <v>24506</v>
      </c>
      <c r="K46" s="208" t="str">
        <f t="shared" si="0"/>
        <v>30 years, 8 month(s), 29 day(s)</v>
      </c>
      <c r="L46" s="209">
        <v>34700</v>
      </c>
      <c r="M46" s="209"/>
      <c r="N46" s="193" t="s">
        <v>1563</v>
      </c>
      <c r="O46" s="228" t="s">
        <v>2714</v>
      </c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4.25" customHeight="1">
      <c r="A47" s="194">
        <v>45</v>
      </c>
      <c r="B47" s="190" t="s">
        <v>20</v>
      </c>
      <c r="C47" s="194" t="s">
        <v>3123</v>
      </c>
      <c r="D47" s="194" t="s">
        <v>3437</v>
      </c>
      <c r="E47" s="203" t="s">
        <v>3438</v>
      </c>
      <c r="F47" s="203" t="s">
        <v>3439</v>
      </c>
      <c r="G47" s="203" t="s">
        <v>1032</v>
      </c>
      <c r="H47" s="194" t="s">
        <v>268</v>
      </c>
      <c r="I47" s="208" t="s">
        <v>3440</v>
      </c>
      <c r="J47" s="209">
        <v>26424</v>
      </c>
      <c r="K47" s="208" t="str">
        <f t="shared" si="0"/>
        <v>24 years, 10 month(s), 3 day(s)</v>
      </c>
      <c r="L47" s="209">
        <v>36857</v>
      </c>
      <c r="M47" s="209"/>
      <c r="N47" s="193" t="s">
        <v>1037</v>
      </c>
      <c r="O47" s="210" t="s">
        <v>3441</v>
      </c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4.25" customHeight="1">
      <c r="A48" s="194">
        <v>46</v>
      </c>
      <c r="B48" s="190" t="s">
        <v>160</v>
      </c>
      <c r="C48" s="194" t="s">
        <v>3123</v>
      </c>
      <c r="D48" s="194" t="s">
        <v>3225</v>
      </c>
      <c r="E48" s="203" t="s">
        <v>834</v>
      </c>
      <c r="F48" s="203" t="s">
        <v>354</v>
      </c>
      <c r="G48" s="203" t="s">
        <v>2637</v>
      </c>
      <c r="H48" s="194"/>
      <c r="I48" s="208" t="s">
        <v>3442</v>
      </c>
      <c r="J48" s="209">
        <v>26887</v>
      </c>
      <c r="K48" s="208" t="str">
        <f t="shared" si="0"/>
        <v>19 years, 8 month(s), 14 day(s)</v>
      </c>
      <c r="L48" s="209">
        <v>38733</v>
      </c>
      <c r="M48" s="209"/>
      <c r="N48" s="193" t="s">
        <v>2636</v>
      </c>
      <c r="O48" s="210" t="s">
        <v>2989</v>
      </c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4.25" customHeight="1">
      <c r="A49" s="194">
        <v>47</v>
      </c>
      <c r="B49" s="190" t="s">
        <v>160</v>
      </c>
      <c r="C49" s="194" t="s">
        <v>3123</v>
      </c>
      <c r="D49" s="194" t="s">
        <v>3227</v>
      </c>
      <c r="E49" s="203" t="s">
        <v>602</v>
      </c>
      <c r="F49" s="203" t="s">
        <v>603</v>
      </c>
      <c r="G49" s="203" t="s">
        <v>604</v>
      </c>
      <c r="H49" s="194"/>
      <c r="I49" s="208" t="s">
        <v>3443</v>
      </c>
      <c r="J49" s="209">
        <v>28930</v>
      </c>
      <c r="K49" s="208" t="str">
        <f t="shared" si="0"/>
        <v>16 years, 9 month(s), 15 day(s)</v>
      </c>
      <c r="L49" s="209">
        <v>39797</v>
      </c>
      <c r="M49" s="209"/>
      <c r="N49" s="193" t="s">
        <v>601</v>
      </c>
      <c r="O49" s="210" t="s">
        <v>2848</v>
      </c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4.25" customHeight="1">
      <c r="A50" s="194">
        <v>48</v>
      </c>
      <c r="B50" s="190" t="s">
        <v>40</v>
      </c>
      <c r="C50" s="194" t="s">
        <v>3123</v>
      </c>
      <c r="D50" s="194">
        <v>8</v>
      </c>
      <c r="E50" s="203" t="s">
        <v>1577</v>
      </c>
      <c r="F50" s="203" t="s">
        <v>1578</v>
      </c>
      <c r="G50" s="203" t="s">
        <v>3228</v>
      </c>
      <c r="H50" s="194"/>
      <c r="I50" s="208" t="s">
        <v>3444</v>
      </c>
      <c r="J50" s="209">
        <v>26085</v>
      </c>
      <c r="K50" s="208" t="str">
        <f t="shared" si="0"/>
        <v>20 years, 1 month(s), 8 day(s)</v>
      </c>
      <c r="L50" s="209">
        <v>38586</v>
      </c>
      <c r="M50" s="209"/>
      <c r="N50" s="193" t="s">
        <v>1563</v>
      </c>
      <c r="O50" s="210" t="s">
        <v>2700</v>
      </c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4.25" customHeight="1">
      <c r="A51" s="194">
        <v>49</v>
      </c>
      <c r="B51" s="194" t="s">
        <v>160</v>
      </c>
      <c r="C51" s="194" t="s">
        <v>3123</v>
      </c>
      <c r="D51" s="194" t="s">
        <v>3229</v>
      </c>
      <c r="E51" s="195" t="s">
        <v>1081</v>
      </c>
      <c r="F51" s="195" t="s">
        <v>1082</v>
      </c>
      <c r="G51" s="195" t="s">
        <v>1083</v>
      </c>
      <c r="H51" s="194"/>
      <c r="I51" s="208" t="s">
        <v>3445</v>
      </c>
      <c r="J51" s="209">
        <v>28913</v>
      </c>
      <c r="K51" s="208" t="str">
        <f t="shared" si="0"/>
        <v>23 years, 10 month(s), 24 day(s)</v>
      </c>
      <c r="L51" s="209">
        <v>37201</v>
      </c>
      <c r="M51" s="209"/>
      <c r="N51" s="43" t="s">
        <v>1080</v>
      </c>
      <c r="O51" s="229" t="s">
        <v>2983</v>
      </c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4.25" customHeight="1">
      <c r="A52" s="194">
        <v>50</v>
      </c>
      <c r="B52" s="190" t="s">
        <v>644</v>
      </c>
      <c r="C52" s="194" t="s">
        <v>3123</v>
      </c>
      <c r="D52" s="211">
        <v>203702</v>
      </c>
      <c r="E52" s="224" t="s">
        <v>1009</v>
      </c>
      <c r="F52" s="224" t="s">
        <v>1010</v>
      </c>
      <c r="G52" s="225" t="s">
        <v>1011</v>
      </c>
      <c r="H52" s="226"/>
      <c r="I52" s="208" t="s">
        <v>3446</v>
      </c>
      <c r="J52" s="209">
        <v>29983</v>
      </c>
      <c r="K52" s="208" t="str">
        <f t="shared" si="0"/>
        <v>15 years, 7 month(s), 29 day(s)</v>
      </c>
      <c r="L52" s="209">
        <v>40210</v>
      </c>
      <c r="M52" s="209"/>
      <c r="N52" s="189" t="s">
        <v>1008</v>
      </c>
      <c r="O52" s="212" t="s">
        <v>2802</v>
      </c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4.25" customHeight="1">
      <c r="A53" s="194">
        <v>51</v>
      </c>
      <c r="B53" s="190" t="s">
        <v>20</v>
      </c>
      <c r="C53" s="194" t="s">
        <v>3123</v>
      </c>
      <c r="D53" s="230" t="s">
        <v>3232</v>
      </c>
      <c r="E53" s="191" t="s">
        <v>936</v>
      </c>
      <c r="F53" s="191" t="s">
        <v>1074</v>
      </c>
      <c r="G53" s="191" t="s">
        <v>1075</v>
      </c>
      <c r="H53" s="192" t="s">
        <v>268</v>
      </c>
      <c r="I53" s="208" t="s">
        <v>3447</v>
      </c>
      <c r="J53" s="209">
        <v>28524</v>
      </c>
      <c r="K53" s="208" t="str">
        <f t="shared" si="0"/>
        <v>23 years, 10 month(s), 24 day(s)</v>
      </c>
      <c r="L53" s="209">
        <v>37201</v>
      </c>
      <c r="M53" s="209"/>
      <c r="N53" s="193" t="s">
        <v>1065</v>
      </c>
      <c r="O53" s="210" t="s">
        <v>2981</v>
      </c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4.25" customHeight="1">
      <c r="A54" s="194">
        <v>52</v>
      </c>
      <c r="B54" s="190" t="s">
        <v>40</v>
      </c>
      <c r="C54" s="194" t="s">
        <v>3123</v>
      </c>
      <c r="D54" s="194">
        <v>7</v>
      </c>
      <c r="E54" s="203" t="s">
        <v>1605</v>
      </c>
      <c r="F54" s="203" t="s">
        <v>1606</v>
      </c>
      <c r="G54" s="203" t="s">
        <v>1607</v>
      </c>
      <c r="H54" s="194"/>
      <c r="I54" s="208" t="s">
        <v>3448</v>
      </c>
      <c r="J54" s="209">
        <v>26987</v>
      </c>
      <c r="K54" s="208" t="str">
        <f t="shared" si="0"/>
        <v>25 years, 5 month(s), 12 day(s)</v>
      </c>
      <c r="L54" s="209">
        <v>36634</v>
      </c>
      <c r="M54" s="209"/>
      <c r="N54" s="193" t="s">
        <v>1588</v>
      </c>
      <c r="O54" s="210" t="s">
        <v>2732</v>
      </c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4.25" customHeight="1">
      <c r="A55" s="194">
        <v>53</v>
      </c>
      <c r="B55" s="190" t="s">
        <v>160</v>
      </c>
      <c r="C55" s="194" t="s">
        <v>3123</v>
      </c>
      <c r="D55" s="194" t="s">
        <v>3449</v>
      </c>
      <c r="E55" s="191" t="s">
        <v>3450</v>
      </c>
      <c r="F55" s="191" t="s">
        <v>3451</v>
      </c>
      <c r="G55" s="191" t="s">
        <v>3452</v>
      </c>
      <c r="H55" s="194"/>
      <c r="I55" s="208" t="s">
        <v>3453</v>
      </c>
      <c r="J55" s="209">
        <v>27258</v>
      </c>
      <c r="K55" s="208" t="str">
        <f t="shared" si="0"/>
        <v>23 years, 10 month(s), 24 day(s)</v>
      </c>
      <c r="L55" s="209">
        <v>37201</v>
      </c>
      <c r="M55" s="209"/>
      <c r="N55" s="193" t="s">
        <v>1037</v>
      </c>
      <c r="O55" s="212" t="s">
        <v>3454</v>
      </c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4.25" customHeight="1">
      <c r="A56" s="194">
        <v>54</v>
      </c>
      <c r="B56" s="190" t="s">
        <v>1043</v>
      </c>
      <c r="C56" s="194" t="s">
        <v>3123</v>
      </c>
      <c r="D56" s="194">
        <v>151030</v>
      </c>
      <c r="E56" s="203" t="s">
        <v>1044</v>
      </c>
      <c r="F56" s="203" t="s">
        <v>1045</v>
      </c>
      <c r="G56" s="203" t="s">
        <v>1046</v>
      </c>
      <c r="H56" s="194"/>
      <c r="I56" s="208" t="s">
        <v>3455</v>
      </c>
      <c r="J56" s="209">
        <v>27766</v>
      </c>
      <c r="K56" s="208" t="str">
        <f t="shared" si="0"/>
        <v>22 years, 2 month(s), 2 day(s)</v>
      </c>
      <c r="L56" s="209">
        <v>37830</v>
      </c>
      <c r="M56" s="209"/>
      <c r="N56" s="193" t="s">
        <v>801</v>
      </c>
      <c r="O56" s="212" t="s">
        <v>3456</v>
      </c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4.25" customHeight="1">
      <c r="A57" s="214">
        <v>55</v>
      </c>
      <c r="B57" s="50" t="s">
        <v>40</v>
      </c>
      <c r="C57" s="214" t="s">
        <v>3123</v>
      </c>
      <c r="D57" s="214">
        <v>9</v>
      </c>
      <c r="E57" s="215" t="s">
        <v>164</v>
      </c>
      <c r="F57" s="215" t="s">
        <v>165</v>
      </c>
      <c r="G57" s="215" t="s">
        <v>166</v>
      </c>
      <c r="H57" s="214"/>
      <c r="I57" s="216" t="s">
        <v>3457</v>
      </c>
      <c r="J57" s="217">
        <v>23592</v>
      </c>
      <c r="K57" s="216" t="str">
        <f t="shared" si="0"/>
        <v>33 years, 8 month(s), 29 day(s)</v>
      </c>
      <c r="L57" s="217">
        <v>33604</v>
      </c>
      <c r="M57" s="217" t="s">
        <v>3458</v>
      </c>
      <c r="N57" s="221" t="s">
        <v>154</v>
      </c>
      <c r="O57" s="219" t="s">
        <v>2706</v>
      </c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spans="1:26" ht="14.25" customHeight="1">
      <c r="A58" s="194">
        <v>56</v>
      </c>
      <c r="B58" s="190" t="s">
        <v>366</v>
      </c>
      <c r="C58" s="194" t="s">
        <v>3123</v>
      </c>
      <c r="D58" s="194">
        <v>196800</v>
      </c>
      <c r="E58" s="203" t="s">
        <v>1732</v>
      </c>
      <c r="F58" s="203" t="s">
        <v>1733</v>
      </c>
      <c r="G58" s="203" t="s">
        <v>1734</v>
      </c>
      <c r="H58" s="194"/>
      <c r="I58" s="208" t="s">
        <v>3459</v>
      </c>
      <c r="J58" s="209">
        <v>30190</v>
      </c>
      <c r="K58" s="208" t="str">
        <f t="shared" si="0"/>
        <v>26 years, 2 month(s), 29 day(s)</v>
      </c>
      <c r="L58" s="209">
        <v>36342</v>
      </c>
      <c r="M58" s="209"/>
      <c r="N58" s="189" t="s">
        <v>1723</v>
      </c>
      <c r="O58" s="212" t="s">
        <v>3460</v>
      </c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4.25" customHeight="1">
      <c r="A59" s="194">
        <v>57</v>
      </c>
      <c r="B59" s="190" t="s">
        <v>277</v>
      </c>
      <c r="C59" s="194" t="s">
        <v>3123</v>
      </c>
      <c r="D59" s="194">
        <v>191515</v>
      </c>
      <c r="E59" s="203" t="s">
        <v>2154</v>
      </c>
      <c r="F59" s="203" t="s">
        <v>3244</v>
      </c>
      <c r="G59" s="203" t="s">
        <v>2156</v>
      </c>
      <c r="H59" s="194"/>
      <c r="I59" s="208" t="s">
        <v>3461</v>
      </c>
      <c r="J59" s="209">
        <v>29507</v>
      </c>
      <c r="K59" s="208" t="str">
        <f t="shared" si="0"/>
        <v>16 years, 9 month(s), 15 day(s)</v>
      </c>
      <c r="L59" s="209">
        <v>39797</v>
      </c>
      <c r="M59" s="209"/>
      <c r="N59" s="189" t="s">
        <v>2136</v>
      </c>
      <c r="O59" s="212" t="s">
        <v>2849</v>
      </c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4.25" customHeight="1">
      <c r="A60" s="194">
        <v>58</v>
      </c>
      <c r="B60" s="190" t="s">
        <v>366</v>
      </c>
      <c r="C60" s="194" t="s">
        <v>3123</v>
      </c>
      <c r="D60" s="194">
        <v>203700</v>
      </c>
      <c r="E60" s="195" t="s">
        <v>2354</v>
      </c>
      <c r="F60" s="195" t="s">
        <v>2355</v>
      </c>
      <c r="G60" s="195" t="s">
        <v>2356</v>
      </c>
      <c r="H60" s="194"/>
      <c r="I60" s="208" t="s">
        <v>3462</v>
      </c>
      <c r="J60" s="209">
        <v>30518</v>
      </c>
      <c r="K60" s="208" t="str">
        <f t="shared" si="0"/>
        <v>15 years, 7 month(s), 29 day(s)</v>
      </c>
      <c r="L60" s="209">
        <v>40210</v>
      </c>
      <c r="M60" s="209"/>
      <c r="N60" s="189" t="s">
        <v>2348</v>
      </c>
      <c r="O60" s="210" t="s">
        <v>2849</v>
      </c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4.25" customHeight="1">
      <c r="A61" s="194">
        <v>59</v>
      </c>
      <c r="B61" s="190" t="s">
        <v>366</v>
      </c>
      <c r="C61" s="194" t="s">
        <v>3123</v>
      </c>
      <c r="D61" s="194">
        <v>196809</v>
      </c>
      <c r="E61" s="203" t="s">
        <v>1590</v>
      </c>
      <c r="F61" s="203" t="s">
        <v>2359</v>
      </c>
      <c r="G61" s="203" t="s">
        <v>2360</v>
      </c>
      <c r="H61" s="194"/>
      <c r="I61" s="208" t="s">
        <v>3463</v>
      </c>
      <c r="J61" s="209">
        <v>30580</v>
      </c>
      <c r="K61" s="208" t="str">
        <f t="shared" si="0"/>
        <v>16 years, 2 month(s), 29 day(s)</v>
      </c>
      <c r="L61" s="209">
        <v>39995</v>
      </c>
      <c r="M61" s="209"/>
      <c r="N61" s="189" t="s">
        <v>2348</v>
      </c>
      <c r="O61" s="210" t="s">
        <v>2849</v>
      </c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4.25" customHeight="1">
      <c r="A62" s="194">
        <v>60</v>
      </c>
      <c r="B62" s="190" t="s">
        <v>160</v>
      </c>
      <c r="C62" s="194" t="s">
        <v>3123</v>
      </c>
      <c r="D62" s="194" t="s">
        <v>3250</v>
      </c>
      <c r="E62" s="203" t="s">
        <v>683</v>
      </c>
      <c r="F62" s="203" t="s">
        <v>684</v>
      </c>
      <c r="G62" s="203" t="s">
        <v>685</v>
      </c>
      <c r="H62" s="194"/>
      <c r="I62" s="208" t="s">
        <v>3464</v>
      </c>
      <c r="J62" s="209">
        <v>27697</v>
      </c>
      <c r="K62" s="208" t="str">
        <f t="shared" si="0"/>
        <v>21 years, 0 month(s), 24 day(s)</v>
      </c>
      <c r="L62" s="209">
        <v>38236</v>
      </c>
      <c r="M62" s="209"/>
      <c r="N62" s="193" t="s">
        <v>3465</v>
      </c>
      <c r="O62" s="210" t="s">
        <v>3466</v>
      </c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4.25" customHeight="1">
      <c r="A63" s="194">
        <v>61</v>
      </c>
      <c r="B63" s="190" t="s">
        <v>40</v>
      </c>
      <c r="C63" s="194" t="s">
        <v>3123</v>
      </c>
      <c r="D63" s="194">
        <v>19</v>
      </c>
      <c r="E63" s="203" t="s">
        <v>543</v>
      </c>
      <c r="F63" s="203" t="s">
        <v>1845</v>
      </c>
      <c r="G63" s="203" t="s">
        <v>1846</v>
      </c>
      <c r="H63" s="194"/>
      <c r="I63" s="208" t="s">
        <v>3467</v>
      </c>
      <c r="J63" s="209">
        <v>29473</v>
      </c>
      <c r="K63" s="208" t="str">
        <f t="shared" si="0"/>
        <v>21 years, 9 month(s), 29 day(s)</v>
      </c>
      <c r="L63" s="209">
        <v>37956</v>
      </c>
      <c r="M63" s="209"/>
      <c r="N63" s="231" t="s">
        <v>1844</v>
      </c>
      <c r="O63" s="210" t="s">
        <v>2738</v>
      </c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spans="1:26" ht="14.25" customHeight="1">
      <c r="A64" s="194">
        <v>62</v>
      </c>
      <c r="B64" s="190" t="s">
        <v>20</v>
      </c>
      <c r="C64" s="194" t="s">
        <v>3123</v>
      </c>
      <c r="D64" s="194" t="s">
        <v>3257</v>
      </c>
      <c r="E64" s="195" t="s">
        <v>1805</v>
      </c>
      <c r="F64" s="195" t="s">
        <v>1806</v>
      </c>
      <c r="G64" s="195" t="s">
        <v>1807</v>
      </c>
      <c r="H64" s="194"/>
      <c r="I64" s="208" t="s">
        <v>3468</v>
      </c>
      <c r="J64" s="209">
        <v>27350</v>
      </c>
      <c r="K64" s="208" t="str">
        <f t="shared" si="0"/>
        <v>23 years, 10 month(s), 24 day(s)</v>
      </c>
      <c r="L64" s="209">
        <v>37201</v>
      </c>
      <c r="M64" s="209"/>
      <c r="N64" s="189" t="s">
        <v>1804</v>
      </c>
      <c r="O64" s="210" t="s">
        <v>3469</v>
      </c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4.25" customHeight="1">
      <c r="A65" s="194">
        <v>63</v>
      </c>
      <c r="B65" s="190" t="s">
        <v>40</v>
      </c>
      <c r="C65" s="194" t="s">
        <v>3123</v>
      </c>
      <c r="D65" s="194">
        <v>15</v>
      </c>
      <c r="E65" s="203" t="s">
        <v>1794</v>
      </c>
      <c r="F65" s="203" t="s">
        <v>1795</v>
      </c>
      <c r="G65" s="203" t="s">
        <v>1796</v>
      </c>
      <c r="H65" s="194"/>
      <c r="I65" s="208" t="s">
        <v>3470</v>
      </c>
      <c r="J65" s="209">
        <v>26142</v>
      </c>
      <c r="K65" s="208" t="str">
        <f t="shared" si="0"/>
        <v>25 years, 5 month(s), 12 day(s)</v>
      </c>
      <c r="L65" s="209">
        <v>36634</v>
      </c>
      <c r="M65" s="209"/>
      <c r="N65" s="193" t="s">
        <v>1788</v>
      </c>
      <c r="O65" s="210" t="s">
        <v>2740</v>
      </c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4.25" customHeight="1">
      <c r="A66" s="194">
        <v>64</v>
      </c>
      <c r="B66" s="232" t="s">
        <v>40</v>
      </c>
      <c r="C66" s="194" t="s">
        <v>3123</v>
      </c>
      <c r="D66" s="194">
        <v>17</v>
      </c>
      <c r="E66" s="203" t="s">
        <v>1593</v>
      </c>
      <c r="F66" s="203" t="s">
        <v>1594</v>
      </c>
      <c r="G66" s="203" t="s">
        <v>1595</v>
      </c>
      <c r="H66" s="194"/>
      <c r="I66" s="208" t="s">
        <v>3471</v>
      </c>
      <c r="J66" s="209">
        <v>27153</v>
      </c>
      <c r="K66" s="208" t="str">
        <f t="shared" si="0"/>
        <v>19 years, 6 month(s), 27 day(s)</v>
      </c>
      <c r="L66" s="209">
        <v>38779</v>
      </c>
      <c r="M66" s="209"/>
      <c r="N66" s="193" t="s">
        <v>1588</v>
      </c>
      <c r="O66" s="212" t="s">
        <v>2742</v>
      </c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4.25" customHeight="1">
      <c r="A67" s="194">
        <v>65</v>
      </c>
      <c r="B67" s="232" t="s">
        <v>40</v>
      </c>
      <c r="C67" s="194" t="s">
        <v>3123</v>
      </c>
      <c r="D67" s="194">
        <v>18</v>
      </c>
      <c r="E67" s="203" t="s">
        <v>1331</v>
      </c>
      <c r="F67" s="203" t="s">
        <v>1332</v>
      </c>
      <c r="G67" s="203" t="s">
        <v>3261</v>
      </c>
      <c r="H67" s="194"/>
      <c r="I67" s="208" t="s">
        <v>3472</v>
      </c>
      <c r="J67" s="209">
        <v>25862</v>
      </c>
      <c r="K67" s="208" t="str">
        <f t="shared" si="0"/>
        <v>25 years, 5 month(s), 12 day(s)</v>
      </c>
      <c r="L67" s="209">
        <v>36634</v>
      </c>
      <c r="M67" s="209"/>
      <c r="N67" s="189" t="s">
        <v>1330</v>
      </c>
      <c r="O67" s="210" t="s">
        <v>2743</v>
      </c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4.25" customHeight="1">
      <c r="A68" s="194">
        <v>66</v>
      </c>
      <c r="B68" s="232" t="s">
        <v>366</v>
      </c>
      <c r="C68" s="194" t="s">
        <v>3123</v>
      </c>
      <c r="D68" s="194">
        <v>203705</v>
      </c>
      <c r="E68" s="203" t="s">
        <v>513</v>
      </c>
      <c r="F68" s="203" t="s">
        <v>2534</v>
      </c>
      <c r="G68" s="195" t="s">
        <v>914</v>
      </c>
      <c r="H68" s="194"/>
      <c r="I68" s="208" t="s">
        <v>3473</v>
      </c>
      <c r="J68" s="209">
        <v>31281</v>
      </c>
      <c r="K68" s="208" t="str">
        <f t="shared" si="0"/>
        <v>15 years, 7 month(s), 29 day(s)</v>
      </c>
      <c r="L68" s="209">
        <v>40210</v>
      </c>
      <c r="M68" s="209"/>
      <c r="N68" s="189" t="s">
        <v>2525</v>
      </c>
      <c r="O68" s="212" t="s">
        <v>2849</v>
      </c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4.25" customHeight="1">
      <c r="A69" s="194">
        <v>67</v>
      </c>
      <c r="B69" s="190" t="s">
        <v>160</v>
      </c>
      <c r="C69" s="194" t="s">
        <v>3123</v>
      </c>
      <c r="D69" s="194" t="s">
        <v>3267</v>
      </c>
      <c r="E69" s="203" t="s">
        <v>2598</v>
      </c>
      <c r="F69" s="203" t="s">
        <v>2599</v>
      </c>
      <c r="G69" s="203" t="s">
        <v>2600</v>
      </c>
      <c r="H69" s="194"/>
      <c r="I69" s="208" t="s">
        <v>3474</v>
      </c>
      <c r="J69" s="209">
        <v>27382</v>
      </c>
      <c r="K69" s="208" t="str">
        <f t="shared" si="0"/>
        <v>21 years, 0 month(s), 24 day(s)</v>
      </c>
      <c r="L69" s="209">
        <v>38236</v>
      </c>
      <c r="M69" s="209"/>
      <c r="N69" s="193" t="s">
        <v>2597</v>
      </c>
      <c r="O69" s="210" t="s">
        <v>3268</v>
      </c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4.25" customHeight="1">
      <c r="A70" s="194">
        <v>68</v>
      </c>
      <c r="B70" s="190" t="s">
        <v>40</v>
      </c>
      <c r="C70" s="194" t="s">
        <v>3123</v>
      </c>
      <c r="D70" s="194">
        <v>6</v>
      </c>
      <c r="E70" s="203" t="s">
        <v>521</v>
      </c>
      <c r="F70" s="203" t="s">
        <v>522</v>
      </c>
      <c r="G70" s="203" t="s">
        <v>523</v>
      </c>
      <c r="H70" s="194"/>
      <c r="I70" s="208" t="s">
        <v>3475</v>
      </c>
      <c r="J70" s="209">
        <v>24180</v>
      </c>
      <c r="K70" s="208" t="str">
        <f t="shared" si="0"/>
        <v>26 years, 8 month(s), 29 day(s)</v>
      </c>
      <c r="L70" s="209">
        <v>36161</v>
      </c>
      <c r="M70" s="209"/>
      <c r="N70" s="193" t="s">
        <v>479</v>
      </c>
      <c r="O70" s="210" t="s">
        <v>2704</v>
      </c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4.25" customHeight="1">
      <c r="A71" s="194">
        <v>69</v>
      </c>
      <c r="B71" s="190" t="s">
        <v>40</v>
      </c>
      <c r="C71" s="194" t="s">
        <v>3123</v>
      </c>
      <c r="D71" s="194">
        <v>17</v>
      </c>
      <c r="E71" s="203" t="s">
        <v>774</v>
      </c>
      <c r="F71" s="203" t="s">
        <v>775</v>
      </c>
      <c r="G71" s="203" t="s">
        <v>776</v>
      </c>
      <c r="H71" s="194"/>
      <c r="I71" s="208" t="s">
        <v>3476</v>
      </c>
      <c r="J71" s="209">
        <v>30167</v>
      </c>
      <c r="K71" s="208" t="str">
        <f t="shared" si="0"/>
        <v>20 years, 1 month(s), 29 day(s)</v>
      </c>
      <c r="L71" s="209">
        <v>38565</v>
      </c>
      <c r="M71" s="209"/>
      <c r="N71" s="193" t="s">
        <v>763</v>
      </c>
      <c r="O71" s="210" t="s">
        <v>2748</v>
      </c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4.25" customHeight="1">
      <c r="A72" s="194">
        <v>70</v>
      </c>
      <c r="B72" s="190" t="s">
        <v>40</v>
      </c>
      <c r="C72" s="194" t="s">
        <v>3123</v>
      </c>
      <c r="D72" s="194">
        <v>19</v>
      </c>
      <c r="E72" s="203" t="s">
        <v>774</v>
      </c>
      <c r="F72" s="203" t="s">
        <v>1397</v>
      </c>
      <c r="G72" s="203" t="s">
        <v>1398</v>
      </c>
      <c r="H72" s="194"/>
      <c r="I72" s="208" t="s">
        <v>3477</v>
      </c>
      <c r="J72" s="209">
        <v>28421</v>
      </c>
      <c r="K72" s="208" t="str">
        <f t="shared" si="0"/>
        <v>17 years, 7 month(s), 23 day(s)</v>
      </c>
      <c r="L72" s="209">
        <v>39485</v>
      </c>
      <c r="M72" s="209"/>
      <c r="N72" s="189" t="s">
        <v>1396</v>
      </c>
      <c r="O72" s="210" t="s">
        <v>2749</v>
      </c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4.25" customHeight="1">
      <c r="A73" s="194">
        <v>71</v>
      </c>
      <c r="B73" s="190" t="s">
        <v>40</v>
      </c>
      <c r="C73" s="194" t="s">
        <v>3123</v>
      </c>
      <c r="D73" s="194">
        <v>3</v>
      </c>
      <c r="E73" s="203" t="s">
        <v>1645</v>
      </c>
      <c r="F73" s="203" t="s">
        <v>1646</v>
      </c>
      <c r="G73" s="203" t="s">
        <v>347</v>
      </c>
      <c r="H73" s="194"/>
      <c r="I73" s="208" t="s">
        <v>3478</v>
      </c>
      <c r="J73" s="209">
        <v>23886</v>
      </c>
      <c r="K73" s="208" t="str">
        <f t="shared" si="0"/>
        <v>21 years, 8 month(s), 29 day(s)</v>
      </c>
      <c r="L73" s="209">
        <v>37987</v>
      </c>
      <c r="M73" s="209"/>
      <c r="N73" s="189" t="s">
        <v>1638</v>
      </c>
      <c r="O73" s="210" t="s">
        <v>2750</v>
      </c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4.25" customHeight="1">
      <c r="A74" s="194">
        <v>72</v>
      </c>
      <c r="B74" s="190" t="s">
        <v>160</v>
      </c>
      <c r="C74" s="194" t="s">
        <v>3123</v>
      </c>
      <c r="D74" s="194" t="s">
        <v>3276</v>
      </c>
      <c r="E74" s="191" t="s">
        <v>1084</v>
      </c>
      <c r="F74" s="191" t="s">
        <v>1085</v>
      </c>
      <c r="G74" s="191" t="s">
        <v>256</v>
      </c>
      <c r="H74" s="192"/>
      <c r="I74" s="208" t="s">
        <v>3479</v>
      </c>
      <c r="J74" s="209">
        <v>29222</v>
      </c>
      <c r="K74" s="208" t="str">
        <f t="shared" si="0"/>
        <v>22 years, 2 month(s), 2 day(s)</v>
      </c>
      <c r="L74" s="209">
        <v>37830</v>
      </c>
      <c r="M74" s="209"/>
      <c r="N74" s="193" t="s">
        <v>1065</v>
      </c>
      <c r="O74" s="210" t="s">
        <v>2978</v>
      </c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4.25" customHeight="1">
      <c r="A75" s="194">
        <v>73</v>
      </c>
      <c r="B75" s="190" t="s">
        <v>277</v>
      </c>
      <c r="C75" s="194" t="s">
        <v>3123</v>
      </c>
      <c r="D75" s="194">
        <v>171312</v>
      </c>
      <c r="E75" s="203" t="s">
        <v>278</v>
      </c>
      <c r="F75" s="203" t="s">
        <v>279</v>
      </c>
      <c r="G75" s="203" t="s">
        <v>280</v>
      </c>
      <c r="H75" s="194"/>
      <c r="I75" s="208" t="s">
        <v>3480</v>
      </c>
      <c r="J75" s="209">
        <v>30247</v>
      </c>
      <c r="K75" s="208" t="str">
        <f t="shared" si="0"/>
        <v>19 years, 3 month(s), 9 day(s)</v>
      </c>
      <c r="L75" s="209">
        <v>38889</v>
      </c>
      <c r="M75" s="209"/>
      <c r="N75" s="193" t="s">
        <v>271</v>
      </c>
      <c r="O75" s="212" t="s">
        <v>2849</v>
      </c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4.25" customHeight="1">
      <c r="A76" s="194">
        <v>74</v>
      </c>
      <c r="B76" s="190" t="s">
        <v>40</v>
      </c>
      <c r="C76" s="194" t="s">
        <v>3123</v>
      </c>
      <c r="D76" s="194">
        <v>13</v>
      </c>
      <c r="E76" s="203" t="s">
        <v>942</v>
      </c>
      <c r="F76" s="203" t="s">
        <v>943</v>
      </c>
      <c r="G76" s="203" t="s">
        <v>944</v>
      </c>
      <c r="H76" s="194"/>
      <c r="I76" s="208" t="s">
        <v>3481</v>
      </c>
      <c r="J76" s="209">
        <v>26965</v>
      </c>
      <c r="K76" s="208" t="str">
        <f t="shared" si="0"/>
        <v>21 years, 9 month(s), 15 day(s)</v>
      </c>
      <c r="L76" s="209">
        <v>37970</v>
      </c>
      <c r="M76" s="209"/>
      <c r="N76" s="189" t="s">
        <v>919</v>
      </c>
      <c r="O76" s="210" t="s">
        <v>3482</v>
      </c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4.25" customHeight="1">
      <c r="A77" s="194">
        <v>75</v>
      </c>
      <c r="B77" s="190" t="s">
        <v>40</v>
      </c>
      <c r="C77" s="194" t="s">
        <v>3123</v>
      </c>
      <c r="D77" s="194">
        <v>25</v>
      </c>
      <c r="E77" s="203" t="s">
        <v>74</v>
      </c>
      <c r="F77" s="203" t="s">
        <v>75</v>
      </c>
      <c r="G77" s="203" t="s">
        <v>76</v>
      </c>
      <c r="H77" s="194"/>
      <c r="I77" s="208" t="s">
        <v>3483</v>
      </c>
      <c r="J77" s="209">
        <v>24012</v>
      </c>
      <c r="K77" s="208" t="str">
        <f t="shared" si="0"/>
        <v>39 years, 5 month(s), 29 day(s)</v>
      </c>
      <c r="L77" s="209">
        <v>31503</v>
      </c>
      <c r="M77" s="209"/>
      <c r="N77" s="189" t="s">
        <v>73</v>
      </c>
      <c r="O77" s="210" t="s">
        <v>2754</v>
      </c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4.25" customHeight="1">
      <c r="A78" s="194">
        <v>76</v>
      </c>
      <c r="B78" s="190" t="s">
        <v>40</v>
      </c>
      <c r="C78" s="194" t="s">
        <v>3123</v>
      </c>
      <c r="D78" s="194">
        <v>7</v>
      </c>
      <c r="E78" s="203" t="s">
        <v>1220</v>
      </c>
      <c r="F78" s="203" t="s">
        <v>1221</v>
      </c>
      <c r="G78" s="203" t="s">
        <v>836</v>
      </c>
      <c r="H78" s="194"/>
      <c r="I78" s="208" t="s">
        <v>3484</v>
      </c>
      <c r="J78" s="209">
        <v>26843</v>
      </c>
      <c r="K78" s="208" t="str">
        <f t="shared" si="0"/>
        <v>24 years, 8 month(s), 27 day(s)</v>
      </c>
      <c r="L78" s="209">
        <v>36894</v>
      </c>
      <c r="M78" s="209"/>
      <c r="N78" s="193" t="s">
        <v>1065</v>
      </c>
      <c r="O78" s="223" t="s">
        <v>2677</v>
      </c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spans="1:26" ht="14.25" customHeight="1">
      <c r="A79" s="194">
        <v>77</v>
      </c>
      <c r="B79" s="190" t="s">
        <v>277</v>
      </c>
      <c r="C79" s="194" t="s">
        <v>3123</v>
      </c>
      <c r="D79" s="194">
        <v>151047</v>
      </c>
      <c r="E79" s="203" t="s">
        <v>812</v>
      </c>
      <c r="F79" s="203" t="s">
        <v>813</v>
      </c>
      <c r="G79" s="203" t="s">
        <v>814</v>
      </c>
      <c r="H79" s="194"/>
      <c r="I79" s="208" t="s">
        <v>3485</v>
      </c>
      <c r="J79" s="209">
        <v>28867</v>
      </c>
      <c r="K79" s="208" t="str">
        <f t="shared" si="0"/>
        <v>22 years, 2 month(s), 2 day(s)</v>
      </c>
      <c r="L79" s="209">
        <v>37830</v>
      </c>
      <c r="M79" s="209"/>
      <c r="N79" s="193" t="s">
        <v>801</v>
      </c>
      <c r="O79" s="210" t="s">
        <v>3486</v>
      </c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4.25" customHeight="1">
      <c r="A80" s="194">
        <v>78</v>
      </c>
      <c r="B80" s="190" t="s">
        <v>160</v>
      </c>
      <c r="C80" s="194" t="s">
        <v>3123</v>
      </c>
      <c r="D80" s="194" t="s">
        <v>3280</v>
      </c>
      <c r="E80" s="203" t="s">
        <v>2593</v>
      </c>
      <c r="F80" s="203" t="s">
        <v>30</v>
      </c>
      <c r="G80" s="203" t="s">
        <v>2594</v>
      </c>
      <c r="H80" s="194"/>
      <c r="I80" s="208" t="s">
        <v>3487</v>
      </c>
      <c r="J80" s="209">
        <v>27979</v>
      </c>
      <c r="K80" s="208" t="str">
        <f t="shared" si="0"/>
        <v>21 years, 0 month(s), 24 day(s)</v>
      </c>
      <c r="L80" s="209">
        <v>38236</v>
      </c>
      <c r="M80" s="209"/>
      <c r="N80" s="193" t="s">
        <v>2592</v>
      </c>
      <c r="O80" s="210" t="s">
        <v>2989</v>
      </c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4.25" customHeight="1">
      <c r="A81" s="194">
        <v>79</v>
      </c>
      <c r="B81" s="190" t="s">
        <v>277</v>
      </c>
      <c r="C81" s="194" t="s">
        <v>3123</v>
      </c>
      <c r="D81" s="194">
        <v>207836</v>
      </c>
      <c r="E81" s="203" t="s">
        <v>966</v>
      </c>
      <c r="F81" s="203" t="s">
        <v>967</v>
      </c>
      <c r="G81" s="203" t="s">
        <v>968</v>
      </c>
      <c r="H81" s="194"/>
      <c r="I81" s="208" t="s">
        <v>3488</v>
      </c>
      <c r="J81" s="209">
        <v>28240</v>
      </c>
      <c r="K81" s="208" t="str">
        <f t="shared" si="0"/>
        <v>22 years, 2 month(s), 2 day(s)</v>
      </c>
      <c r="L81" s="209">
        <v>37830</v>
      </c>
      <c r="M81" s="209"/>
      <c r="N81" s="189" t="s">
        <v>965</v>
      </c>
      <c r="O81" s="212" t="s">
        <v>2802</v>
      </c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4.25" customHeight="1">
      <c r="A82" s="214">
        <v>80</v>
      </c>
      <c r="B82" s="50" t="s">
        <v>40</v>
      </c>
      <c r="C82" s="214" t="s">
        <v>3123</v>
      </c>
      <c r="D82" s="214">
        <v>13</v>
      </c>
      <c r="E82" s="215" t="s">
        <v>874</v>
      </c>
      <c r="F82" s="215" t="s">
        <v>875</v>
      </c>
      <c r="G82" s="215" t="s">
        <v>876</v>
      </c>
      <c r="H82" s="214"/>
      <c r="I82" s="216" t="s">
        <v>3489</v>
      </c>
      <c r="J82" s="217">
        <v>24840</v>
      </c>
      <c r="K82" s="216" t="str">
        <f t="shared" si="0"/>
        <v>19 years, 10 month(s), 20 day(s)</v>
      </c>
      <c r="L82" s="217">
        <v>38666</v>
      </c>
      <c r="M82" s="217" t="s">
        <v>3386</v>
      </c>
      <c r="N82" s="221" t="s">
        <v>837</v>
      </c>
      <c r="O82" s="219" t="s">
        <v>3490</v>
      </c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 spans="1:26" ht="14.25" customHeight="1">
      <c r="A83" s="194">
        <v>81</v>
      </c>
      <c r="B83" s="190" t="s">
        <v>40</v>
      </c>
      <c r="C83" s="194" t="s">
        <v>3123</v>
      </c>
      <c r="D83" s="194">
        <v>12</v>
      </c>
      <c r="E83" s="191" t="s">
        <v>1416</v>
      </c>
      <c r="F83" s="191" t="s">
        <v>1417</v>
      </c>
      <c r="G83" s="191" t="s">
        <v>1418</v>
      </c>
      <c r="H83" s="194"/>
      <c r="I83" s="208" t="s">
        <v>3491</v>
      </c>
      <c r="J83" s="209">
        <v>35329</v>
      </c>
      <c r="K83" s="208" t="str">
        <f t="shared" si="0"/>
        <v>3 years, 8 month(s), 19 day(s)</v>
      </c>
      <c r="L83" s="209">
        <v>44572</v>
      </c>
      <c r="M83" s="209"/>
      <c r="N83" s="189" t="s">
        <v>1396</v>
      </c>
      <c r="O83" s="210" t="s">
        <v>2757</v>
      </c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4.25" customHeight="1">
      <c r="A84" s="194">
        <v>82</v>
      </c>
      <c r="B84" s="190" t="s">
        <v>366</v>
      </c>
      <c r="C84" s="194" t="s">
        <v>3123</v>
      </c>
      <c r="D84" s="194">
        <v>196786</v>
      </c>
      <c r="E84" s="203" t="s">
        <v>2631</v>
      </c>
      <c r="F84" s="203" t="s">
        <v>2632</v>
      </c>
      <c r="G84" s="203" t="s">
        <v>2633</v>
      </c>
      <c r="H84" s="194"/>
      <c r="I84" s="208" t="s">
        <v>3492</v>
      </c>
      <c r="J84" s="209">
        <v>30842</v>
      </c>
      <c r="K84" s="208" t="str">
        <f t="shared" si="0"/>
        <v>16 years, 2 month(s), 29 day(s)</v>
      </c>
      <c r="L84" s="209">
        <v>39995</v>
      </c>
      <c r="M84" s="209"/>
      <c r="N84" s="189" t="s">
        <v>2348</v>
      </c>
      <c r="O84" s="210" t="s">
        <v>2849</v>
      </c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4.25" customHeight="1">
      <c r="A85" s="194">
        <v>83</v>
      </c>
      <c r="B85" s="190" t="s">
        <v>40</v>
      </c>
      <c r="C85" s="194" t="s">
        <v>3123</v>
      </c>
      <c r="D85" s="194">
        <v>19</v>
      </c>
      <c r="E85" s="203" t="s">
        <v>117</v>
      </c>
      <c r="F85" s="203" t="s">
        <v>118</v>
      </c>
      <c r="G85" s="203" t="s">
        <v>119</v>
      </c>
      <c r="H85" s="194"/>
      <c r="I85" s="208" t="s">
        <v>3493</v>
      </c>
      <c r="J85" s="209">
        <v>22436</v>
      </c>
      <c r="K85" s="208" t="str">
        <f t="shared" si="0"/>
        <v>25 years, 5 month(s), 12 day(s)</v>
      </c>
      <c r="L85" s="209">
        <v>36634</v>
      </c>
      <c r="M85" s="209"/>
      <c r="N85" s="189" t="s">
        <v>90</v>
      </c>
      <c r="O85" s="212" t="s">
        <v>2760</v>
      </c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4.25" customHeight="1">
      <c r="A86" s="194">
        <v>84</v>
      </c>
      <c r="B86" s="190" t="s">
        <v>40</v>
      </c>
      <c r="C86" s="194" t="s">
        <v>3123</v>
      </c>
      <c r="D86" s="194">
        <v>18</v>
      </c>
      <c r="E86" s="203" t="s">
        <v>1463</v>
      </c>
      <c r="F86" s="203" t="s">
        <v>1464</v>
      </c>
      <c r="G86" s="203" t="s">
        <v>1024</v>
      </c>
      <c r="H86" s="194"/>
      <c r="I86" s="208" t="s">
        <v>3494</v>
      </c>
      <c r="J86" s="209">
        <v>24145</v>
      </c>
      <c r="K86" s="208" t="str">
        <f t="shared" si="0"/>
        <v>15 years, 5 month(s), 2 day(s)</v>
      </c>
      <c r="L86" s="209">
        <v>40296</v>
      </c>
      <c r="M86" s="209"/>
      <c r="N86" s="189" t="s">
        <v>1451</v>
      </c>
      <c r="O86" s="210" t="s">
        <v>2763</v>
      </c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4.25" customHeight="1">
      <c r="A87" s="194">
        <v>85</v>
      </c>
      <c r="B87" s="190" t="s">
        <v>57</v>
      </c>
      <c r="C87" s="194" t="s">
        <v>3123</v>
      </c>
      <c r="D87" s="230">
        <v>198789</v>
      </c>
      <c r="E87" s="191" t="s">
        <v>1745</v>
      </c>
      <c r="F87" s="191" t="s">
        <v>1746</v>
      </c>
      <c r="G87" s="191" t="s">
        <v>1747</v>
      </c>
      <c r="H87" s="187"/>
      <c r="I87" s="208" t="s">
        <v>3495</v>
      </c>
      <c r="J87" s="209">
        <v>30050</v>
      </c>
      <c r="K87" s="208" t="str">
        <f t="shared" si="0"/>
        <v>16 years, 2 month(s), 29 day(s)</v>
      </c>
      <c r="L87" s="209">
        <v>39995</v>
      </c>
      <c r="M87" s="209"/>
      <c r="N87" s="189" t="s">
        <v>1740</v>
      </c>
      <c r="O87" s="210" t="s">
        <v>3496</v>
      </c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4.25" customHeight="1">
      <c r="A88" s="194">
        <v>86</v>
      </c>
      <c r="B88" s="190" t="s">
        <v>40</v>
      </c>
      <c r="C88" s="194" t="s">
        <v>3123</v>
      </c>
      <c r="D88" s="194">
        <v>9</v>
      </c>
      <c r="E88" s="203" t="s">
        <v>1690</v>
      </c>
      <c r="F88" s="203" t="s">
        <v>1691</v>
      </c>
      <c r="G88" s="203" t="s">
        <v>1692</v>
      </c>
      <c r="H88" s="194"/>
      <c r="I88" s="208" t="s">
        <v>3497</v>
      </c>
      <c r="J88" s="209">
        <v>28350</v>
      </c>
      <c r="K88" s="208" t="str">
        <f t="shared" si="0"/>
        <v>25 years, 5 month(s), 12 day(s)</v>
      </c>
      <c r="L88" s="209">
        <v>36634</v>
      </c>
      <c r="M88" s="209"/>
      <c r="N88" s="193" t="s">
        <v>346</v>
      </c>
      <c r="O88" s="210" t="s">
        <v>2712</v>
      </c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4.25" customHeight="1">
      <c r="A89" s="194">
        <v>87</v>
      </c>
      <c r="B89" s="190" t="s">
        <v>40</v>
      </c>
      <c r="C89" s="194" t="s">
        <v>3123</v>
      </c>
      <c r="D89" s="194">
        <v>11</v>
      </c>
      <c r="E89" s="203" t="s">
        <v>1753</v>
      </c>
      <c r="F89" s="203" t="s">
        <v>1754</v>
      </c>
      <c r="G89" s="203" t="s">
        <v>759</v>
      </c>
      <c r="H89" s="194"/>
      <c r="I89" s="208" t="s">
        <v>3498</v>
      </c>
      <c r="J89" s="209">
        <v>24287</v>
      </c>
      <c r="K89" s="208" t="str">
        <f t="shared" si="0"/>
        <v>21 years, 1 month(s), 14 day(s)</v>
      </c>
      <c r="L89" s="209">
        <v>38215</v>
      </c>
      <c r="M89" s="209"/>
      <c r="N89" s="189" t="s">
        <v>1740</v>
      </c>
      <c r="O89" s="210" t="s">
        <v>2764</v>
      </c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4.25" customHeight="1">
      <c r="A90" s="194">
        <v>88</v>
      </c>
      <c r="B90" s="190" t="s">
        <v>366</v>
      </c>
      <c r="C90" s="194" t="s">
        <v>3123</v>
      </c>
      <c r="D90" s="194">
        <v>207821</v>
      </c>
      <c r="E90" s="195" t="s">
        <v>2060</v>
      </c>
      <c r="F90" s="195" t="s">
        <v>770</v>
      </c>
      <c r="G90" s="195" t="s">
        <v>2061</v>
      </c>
      <c r="H90" s="227"/>
      <c r="I90" s="208" t="s">
        <v>3499</v>
      </c>
      <c r="J90" s="209">
        <v>32028</v>
      </c>
      <c r="K90" s="208" t="str">
        <f t="shared" si="0"/>
        <v>15 years, 2 month(s), 29 day(s)</v>
      </c>
      <c r="L90" s="209">
        <v>40360</v>
      </c>
      <c r="M90" s="209"/>
      <c r="N90" s="189" t="s">
        <v>2051</v>
      </c>
      <c r="O90" s="212" t="s">
        <v>2849</v>
      </c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4.25" customHeight="1">
      <c r="A91" s="194">
        <v>89</v>
      </c>
      <c r="B91" s="196" t="s">
        <v>160</v>
      </c>
      <c r="C91" s="194" t="s">
        <v>3123</v>
      </c>
      <c r="D91" s="194" t="s">
        <v>3297</v>
      </c>
      <c r="E91" s="203" t="s">
        <v>2019</v>
      </c>
      <c r="F91" s="203" t="s">
        <v>2174</v>
      </c>
      <c r="G91" s="203" t="s">
        <v>2175</v>
      </c>
      <c r="H91" s="194"/>
      <c r="I91" s="208" t="s">
        <v>3500</v>
      </c>
      <c r="J91" s="209">
        <v>27049</v>
      </c>
      <c r="K91" s="208" t="str">
        <f t="shared" si="0"/>
        <v>17 years, 0 month(s), 29 day(s)</v>
      </c>
      <c r="L91" s="209">
        <v>39692</v>
      </c>
      <c r="M91" s="209"/>
      <c r="N91" s="189" t="s">
        <v>3501</v>
      </c>
      <c r="O91" s="210" t="s">
        <v>2848</v>
      </c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4.25" customHeight="1">
      <c r="A92" s="194">
        <v>90</v>
      </c>
      <c r="B92" s="190" t="s">
        <v>366</v>
      </c>
      <c r="C92" s="194" t="s">
        <v>3123</v>
      </c>
      <c r="D92" s="194">
        <v>196794</v>
      </c>
      <c r="E92" s="203" t="s">
        <v>2019</v>
      </c>
      <c r="F92" s="203" t="s">
        <v>2115</v>
      </c>
      <c r="G92" s="203" t="s">
        <v>2116</v>
      </c>
      <c r="H92" s="194"/>
      <c r="I92" s="208" t="s">
        <v>3502</v>
      </c>
      <c r="J92" s="209">
        <v>30223</v>
      </c>
      <c r="K92" s="208" t="str">
        <f t="shared" si="0"/>
        <v>16 years, 2 month(s), 29 day(s)</v>
      </c>
      <c r="L92" s="209">
        <v>39995</v>
      </c>
      <c r="M92" s="209"/>
      <c r="N92" s="193" t="s">
        <v>1037</v>
      </c>
      <c r="O92" s="210" t="s">
        <v>3350</v>
      </c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4.25" customHeight="1">
      <c r="A93" s="194">
        <v>91</v>
      </c>
      <c r="B93" s="190" t="s">
        <v>366</v>
      </c>
      <c r="C93" s="194" t="s">
        <v>3123</v>
      </c>
      <c r="D93" s="194">
        <v>196797</v>
      </c>
      <c r="E93" s="195" t="s">
        <v>929</v>
      </c>
      <c r="F93" s="195" t="s">
        <v>930</v>
      </c>
      <c r="G93" s="195" t="s">
        <v>931</v>
      </c>
      <c r="H93" s="194"/>
      <c r="I93" s="208" t="s">
        <v>3503</v>
      </c>
      <c r="J93" s="209">
        <v>28929</v>
      </c>
      <c r="K93" s="208" t="str">
        <f t="shared" si="0"/>
        <v>16 years, 2 month(s), 29 day(s)</v>
      </c>
      <c r="L93" s="209">
        <v>39995</v>
      </c>
      <c r="M93" s="209"/>
      <c r="N93" s="193" t="s">
        <v>1037</v>
      </c>
      <c r="O93" s="210" t="s">
        <v>3350</v>
      </c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4.25" customHeight="1">
      <c r="A94" s="194">
        <v>92</v>
      </c>
      <c r="B94" s="190" t="s">
        <v>160</v>
      </c>
      <c r="C94" s="194" t="s">
        <v>3123</v>
      </c>
      <c r="D94" s="194" t="s">
        <v>3299</v>
      </c>
      <c r="E94" s="203" t="s">
        <v>2253</v>
      </c>
      <c r="F94" s="203" t="s">
        <v>2254</v>
      </c>
      <c r="G94" s="203" t="s">
        <v>2255</v>
      </c>
      <c r="H94" s="194"/>
      <c r="I94" s="208" t="s">
        <v>3504</v>
      </c>
      <c r="J94" s="209">
        <v>28712</v>
      </c>
      <c r="K94" s="208" t="str">
        <f t="shared" si="0"/>
        <v>21 years, 0 month(s), 24 day(s)</v>
      </c>
      <c r="L94" s="209">
        <v>38236</v>
      </c>
      <c r="M94" s="209"/>
      <c r="N94" s="189" t="s">
        <v>2252</v>
      </c>
      <c r="O94" s="210" t="s">
        <v>2848</v>
      </c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4.25" customHeight="1">
      <c r="A95" s="194">
        <v>93</v>
      </c>
      <c r="B95" s="190" t="s">
        <v>20</v>
      </c>
      <c r="C95" s="194" t="s">
        <v>3123</v>
      </c>
      <c r="D95" s="194" t="s">
        <v>3306</v>
      </c>
      <c r="E95" s="203" t="s">
        <v>91</v>
      </c>
      <c r="F95" s="203" t="s">
        <v>92</v>
      </c>
      <c r="G95" s="203" t="s">
        <v>93</v>
      </c>
      <c r="H95" s="194"/>
      <c r="I95" s="208" t="s">
        <v>3505</v>
      </c>
      <c r="J95" s="209">
        <v>27271</v>
      </c>
      <c r="K95" s="208" t="str">
        <f t="shared" si="0"/>
        <v>21 years, 8 month(s), 14 day(s)</v>
      </c>
      <c r="L95" s="209">
        <v>38002</v>
      </c>
      <c r="M95" s="209"/>
      <c r="N95" s="189" t="s">
        <v>90</v>
      </c>
      <c r="O95" s="210" t="s">
        <v>2816</v>
      </c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4.25" customHeight="1">
      <c r="A96" s="194">
        <v>94</v>
      </c>
      <c r="B96" s="190" t="s">
        <v>40</v>
      </c>
      <c r="C96" s="194" t="s">
        <v>3123</v>
      </c>
      <c r="D96" s="194">
        <v>19</v>
      </c>
      <c r="E96" s="203" t="s">
        <v>604</v>
      </c>
      <c r="F96" s="203" t="s">
        <v>1859</v>
      </c>
      <c r="G96" s="203" t="s">
        <v>916</v>
      </c>
      <c r="H96" s="194"/>
      <c r="I96" s="208" t="s">
        <v>3506</v>
      </c>
      <c r="J96" s="209">
        <v>22909</v>
      </c>
      <c r="K96" s="208" t="str">
        <f t="shared" si="0"/>
        <v>34 years, 3 month(s), 11 day(s)</v>
      </c>
      <c r="L96" s="209">
        <v>33408</v>
      </c>
      <c r="M96" s="209"/>
      <c r="N96" s="189" t="s">
        <v>1858</v>
      </c>
      <c r="O96" s="210" t="s">
        <v>2769</v>
      </c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4.25" customHeight="1">
      <c r="A97" s="194">
        <v>95</v>
      </c>
      <c r="B97" s="190" t="s">
        <v>40</v>
      </c>
      <c r="C97" s="194" t="s">
        <v>3123</v>
      </c>
      <c r="D97" s="194">
        <v>7</v>
      </c>
      <c r="E97" s="191" t="s">
        <v>191</v>
      </c>
      <c r="F97" s="191" t="s">
        <v>1799</v>
      </c>
      <c r="G97" s="191" t="s">
        <v>146</v>
      </c>
      <c r="H97" s="194"/>
      <c r="I97" s="208" t="s">
        <v>3507</v>
      </c>
      <c r="J97" s="209">
        <v>34879</v>
      </c>
      <c r="K97" s="208" t="str">
        <f t="shared" si="0"/>
        <v>3 years, 8 month(s), 19 day(s)</v>
      </c>
      <c r="L97" s="209">
        <v>44572</v>
      </c>
      <c r="M97" s="209"/>
      <c r="N97" s="193" t="s">
        <v>1788</v>
      </c>
      <c r="O97" s="210" t="s">
        <v>2770</v>
      </c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4.25" customHeight="1">
      <c r="A98" s="194">
        <v>96</v>
      </c>
      <c r="B98" s="190" t="s">
        <v>40</v>
      </c>
      <c r="C98" s="194" t="s">
        <v>3123</v>
      </c>
      <c r="D98" s="194">
        <v>14</v>
      </c>
      <c r="E98" s="203" t="s">
        <v>1187</v>
      </c>
      <c r="F98" s="203" t="s">
        <v>1737</v>
      </c>
      <c r="G98" s="203" t="s">
        <v>1589</v>
      </c>
      <c r="H98" s="194"/>
      <c r="I98" s="208" t="s">
        <v>3508</v>
      </c>
      <c r="J98" s="209">
        <v>28206</v>
      </c>
      <c r="K98" s="208" t="str">
        <f t="shared" si="0"/>
        <v>20 years, 1 month(s), 8 day(s)</v>
      </c>
      <c r="L98" s="209">
        <v>38586</v>
      </c>
      <c r="M98" s="209"/>
      <c r="N98" s="189" t="s">
        <v>1723</v>
      </c>
      <c r="O98" s="210" t="s">
        <v>2771</v>
      </c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4.25" customHeight="1">
      <c r="A99" s="194">
        <v>97</v>
      </c>
      <c r="B99" s="190" t="s">
        <v>40</v>
      </c>
      <c r="C99" s="194" t="s">
        <v>3123</v>
      </c>
      <c r="D99" s="194">
        <v>6</v>
      </c>
      <c r="E99" s="203" t="s">
        <v>1614</v>
      </c>
      <c r="F99" s="203" t="s">
        <v>1615</v>
      </c>
      <c r="G99" s="203" t="s">
        <v>365</v>
      </c>
      <c r="H99" s="194"/>
      <c r="I99" s="208" t="s">
        <v>3509</v>
      </c>
      <c r="J99" s="209">
        <v>25735</v>
      </c>
      <c r="K99" s="208" t="str">
        <f t="shared" si="0"/>
        <v>26 years, 8 month(s), 29 day(s)</v>
      </c>
      <c r="L99" s="209">
        <v>36161</v>
      </c>
      <c r="M99" s="209"/>
      <c r="N99" s="193" t="s">
        <v>1588</v>
      </c>
      <c r="O99" s="228" t="s">
        <v>2679</v>
      </c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4.25" customHeight="1">
      <c r="A100" s="194">
        <v>98</v>
      </c>
      <c r="B100" s="190" t="s">
        <v>160</v>
      </c>
      <c r="C100" s="194" t="s">
        <v>3123</v>
      </c>
      <c r="D100" s="194" t="s">
        <v>3311</v>
      </c>
      <c r="E100" s="203" t="s">
        <v>2604</v>
      </c>
      <c r="F100" s="203" t="s">
        <v>3312</v>
      </c>
      <c r="G100" s="203" t="s">
        <v>2606</v>
      </c>
      <c r="H100" s="194"/>
      <c r="I100" s="208" t="s">
        <v>3510</v>
      </c>
      <c r="J100" s="209">
        <v>28540</v>
      </c>
      <c r="K100" s="208" t="str">
        <f t="shared" si="0"/>
        <v>21 years, 0 month(s), 24 day(s)</v>
      </c>
      <c r="L100" s="209">
        <v>38236</v>
      </c>
      <c r="M100" s="209"/>
      <c r="N100" s="193" t="s">
        <v>3511</v>
      </c>
      <c r="O100" s="210" t="s">
        <v>3313</v>
      </c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4.25" customHeight="1">
      <c r="A101" s="194">
        <v>99</v>
      </c>
      <c r="B101" s="190" t="s">
        <v>253</v>
      </c>
      <c r="C101" s="194" t="s">
        <v>3123</v>
      </c>
      <c r="D101" s="194" t="s">
        <v>3512</v>
      </c>
      <c r="E101" s="203" t="s">
        <v>1855</v>
      </c>
      <c r="F101" s="203" t="s">
        <v>3513</v>
      </c>
      <c r="G101" s="203" t="s">
        <v>636</v>
      </c>
      <c r="H101" s="194"/>
      <c r="I101" s="208" t="s">
        <v>3514</v>
      </c>
      <c r="J101" s="209">
        <v>26960</v>
      </c>
      <c r="K101" s="208" t="str">
        <f t="shared" si="0"/>
        <v>15 years, 8 month(s), 12 day(s)</v>
      </c>
      <c r="L101" s="209">
        <v>40196</v>
      </c>
      <c r="M101" s="209"/>
      <c r="N101" s="189" t="s">
        <v>2279</v>
      </c>
      <c r="O101" s="210" t="s">
        <v>2848</v>
      </c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4.25" customHeight="1">
      <c r="A102" s="194">
        <v>100</v>
      </c>
      <c r="B102" s="190" t="s">
        <v>366</v>
      </c>
      <c r="C102" s="194" t="s">
        <v>3123</v>
      </c>
      <c r="D102" s="194">
        <v>207827</v>
      </c>
      <c r="E102" s="195" t="s">
        <v>1462</v>
      </c>
      <c r="F102" s="195" t="s">
        <v>1496</v>
      </c>
      <c r="G102" s="195" t="s">
        <v>1497</v>
      </c>
      <c r="H102" s="227"/>
      <c r="I102" s="208" t="s">
        <v>3515</v>
      </c>
      <c r="J102" s="209">
        <v>29184</v>
      </c>
      <c r="K102" s="208" t="str">
        <f t="shared" si="0"/>
        <v>15 years, 2 month(s), 29 day(s)</v>
      </c>
      <c r="L102" s="209">
        <v>40360</v>
      </c>
      <c r="M102" s="209"/>
      <c r="N102" s="189" t="s">
        <v>2420</v>
      </c>
      <c r="O102" s="212" t="s">
        <v>2849</v>
      </c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4.25" customHeight="1">
      <c r="A103" s="194">
        <v>101</v>
      </c>
      <c r="B103" s="190" t="s">
        <v>40</v>
      </c>
      <c r="C103" s="194" t="s">
        <v>3123</v>
      </c>
      <c r="D103" s="194">
        <v>13</v>
      </c>
      <c r="E103" s="203" t="s">
        <v>151</v>
      </c>
      <c r="F103" s="203" t="s">
        <v>1878</v>
      </c>
      <c r="G103" s="203" t="s">
        <v>971</v>
      </c>
      <c r="H103" s="194"/>
      <c r="I103" s="208" t="s">
        <v>3516</v>
      </c>
      <c r="J103" s="209">
        <v>22773</v>
      </c>
      <c r="K103" s="208" t="str">
        <f t="shared" si="0"/>
        <v>26 years, 8 month(s), 29 day(s)</v>
      </c>
      <c r="L103" s="209">
        <v>36161</v>
      </c>
      <c r="M103" s="209"/>
      <c r="N103" s="189" t="s">
        <v>1858</v>
      </c>
      <c r="O103" s="210" t="s">
        <v>2776</v>
      </c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4.25" customHeight="1">
      <c r="A104" s="194">
        <v>102</v>
      </c>
      <c r="B104" s="190" t="s">
        <v>40</v>
      </c>
      <c r="C104" s="194" t="s">
        <v>3123</v>
      </c>
      <c r="D104" s="194">
        <v>22</v>
      </c>
      <c r="E104" s="203" t="s">
        <v>1297</v>
      </c>
      <c r="F104" s="203" t="s">
        <v>1298</v>
      </c>
      <c r="G104" s="203" t="s">
        <v>1299</v>
      </c>
      <c r="H104" s="194" t="s">
        <v>268</v>
      </c>
      <c r="I104" s="208" t="s">
        <v>3517</v>
      </c>
      <c r="J104" s="209">
        <v>25785</v>
      </c>
      <c r="K104" s="208" t="str">
        <f t="shared" si="0"/>
        <v>25 years, 5 month(s), 12 day(s)</v>
      </c>
      <c r="L104" s="209">
        <v>36634</v>
      </c>
      <c r="M104" s="209"/>
      <c r="N104" s="189" t="s">
        <v>1296</v>
      </c>
      <c r="O104" s="210" t="s">
        <v>2777</v>
      </c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4.25" customHeight="1">
      <c r="A105" s="194">
        <v>103</v>
      </c>
      <c r="B105" s="190" t="s">
        <v>40</v>
      </c>
      <c r="C105" s="194" t="s">
        <v>3123</v>
      </c>
      <c r="D105" s="194">
        <v>12</v>
      </c>
      <c r="E105" s="203" t="s">
        <v>950</v>
      </c>
      <c r="F105" s="203" t="s">
        <v>951</v>
      </c>
      <c r="G105" s="203" t="s">
        <v>952</v>
      </c>
      <c r="H105" s="194"/>
      <c r="I105" s="208" t="s">
        <v>3518</v>
      </c>
      <c r="J105" s="209">
        <v>26346</v>
      </c>
      <c r="K105" s="208" t="str">
        <f t="shared" si="0"/>
        <v>19 years, 8 month(s), 11 day(s)</v>
      </c>
      <c r="L105" s="209">
        <v>38736</v>
      </c>
      <c r="M105" s="209"/>
      <c r="N105" s="189" t="s">
        <v>919</v>
      </c>
      <c r="O105" s="210" t="s">
        <v>2778</v>
      </c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4.25" customHeight="1">
      <c r="A106" s="194">
        <v>104</v>
      </c>
      <c r="B106" s="190" t="s">
        <v>40</v>
      </c>
      <c r="C106" s="194" t="s">
        <v>3123</v>
      </c>
      <c r="D106" s="194">
        <v>11</v>
      </c>
      <c r="E106" s="203" t="s">
        <v>1881</v>
      </c>
      <c r="F106" s="203" t="s">
        <v>1882</v>
      </c>
      <c r="G106" s="203" t="s">
        <v>1883</v>
      </c>
      <c r="H106" s="194"/>
      <c r="I106" s="208" t="s">
        <v>3519</v>
      </c>
      <c r="J106" s="209">
        <v>23560</v>
      </c>
      <c r="K106" s="208" t="str">
        <f t="shared" si="0"/>
        <v>26 years, 8 month(s), 29 day(s)</v>
      </c>
      <c r="L106" s="209">
        <v>36161</v>
      </c>
      <c r="M106" s="209"/>
      <c r="N106" s="189" t="s">
        <v>1858</v>
      </c>
      <c r="O106" s="210" t="s">
        <v>2779</v>
      </c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4.25" customHeight="1">
      <c r="A107" s="194">
        <v>105</v>
      </c>
      <c r="B107" s="190" t="s">
        <v>160</v>
      </c>
      <c r="C107" s="194" t="s">
        <v>3123</v>
      </c>
      <c r="D107" s="211" t="s">
        <v>3323</v>
      </c>
      <c r="E107" s="203" t="s">
        <v>1083</v>
      </c>
      <c r="F107" s="203" t="s">
        <v>1086</v>
      </c>
      <c r="G107" s="195" t="s">
        <v>1087</v>
      </c>
      <c r="H107" s="194"/>
      <c r="I107" s="208" t="s">
        <v>3520</v>
      </c>
      <c r="J107" s="209">
        <v>27501</v>
      </c>
      <c r="K107" s="208" t="str">
        <f t="shared" si="0"/>
        <v>17 years, 0 month(s), 29 day(s)</v>
      </c>
      <c r="L107" s="209">
        <v>39692</v>
      </c>
      <c r="M107" s="209"/>
      <c r="N107" s="193" t="s">
        <v>1065</v>
      </c>
      <c r="O107" s="210" t="s">
        <v>2984</v>
      </c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4.25" customHeight="1">
      <c r="A108" s="194">
        <v>106</v>
      </c>
      <c r="B108" s="190" t="s">
        <v>40</v>
      </c>
      <c r="C108" s="194" t="s">
        <v>3123</v>
      </c>
      <c r="D108" s="194">
        <v>19</v>
      </c>
      <c r="E108" s="203" t="s">
        <v>1426</v>
      </c>
      <c r="F108" s="203" t="s">
        <v>1427</v>
      </c>
      <c r="G108" s="203" t="s">
        <v>1428</v>
      </c>
      <c r="H108" s="194"/>
      <c r="I108" s="208" t="s">
        <v>3521</v>
      </c>
      <c r="J108" s="209">
        <v>27730</v>
      </c>
      <c r="K108" s="208" t="str">
        <f t="shared" si="0"/>
        <v>20 years, 1 month(s), 29 day(s)</v>
      </c>
      <c r="L108" s="209">
        <v>38565</v>
      </c>
      <c r="M108" s="209"/>
      <c r="N108" s="189" t="s">
        <v>1348</v>
      </c>
      <c r="O108" s="210" t="s">
        <v>2780</v>
      </c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4.25" customHeight="1">
      <c r="A109" s="194">
        <v>107</v>
      </c>
      <c r="B109" s="190" t="s">
        <v>160</v>
      </c>
      <c r="C109" s="194" t="s">
        <v>3123</v>
      </c>
      <c r="D109" s="194" t="s">
        <v>3324</v>
      </c>
      <c r="E109" s="203" t="s">
        <v>1291</v>
      </c>
      <c r="F109" s="203" t="s">
        <v>1292</v>
      </c>
      <c r="G109" s="203" t="s">
        <v>1293</v>
      </c>
      <c r="H109" s="194"/>
      <c r="I109" s="208" t="s">
        <v>3522</v>
      </c>
      <c r="J109" s="209">
        <v>28982</v>
      </c>
      <c r="K109" s="208" t="str">
        <f t="shared" si="0"/>
        <v>21 years, 0 month(s), 27 day(s)</v>
      </c>
      <c r="L109" s="209">
        <v>38233</v>
      </c>
      <c r="M109" s="209"/>
      <c r="N109" s="189" t="s">
        <v>1290</v>
      </c>
      <c r="O109" s="210" t="s">
        <v>3523</v>
      </c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4.25" customHeight="1">
      <c r="A110" s="194">
        <v>108</v>
      </c>
      <c r="B110" s="190" t="s">
        <v>160</v>
      </c>
      <c r="C110" s="194" t="s">
        <v>3123</v>
      </c>
      <c r="D110" s="194" t="s">
        <v>3325</v>
      </c>
      <c r="E110" s="203" t="s">
        <v>1622</v>
      </c>
      <c r="F110" s="203" t="s">
        <v>2588</v>
      </c>
      <c r="G110" s="203" t="s">
        <v>2589</v>
      </c>
      <c r="H110" s="194"/>
      <c r="I110" s="208" t="s">
        <v>3524</v>
      </c>
      <c r="J110" s="209">
        <v>28181</v>
      </c>
      <c r="K110" s="208" t="str">
        <f t="shared" si="0"/>
        <v>21 years, 0 month(s), 24 day(s)</v>
      </c>
      <c r="L110" s="209">
        <v>38236</v>
      </c>
      <c r="M110" s="209"/>
      <c r="N110" s="193" t="s">
        <v>1037</v>
      </c>
      <c r="O110" s="210" t="s">
        <v>3525</v>
      </c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4.25" customHeight="1">
      <c r="A111" s="194">
        <v>109</v>
      </c>
      <c r="B111" s="190" t="s">
        <v>40</v>
      </c>
      <c r="C111" s="194" t="s">
        <v>3123</v>
      </c>
      <c r="D111" s="194">
        <v>13</v>
      </c>
      <c r="E111" s="203" t="s">
        <v>1275</v>
      </c>
      <c r="F111" s="203" t="s">
        <v>1276</v>
      </c>
      <c r="G111" s="203" t="s">
        <v>1277</v>
      </c>
      <c r="H111" s="194"/>
      <c r="I111" s="208" t="s">
        <v>3526</v>
      </c>
      <c r="J111" s="209">
        <v>25497</v>
      </c>
      <c r="K111" s="208" t="str">
        <f t="shared" si="0"/>
        <v>26 years, 8 month(s), 29 day(s)</v>
      </c>
      <c r="L111" s="209">
        <v>36161</v>
      </c>
      <c r="M111" s="209"/>
      <c r="N111" s="189" t="s">
        <v>1804</v>
      </c>
      <c r="O111" s="210" t="s">
        <v>2781</v>
      </c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4.25" customHeight="1">
      <c r="A112" s="194">
        <v>110</v>
      </c>
      <c r="B112" s="190" t="s">
        <v>40</v>
      </c>
      <c r="C112" s="194" t="s">
        <v>3123</v>
      </c>
      <c r="D112" s="194">
        <v>14</v>
      </c>
      <c r="E112" s="203" t="s">
        <v>133</v>
      </c>
      <c r="F112" s="203" t="s">
        <v>134</v>
      </c>
      <c r="G112" s="203" t="s">
        <v>135</v>
      </c>
      <c r="H112" s="194"/>
      <c r="I112" s="208" t="s">
        <v>3527</v>
      </c>
      <c r="J112" s="209">
        <v>27238</v>
      </c>
      <c r="K112" s="208" t="str">
        <f t="shared" si="0"/>
        <v>19 years, 4 month(s), 22 day(s)</v>
      </c>
      <c r="L112" s="209">
        <v>38845</v>
      </c>
      <c r="M112" s="209"/>
      <c r="N112" s="189" t="s">
        <v>122</v>
      </c>
      <c r="O112" s="210" t="s">
        <v>2821</v>
      </c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4.25" customHeight="1">
      <c r="A113" s="194">
        <v>111</v>
      </c>
      <c r="B113" s="190" t="s">
        <v>160</v>
      </c>
      <c r="C113" s="194" t="s">
        <v>3123</v>
      </c>
      <c r="D113" s="194" t="s">
        <v>3299</v>
      </c>
      <c r="E113" s="203" t="s">
        <v>854</v>
      </c>
      <c r="F113" s="203" t="s">
        <v>2560</v>
      </c>
      <c r="G113" s="203" t="s">
        <v>2561</v>
      </c>
      <c r="H113" s="194"/>
      <c r="I113" s="208" t="s">
        <v>3528</v>
      </c>
      <c r="J113" s="209">
        <v>27430</v>
      </c>
      <c r="K113" s="208" t="str">
        <f t="shared" si="0"/>
        <v>17 years, 0 month(s), 29 day(s)</v>
      </c>
      <c r="L113" s="209">
        <v>39692</v>
      </c>
      <c r="M113" s="209"/>
      <c r="N113" s="189" t="s">
        <v>2556</v>
      </c>
      <c r="O113" s="210" t="s">
        <v>3529</v>
      </c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4.25" customHeight="1">
      <c r="A114" s="194">
        <v>112</v>
      </c>
      <c r="B114" s="190" t="s">
        <v>277</v>
      </c>
      <c r="C114" s="194" t="s">
        <v>3123</v>
      </c>
      <c r="D114" s="194">
        <v>151046</v>
      </c>
      <c r="E114" s="195" t="s">
        <v>1142</v>
      </c>
      <c r="F114" s="195" t="s">
        <v>3330</v>
      </c>
      <c r="G114" s="195" t="s">
        <v>1144</v>
      </c>
      <c r="H114" s="194"/>
      <c r="I114" s="208" t="s">
        <v>3530</v>
      </c>
      <c r="J114" s="209">
        <v>27317</v>
      </c>
      <c r="K114" s="208" t="str">
        <f t="shared" si="0"/>
        <v>22 years, 2 month(s), 2 day(s)</v>
      </c>
      <c r="L114" s="209">
        <v>37830</v>
      </c>
      <c r="M114" s="209"/>
      <c r="N114" s="193" t="s">
        <v>1065</v>
      </c>
      <c r="O114" s="212" t="s">
        <v>2854</v>
      </c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4.25" customHeight="1">
      <c r="A115" s="194">
        <v>113</v>
      </c>
      <c r="B115" s="190" t="s">
        <v>160</v>
      </c>
      <c r="C115" s="194" t="s">
        <v>3123</v>
      </c>
      <c r="D115" s="194" t="s">
        <v>3333</v>
      </c>
      <c r="E115" s="191" t="s">
        <v>1654</v>
      </c>
      <c r="F115" s="191" t="s">
        <v>1655</v>
      </c>
      <c r="G115" s="191" t="s">
        <v>1205</v>
      </c>
      <c r="H115" s="192"/>
      <c r="I115" s="208" t="s">
        <v>3531</v>
      </c>
      <c r="J115" s="209">
        <v>26691</v>
      </c>
      <c r="K115" s="208" t="str">
        <f t="shared" si="0"/>
        <v>23 years, 10 month(s), 24 day(s)</v>
      </c>
      <c r="L115" s="209">
        <v>37201</v>
      </c>
      <c r="M115" s="209"/>
      <c r="N115" s="193" t="s">
        <v>3532</v>
      </c>
      <c r="O115" s="210" t="s">
        <v>3533</v>
      </c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4.25" customHeight="1">
      <c r="A116" s="194">
        <v>114</v>
      </c>
      <c r="B116" s="190" t="s">
        <v>253</v>
      </c>
      <c r="C116" s="194" t="s">
        <v>3123</v>
      </c>
      <c r="D116" s="194" t="s">
        <v>3335</v>
      </c>
      <c r="E116" s="203" t="s">
        <v>2641</v>
      </c>
      <c r="F116" s="203" t="s">
        <v>792</v>
      </c>
      <c r="G116" s="203" t="s">
        <v>2643</v>
      </c>
      <c r="H116" s="194"/>
      <c r="I116" s="208" t="s">
        <v>3534</v>
      </c>
      <c r="J116" s="209">
        <v>28627</v>
      </c>
      <c r="K116" s="208" t="str">
        <f t="shared" si="0"/>
        <v>15 years, 8 month(s), 12 day(s)</v>
      </c>
      <c r="L116" s="209">
        <v>40196</v>
      </c>
      <c r="M116" s="209"/>
      <c r="N116" s="193" t="s">
        <v>2640</v>
      </c>
      <c r="O116" s="210" t="s">
        <v>2996</v>
      </c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4.25" customHeight="1">
      <c r="A117" s="194">
        <v>115</v>
      </c>
      <c r="B117" s="190" t="s">
        <v>253</v>
      </c>
      <c r="C117" s="194" t="s">
        <v>3123</v>
      </c>
      <c r="D117" s="194" t="s">
        <v>3336</v>
      </c>
      <c r="E117" s="203" t="s">
        <v>636</v>
      </c>
      <c r="F117" s="203" t="s">
        <v>2610</v>
      </c>
      <c r="G117" s="203" t="s">
        <v>2611</v>
      </c>
      <c r="H117" s="194"/>
      <c r="I117" s="208" t="s">
        <v>3535</v>
      </c>
      <c r="J117" s="209">
        <v>27908</v>
      </c>
      <c r="K117" s="208" t="str">
        <f t="shared" si="0"/>
        <v>15 years, 8 month(s), 12 day(s)</v>
      </c>
      <c r="L117" s="209">
        <v>40196</v>
      </c>
      <c r="M117" s="209"/>
      <c r="N117" s="193" t="s">
        <v>2609</v>
      </c>
      <c r="O117" s="210" t="s">
        <v>2875</v>
      </c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4.25" customHeight="1">
      <c r="A118" s="194">
        <v>116</v>
      </c>
      <c r="B118" s="190" t="s">
        <v>160</v>
      </c>
      <c r="C118" s="194" t="s">
        <v>3123</v>
      </c>
      <c r="D118" s="194" t="s">
        <v>3337</v>
      </c>
      <c r="E118" s="203" t="s">
        <v>636</v>
      </c>
      <c r="F118" s="203" t="s">
        <v>1657</v>
      </c>
      <c r="G118" s="203" t="s">
        <v>1658</v>
      </c>
      <c r="H118" s="194"/>
      <c r="I118" s="208" t="s">
        <v>3536</v>
      </c>
      <c r="J118" s="209">
        <v>28490</v>
      </c>
      <c r="K118" s="208" t="str">
        <f t="shared" si="0"/>
        <v>19 years, 8 month(s), 14 day(s)</v>
      </c>
      <c r="L118" s="209">
        <v>38733</v>
      </c>
      <c r="M118" s="209"/>
      <c r="N118" s="189" t="s">
        <v>1656</v>
      </c>
      <c r="O118" s="210" t="s">
        <v>3537</v>
      </c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4.25" customHeight="1">
      <c r="A119" s="194">
        <v>117</v>
      </c>
      <c r="B119" s="190" t="s">
        <v>40</v>
      </c>
      <c r="C119" s="194" t="s">
        <v>3123</v>
      </c>
      <c r="D119" s="194">
        <v>9</v>
      </c>
      <c r="E119" s="203" t="s">
        <v>1649</v>
      </c>
      <c r="F119" s="203" t="s">
        <v>1650</v>
      </c>
      <c r="G119" s="203" t="s">
        <v>1651</v>
      </c>
      <c r="H119" s="194"/>
      <c r="I119" s="208" t="s">
        <v>3538</v>
      </c>
      <c r="J119" s="209">
        <v>25115</v>
      </c>
      <c r="K119" s="208" t="str">
        <f t="shared" si="0"/>
        <v>20 years, 0 month(s), 0 day(s)</v>
      </c>
      <c r="L119" s="209">
        <v>38625</v>
      </c>
      <c r="M119" s="209"/>
      <c r="N119" s="189" t="s">
        <v>1638</v>
      </c>
      <c r="O119" s="210" t="s">
        <v>2682</v>
      </c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4.25" customHeight="1">
      <c r="A120" s="194">
        <v>118</v>
      </c>
      <c r="B120" s="190" t="s">
        <v>160</v>
      </c>
      <c r="C120" s="194" t="s">
        <v>3123</v>
      </c>
      <c r="D120" s="194" t="s">
        <v>3338</v>
      </c>
      <c r="E120" s="203" t="s">
        <v>468</v>
      </c>
      <c r="F120" s="203" t="s">
        <v>469</v>
      </c>
      <c r="G120" s="203" t="s">
        <v>470</v>
      </c>
      <c r="H120" s="194"/>
      <c r="I120" s="208" t="s">
        <v>3539</v>
      </c>
      <c r="J120" s="209">
        <v>27803</v>
      </c>
      <c r="K120" s="208" t="str">
        <f t="shared" si="0"/>
        <v>16 years, 9 month(s), 15 day(s)</v>
      </c>
      <c r="L120" s="209">
        <v>39797</v>
      </c>
      <c r="M120" s="209"/>
      <c r="N120" s="189" t="s">
        <v>467</v>
      </c>
      <c r="O120" s="210" t="s">
        <v>2848</v>
      </c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4.25" customHeight="1">
      <c r="A121" s="194">
        <v>119</v>
      </c>
      <c r="B121" s="190" t="s">
        <v>366</v>
      </c>
      <c r="C121" s="194" t="s">
        <v>3123</v>
      </c>
      <c r="D121" s="194">
        <v>151033</v>
      </c>
      <c r="E121" s="203" t="s">
        <v>452</v>
      </c>
      <c r="F121" s="203" t="s">
        <v>453</v>
      </c>
      <c r="G121" s="203" t="s">
        <v>454</v>
      </c>
      <c r="H121" s="194"/>
      <c r="I121" s="208" t="s">
        <v>3540</v>
      </c>
      <c r="J121" s="209">
        <v>26769</v>
      </c>
      <c r="K121" s="208" t="str">
        <f t="shared" si="0"/>
        <v>22 years, 2 month(s), 2 day(s)</v>
      </c>
      <c r="L121" s="209">
        <v>37830</v>
      </c>
      <c r="M121" s="209"/>
      <c r="N121" s="193" t="s">
        <v>1037</v>
      </c>
      <c r="O121" s="210" t="s">
        <v>3350</v>
      </c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4.25" customHeight="1">
      <c r="A122" s="194">
        <v>120</v>
      </c>
      <c r="B122" s="190" t="s">
        <v>366</v>
      </c>
      <c r="C122" s="194" t="s">
        <v>3123</v>
      </c>
      <c r="D122" s="194">
        <v>203701</v>
      </c>
      <c r="E122" s="195" t="s">
        <v>2192</v>
      </c>
      <c r="F122" s="195" t="s">
        <v>619</v>
      </c>
      <c r="G122" s="195" t="s">
        <v>2100</v>
      </c>
      <c r="H122" s="194"/>
      <c r="I122" s="208" t="s">
        <v>3541</v>
      </c>
      <c r="J122" s="209">
        <v>30013</v>
      </c>
      <c r="K122" s="208" t="str">
        <f t="shared" si="0"/>
        <v>15 years, 7 month(s), 29 day(s)</v>
      </c>
      <c r="L122" s="209">
        <v>40210</v>
      </c>
      <c r="M122" s="209"/>
      <c r="N122" s="189" t="s">
        <v>2186</v>
      </c>
      <c r="O122" s="212" t="s">
        <v>2849</v>
      </c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4.25" customHeight="1">
      <c r="A123" s="194">
        <v>121</v>
      </c>
      <c r="B123" s="190" t="s">
        <v>366</v>
      </c>
      <c r="C123" s="194" t="s">
        <v>3123</v>
      </c>
      <c r="D123" s="194">
        <v>203695</v>
      </c>
      <c r="E123" s="195" t="s">
        <v>1151</v>
      </c>
      <c r="F123" s="195" t="s">
        <v>1152</v>
      </c>
      <c r="G123" s="195" t="s">
        <v>1153</v>
      </c>
      <c r="H123" s="194"/>
      <c r="I123" s="208" t="s">
        <v>3542</v>
      </c>
      <c r="J123" s="209">
        <v>29979</v>
      </c>
      <c r="K123" s="208" t="str">
        <f t="shared" si="0"/>
        <v>15 years, 7 month(s), 29 day(s)</v>
      </c>
      <c r="L123" s="209">
        <v>40210</v>
      </c>
      <c r="M123" s="209"/>
      <c r="N123" s="193" t="s">
        <v>1065</v>
      </c>
      <c r="O123" s="212" t="s">
        <v>2854</v>
      </c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4.25" customHeight="1">
      <c r="A124" s="194">
        <v>122</v>
      </c>
      <c r="B124" s="190" t="s">
        <v>40</v>
      </c>
      <c r="C124" s="194" t="s">
        <v>3123</v>
      </c>
      <c r="D124" s="194">
        <v>15</v>
      </c>
      <c r="E124" s="203" t="s">
        <v>1363</v>
      </c>
      <c r="F124" s="203" t="s">
        <v>1364</v>
      </c>
      <c r="G124" s="203" t="s">
        <v>1365</v>
      </c>
      <c r="H124" s="194"/>
      <c r="I124" s="208" t="s">
        <v>3543</v>
      </c>
      <c r="J124" s="209">
        <v>23720</v>
      </c>
      <c r="K124" s="208" t="str">
        <f t="shared" si="0"/>
        <v>36 years, 5 month(s), 29 day(s)</v>
      </c>
      <c r="L124" s="209">
        <v>32599</v>
      </c>
      <c r="M124" s="209"/>
      <c r="N124" s="189" t="s">
        <v>1348</v>
      </c>
      <c r="O124" s="210" t="s">
        <v>2786</v>
      </c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4.25" customHeight="1">
      <c r="A125" s="194">
        <v>123</v>
      </c>
      <c r="B125" s="190" t="s">
        <v>366</v>
      </c>
      <c r="C125" s="194" t="s">
        <v>3123</v>
      </c>
      <c r="D125" s="194">
        <v>207843</v>
      </c>
      <c r="E125" s="203" t="s">
        <v>1128</v>
      </c>
      <c r="F125" s="203" t="s">
        <v>1156</v>
      </c>
      <c r="G125" s="203" t="s">
        <v>906</v>
      </c>
      <c r="H125" s="194"/>
      <c r="I125" s="208" t="s">
        <v>3544</v>
      </c>
      <c r="J125" s="209">
        <v>30562</v>
      </c>
      <c r="K125" s="208" t="str">
        <f t="shared" si="0"/>
        <v>15 years, 7 month(s), 29 day(s)</v>
      </c>
      <c r="L125" s="209">
        <v>40210</v>
      </c>
      <c r="M125" s="209"/>
      <c r="N125" s="193" t="s">
        <v>1065</v>
      </c>
      <c r="O125" s="212" t="s">
        <v>2854</v>
      </c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4.25" customHeight="1">
      <c r="A126" s="194">
        <v>124</v>
      </c>
      <c r="B126" s="190" t="s">
        <v>160</v>
      </c>
      <c r="C126" s="194" t="s">
        <v>3123</v>
      </c>
      <c r="D126" s="194" t="s">
        <v>3346</v>
      </c>
      <c r="E126" s="203" t="s">
        <v>807</v>
      </c>
      <c r="F126" s="203" t="s">
        <v>808</v>
      </c>
      <c r="G126" s="203" t="s">
        <v>809</v>
      </c>
      <c r="H126" s="194"/>
      <c r="I126" s="208" t="s">
        <v>3545</v>
      </c>
      <c r="J126" s="209">
        <v>26021</v>
      </c>
      <c r="K126" s="208" t="str">
        <f t="shared" si="0"/>
        <v>24 years, 10 month(s), 3 day(s)</v>
      </c>
      <c r="L126" s="209">
        <v>36857</v>
      </c>
      <c r="M126" s="209"/>
      <c r="N126" s="189" t="s">
        <v>801</v>
      </c>
      <c r="O126" s="210" t="s">
        <v>2904</v>
      </c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4.25" customHeight="1">
      <c r="A127" s="194">
        <v>125</v>
      </c>
      <c r="B127" s="190" t="s">
        <v>366</v>
      </c>
      <c r="C127" s="194" t="s">
        <v>3123</v>
      </c>
      <c r="D127" s="194">
        <v>196804</v>
      </c>
      <c r="E127" s="203" t="s">
        <v>2064</v>
      </c>
      <c r="F127" s="203" t="s">
        <v>2065</v>
      </c>
      <c r="G127" s="203" t="s">
        <v>2066</v>
      </c>
      <c r="H127" s="194"/>
      <c r="I127" s="208" t="s">
        <v>3546</v>
      </c>
      <c r="J127" s="209">
        <v>29212</v>
      </c>
      <c r="K127" s="208" t="str">
        <f t="shared" si="0"/>
        <v>16 years, 2 month(s), 29 day(s)</v>
      </c>
      <c r="L127" s="209">
        <v>39995</v>
      </c>
      <c r="M127" s="209"/>
      <c r="N127" s="193" t="s">
        <v>1037</v>
      </c>
      <c r="O127" s="210" t="s">
        <v>3350</v>
      </c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4.25" customHeight="1">
      <c r="A128" s="194">
        <v>126</v>
      </c>
      <c r="B128" s="190" t="s">
        <v>366</v>
      </c>
      <c r="C128" s="194" t="s">
        <v>3123</v>
      </c>
      <c r="D128" s="194">
        <v>196802</v>
      </c>
      <c r="E128" s="203" t="s">
        <v>1050</v>
      </c>
      <c r="F128" s="203" t="s">
        <v>1051</v>
      </c>
      <c r="G128" s="203" t="s">
        <v>1052</v>
      </c>
      <c r="H128" s="194"/>
      <c r="I128" s="208" t="s">
        <v>3547</v>
      </c>
      <c r="J128" s="209">
        <v>29102</v>
      </c>
      <c r="K128" s="208" t="str">
        <f t="shared" si="0"/>
        <v>16 years, 2 month(s), 29 day(s)</v>
      </c>
      <c r="L128" s="209">
        <v>39995</v>
      </c>
      <c r="M128" s="209"/>
      <c r="N128" s="189" t="s">
        <v>2051</v>
      </c>
      <c r="O128" s="212" t="s">
        <v>2849</v>
      </c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4.25" customHeight="1">
      <c r="A129" s="194">
        <v>127</v>
      </c>
      <c r="B129" s="190" t="s">
        <v>40</v>
      </c>
      <c r="C129" s="194" t="s">
        <v>3123</v>
      </c>
      <c r="D129" s="194">
        <v>15</v>
      </c>
      <c r="E129" s="203" t="s">
        <v>1470</v>
      </c>
      <c r="F129" s="203" t="s">
        <v>1471</v>
      </c>
      <c r="G129" s="203" t="s">
        <v>1472</v>
      </c>
      <c r="H129" s="194"/>
      <c r="I129" s="208" t="s">
        <v>3548</v>
      </c>
      <c r="J129" s="209">
        <v>29408</v>
      </c>
      <c r="K129" s="208" t="str">
        <f t="shared" si="0"/>
        <v>21 years, 7 month(s), 28 day(s)</v>
      </c>
      <c r="L129" s="209">
        <v>38019</v>
      </c>
      <c r="M129" s="209"/>
      <c r="N129" s="189" t="s">
        <v>1451</v>
      </c>
      <c r="O129" s="210" t="s">
        <v>2787</v>
      </c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4.25" customHeight="1">
      <c r="A130" s="194">
        <v>128</v>
      </c>
      <c r="B130" s="190" t="s">
        <v>20</v>
      </c>
      <c r="C130" s="194" t="s">
        <v>3123</v>
      </c>
      <c r="D130" s="211" t="s">
        <v>3549</v>
      </c>
      <c r="E130" s="203" t="s">
        <v>52</v>
      </c>
      <c r="F130" s="203" t="s">
        <v>3550</v>
      </c>
      <c r="G130" s="203" t="s">
        <v>54</v>
      </c>
      <c r="H130" s="194" t="s">
        <v>55</v>
      </c>
      <c r="I130" s="208" t="s">
        <v>3551</v>
      </c>
      <c r="J130" s="209">
        <v>25990</v>
      </c>
      <c r="K130" s="208" t="str">
        <f t="shared" si="0"/>
        <v>24 years, 10 month(s), 3 day(s)</v>
      </c>
      <c r="L130" s="209">
        <v>36857</v>
      </c>
      <c r="M130" s="209"/>
      <c r="N130" s="189" t="s">
        <v>51</v>
      </c>
      <c r="O130" s="210" t="s">
        <v>3552</v>
      </c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4.25" customHeight="1">
      <c r="A131" s="194">
        <v>129</v>
      </c>
      <c r="B131" s="200" t="s">
        <v>160</v>
      </c>
      <c r="C131" s="194" t="s">
        <v>3123</v>
      </c>
      <c r="D131" s="194" t="s">
        <v>3357</v>
      </c>
      <c r="E131" s="203" t="s">
        <v>1811</v>
      </c>
      <c r="F131" s="203" t="s">
        <v>400</v>
      </c>
      <c r="G131" s="203" t="s">
        <v>1812</v>
      </c>
      <c r="H131" s="194"/>
      <c r="I131" s="208" t="s">
        <v>3553</v>
      </c>
      <c r="J131" s="209">
        <v>29587</v>
      </c>
      <c r="K131" s="208" t="str">
        <f t="shared" si="0"/>
        <v>21 years, 0 month(s), 24 day(s)</v>
      </c>
      <c r="L131" s="209">
        <v>38236</v>
      </c>
      <c r="M131" s="209"/>
      <c r="N131" s="199" t="s">
        <v>1810</v>
      </c>
      <c r="O131" s="228" t="s">
        <v>3554</v>
      </c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4.25" customHeight="1">
      <c r="A132" s="194">
        <v>130</v>
      </c>
      <c r="B132" s="190" t="s">
        <v>40</v>
      </c>
      <c r="C132" s="194" t="s">
        <v>3123</v>
      </c>
      <c r="D132" s="194">
        <v>7</v>
      </c>
      <c r="E132" s="203" t="s">
        <v>426</v>
      </c>
      <c r="F132" s="203" t="s">
        <v>427</v>
      </c>
      <c r="G132" s="203" t="s">
        <v>423</v>
      </c>
      <c r="H132" s="194"/>
      <c r="I132" s="208" t="s">
        <v>3555</v>
      </c>
      <c r="J132" s="209">
        <v>26023</v>
      </c>
      <c r="K132" s="208" t="str">
        <f t="shared" si="0"/>
        <v>26 years, 8 month(s), 29 day(s)</v>
      </c>
      <c r="L132" s="209">
        <v>36161</v>
      </c>
      <c r="M132" s="209"/>
      <c r="N132" s="193" t="s">
        <v>411</v>
      </c>
      <c r="O132" s="210" t="s">
        <v>2716</v>
      </c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4.25" customHeight="1">
      <c r="A133" s="194">
        <v>131</v>
      </c>
      <c r="B133" s="190" t="s">
        <v>366</v>
      </c>
      <c r="C133" s="194" t="s">
        <v>3123</v>
      </c>
      <c r="D133" s="194">
        <v>203706</v>
      </c>
      <c r="E133" s="195" t="s">
        <v>2119</v>
      </c>
      <c r="F133" s="195" t="s">
        <v>2120</v>
      </c>
      <c r="G133" s="195" t="s">
        <v>2121</v>
      </c>
      <c r="H133" s="194"/>
      <c r="I133" s="208" t="s">
        <v>3556</v>
      </c>
      <c r="J133" s="209">
        <v>30480</v>
      </c>
      <c r="K133" s="208" t="str">
        <f t="shared" si="0"/>
        <v>15 years, 7 month(s), 29 day(s)</v>
      </c>
      <c r="L133" s="209">
        <v>40210</v>
      </c>
      <c r="M133" s="209"/>
      <c r="N133" s="193" t="s">
        <v>1037</v>
      </c>
      <c r="O133" s="210" t="s">
        <v>3350</v>
      </c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4.25" customHeight="1">
      <c r="A134" s="194">
        <v>132</v>
      </c>
      <c r="B134" s="190" t="s">
        <v>40</v>
      </c>
      <c r="C134" s="194" t="s">
        <v>3123</v>
      </c>
      <c r="D134" s="194">
        <v>19</v>
      </c>
      <c r="E134" s="203" t="s">
        <v>1224</v>
      </c>
      <c r="F134" s="203" t="s">
        <v>1225</v>
      </c>
      <c r="G134" s="203" t="s">
        <v>1226</v>
      </c>
      <c r="H134" s="194"/>
      <c r="I134" s="208" t="s">
        <v>3557</v>
      </c>
      <c r="J134" s="209">
        <v>27419</v>
      </c>
      <c r="K134" s="208" t="str">
        <f t="shared" si="0"/>
        <v>26 years, 4 month(s), 29 day(s)</v>
      </c>
      <c r="L134" s="209">
        <v>36281</v>
      </c>
      <c r="M134" s="209"/>
      <c r="N134" s="193" t="s">
        <v>1065</v>
      </c>
      <c r="O134" s="210" t="s">
        <v>2793</v>
      </c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4.25" customHeight="1">
      <c r="A135" s="194">
        <v>133</v>
      </c>
      <c r="B135" s="190" t="s">
        <v>40</v>
      </c>
      <c r="C135" s="194" t="s">
        <v>3123</v>
      </c>
      <c r="D135" s="194">
        <v>7</v>
      </c>
      <c r="E135" s="203" t="s">
        <v>149</v>
      </c>
      <c r="F135" s="203" t="s">
        <v>150</v>
      </c>
      <c r="G135" s="203" t="s">
        <v>151</v>
      </c>
      <c r="H135" s="194"/>
      <c r="I135" s="208" t="s">
        <v>3558</v>
      </c>
      <c r="J135" s="209">
        <v>30674</v>
      </c>
      <c r="K135" s="208" t="str">
        <f t="shared" si="0"/>
        <v>20 years, 1 month(s), 29 day(s)</v>
      </c>
      <c r="L135" s="209">
        <v>38565</v>
      </c>
      <c r="M135" s="209"/>
      <c r="N135" s="189" t="s">
        <v>138</v>
      </c>
      <c r="O135" s="210" t="s">
        <v>2714</v>
      </c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4.25" customHeight="1">
      <c r="A136" s="194">
        <v>134</v>
      </c>
      <c r="B136" s="190" t="s">
        <v>40</v>
      </c>
      <c r="C136" s="194" t="s">
        <v>3123</v>
      </c>
      <c r="D136" s="194">
        <v>17</v>
      </c>
      <c r="E136" s="203" t="s">
        <v>1475</v>
      </c>
      <c r="F136" s="203" t="s">
        <v>1476</v>
      </c>
      <c r="G136" s="203" t="s">
        <v>1477</v>
      </c>
      <c r="H136" s="194"/>
      <c r="I136" s="208" t="s">
        <v>3559</v>
      </c>
      <c r="J136" s="209">
        <v>27295</v>
      </c>
      <c r="K136" s="208" t="str">
        <f t="shared" si="0"/>
        <v>26 years, 8 month(s), 29 day(s)</v>
      </c>
      <c r="L136" s="209">
        <v>36161</v>
      </c>
      <c r="M136" s="209"/>
      <c r="N136" s="189" t="s">
        <v>1451</v>
      </c>
      <c r="O136" s="210" t="s">
        <v>2674</v>
      </c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4.25" customHeight="1">
      <c r="A137" s="194">
        <v>135</v>
      </c>
      <c r="B137" s="190" t="s">
        <v>40</v>
      </c>
      <c r="C137" s="194" t="s">
        <v>3123</v>
      </c>
      <c r="D137" s="194">
        <v>11</v>
      </c>
      <c r="E137" s="203" t="s">
        <v>1886</v>
      </c>
      <c r="F137" s="203" t="s">
        <v>1887</v>
      </c>
      <c r="G137" s="203" t="s">
        <v>1689</v>
      </c>
      <c r="H137" s="194"/>
      <c r="I137" s="208" t="s">
        <v>3560</v>
      </c>
      <c r="J137" s="209">
        <v>27827</v>
      </c>
      <c r="K137" s="208" t="str">
        <f t="shared" si="0"/>
        <v>25 years, 5 month(s), 12 day(s)</v>
      </c>
      <c r="L137" s="209">
        <v>36634</v>
      </c>
      <c r="M137" s="209"/>
      <c r="N137" s="189" t="s">
        <v>1858</v>
      </c>
      <c r="O137" s="210" t="s">
        <v>2794</v>
      </c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4.25" customHeight="1">
      <c r="A138" s="194">
        <v>136</v>
      </c>
      <c r="B138" s="190" t="s">
        <v>160</v>
      </c>
      <c r="C138" s="194" t="s">
        <v>3123</v>
      </c>
      <c r="D138" s="194" t="s">
        <v>3369</v>
      </c>
      <c r="E138" s="203" t="s">
        <v>2656</v>
      </c>
      <c r="F138" s="203" t="s">
        <v>684</v>
      </c>
      <c r="G138" s="203" t="s">
        <v>2657</v>
      </c>
      <c r="H138" s="194"/>
      <c r="I138" s="208" t="s">
        <v>3561</v>
      </c>
      <c r="J138" s="209">
        <v>29574</v>
      </c>
      <c r="K138" s="208" t="str">
        <f t="shared" si="0"/>
        <v>17 years, 0 month(s), 29 day(s)</v>
      </c>
      <c r="L138" s="209">
        <v>39692</v>
      </c>
      <c r="M138" s="209"/>
      <c r="N138" s="193" t="s">
        <v>2655</v>
      </c>
      <c r="O138" s="210" t="s">
        <v>2989</v>
      </c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spans="1:26" ht="14.25" customHeight="1">
      <c r="A139" s="194">
        <v>137</v>
      </c>
      <c r="B139" s="190" t="s">
        <v>366</v>
      </c>
      <c r="C139" s="194" t="s">
        <v>3123</v>
      </c>
      <c r="D139" s="194">
        <v>196796</v>
      </c>
      <c r="E139" s="203" t="s">
        <v>1055</v>
      </c>
      <c r="F139" s="203" t="s">
        <v>690</v>
      </c>
      <c r="G139" s="203" t="s">
        <v>1056</v>
      </c>
      <c r="H139" s="194"/>
      <c r="I139" s="208" t="s">
        <v>3562</v>
      </c>
      <c r="J139" s="209">
        <v>29110</v>
      </c>
      <c r="K139" s="208" t="str">
        <f t="shared" si="0"/>
        <v>16 years, 2 month(s), 29 day(s)</v>
      </c>
      <c r="L139" s="209">
        <v>39995</v>
      </c>
      <c r="M139" s="209"/>
      <c r="N139" s="189" t="s">
        <v>2051</v>
      </c>
      <c r="O139" s="212" t="s">
        <v>2849</v>
      </c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spans="1:26" ht="12.75" customHeight="1">
      <c r="A140" s="185"/>
      <c r="B140" s="185"/>
      <c r="C140" s="3"/>
      <c r="D140" s="3"/>
      <c r="E140" s="185"/>
      <c r="F140" s="185"/>
      <c r="G140" s="185"/>
      <c r="H140" s="3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spans="1:26" ht="12.75" customHeight="1"/>
    <row r="142" spans="1:26" ht="12.75" customHeight="1"/>
    <row r="143" spans="1:26" ht="12.75" customHeight="1"/>
    <row r="144" spans="1:26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sqref="A1:G1"/>
    </sheetView>
  </sheetViews>
  <sheetFormatPr defaultColWidth="12.5703125" defaultRowHeight="15" customHeight="1"/>
  <cols>
    <col min="1" max="1" width="9.140625" customWidth="1"/>
    <col min="2" max="2" width="21.7109375" customWidth="1"/>
    <col min="3" max="3" width="10.85546875" customWidth="1"/>
    <col min="4" max="4" width="16.28515625" customWidth="1"/>
    <col min="5" max="5" width="21.140625" customWidth="1"/>
    <col min="6" max="6" width="14.7109375" customWidth="1"/>
    <col min="7" max="7" width="6.42578125" customWidth="1"/>
    <col min="8" max="26" width="9.140625" customWidth="1"/>
  </cols>
  <sheetData>
    <row r="1" spans="1:26" ht="27.75" customHeight="1">
      <c r="A1" s="398" t="s">
        <v>3563</v>
      </c>
      <c r="B1" s="399"/>
      <c r="C1" s="399"/>
      <c r="D1" s="399"/>
      <c r="E1" s="399"/>
      <c r="F1" s="399"/>
      <c r="G1" s="399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6" ht="25.5" customHeight="1">
      <c r="A2" s="186" t="s">
        <v>6</v>
      </c>
      <c r="B2" s="186" t="s">
        <v>7</v>
      </c>
      <c r="C2" s="186" t="s">
        <v>9</v>
      </c>
      <c r="D2" s="186" t="s">
        <v>10</v>
      </c>
      <c r="E2" s="186" t="s">
        <v>11</v>
      </c>
      <c r="F2" s="186" t="s">
        <v>12</v>
      </c>
      <c r="G2" s="187" t="s">
        <v>13</v>
      </c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8" customHeight="1">
      <c r="A3" s="188">
        <v>1</v>
      </c>
      <c r="B3" s="189" t="s">
        <v>3564</v>
      </c>
      <c r="C3" s="190" t="s">
        <v>160</v>
      </c>
      <c r="D3" s="191" t="s">
        <v>318</v>
      </c>
      <c r="E3" s="191" t="s">
        <v>925</v>
      </c>
      <c r="F3" s="191" t="s">
        <v>926</v>
      </c>
      <c r="G3" s="192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spans="1:26" ht="18" customHeight="1">
      <c r="A4" s="188">
        <v>2</v>
      </c>
      <c r="B4" s="189" t="s">
        <v>3565</v>
      </c>
      <c r="C4" s="190" t="s">
        <v>160</v>
      </c>
      <c r="D4" s="191" t="s">
        <v>920</v>
      </c>
      <c r="E4" s="191" t="s">
        <v>501</v>
      </c>
      <c r="F4" s="191" t="s">
        <v>921</v>
      </c>
      <c r="G4" s="192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spans="1:26" ht="18" customHeight="1">
      <c r="A5" s="188">
        <v>3</v>
      </c>
      <c r="B5" s="193" t="s">
        <v>1065</v>
      </c>
      <c r="C5" s="190" t="s">
        <v>160</v>
      </c>
      <c r="D5" s="191" t="s">
        <v>1076</v>
      </c>
      <c r="E5" s="191" t="s">
        <v>1077</v>
      </c>
      <c r="F5" s="191" t="s">
        <v>647</v>
      </c>
      <c r="G5" s="192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spans="1:26" ht="18" customHeight="1">
      <c r="A6" s="188">
        <v>4</v>
      </c>
      <c r="B6" s="189" t="s">
        <v>3413</v>
      </c>
      <c r="C6" s="190" t="s">
        <v>160</v>
      </c>
      <c r="D6" s="191" t="s">
        <v>3409</v>
      </c>
      <c r="E6" s="191" t="s">
        <v>3410</v>
      </c>
      <c r="F6" s="191" t="s">
        <v>3411</v>
      </c>
      <c r="G6" s="192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spans="1:26" ht="18" customHeight="1">
      <c r="A7" s="188">
        <v>5</v>
      </c>
      <c r="B7" s="193" t="s">
        <v>3566</v>
      </c>
      <c r="C7" s="190" t="s">
        <v>160</v>
      </c>
      <c r="D7" s="191" t="s">
        <v>1481</v>
      </c>
      <c r="E7" s="191" t="s">
        <v>1482</v>
      </c>
      <c r="F7" s="191" t="s">
        <v>1483</v>
      </c>
      <c r="G7" s="192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26" ht="18" customHeight="1">
      <c r="A8" s="188">
        <v>6</v>
      </c>
      <c r="B8" s="193" t="s">
        <v>601</v>
      </c>
      <c r="C8" s="190" t="s">
        <v>160</v>
      </c>
      <c r="D8" s="191" t="s">
        <v>602</v>
      </c>
      <c r="E8" s="191" t="s">
        <v>603</v>
      </c>
      <c r="F8" s="191" t="s">
        <v>604</v>
      </c>
      <c r="G8" s="192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spans="1:26" ht="18" customHeight="1">
      <c r="A9" s="188">
        <v>7</v>
      </c>
      <c r="B9" s="43" t="s">
        <v>3567</v>
      </c>
      <c r="C9" s="194" t="s">
        <v>160</v>
      </c>
      <c r="D9" s="195" t="s">
        <v>1081</v>
      </c>
      <c r="E9" s="195" t="s">
        <v>1082</v>
      </c>
      <c r="F9" s="195" t="s">
        <v>1083</v>
      </c>
      <c r="G9" s="192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spans="1:26" ht="18" customHeight="1">
      <c r="A10" s="188">
        <v>8</v>
      </c>
      <c r="B10" s="193" t="s">
        <v>3568</v>
      </c>
      <c r="C10" s="190" t="s">
        <v>160</v>
      </c>
      <c r="D10" s="191" t="s">
        <v>3450</v>
      </c>
      <c r="E10" s="191" t="s">
        <v>3451</v>
      </c>
      <c r="F10" s="191" t="s">
        <v>3452</v>
      </c>
      <c r="G10" s="192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spans="1:26" ht="18" customHeight="1">
      <c r="A11" s="188">
        <v>9</v>
      </c>
      <c r="B11" s="193" t="s">
        <v>1065</v>
      </c>
      <c r="C11" s="190" t="s">
        <v>160</v>
      </c>
      <c r="D11" s="191" t="s">
        <v>1084</v>
      </c>
      <c r="E11" s="191" t="s">
        <v>1085</v>
      </c>
      <c r="F11" s="191" t="s">
        <v>256</v>
      </c>
      <c r="G11" s="192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spans="1:26" ht="18" customHeight="1">
      <c r="A12" s="188">
        <v>10</v>
      </c>
      <c r="B12" s="189" t="s">
        <v>801</v>
      </c>
      <c r="C12" s="196" t="s">
        <v>160</v>
      </c>
      <c r="D12" s="191" t="s">
        <v>2019</v>
      </c>
      <c r="E12" s="197" t="s">
        <v>2174</v>
      </c>
      <c r="F12" s="197" t="s">
        <v>2175</v>
      </c>
      <c r="G12" s="198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spans="1:26" ht="18" customHeight="1">
      <c r="A13" s="188">
        <v>11</v>
      </c>
      <c r="B13" s="193" t="s">
        <v>1065</v>
      </c>
      <c r="C13" s="190" t="s">
        <v>160</v>
      </c>
      <c r="D13" s="191" t="s">
        <v>1083</v>
      </c>
      <c r="E13" s="191" t="s">
        <v>1086</v>
      </c>
      <c r="F13" s="191" t="s">
        <v>1087</v>
      </c>
      <c r="G13" s="192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spans="1:26" ht="18" customHeight="1">
      <c r="A14" s="188">
        <v>12</v>
      </c>
      <c r="B14" s="189" t="s">
        <v>801</v>
      </c>
      <c r="C14" s="190" t="s">
        <v>160</v>
      </c>
      <c r="D14" s="191" t="s">
        <v>1291</v>
      </c>
      <c r="E14" s="191" t="s">
        <v>1292</v>
      </c>
      <c r="F14" s="191" t="s">
        <v>1293</v>
      </c>
      <c r="G14" s="192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spans="1:26" ht="18" customHeight="1">
      <c r="A15" s="188">
        <v>13</v>
      </c>
      <c r="B15" s="193" t="s">
        <v>3569</v>
      </c>
      <c r="C15" s="190" t="s">
        <v>160</v>
      </c>
      <c r="D15" s="191" t="s">
        <v>1654</v>
      </c>
      <c r="E15" s="191" t="s">
        <v>1655</v>
      </c>
      <c r="F15" s="191" t="s">
        <v>1205</v>
      </c>
      <c r="G15" s="192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spans="1:26" ht="18" customHeight="1">
      <c r="A16" s="188">
        <v>14</v>
      </c>
      <c r="B16" s="189" t="s">
        <v>1656</v>
      </c>
      <c r="C16" s="190" t="s">
        <v>160</v>
      </c>
      <c r="D16" s="191" t="s">
        <v>636</v>
      </c>
      <c r="E16" s="191" t="s">
        <v>1657</v>
      </c>
      <c r="F16" s="191" t="s">
        <v>1658</v>
      </c>
      <c r="G16" s="192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spans="1:26" ht="18" customHeight="1">
      <c r="A17" s="188">
        <v>15</v>
      </c>
      <c r="B17" s="189" t="s">
        <v>467</v>
      </c>
      <c r="C17" s="190" t="s">
        <v>160</v>
      </c>
      <c r="D17" s="191" t="s">
        <v>468</v>
      </c>
      <c r="E17" s="191" t="s">
        <v>469</v>
      </c>
      <c r="F17" s="191" t="s">
        <v>470</v>
      </c>
      <c r="G17" s="192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spans="1:26" ht="18" customHeight="1">
      <c r="A18" s="188">
        <v>16</v>
      </c>
      <c r="B18" s="189" t="s">
        <v>801</v>
      </c>
      <c r="C18" s="190" t="s">
        <v>160</v>
      </c>
      <c r="D18" s="191" t="s">
        <v>807</v>
      </c>
      <c r="E18" s="191" t="s">
        <v>808</v>
      </c>
      <c r="F18" s="191" t="s">
        <v>809</v>
      </c>
      <c r="G18" s="192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spans="1:26" ht="18" customHeight="1">
      <c r="A19" s="188">
        <v>17</v>
      </c>
      <c r="B19" s="199" t="s">
        <v>1810</v>
      </c>
      <c r="C19" s="200" t="s">
        <v>160</v>
      </c>
      <c r="D19" s="201" t="s">
        <v>1811</v>
      </c>
      <c r="E19" s="201" t="s">
        <v>400</v>
      </c>
      <c r="F19" s="201" t="s">
        <v>1812</v>
      </c>
      <c r="G19" s="202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spans="1:26" ht="18" customHeight="1">
      <c r="A20" s="188">
        <v>18</v>
      </c>
      <c r="B20" s="193" t="s">
        <v>3570</v>
      </c>
      <c r="C20" s="190" t="s">
        <v>160</v>
      </c>
      <c r="D20" s="191" t="s">
        <v>3571</v>
      </c>
      <c r="E20" s="191" t="s">
        <v>3572</v>
      </c>
      <c r="F20" s="191" t="s">
        <v>3573</v>
      </c>
      <c r="G20" s="192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spans="1:26" ht="18" customHeight="1">
      <c r="A21" s="188">
        <v>19</v>
      </c>
      <c r="B21" s="193" t="s">
        <v>283</v>
      </c>
      <c r="C21" s="194" t="s">
        <v>253</v>
      </c>
      <c r="D21" s="191" t="s">
        <v>284</v>
      </c>
      <c r="E21" s="191" t="s">
        <v>285</v>
      </c>
      <c r="F21" s="191" t="s">
        <v>286</v>
      </c>
      <c r="G21" s="192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spans="1:26" ht="18" customHeight="1">
      <c r="A22" s="188">
        <v>20</v>
      </c>
      <c r="B22" s="193" t="s">
        <v>779</v>
      </c>
      <c r="C22" s="194" t="s">
        <v>253</v>
      </c>
      <c r="D22" s="191" t="s">
        <v>780</v>
      </c>
      <c r="E22" s="191" t="s">
        <v>781</v>
      </c>
      <c r="F22" s="191" t="s">
        <v>782</v>
      </c>
      <c r="G22" s="192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spans="1:26" ht="18" customHeight="1">
      <c r="A23" s="188">
        <v>21</v>
      </c>
      <c r="B23" s="193" t="s">
        <v>1065</v>
      </c>
      <c r="C23" s="194" t="s">
        <v>253</v>
      </c>
      <c r="D23" s="191" t="s">
        <v>1090</v>
      </c>
      <c r="E23" s="191" t="s">
        <v>1091</v>
      </c>
      <c r="F23" s="191" t="s">
        <v>1092</v>
      </c>
      <c r="G23" s="192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spans="1:26" ht="18" customHeight="1">
      <c r="A24" s="188">
        <v>22</v>
      </c>
      <c r="B24" s="189" t="s">
        <v>801</v>
      </c>
      <c r="C24" s="194" t="s">
        <v>253</v>
      </c>
      <c r="D24" s="191" t="s">
        <v>2047</v>
      </c>
      <c r="E24" s="191" t="s">
        <v>1186</v>
      </c>
      <c r="F24" s="191" t="s">
        <v>2048</v>
      </c>
      <c r="G24" s="192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spans="1:26" ht="18" customHeight="1">
      <c r="A25" s="188">
        <v>24</v>
      </c>
      <c r="B25" s="193" t="s">
        <v>1065</v>
      </c>
      <c r="C25" s="194" t="s">
        <v>253</v>
      </c>
      <c r="D25" s="191" t="s">
        <v>836</v>
      </c>
      <c r="E25" s="191" t="s">
        <v>1095</v>
      </c>
      <c r="F25" s="191" t="s">
        <v>1096</v>
      </c>
      <c r="G25" s="192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spans="1:26" ht="18" customHeight="1">
      <c r="A26" s="188">
        <v>25</v>
      </c>
      <c r="B26" s="193" t="s">
        <v>301</v>
      </c>
      <c r="C26" s="194" t="s">
        <v>253</v>
      </c>
      <c r="D26" s="191" t="s">
        <v>256</v>
      </c>
      <c r="E26" s="191" t="s">
        <v>302</v>
      </c>
      <c r="F26" s="191" t="s">
        <v>303</v>
      </c>
      <c r="G26" s="192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spans="1:26" ht="18" customHeight="1">
      <c r="A27" s="188">
        <v>26</v>
      </c>
      <c r="B27" s="193" t="s">
        <v>301</v>
      </c>
      <c r="C27" s="194" t="s">
        <v>253</v>
      </c>
      <c r="D27" s="191" t="s">
        <v>306</v>
      </c>
      <c r="E27" s="191" t="s">
        <v>307</v>
      </c>
      <c r="F27" s="191" t="s">
        <v>308</v>
      </c>
      <c r="G27" s="192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spans="1:26" ht="18" customHeight="1">
      <c r="A28" s="188">
        <v>27</v>
      </c>
      <c r="B28" s="193" t="s">
        <v>411</v>
      </c>
      <c r="C28" s="194" t="s">
        <v>253</v>
      </c>
      <c r="D28" s="191" t="s">
        <v>412</v>
      </c>
      <c r="E28" s="191" t="s">
        <v>413</v>
      </c>
      <c r="F28" s="191" t="s">
        <v>414</v>
      </c>
      <c r="G28" s="192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spans="1:26" ht="18" customHeight="1">
      <c r="A29" s="188">
        <v>28</v>
      </c>
      <c r="B29" s="193" t="s">
        <v>729</v>
      </c>
      <c r="C29" s="194" t="s">
        <v>253</v>
      </c>
      <c r="D29" s="191" t="s">
        <v>730</v>
      </c>
      <c r="E29" s="191" t="s">
        <v>731</v>
      </c>
      <c r="F29" s="191" t="s">
        <v>732</v>
      </c>
      <c r="G29" s="192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spans="1:26" ht="18" customHeight="1">
      <c r="A30" s="188">
        <v>29</v>
      </c>
      <c r="B30" s="193" t="s">
        <v>252</v>
      </c>
      <c r="C30" s="194" t="s">
        <v>253</v>
      </c>
      <c r="D30" s="191" t="s">
        <v>254</v>
      </c>
      <c r="E30" s="191" t="s">
        <v>255</v>
      </c>
      <c r="F30" s="191" t="s">
        <v>256</v>
      </c>
      <c r="G30" s="192" t="s">
        <v>55</v>
      </c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spans="1:26" ht="18" customHeight="1">
      <c r="A31" s="188">
        <v>30</v>
      </c>
      <c r="B31" s="193" t="s">
        <v>392</v>
      </c>
      <c r="C31" s="194" t="s">
        <v>253</v>
      </c>
      <c r="D31" s="191" t="s">
        <v>393</v>
      </c>
      <c r="E31" s="191" t="s">
        <v>394</v>
      </c>
      <c r="F31" s="191" t="s">
        <v>395</v>
      </c>
      <c r="G31" s="192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</row>
    <row r="32" spans="1:26" ht="18" customHeight="1">
      <c r="A32" s="188">
        <v>31</v>
      </c>
      <c r="B32" s="193" t="s">
        <v>352</v>
      </c>
      <c r="C32" s="194" t="s">
        <v>253</v>
      </c>
      <c r="D32" s="191" t="s">
        <v>353</v>
      </c>
      <c r="E32" s="191" t="s">
        <v>354</v>
      </c>
      <c r="F32" s="191" t="s">
        <v>355</v>
      </c>
      <c r="G32" s="192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</row>
    <row r="33" spans="1:26" ht="18" customHeight="1">
      <c r="A33" s="188">
        <v>32</v>
      </c>
      <c r="B33" s="193" t="s">
        <v>650</v>
      </c>
      <c r="C33" s="194" t="s">
        <v>253</v>
      </c>
      <c r="D33" s="191" t="s">
        <v>651</v>
      </c>
      <c r="E33" s="191" t="s">
        <v>652</v>
      </c>
      <c r="F33" s="203" t="s">
        <v>653</v>
      </c>
      <c r="G33" s="192" t="s">
        <v>268</v>
      </c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</row>
    <row r="34" spans="1:26" ht="18" customHeight="1">
      <c r="A34" s="188">
        <v>33</v>
      </c>
      <c r="B34" s="193" t="s">
        <v>607</v>
      </c>
      <c r="C34" s="194" t="s">
        <v>253</v>
      </c>
      <c r="D34" s="191" t="s">
        <v>2039</v>
      </c>
      <c r="E34" s="191" t="s">
        <v>2040</v>
      </c>
      <c r="F34" s="191" t="s">
        <v>2041</v>
      </c>
      <c r="G34" s="192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</row>
    <row r="35" spans="1:26" ht="18" customHeight="1">
      <c r="A35" s="188">
        <v>34</v>
      </c>
      <c r="B35" s="193" t="s">
        <v>763</v>
      </c>
      <c r="C35" s="190" t="s">
        <v>253</v>
      </c>
      <c r="D35" s="191" t="s">
        <v>636</v>
      </c>
      <c r="E35" s="191" t="s">
        <v>2610</v>
      </c>
      <c r="F35" s="191" t="s">
        <v>2611</v>
      </c>
      <c r="G35" s="192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</row>
    <row r="36" spans="1:26" ht="18" customHeight="1">
      <c r="A36" s="188">
        <v>35</v>
      </c>
      <c r="B36" s="193" t="s">
        <v>398</v>
      </c>
      <c r="C36" s="194" t="s">
        <v>253</v>
      </c>
      <c r="D36" s="191" t="s">
        <v>399</v>
      </c>
      <c r="E36" s="191" t="s">
        <v>400</v>
      </c>
      <c r="F36" s="191" t="s">
        <v>401</v>
      </c>
      <c r="G36" s="192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</row>
    <row r="37" spans="1:26" ht="18" customHeight="1">
      <c r="A37" s="188">
        <v>36</v>
      </c>
      <c r="B37" s="193" t="s">
        <v>1065</v>
      </c>
      <c r="C37" s="194" t="s">
        <v>253</v>
      </c>
      <c r="D37" s="191" t="s">
        <v>211</v>
      </c>
      <c r="E37" s="191" t="s">
        <v>1086</v>
      </c>
      <c r="F37" s="191" t="s">
        <v>1099</v>
      </c>
      <c r="G37" s="192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</row>
    <row r="38" spans="1:26" ht="18" customHeight="1">
      <c r="A38" s="188">
        <v>37</v>
      </c>
      <c r="B38" s="193" t="s">
        <v>676</v>
      </c>
      <c r="C38" s="190" t="s">
        <v>96</v>
      </c>
      <c r="D38" s="204" t="s">
        <v>677</v>
      </c>
      <c r="E38" s="204" t="s">
        <v>678</v>
      </c>
      <c r="F38" s="204" t="s">
        <v>679</v>
      </c>
      <c r="G38" s="20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spans="1:26" ht="18" customHeight="1">
      <c r="A39" s="188">
        <v>38</v>
      </c>
      <c r="B39" s="193" t="s">
        <v>1788</v>
      </c>
      <c r="C39" s="190" t="s">
        <v>96</v>
      </c>
      <c r="D39" s="204" t="s">
        <v>1766</v>
      </c>
      <c r="E39" s="204" t="s">
        <v>1767</v>
      </c>
      <c r="F39" s="204" t="s">
        <v>1768</v>
      </c>
      <c r="G39" s="20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</row>
    <row r="40" spans="1:26" ht="18" customHeight="1">
      <c r="A40" s="188">
        <v>39</v>
      </c>
      <c r="B40" s="193" t="s">
        <v>221</v>
      </c>
      <c r="C40" s="190" t="s">
        <v>96</v>
      </c>
      <c r="D40" s="204" t="s">
        <v>222</v>
      </c>
      <c r="E40" s="204" t="s">
        <v>223</v>
      </c>
      <c r="F40" s="204" t="s">
        <v>224</v>
      </c>
      <c r="G40" s="20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spans="1:26" ht="18" customHeight="1">
      <c r="A41" s="188">
        <v>40</v>
      </c>
      <c r="B41" s="193" t="s">
        <v>1486</v>
      </c>
      <c r="C41" s="194" t="s">
        <v>96</v>
      </c>
      <c r="D41" s="191" t="s">
        <v>1285</v>
      </c>
      <c r="E41" s="191" t="s">
        <v>1286</v>
      </c>
      <c r="F41" s="191" t="s">
        <v>1287</v>
      </c>
      <c r="G41" s="192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spans="1:26" ht="18" customHeight="1">
      <c r="A42" s="188">
        <v>41</v>
      </c>
      <c r="B42" s="193" t="s">
        <v>623</v>
      </c>
      <c r="C42" s="190" t="s">
        <v>96</v>
      </c>
      <c r="D42" s="204" t="s">
        <v>624</v>
      </c>
      <c r="E42" s="204" t="s">
        <v>255</v>
      </c>
      <c r="F42" s="204" t="s">
        <v>625</v>
      </c>
      <c r="G42" s="205" t="s">
        <v>268</v>
      </c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spans="1:26" ht="18" customHeight="1">
      <c r="A43" s="188">
        <v>42</v>
      </c>
      <c r="B43" s="193" t="s">
        <v>430</v>
      </c>
      <c r="C43" s="190" t="s">
        <v>96</v>
      </c>
      <c r="D43" s="204" t="s">
        <v>431</v>
      </c>
      <c r="E43" s="204" t="s">
        <v>432</v>
      </c>
      <c r="F43" s="204" t="s">
        <v>433</v>
      </c>
      <c r="G43" s="205" t="s">
        <v>268</v>
      </c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spans="1:26" ht="18" customHeight="1">
      <c r="A44" s="188">
        <v>43</v>
      </c>
      <c r="B44" s="193" t="s">
        <v>1065</v>
      </c>
      <c r="C44" s="194" t="s">
        <v>96</v>
      </c>
      <c r="D44" s="191" t="s">
        <v>1102</v>
      </c>
      <c r="E44" s="191" t="s">
        <v>1103</v>
      </c>
      <c r="F44" s="191" t="s">
        <v>1104</v>
      </c>
      <c r="G44" s="192" t="s">
        <v>1105</v>
      </c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spans="1:26" ht="18" customHeight="1">
      <c r="A45" s="188">
        <v>44</v>
      </c>
      <c r="B45" s="193" t="s">
        <v>740</v>
      </c>
      <c r="C45" s="194" t="s">
        <v>96</v>
      </c>
      <c r="D45" s="191" t="s">
        <v>741</v>
      </c>
      <c r="E45" s="191" t="s">
        <v>742</v>
      </c>
      <c r="F45" s="191" t="s">
        <v>743</v>
      </c>
      <c r="G45" s="192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spans="1:26" ht="18" customHeight="1">
      <c r="A46" s="188">
        <v>45</v>
      </c>
      <c r="B46" s="193" t="s">
        <v>446</v>
      </c>
      <c r="C46" s="190" t="s">
        <v>96</v>
      </c>
      <c r="D46" s="191" t="s">
        <v>447</v>
      </c>
      <c r="E46" s="191" t="s">
        <v>448</v>
      </c>
      <c r="F46" s="191" t="s">
        <v>449</v>
      </c>
      <c r="G46" s="192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spans="1:26" ht="18" customHeight="1">
      <c r="A47" s="188">
        <v>46</v>
      </c>
      <c r="B47" s="193" t="s">
        <v>1065</v>
      </c>
      <c r="C47" s="190" t="s">
        <v>96</v>
      </c>
      <c r="D47" s="204" t="s">
        <v>1108</v>
      </c>
      <c r="E47" s="204" t="s">
        <v>1109</v>
      </c>
      <c r="F47" s="204" t="s">
        <v>759</v>
      </c>
      <c r="G47" s="205" t="s">
        <v>268</v>
      </c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spans="1:26" ht="18" customHeight="1">
      <c r="A48" s="188">
        <v>47</v>
      </c>
      <c r="B48" s="193" t="s">
        <v>1632</v>
      </c>
      <c r="C48" s="190" t="s">
        <v>96</v>
      </c>
      <c r="D48" s="191" t="s">
        <v>1633</v>
      </c>
      <c r="E48" s="191" t="s">
        <v>1634</v>
      </c>
      <c r="F48" s="191" t="s">
        <v>1635</v>
      </c>
      <c r="G48" s="192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spans="1:26" ht="18" customHeight="1">
      <c r="A49" s="188">
        <v>48</v>
      </c>
      <c r="B49" s="189" t="s">
        <v>1296</v>
      </c>
      <c r="C49" s="190" t="s">
        <v>96</v>
      </c>
      <c r="D49" s="204" t="s">
        <v>1307</v>
      </c>
      <c r="E49" s="204" t="s">
        <v>1308</v>
      </c>
      <c r="F49" s="204" t="s">
        <v>151</v>
      </c>
      <c r="G49" s="20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spans="1:26" ht="18" customHeight="1">
      <c r="A50" s="188">
        <v>49</v>
      </c>
      <c r="B50" s="193" t="s">
        <v>1065</v>
      </c>
      <c r="C50" s="190" t="s">
        <v>96</v>
      </c>
      <c r="D50" s="204" t="s">
        <v>836</v>
      </c>
      <c r="E50" s="204" t="s">
        <v>1112</v>
      </c>
      <c r="F50" s="204" t="s">
        <v>1113</v>
      </c>
      <c r="G50" s="20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spans="1:26" ht="18" customHeight="1">
      <c r="A51" s="188">
        <v>50</v>
      </c>
      <c r="B51" s="193" t="s">
        <v>205</v>
      </c>
      <c r="C51" s="190" t="s">
        <v>96</v>
      </c>
      <c r="D51" s="204" t="s">
        <v>417</v>
      </c>
      <c r="E51" s="204" t="s">
        <v>418</v>
      </c>
      <c r="F51" s="204" t="s">
        <v>419</v>
      </c>
      <c r="G51" s="20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spans="1:26" ht="18" customHeight="1">
      <c r="A52" s="188">
        <v>51</v>
      </c>
      <c r="B52" s="193" t="s">
        <v>479</v>
      </c>
      <c r="C52" s="190" t="s">
        <v>96</v>
      </c>
      <c r="D52" s="204" t="s">
        <v>490</v>
      </c>
      <c r="E52" s="204" t="s">
        <v>491</v>
      </c>
      <c r="F52" s="204" t="s">
        <v>492</v>
      </c>
      <c r="G52" s="194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spans="1:26" ht="18" customHeight="1">
      <c r="A53" s="188">
        <v>52</v>
      </c>
      <c r="B53" s="189" t="s">
        <v>703</v>
      </c>
      <c r="C53" s="190" t="s">
        <v>96</v>
      </c>
      <c r="D53" s="204" t="s">
        <v>704</v>
      </c>
      <c r="E53" s="204" t="s">
        <v>705</v>
      </c>
      <c r="F53" s="204" t="s">
        <v>706</v>
      </c>
      <c r="G53" s="20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spans="1:26" ht="18" customHeight="1">
      <c r="A54" s="188">
        <v>53</v>
      </c>
      <c r="B54" s="193" t="s">
        <v>1065</v>
      </c>
      <c r="C54" s="190" t="s">
        <v>96</v>
      </c>
      <c r="D54" s="204" t="s">
        <v>1116</v>
      </c>
      <c r="E54" s="204" t="s">
        <v>1117</v>
      </c>
      <c r="F54" s="204" t="s">
        <v>1118</v>
      </c>
      <c r="G54" s="194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spans="1:26" ht="18" customHeight="1">
      <c r="A55" s="188">
        <v>54</v>
      </c>
      <c r="B55" s="193" t="s">
        <v>531</v>
      </c>
      <c r="C55" s="190" t="s">
        <v>96</v>
      </c>
      <c r="D55" s="204" t="s">
        <v>532</v>
      </c>
      <c r="E55" s="204" t="s">
        <v>533</v>
      </c>
      <c r="F55" s="204" t="s">
        <v>534</v>
      </c>
      <c r="G55" s="194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spans="1:26" ht="18" customHeight="1">
      <c r="A56" s="188">
        <v>55</v>
      </c>
      <c r="B56" s="193" t="s">
        <v>758</v>
      </c>
      <c r="C56" s="190" t="s">
        <v>96</v>
      </c>
      <c r="D56" s="204" t="s">
        <v>759</v>
      </c>
      <c r="E56" s="204" t="s">
        <v>124</v>
      </c>
      <c r="F56" s="204" t="s">
        <v>760</v>
      </c>
      <c r="G56" s="20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spans="1:26" ht="18" customHeight="1">
      <c r="A57" s="188">
        <v>56</v>
      </c>
      <c r="B57" s="193" t="s">
        <v>1065</v>
      </c>
      <c r="C57" s="190" t="s">
        <v>96</v>
      </c>
      <c r="D57" s="191" t="s">
        <v>1121</v>
      </c>
      <c r="E57" s="191" t="s">
        <v>1122</v>
      </c>
      <c r="F57" s="191" t="s">
        <v>1123</v>
      </c>
      <c r="G57" s="192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spans="1:26" ht="18" customHeight="1">
      <c r="A58" s="188">
        <v>57</v>
      </c>
      <c r="B58" s="189" t="s">
        <v>90</v>
      </c>
      <c r="C58" s="190" t="s">
        <v>96</v>
      </c>
      <c r="D58" s="204" t="s">
        <v>97</v>
      </c>
      <c r="E58" s="204" t="s">
        <v>98</v>
      </c>
      <c r="F58" s="204" t="s">
        <v>99</v>
      </c>
      <c r="G58" s="20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spans="1:26" ht="18" customHeight="1">
      <c r="A59" s="188">
        <v>58</v>
      </c>
      <c r="B59" s="193" t="s">
        <v>795</v>
      </c>
      <c r="C59" s="190" t="s">
        <v>96</v>
      </c>
      <c r="D59" s="191" t="s">
        <v>796</v>
      </c>
      <c r="E59" s="191" t="s">
        <v>797</v>
      </c>
      <c r="F59" s="191" t="s">
        <v>798</v>
      </c>
      <c r="G59" s="192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spans="1:26" ht="18" customHeight="1">
      <c r="A60" s="188">
        <v>59</v>
      </c>
      <c r="B60" s="193" t="s">
        <v>665</v>
      </c>
      <c r="C60" s="190" t="s">
        <v>96</v>
      </c>
      <c r="D60" s="204" t="s">
        <v>666</v>
      </c>
      <c r="E60" s="204" t="s">
        <v>667</v>
      </c>
      <c r="F60" s="204" t="s">
        <v>668</v>
      </c>
      <c r="G60" s="19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spans="1:26" ht="18" customHeight="1">
      <c r="A61" s="188">
        <v>60</v>
      </c>
      <c r="B61" s="193" t="s">
        <v>1486</v>
      </c>
      <c r="C61" s="194" t="s">
        <v>96</v>
      </c>
      <c r="D61" s="191" t="s">
        <v>538</v>
      </c>
      <c r="E61" s="191" t="s">
        <v>539</v>
      </c>
      <c r="F61" s="191" t="s">
        <v>540</v>
      </c>
      <c r="G61" s="192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spans="1:26" ht="18" customHeight="1">
      <c r="A62" s="188">
        <v>61</v>
      </c>
      <c r="B62" s="193" t="s">
        <v>1229</v>
      </c>
      <c r="C62" s="190" t="s">
        <v>96</v>
      </c>
      <c r="D62" s="204" t="s">
        <v>1230</v>
      </c>
      <c r="E62" s="204" t="s">
        <v>171</v>
      </c>
      <c r="F62" s="204" t="s">
        <v>1231</v>
      </c>
      <c r="G62" s="20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spans="1:26" ht="18" customHeight="1">
      <c r="A63" s="188">
        <v>62</v>
      </c>
      <c r="B63" s="193" t="s">
        <v>473</v>
      </c>
      <c r="C63" s="190" t="s">
        <v>96</v>
      </c>
      <c r="D63" s="204" t="s">
        <v>272</v>
      </c>
      <c r="E63" s="204" t="s">
        <v>273</v>
      </c>
      <c r="F63" s="204" t="s">
        <v>274</v>
      </c>
      <c r="G63" s="20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spans="1:26" ht="18" customHeight="1">
      <c r="A64" s="188">
        <v>63</v>
      </c>
      <c r="B64" s="189" t="s">
        <v>688</v>
      </c>
      <c r="C64" s="190" t="s">
        <v>96</v>
      </c>
      <c r="D64" s="204" t="s">
        <v>689</v>
      </c>
      <c r="E64" s="204" t="s">
        <v>690</v>
      </c>
      <c r="F64" s="204" t="s">
        <v>691</v>
      </c>
      <c r="G64" s="20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spans="1:26" ht="18" customHeight="1">
      <c r="A65" s="188">
        <v>64</v>
      </c>
      <c r="B65" s="189" t="s">
        <v>746</v>
      </c>
      <c r="C65" s="190" t="s">
        <v>96</v>
      </c>
      <c r="D65" s="204" t="s">
        <v>747</v>
      </c>
      <c r="E65" s="204" t="s">
        <v>748</v>
      </c>
      <c r="F65" s="204" t="s">
        <v>749</v>
      </c>
      <c r="G65" s="20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spans="1:26" ht="18" customHeight="1">
      <c r="A66" s="188">
        <v>65</v>
      </c>
      <c r="B66" s="189" t="s">
        <v>1296</v>
      </c>
      <c r="C66" s="190" t="s">
        <v>96</v>
      </c>
      <c r="D66" s="204" t="s">
        <v>1311</v>
      </c>
      <c r="E66" s="204" t="s">
        <v>1312</v>
      </c>
      <c r="F66" s="204" t="s">
        <v>1313</v>
      </c>
      <c r="G66" s="20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spans="1:26" ht="18" customHeight="1">
      <c r="A67" s="188">
        <v>66</v>
      </c>
      <c r="B67" s="193" t="s">
        <v>1229</v>
      </c>
      <c r="C67" s="190" t="s">
        <v>96</v>
      </c>
      <c r="D67" s="204" t="s">
        <v>1234</v>
      </c>
      <c r="E67" s="204" t="s">
        <v>1235</v>
      </c>
      <c r="F67" s="204" t="s">
        <v>1236</v>
      </c>
      <c r="G67" s="19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spans="1:26" ht="18" customHeight="1">
      <c r="A68" s="188">
        <v>67</v>
      </c>
      <c r="B68" s="193" t="s">
        <v>1065</v>
      </c>
      <c r="C68" s="190" t="s">
        <v>96</v>
      </c>
      <c r="D68" s="204" t="s">
        <v>1126</v>
      </c>
      <c r="E68" s="204" t="s">
        <v>1127</v>
      </c>
      <c r="F68" s="204" t="s">
        <v>1128</v>
      </c>
      <c r="G68" s="20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spans="1:26" ht="18" customHeight="1">
      <c r="A69" s="188">
        <v>68</v>
      </c>
      <c r="B69" s="193" t="s">
        <v>169</v>
      </c>
      <c r="C69" s="190" t="s">
        <v>96</v>
      </c>
      <c r="D69" s="191" t="s">
        <v>170</v>
      </c>
      <c r="E69" s="191" t="s">
        <v>171</v>
      </c>
      <c r="F69" s="191" t="s">
        <v>172</v>
      </c>
      <c r="G69" s="192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spans="1:26" ht="18" customHeight="1">
      <c r="A70" s="188">
        <v>69</v>
      </c>
      <c r="B70" s="193" t="s">
        <v>479</v>
      </c>
      <c r="C70" s="194" t="s">
        <v>96</v>
      </c>
      <c r="D70" s="191" t="s">
        <v>480</v>
      </c>
      <c r="E70" s="191" t="s">
        <v>481</v>
      </c>
      <c r="F70" s="191" t="s">
        <v>482</v>
      </c>
      <c r="G70" s="192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spans="1:26" ht="18" customHeight="1">
      <c r="A71" s="188">
        <v>70</v>
      </c>
      <c r="B71" s="193" t="s">
        <v>239</v>
      </c>
      <c r="C71" s="194" t="s">
        <v>96</v>
      </c>
      <c r="D71" s="191" t="s">
        <v>240</v>
      </c>
      <c r="E71" s="191" t="s">
        <v>241</v>
      </c>
      <c r="F71" s="191" t="s">
        <v>242</v>
      </c>
      <c r="G71" s="192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spans="1:26" ht="18" customHeight="1">
      <c r="A72" s="188">
        <v>71</v>
      </c>
      <c r="B72" s="193" t="s">
        <v>479</v>
      </c>
      <c r="C72" s="194" t="s">
        <v>96</v>
      </c>
      <c r="D72" s="191" t="s">
        <v>485</v>
      </c>
      <c r="E72" s="191" t="s">
        <v>486</v>
      </c>
      <c r="F72" s="191" t="s">
        <v>487</v>
      </c>
      <c r="G72" s="192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spans="1:26" ht="18" customHeight="1">
      <c r="A73" s="188">
        <v>72</v>
      </c>
      <c r="B73" s="193" t="s">
        <v>205</v>
      </c>
      <c r="C73" s="194" t="s">
        <v>96</v>
      </c>
      <c r="D73" s="191" t="s">
        <v>206</v>
      </c>
      <c r="E73" s="191" t="s">
        <v>207</v>
      </c>
      <c r="F73" s="191" t="s">
        <v>208</v>
      </c>
      <c r="G73" s="192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spans="1:26" ht="18" customHeight="1">
      <c r="A74" s="188">
        <v>73</v>
      </c>
      <c r="B74" s="193" t="s">
        <v>473</v>
      </c>
      <c r="C74" s="190" t="s">
        <v>96</v>
      </c>
      <c r="D74" s="204" t="s">
        <v>474</v>
      </c>
      <c r="E74" s="204" t="s">
        <v>475</v>
      </c>
      <c r="F74" s="204" t="s">
        <v>476</v>
      </c>
      <c r="G74" s="20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spans="1:26" ht="18" customHeight="1">
      <c r="A75" s="188">
        <v>74</v>
      </c>
      <c r="B75" s="193" t="s">
        <v>837</v>
      </c>
      <c r="C75" s="190" t="s">
        <v>96</v>
      </c>
      <c r="D75" s="204" t="s">
        <v>838</v>
      </c>
      <c r="E75" s="204" t="s">
        <v>839</v>
      </c>
      <c r="F75" s="204" t="s">
        <v>840</v>
      </c>
      <c r="G75" s="20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spans="1:26" ht="18" customHeight="1">
      <c r="A76" s="188">
        <v>75</v>
      </c>
      <c r="B76" s="193" t="s">
        <v>719</v>
      </c>
      <c r="C76" s="194" t="s">
        <v>96</v>
      </c>
      <c r="D76" s="191" t="s">
        <v>720</v>
      </c>
      <c r="E76" s="191" t="s">
        <v>721</v>
      </c>
      <c r="F76" s="191" t="s">
        <v>722</v>
      </c>
      <c r="G76" s="192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spans="1:26" ht="18" customHeight="1">
      <c r="A77" s="188">
        <v>76</v>
      </c>
      <c r="B77" s="193" t="s">
        <v>1131</v>
      </c>
      <c r="C77" s="194" t="s">
        <v>96</v>
      </c>
      <c r="D77" s="191" t="s">
        <v>1132</v>
      </c>
      <c r="E77" s="191" t="s">
        <v>1133</v>
      </c>
      <c r="F77" s="191" t="s">
        <v>1134</v>
      </c>
      <c r="G77" s="192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spans="1:26" ht="18" customHeight="1">
      <c r="A78" s="188">
        <v>77</v>
      </c>
      <c r="B78" s="189" t="s">
        <v>1296</v>
      </c>
      <c r="C78" s="190" t="s">
        <v>96</v>
      </c>
      <c r="D78" s="204" t="s">
        <v>1316</v>
      </c>
      <c r="E78" s="204" t="s">
        <v>1317</v>
      </c>
      <c r="F78" s="204" t="s">
        <v>1318</v>
      </c>
      <c r="G78" s="20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spans="1:26" ht="18" customHeight="1">
      <c r="A79" s="188">
        <v>78</v>
      </c>
      <c r="B79" s="193" t="s">
        <v>2867</v>
      </c>
      <c r="C79" s="190" t="s">
        <v>96</v>
      </c>
      <c r="D79" s="204" t="s">
        <v>618</v>
      </c>
      <c r="E79" s="204" t="s">
        <v>619</v>
      </c>
      <c r="F79" s="204" t="s">
        <v>620</v>
      </c>
      <c r="G79" s="20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spans="1:26" ht="18" customHeight="1">
      <c r="A80" s="188">
        <v>79</v>
      </c>
      <c r="B80" s="193" t="s">
        <v>752</v>
      </c>
      <c r="C80" s="190" t="s">
        <v>96</v>
      </c>
      <c r="D80" s="191" t="s">
        <v>753</v>
      </c>
      <c r="E80" s="191" t="s">
        <v>754</v>
      </c>
      <c r="F80" s="191" t="s">
        <v>755</v>
      </c>
      <c r="G80" s="192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spans="1:26" ht="18" customHeight="1">
      <c r="A81" s="188">
        <v>80</v>
      </c>
      <c r="B81" s="193" t="s">
        <v>352</v>
      </c>
      <c r="C81" s="190" t="s">
        <v>246</v>
      </c>
      <c r="D81" s="204" t="s">
        <v>358</v>
      </c>
      <c r="E81" s="204" t="s">
        <v>359</v>
      </c>
      <c r="F81" s="204" t="s">
        <v>360</v>
      </c>
      <c r="G81" s="194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spans="1:26" ht="18" customHeight="1">
      <c r="A82" s="188">
        <v>81</v>
      </c>
      <c r="B82" s="193" t="s">
        <v>714</v>
      </c>
      <c r="C82" s="190" t="s">
        <v>246</v>
      </c>
      <c r="D82" s="191" t="s">
        <v>715</v>
      </c>
      <c r="E82" s="191" t="s">
        <v>716</v>
      </c>
      <c r="F82" s="191" t="s">
        <v>717</v>
      </c>
      <c r="G82" s="192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spans="1:26" ht="18" customHeight="1">
      <c r="A83" s="188">
        <v>82</v>
      </c>
      <c r="B83" s="193" t="s">
        <v>2873</v>
      </c>
      <c r="C83" s="190" t="s">
        <v>246</v>
      </c>
      <c r="D83" s="191" t="s">
        <v>1789</v>
      </c>
      <c r="E83" s="191" t="s">
        <v>1790</v>
      </c>
      <c r="F83" s="191" t="s">
        <v>1791</v>
      </c>
      <c r="G83" s="192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spans="1:26" ht="18" customHeight="1">
      <c r="A84" s="188">
        <v>83</v>
      </c>
      <c r="B84" s="193" t="s">
        <v>1486</v>
      </c>
      <c r="C84" s="190" t="s">
        <v>246</v>
      </c>
      <c r="D84" s="191" t="s">
        <v>1491</v>
      </c>
      <c r="E84" s="191" t="s">
        <v>1492</v>
      </c>
      <c r="F84" s="191" t="s">
        <v>1493</v>
      </c>
      <c r="G84" s="192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spans="1:26" ht="18" customHeight="1">
      <c r="A85" s="188">
        <v>84</v>
      </c>
      <c r="B85" s="193" t="s">
        <v>1229</v>
      </c>
      <c r="C85" s="190" t="s">
        <v>246</v>
      </c>
      <c r="D85" s="204" t="s">
        <v>1239</v>
      </c>
      <c r="E85" s="204" t="s">
        <v>1240</v>
      </c>
      <c r="F85" s="204" t="s">
        <v>1128</v>
      </c>
      <c r="G85" s="20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spans="1:26" ht="18" customHeight="1">
      <c r="A86" s="188">
        <v>85</v>
      </c>
      <c r="B86" s="189" t="s">
        <v>1656</v>
      </c>
      <c r="C86" s="190" t="s">
        <v>246</v>
      </c>
      <c r="D86" s="191" t="s">
        <v>1481</v>
      </c>
      <c r="E86" s="191" t="s">
        <v>1665</v>
      </c>
      <c r="F86" s="191" t="s">
        <v>1666</v>
      </c>
      <c r="G86" s="192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spans="1:26" ht="18" customHeight="1">
      <c r="A87" s="188">
        <v>86</v>
      </c>
      <c r="B87" s="193" t="s">
        <v>1890</v>
      </c>
      <c r="C87" s="190" t="s">
        <v>246</v>
      </c>
      <c r="D87" s="191" t="s">
        <v>1891</v>
      </c>
      <c r="E87" s="191" t="s">
        <v>1892</v>
      </c>
      <c r="F87" s="191" t="s">
        <v>1893</v>
      </c>
      <c r="G87" s="192" t="s">
        <v>268</v>
      </c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spans="1:26" ht="18" customHeight="1">
      <c r="A88" s="188">
        <v>87</v>
      </c>
      <c r="B88" s="193" t="s">
        <v>785</v>
      </c>
      <c r="C88" s="190" t="s">
        <v>246</v>
      </c>
      <c r="D88" s="191" t="s">
        <v>256</v>
      </c>
      <c r="E88" s="191" t="s">
        <v>786</v>
      </c>
      <c r="F88" s="191" t="s">
        <v>787</v>
      </c>
      <c r="G88" s="192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spans="1:26" ht="18" customHeight="1">
      <c r="A89" s="188">
        <v>88</v>
      </c>
      <c r="B89" s="193" t="s">
        <v>694</v>
      </c>
      <c r="C89" s="190" t="s">
        <v>246</v>
      </c>
      <c r="D89" s="191" t="s">
        <v>695</v>
      </c>
      <c r="E89" s="191" t="s">
        <v>364</v>
      </c>
      <c r="F89" s="191" t="s">
        <v>696</v>
      </c>
      <c r="G89" s="192" t="s">
        <v>268</v>
      </c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spans="1:26" ht="18" customHeight="1">
      <c r="A90" s="188">
        <v>89</v>
      </c>
      <c r="B90" s="193" t="s">
        <v>2870</v>
      </c>
      <c r="C90" s="190" t="s">
        <v>246</v>
      </c>
      <c r="D90" s="191" t="s">
        <v>247</v>
      </c>
      <c r="E90" s="191" t="s">
        <v>248</v>
      </c>
      <c r="F90" s="191" t="s">
        <v>249</v>
      </c>
      <c r="G90" s="192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spans="1:26" ht="18" customHeight="1">
      <c r="A91" s="188">
        <v>90</v>
      </c>
      <c r="B91" s="193" t="s">
        <v>2870</v>
      </c>
      <c r="C91" s="190" t="s">
        <v>246</v>
      </c>
      <c r="D91" s="191" t="s">
        <v>661</v>
      </c>
      <c r="E91" s="191" t="s">
        <v>662</v>
      </c>
      <c r="F91" s="191" t="s">
        <v>663</v>
      </c>
      <c r="G91" s="192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spans="1:26" ht="18" customHeight="1">
      <c r="A92" s="188">
        <v>91</v>
      </c>
      <c r="B92" s="193" t="s">
        <v>352</v>
      </c>
      <c r="C92" s="190" t="s">
        <v>246</v>
      </c>
      <c r="D92" s="204" t="s">
        <v>363</v>
      </c>
      <c r="E92" s="204" t="s">
        <v>364</v>
      </c>
      <c r="F92" s="204" t="s">
        <v>365</v>
      </c>
      <c r="G92" s="194" t="s">
        <v>268</v>
      </c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spans="1:26" ht="18" customHeight="1">
      <c r="A93" s="188">
        <v>92</v>
      </c>
      <c r="B93" s="193" t="s">
        <v>1486</v>
      </c>
      <c r="C93" s="190" t="s">
        <v>246</v>
      </c>
      <c r="D93" s="191" t="s">
        <v>1494</v>
      </c>
      <c r="E93" s="191" t="s">
        <v>690</v>
      </c>
      <c r="F93" s="191" t="s">
        <v>1495</v>
      </c>
      <c r="G93" s="192" t="s">
        <v>268</v>
      </c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spans="1:26" ht="18" customHeight="1">
      <c r="A94" s="188">
        <v>93</v>
      </c>
      <c r="B94" s="193" t="s">
        <v>633</v>
      </c>
      <c r="C94" s="190" t="s">
        <v>246</v>
      </c>
      <c r="D94" s="204" t="s">
        <v>634</v>
      </c>
      <c r="E94" s="204" t="s">
        <v>635</v>
      </c>
      <c r="F94" s="204" t="s">
        <v>636</v>
      </c>
      <c r="G94" s="20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spans="1:26" ht="18" customHeight="1">
      <c r="A95" s="188">
        <v>94</v>
      </c>
      <c r="B95" s="193" t="s">
        <v>411</v>
      </c>
      <c r="C95" s="190" t="s">
        <v>246</v>
      </c>
      <c r="D95" s="191" t="s">
        <v>289</v>
      </c>
      <c r="E95" s="191" t="s">
        <v>290</v>
      </c>
      <c r="F95" s="191" t="s">
        <v>291</v>
      </c>
      <c r="G95" s="192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spans="1:26" ht="18" customHeight="1">
      <c r="A96" s="188">
        <v>95</v>
      </c>
      <c r="B96" s="193" t="s">
        <v>531</v>
      </c>
      <c r="C96" s="190" t="s">
        <v>246</v>
      </c>
      <c r="D96" s="191" t="s">
        <v>1338</v>
      </c>
      <c r="E96" s="191" t="s">
        <v>400</v>
      </c>
      <c r="F96" s="191" t="s">
        <v>2044</v>
      </c>
      <c r="G96" s="192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spans="1:26" ht="18" customHeight="1">
      <c r="A97" s="188">
        <v>96</v>
      </c>
      <c r="B97" s="193" t="s">
        <v>790</v>
      </c>
      <c r="C97" s="190" t="s">
        <v>246</v>
      </c>
      <c r="D97" s="191" t="s">
        <v>791</v>
      </c>
      <c r="E97" s="191" t="s">
        <v>792</v>
      </c>
      <c r="F97" s="191" t="s">
        <v>793</v>
      </c>
      <c r="G97" s="192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spans="1:26" ht="18" customHeight="1">
      <c r="A98" s="188">
        <v>97</v>
      </c>
      <c r="B98" s="189" t="s">
        <v>891</v>
      </c>
      <c r="C98" s="190" t="s">
        <v>246</v>
      </c>
      <c r="D98" s="191" t="s">
        <v>892</v>
      </c>
      <c r="E98" s="191" t="s">
        <v>422</v>
      </c>
      <c r="F98" s="191" t="s">
        <v>893</v>
      </c>
      <c r="G98" s="192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spans="1:26" ht="18" customHeight="1">
      <c r="A99" s="188">
        <v>98</v>
      </c>
      <c r="B99" s="189" t="s">
        <v>1296</v>
      </c>
      <c r="C99" s="190" t="s">
        <v>246</v>
      </c>
      <c r="D99" s="191" t="s">
        <v>1321</v>
      </c>
      <c r="E99" s="191" t="s">
        <v>1322</v>
      </c>
      <c r="F99" s="191" t="s">
        <v>1323</v>
      </c>
      <c r="G99" s="192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spans="1:26" ht="18" customHeight="1">
      <c r="A100" s="188">
        <v>99</v>
      </c>
      <c r="B100" s="189" t="s">
        <v>965</v>
      </c>
      <c r="C100" s="190" t="s">
        <v>246</v>
      </c>
      <c r="D100" s="191" t="s">
        <v>151</v>
      </c>
      <c r="E100" s="191" t="s">
        <v>1006</v>
      </c>
      <c r="F100" s="191" t="s">
        <v>1007</v>
      </c>
      <c r="G100" s="192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spans="1:26" ht="18" customHeight="1">
      <c r="A101" s="188">
        <v>100</v>
      </c>
      <c r="B101" s="189" t="s">
        <v>3574</v>
      </c>
      <c r="C101" s="190" t="s">
        <v>246</v>
      </c>
      <c r="D101" s="204" t="s">
        <v>577</v>
      </c>
      <c r="E101" s="204" t="s">
        <v>578</v>
      </c>
      <c r="F101" s="204" t="s">
        <v>579</v>
      </c>
      <c r="G101" s="20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spans="1:26" ht="18" customHeight="1">
      <c r="A102" s="188">
        <v>101</v>
      </c>
      <c r="B102" s="193" t="s">
        <v>1065</v>
      </c>
      <c r="C102" s="190" t="s">
        <v>246</v>
      </c>
      <c r="D102" s="204" t="s">
        <v>1137</v>
      </c>
      <c r="E102" s="204" t="s">
        <v>1138</v>
      </c>
      <c r="F102" s="204" t="s">
        <v>1139</v>
      </c>
      <c r="G102" s="194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spans="1:26" ht="18" customHeight="1">
      <c r="A103" s="188">
        <v>102</v>
      </c>
      <c r="B103" s="189" t="s">
        <v>1368</v>
      </c>
      <c r="C103" s="190" t="s">
        <v>246</v>
      </c>
      <c r="D103" s="191" t="s">
        <v>1658</v>
      </c>
      <c r="E103" s="191" t="s">
        <v>2177</v>
      </c>
      <c r="F103" s="191" t="s">
        <v>2178</v>
      </c>
      <c r="G103" s="192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spans="1:26" ht="12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spans="1:26" ht="12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spans="1:26" ht="12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spans="1:26" ht="12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spans="1:26" ht="12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spans="1:26" ht="12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spans="1:26" ht="12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spans="1:26" ht="12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spans="1:26" ht="12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spans="1:26" ht="12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spans="1:26" ht="12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spans="1:26" ht="12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spans="1:26" ht="12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spans="1:26" ht="12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spans="1:26" ht="12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spans="1:26" ht="12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spans="1:26" ht="12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spans="1:26" ht="12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spans="1:26" ht="12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spans="1:26" ht="12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spans="1:26" ht="12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spans="1:26" ht="12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spans="1:26" ht="12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spans="1:26" ht="12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spans="1:26" ht="12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spans="1:26" ht="12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spans="1:26" ht="12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spans="1:26" ht="12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spans="1:26" ht="12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spans="1:26" ht="12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spans="1:26" ht="12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spans="1:26" ht="12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spans="1:26" ht="12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spans="1:26" ht="12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spans="1:26" ht="12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spans="1:26" ht="12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spans="1:26" ht="12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spans="1:26" ht="12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spans="1:26" ht="12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spans="1:26" ht="12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spans="1:26" ht="12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spans="1:26" ht="12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spans="1:26" ht="12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spans="1:26" ht="12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spans="1:26" ht="12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spans="1:26" ht="12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spans="1:26" ht="12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spans="1:26" ht="12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spans="1:26" ht="12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spans="1:26" ht="12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spans="1:26" ht="12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spans="1:26" ht="12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spans="1:26" ht="12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spans="1:26" ht="12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spans="1:26" ht="12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spans="1:26" ht="12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spans="1:26" ht="12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spans="1:26" ht="12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spans="1:26" ht="12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spans="1:26" ht="12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spans="1:26" ht="12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spans="1:26" ht="12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spans="1:26" ht="12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spans="1:26" ht="12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spans="1:26" ht="12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spans="1:26" ht="12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spans="1:26" ht="12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spans="1:26" ht="12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spans="1:26" ht="12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spans="1:26" ht="12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spans="1:26" ht="12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spans="1:26" ht="12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spans="1:26" ht="12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spans="1:26" ht="12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spans="1:26" ht="12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spans="1:26" ht="12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spans="1:26" ht="12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spans="1:26" ht="12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spans="1:26" ht="12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spans="1:26" ht="12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spans="1:26" ht="12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spans="1:26" ht="12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spans="1:26" ht="12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spans="1:26" ht="12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spans="1:26" ht="12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spans="1:26" ht="12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spans="1:26" ht="12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spans="1:26" ht="12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spans="1:26" ht="12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spans="1:26" ht="12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spans="1:26" ht="12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spans="1:26" ht="12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spans="1:26" ht="12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spans="1:26" ht="12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spans="1:26" ht="12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spans="1:26" ht="12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spans="1:26" ht="12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spans="1:26" ht="12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spans="1:26" ht="12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spans="1:26" ht="12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spans="1:26" ht="12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spans="1:26" ht="12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spans="1:26" ht="12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spans="1:26" ht="12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spans="1:26" ht="12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spans="1:26" ht="12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spans="1:26" ht="12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spans="1:26" ht="12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spans="1:26" ht="12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spans="1:26" ht="12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spans="1:26" ht="12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spans="1:26" ht="12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spans="1:26" ht="12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spans="1:26" ht="12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spans="1:26" ht="12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spans="1:26" ht="12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spans="1:26" ht="12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spans="1:26" ht="12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spans="1:26" ht="12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spans="1:26" ht="12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spans="1:26" ht="12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spans="1:26" ht="12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spans="1:26" ht="12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spans="1:26" ht="12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spans="1:26" ht="12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spans="1:26" ht="12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spans="1:26" ht="12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spans="1:26" ht="12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spans="1:26" ht="12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spans="1:26" ht="12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spans="1:26" ht="12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spans="1:26" ht="12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spans="1:26" ht="12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spans="1:26" ht="12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spans="1:26" ht="12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spans="1:26" ht="12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spans="1:26" ht="12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spans="1:26" ht="12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spans="1:26" ht="12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spans="1:26" ht="12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spans="1:26" ht="12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spans="1:26" ht="12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spans="1:26" ht="12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spans="1:26" ht="12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spans="1:26" ht="12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spans="1:26" ht="12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spans="1:26" ht="12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spans="1:26" ht="12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spans="1:26" ht="12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spans="1:26" ht="12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spans="1:26" ht="12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spans="1:26" ht="12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spans="1:26" ht="12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spans="1:26" ht="12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spans="1:26" ht="12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spans="1:26" ht="12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spans="1:26" ht="12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spans="1:26" ht="12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spans="1:26" ht="12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spans="1:26" ht="12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spans="1:26" ht="12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spans="1:26" ht="12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spans="1:26" ht="12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spans="1:26" ht="12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spans="1:26" ht="12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spans="1:26" ht="12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spans="1:26" ht="12.7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spans="1:26" ht="12.7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spans="1:26" ht="12.7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spans="1:26" ht="12.7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spans="1:26" ht="12.7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spans="1:26" ht="12.7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spans="1:26" ht="12.7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spans="1:26" ht="12.7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spans="1:26" ht="12.7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spans="1:26" ht="12.7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spans="1:26" ht="12.7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spans="1:26" ht="12.7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spans="1:26" ht="12.7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spans="1:26" ht="12.7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spans="1:26" ht="12.7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spans="1:26" ht="12.7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spans="1:26" ht="12.7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spans="1:26" ht="12.7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spans="1:26" ht="12.7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spans="1:26" ht="12.7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spans="1:26" ht="12.7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spans="1:26" ht="12.7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spans="1:26" ht="12.7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spans="1:26" ht="12.7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spans="1:26" ht="12.7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spans="1:26" ht="12.7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spans="1:26" ht="12.7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spans="1:26" ht="12.7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spans="1:26" ht="12.7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spans="1:26" ht="12.7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spans="1:26" ht="12.7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spans="1:26" ht="12.7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spans="1:26" ht="12.7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spans="1:26" ht="12.7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spans="1:26" ht="12.7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spans="1:26" ht="12.7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spans="1:26" ht="12.7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spans="1:26" ht="12.7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spans="1:26" ht="12.7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spans="1:26" ht="12.7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spans="1:26" ht="12.7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spans="1:26" ht="12.7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spans="1:26" ht="12.7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spans="1:26" ht="12.7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spans="1:26" ht="12.7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spans="1:26" ht="12.7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spans="1:26" ht="12.7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spans="1:26" ht="12.7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spans="1:26" ht="12.7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spans="1:26" ht="12.7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spans="1:26" ht="12.7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spans="1:26" ht="12.7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spans="1:26" ht="12.7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spans="1:26" ht="12.7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spans="1:26" ht="12.7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spans="1:26" ht="12.7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spans="1:26" ht="12.7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spans="1:26" ht="12.7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spans="1:26" ht="12.7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spans="1:26" ht="12.7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spans="1:26" ht="12.7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spans="1:26" ht="12.7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spans="1:26" ht="12.7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spans="1:26" ht="12.7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spans="1:26" ht="12.7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spans="1:26" ht="12.7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spans="1:26" ht="12.7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spans="1:26" ht="12.7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spans="1:26" ht="12.7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spans="1:26" ht="12.7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spans="1:26" ht="12.7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spans="1:26" ht="12.7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spans="1:26" ht="12.7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spans="1:26" ht="12.7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spans="1:26" ht="12.7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spans="1:26" ht="12.7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spans="1:26" ht="12.7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spans="1:26" ht="12.7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spans="1:26" ht="12.7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spans="1:26" ht="12.7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spans="1:26" ht="12.7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spans="1:26" ht="12.7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spans="1:26" ht="12.7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spans="1:26" ht="12.7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spans="1:26" ht="12.7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spans="1:26" ht="12.7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spans="1:26" ht="12.7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spans="1:26" ht="12.7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spans="1:26" ht="12.7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spans="1:26" ht="12.7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spans="1:26" ht="12.7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spans="1:26" ht="12.7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spans="1:26" ht="12.7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spans="1:26" ht="12.7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spans="1:26" ht="12.7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spans="1:26" ht="12.7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spans="1:26" ht="12.7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spans="1:26" ht="12.7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spans="1:26" ht="12.7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spans="1:26" ht="12.7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spans="1:26" ht="12.7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spans="1:26" ht="12.7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spans="1:26" ht="12.7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spans="1:26" ht="12.7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spans="1:26" ht="12.7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spans="1:26" ht="12.7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spans="1:26" ht="12.7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spans="1:26" ht="12.7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spans="1:26" ht="12.7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spans="1:26" ht="12.7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spans="1:26" ht="12.7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spans="1:26" ht="12.7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spans="1:26" ht="12.7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spans="1:26" ht="12.7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spans="1:26" ht="12.7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spans="1:26" ht="12.7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spans="1:26" ht="12.7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spans="1:26" ht="12.7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spans="1:26" ht="12.7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spans="1:26" ht="12.7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spans="1:26" ht="12.7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spans="1:26" ht="12.7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spans="1:26" ht="12.7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spans="1:26" ht="12.7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spans="1:26" ht="12.7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spans="1:26" ht="12.7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spans="1:26" ht="12.7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spans="1:26" ht="12.7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spans="1:26" ht="12.7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spans="1:26" ht="12.7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spans="1:26" ht="12.7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spans="1:26" ht="12.7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spans="1:26" ht="12.7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spans="1:26" ht="12.7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spans="1:26" ht="12.7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spans="1:26" ht="12.7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spans="1:26" ht="12.7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spans="1:26" ht="12.7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spans="1:26" ht="12.7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spans="1:26" ht="12.7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spans="1:26" ht="12.7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spans="1:26" ht="12.7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spans="1:26" ht="12.7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spans="1:26" ht="12.7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spans="1:26" ht="12.7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spans="1:26" ht="12.7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spans="1:26" ht="12.7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spans="1:26" ht="12.7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spans="1:26" ht="12.7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spans="1:26" ht="12.7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spans="1:26" ht="12.7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spans="1:26" ht="12.7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spans="1:26" ht="12.7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spans="1:26" ht="12.7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spans="1:26" ht="12.7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spans="1:26" ht="12.7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spans="1:26" ht="12.7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spans="1:26" ht="12.7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spans="1:26" ht="12.7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spans="1:26" ht="12.7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spans="1:26" ht="12.7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spans="1:26" ht="12.7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spans="1:26" ht="12.7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spans="1:26" ht="12.7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spans="1:26" ht="12.7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spans="1:26" ht="12.7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spans="1:26" ht="12.7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spans="1:26" ht="12.7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spans="1:26" ht="12.7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spans="1:26" ht="12.7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spans="1:26" ht="12.7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spans="1:26" ht="12.7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spans="1:26" ht="12.7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spans="1:26" ht="12.7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spans="1:26" ht="12.7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spans="1:26" ht="12.7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spans="1:26" ht="12.7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spans="1:26" ht="12.7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spans="1:26" ht="12.7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spans="1:26" ht="12.7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spans="1:26" ht="12.7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spans="1:26" ht="12.7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spans="1:26" ht="12.7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spans="1:26" ht="12.7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spans="1:26" ht="12.7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spans="1:26" ht="12.7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spans="1:26" ht="12.7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spans="1:26" ht="12.7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spans="1:26" ht="12.7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spans="1:26" ht="12.7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spans="1:26" ht="12.7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spans="1:26" ht="12.7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spans="1:26" ht="12.7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spans="1:26" ht="12.7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spans="1:26" ht="12.7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spans="1:26" ht="12.7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spans="1:26" ht="12.7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spans="1:26" ht="12.7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spans="1:26" ht="12.7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spans="1:26" ht="12.7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spans="1:26" ht="12.7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spans="1:26" ht="12.7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spans="1:26" ht="12.7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spans="1:26" ht="12.7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spans="1:26" ht="12.7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spans="1:26" ht="12.7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spans="1:26" ht="12.7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spans="1:26" ht="12.7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spans="1:26" ht="12.7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spans="1:26" ht="12.7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spans="1:26" ht="12.7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spans="1:26" ht="12.7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spans="1:26" ht="12.7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spans="1:26" ht="12.7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spans="1:26" ht="12.7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spans="1:26" ht="12.7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spans="1:26" ht="12.7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spans="1:26" ht="12.7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spans="1:26" ht="12.7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spans="1:26" ht="12.7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spans="1:26" ht="12.7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spans="1:26" ht="12.7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spans="1:26" ht="12.7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spans="1:26" ht="12.7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spans="1:26" ht="12.7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spans="1:26" ht="12.7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spans="1:26" ht="12.7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spans="1:26" ht="12.7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spans="1:26" ht="12.7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spans="1:26" ht="12.7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spans="1:26" ht="12.7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spans="1:26" ht="12.7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spans="1:26" ht="12.7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spans="1:26" ht="12.7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spans="1:26" ht="12.7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spans="1:26" ht="12.7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spans="1:26" ht="12.7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spans="1:26" ht="12.7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spans="1:26" ht="12.7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spans="1:26" ht="12.7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spans="1:26" ht="12.7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spans="1:26" ht="12.7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spans="1:26" ht="12.7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spans="1:26" ht="12.7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spans="1:26" ht="12.7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spans="1:26" ht="12.7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spans="1:26" ht="12.7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spans="1:26" ht="12.7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spans="1:26" ht="12.7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spans="1:26" ht="12.7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spans="1:26" ht="12.7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spans="1:26" ht="12.7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spans="1:26" ht="12.7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spans="1:26" ht="12.7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spans="1:26" ht="12.7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spans="1:26" ht="12.7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spans="1:26" ht="12.7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spans="1:26" ht="12.7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spans="1:26" ht="12.7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spans="1:26" ht="12.7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spans="1:26" ht="12.7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spans="1:26" ht="12.7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spans="1:26" ht="12.7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spans="1:26" ht="12.7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spans="1:26" ht="12.7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spans="1:26" ht="12.7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spans="1:26" ht="12.7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spans="1:26" ht="12.7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spans="1:26" ht="12.7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spans="1:26" ht="12.7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spans="1:26" ht="12.7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spans="1:26" ht="12.7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spans="1:26" ht="12.7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spans="1:26" ht="12.7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spans="1:26" ht="12.7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spans="1:26" ht="12.7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spans="1:26" ht="12.7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spans="1:26" ht="12.7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spans="1:26" ht="12.7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spans="1:26" ht="12.7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spans="1:26" ht="12.7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spans="1:26" ht="12.7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spans="1:26" ht="12.7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spans="1:26" ht="12.7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spans="1:26" ht="12.7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spans="1:26" ht="12.7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spans="1:26" ht="12.7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spans="1:26" ht="12.7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spans="1:26" ht="12.7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spans="1:26" ht="12.7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spans="1:26" ht="12.7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spans="1:26" ht="12.7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spans="1:26" ht="12.7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spans="1:26" ht="12.7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spans="1:26" ht="12.7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spans="1:26" ht="12.7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spans="1:26" ht="12.7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spans="1:26" ht="12.7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spans="1:26" ht="12.7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spans="1:26" ht="12.7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spans="1:26" ht="12.7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spans="1:26" ht="12.7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spans="1:26" ht="12.7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spans="1:26" ht="12.7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spans="1:26" ht="12.7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spans="1:26" ht="12.7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spans="1:26" ht="12.7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spans="1:26" ht="12.7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spans="1:26" ht="12.7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spans="1:26" ht="12.7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spans="1:26" ht="12.7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spans="1:26" ht="12.7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spans="1:26" ht="12.7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spans="1:26" ht="12.7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spans="1:26" ht="12.7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spans="1:26" ht="12.7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spans="1:26" ht="12.7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spans="1:26" ht="12.7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spans="1:26" ht="12.7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spans="1:26" ht="12.7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spans="1:26" ht="12.7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spans="1:26" ht="12.7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spans="1:26" ht="12.7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spans="1:26" ht="12.7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spans="1:26" ht="12.7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spans="1:26" ht="12.7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spans="1:26" ht="12.7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spans="1:26" ht="12.7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spans="1:26" ht="12.7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spans="1:26" ht="12.7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spans="1:26" ht="12.7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spans="1:26" ht="12.7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spans="1:26" ht="12.7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spans="1:26" ht="12.7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spans="1:26" ht="12.7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spans="1:26" ht="12.7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spans="1:26" ht="12.7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spans="1:26" ht="12.7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spans="1:26" ht="12.7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spans="1:26" ht="12.7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spans="1:26" ht="12.7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spans="1:26" ht="12.7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spans="1:26" ht="12.7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spans="1:26" ht="12.7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spans="1:26" ht="12.7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spans="1:26" ht="12.7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spans="1:26" ht="12.7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spans="1:26" ht="12.7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spans="1:26" ht="12.7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spans="1:26" ht="12.7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spans="1:26" ht="12.7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spans="1:26" ht="12.7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spans="1:26" ht="12.7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spans="1:26" ht="12.7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spans="1:26" ht="12.7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spans="1:26" ht="12.7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spans="1:26" ht="12.7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spans="1:26" ht="12.7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spans="1:26" ht="12.7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spans="1:26" ht="12.7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spans="1:26" ht="12.7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spans="1:26" ht="12.7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spans="1:26" ht="12.7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spans="1:26" ht="12.7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spans="1:26" ht="12.7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spans="1:26" ht="12.7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spans="1:26" ht="12.7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spans="1:26" ht="12.7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spans="1:26" ht="12.7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spans="1:26" ht="12.7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spans="1:26" ht="12.7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spans="1:26" ht="12.7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spans="1:26" ht="12.7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spans="1:26" ht="12.7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spans="1:26" ht="12.7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spans="1:26" ht="12.7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spans="1:26" ht="12.7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spans="1:26" ht="12.7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spans="1:26" ht="12.7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spans="1:26" ht="12.7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spans="1:26" ht="12.7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spans="1:26" ht="12.7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spans="1:26" ht="12.7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spans="1:26" ht="12.7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spans="1:26" ht="12.7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spans="1:26" ht="12.7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spans="1:26" ht="12.7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spans="1:26" ht="12.7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spans="1:26" ht="12.7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spans="1:26" ht="12.7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spans="1:26" ht="12.7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spans="1:26" ht="12.7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spans="1:26" ht="12.7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spans="1:26" ht="12.7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spans="1:26" ht="12.7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spans="1:26" ht="12.7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spans="1:26" ht="12.7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spans="1:26" ht="12.7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spans="1:26" ht="12.7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spans="1:26" ht="12.7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spans="1:26" ht="12.7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spans="1:26" ht="12.7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spans="1:26" ht="12.7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spans="1:26" ht="12.7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spans="1:26" ht="12.7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spans="1:26" ht="12.7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spans="1:26" ht="12.7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spans="1:26" ht="12.7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spans="1:26" ht="12.7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spans="1:26" ht="12.7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spans="1:26" ht="12.7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spans="1:26" ht="12.7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spans="1:26" ht="12.7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spans="1:26" ht="12.7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spans="1:26" ht="12.7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spans="1:26" ht="12.7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spans="1:26" ht="12.7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spans="1:26" ht="12.7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spans="1:26" ht="12.7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spans="1:26" ht="12.7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spans="1:26" ht="12.7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spans="1:26" ht="12.7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spans="1:26" ht="12.7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spans="1:26" ht="12.7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spans="1:26" ht="12.7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spans="1:26" ht="12.7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spans="1:26" ht="12.7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spans="1:26" ht="12.7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spans="1:26" ht="12.7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spans="1:26" ht="12.7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spans="1:26" ht="12.7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spans="1:26" ht="12.7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spans="1:26" ht="12.7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spans="1:26" ht="12.7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spans="1:26" ht="12.7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spans="1:26" ht="12.7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spans="1:26" ht="12.7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spans="1:26" ht="12.7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spans="1:26" ht="12.7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spans="1:26" ht="12.7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spans="1:26" ht="12.7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spans="1:26" ht="12.7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spans="1:26" ht="12.7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spans="1:26" ht="12.7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spans="1:26" ht="12.7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spans="1:26" ht="12.7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spans="1:26" ht="12.7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spans="1:26" ht="12.7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spans="1:26" ht="12.7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spans="1:26" ht="12.7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spans="1:26" ht="12.7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spans="1:26" ht="12.7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spans="1:26" ht="12.7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spans="1:26" ht="12.7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spans="1:26" ht="12.7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spans="1:26" ht="12.7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spans="1:26" ht="12.7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spans="1:26" ht="12.7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spans="1:26" ht="12.7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spans="1:26" ht="12.7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spans="1:26" ht="12.7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spans="1:26" ht="12.7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spans="1:26" ht="12.7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spans="1:26" ht="12.7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spans="1:26" ht="12.7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spans="1:26" ht="12.7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spans="1:26" ht="12.7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spans="1:26" ht="12.7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spans="1:26" ht="12.7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spans="1:26" ht="12.7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spans="1:26" ht="12.7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spans="1:26" ht="12.7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spans="1:26" ht="12.7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spans="1:26" ht="12.7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spans="1:26" ht="12.7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spans="1:26" ht="12.7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spans="1:26" ht="12.7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spans="1:26" ht="12.7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spans="1:26" ht="12.7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spans="1:26" ht="12.7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spans="1:26" ht="12.7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spans="1:26" ht="12.7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spans="1:26" ht="12.7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spans="1:26" ht="12.7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spans="1:26" ht="12.7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spans="1:26" ht="12.7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spans="1:26" ht="12.7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spans="1:26" ht="12.7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spans="1:26" ht="12.7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spans="1:26" ht="12.7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spans="1:26" ht="12.7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spans="1:26" ht="12.7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spans="1:26" ht="12.7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spans="1:26" ht="12.7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spans="1:26" ht="12.7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spans="1:26" ht="12.7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spans="1:26" ht="12.7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spans="1:26" ht="12.7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spans="1:26" ht="12.7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spans="1:26" ht="12.7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spans="1:26" ht="12.7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spans="1:26" ht="12.7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spans="1:26" ht="12.7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spans="1:26" ht="12.7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spans="1:26" ht="12.7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spans="1:26" ht="12.7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spans="1:26" ht="12.7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spans="1:26" ht="12.7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spans="1:26" ht="12.7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spans="1:26" ht="12.7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spans="1:26" ht="12.7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spans="1:26" ht="12.7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spans="1:26" ht="12.7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spans="1:26" ht="12.7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spans="1:26" ht="12.7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spans="1:26" ht="12.7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spans="1:26" ht="12.7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spans="1:26" ht="12.7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spans="1:26" ht="12.7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spans="1:26" ht="12.7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spans="1:26" ht="12.7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spans="1:26" ht="12.7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spans="1:26" ht="12.7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spans="1:26" ht="12.7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spans="1:26" ht="12.7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spans="1:26" ht="12.7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spans="1:26" ht="12.7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spans="1:26" ht="12.7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spans="1:26" ht="12.7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spans="1:26" ht="12.7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spans="1:26" ht="12.7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spans="1:26" ht="12.7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spans="1:26" ht="12.7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spans="1:26" ht="12.7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spans="1:26" ht="12.7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spans="1:26" ht="12.7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spans="1:26" ht="12.7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spans="1:26" ht="12.7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spans="1:26" ht="12.7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spans="1:26" ht="12.7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spans="1:26" ht="12.7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spans="1:26" ht="12.7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spans="1:26" ht="12.7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spans="1:26" ht="12.7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spans="1:26" ht="12.7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spans="1:26" ht="12.7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spans="1:26" ht="12.7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spans="1:26" ht="12.7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spans="1:26" ht="12.7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spans="1:26" ht="12.7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spans="1:26" ht="12.7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spans="1:26" ht="12.7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spans="1:26" ht="12.7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spans="1:26" ht="12.7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spans="1:26" ht="12.7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spans="1:26" ht="12.7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spans="1:26" ht="12.7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spans="1:26" ht="12.7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spans="1:26" ht="12.7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spans="1:26" ht="12.7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spans="1:26" ht="12.7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spans="1:26" ht="12.7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spans="1:26" ht="12.7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spans="1:26" ht="12.7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spans="1:26" ht="12.7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spans="1:26" ht="12.7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spans="1:26" ht="12.7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spans="1:26" ht="12.7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spans="1:26" ht="12.7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spans="1:26" ht="12.7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spans="1:26" ht="12.7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spans="1:26" ht="12.7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spans="1:26" ht="12.7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spans="1:26" ht="12.7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spans="1:26" ht="12.7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spans="1:26" ht="12.7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spans="1:26" ht="12.7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spans="1:26" ht="12.7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spans="1:26" ht="12.7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spans="1:26" ht="12.7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spans="1:26" ht="12.7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spans="1:26" ht="12.7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spans="1:26" ht="12.7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spans="1:26" ht="12.7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spans="1:26" ht="12.7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spans="1:26" ht="12.7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spans="1:26" ht="12.7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spans="1:26" ht="12.7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spans="1:26" ht="12.7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spans="1:26" ht="12.7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spans="1:26" ht="12.7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spans="1:26" ht="12.7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spans="1:26" ht="12.7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spans="1:26" ht="12.7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spans="1:26" ht="12.7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spans="1:26" ht="12.7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spans="1:26" ht="12.7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spans="1:26" ht="12.7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spans="1:26" ht="12.7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spans="1:26" ht="12.7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spans="1:26" ht="12.7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spans="1:26" ht="12.7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spans="1:26" ht="12.7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spans="1:26" ht="12.7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spans="1:26" ht="12.7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spans="1:26" ht="12.7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spans="1:26" ht="12.7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spans="1:26" ht="12.7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spans="1:26" ht="12.7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spans="1:26" ht="12.7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spans="1:26" ht="12.7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spans="1:26" ht="12.7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spans="1:26" ht="12.7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spans="1:26" ht="12.7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spans="1:26" ht="12.7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spans="1:26" ht="12.7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spans="1:26" ht="12.7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spans="1:26" ht="12.7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spans="1:26" ht="12.7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spans="1:26" ht="12.7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spans="1:26" ht="12.7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spans="1:26" ht="12.7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spans="1:26" ht="12.7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spans="1:26" ht="12.7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spans="1:26" ht="12.7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spans="1:26" ht="12.7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spans="1:26" ht="12.7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spans="1:26" ht="12.7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spans="1:26" ht="12.7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spans="1:26" ht="12.7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spans="1:26" ht="12.7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spans="1:26" ht="12.7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spans="1:26" ht="12.7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spans="1:26" ht="12.7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spans="1:26" ht="12.7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spans="1:26" ht="12.7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spans="1:26" ht="12.7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spans="1:26" ht="12.7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spans="1:26" ht="12.7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spans="1:26" ht="12.7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spans="1:26" ht="12.7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spans="1:26" ht="12.7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spans="1:26" ht="12.7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spans="1:26" ht="12.7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spans="1:26" ht="12.7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spans="1:26" ht="12.7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spans="1:26" ht="12.7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spans="1:26" ht="12.7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spans="1:26" ht="12.7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spans="1:26" ht="12.7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spans="1:26" ht="12.7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spans="1:26" ht="12.7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spans="1:26" ht="12.7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spans="1:26" ht="12.7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spans="1:26" ht="12.7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spans="1:26" ht="12.7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spans="1:26" ht="12.7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spans="1:26" ht="12.7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spans="1:26" ht="12.7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spans="1:26" ht="12.7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spans="1:26" ht="12.7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spans="1:26" ht="12.7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spans="1:26" ht="12.7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spans="1:26" ht="12.7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spans="1:26" ht="12.7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spans="1:26" ht="12.7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spans="1:26" ht="12.7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spans="1:26" ht="12.7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spans="1:26" ht="12.7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spans="1:26" ht="12.7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spans="1:26" ht="12.7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spans="1:26" ht="12.7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spans="1:26" ht="12.7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spans="1:26" ht="12.7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spans="1:26" ht="12.7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spans="1:26" ht="12.7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spans="1:26" ht="12.7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spans="1:26" ht="12.7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spans="1:26" ht="12.7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spans="1:26" ht="12.7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spans="1:26" ht="12.7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spans="1:26" ht="12.7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spans="1:26" ht="12.7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spans="1:26" ht="12.7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spans="1:26" ht="12.7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spans="1:26" ht="12.7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spans="1:26" ht="12.7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spans="1:26" ht="12.7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spans="1:26" ht="12.7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spans="1:26" ht="12.7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spans="1:26" ht="12.7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spans="1:26" ht="12.7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spans="1:26" ht="12.7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spans="1:26" ht="12.7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spans="1:26" ht="12.7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spans="1:26" ht="12.7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spans="1:26" ht="12.7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spans="1:26" ht="12.7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spans="1:26" ht="12.7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spans="1:26" ht="12.7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spans="1:26" ht="12.7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spans="1:26" ht="12.7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spans="1:26" ht="12.7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spans="1:26" ht="12.7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spans="1:26" ht="12.7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spans="1:26" ht="12.7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spans="1:26" ht="12.7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spans="1:26" ht="12.7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spans="1:26" ht="12.7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spans="1:26" ht="12.7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spans="1:26" ht="12.7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spans="1:26" ht="12.7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spans="1:26" ht="12.7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spans="1:26" ht="12.7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spans="1:26" ht="12.7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spans="1:26" ht="12.7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spans="1:26" ht="12.7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spans="1:26" ht="12.7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spans="1:26" ht="12.7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spans="1:26" ht="12.7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spans="1:26" ht="12.7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spans="1:26" ht="12.7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spans="1:26" ht="12.7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spans="1:26" ht="12.7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spans="1:26" ht="12.7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spans="1:26" ht="12.7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spans="1:26" ht="12.7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spans="1:26" ht="12.7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spans="1:26" ht="12.7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spans="1:26" ht="12.7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spans="1:26" ht="12.7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1">
    <mergeCell ref="A1:G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sqref="A1:J1"/>
    </sheetView>
  </sheetViews>
  <sheetFormatPr defaultColWidth="12.5703125" defaultRowHeight="15" customHeight="1"/>
  <cols>
    <col min="1" max="1" width="31.140625" customWidth="1"/>
    <col min="2" max="2" width="18" customWidth="1"/>
    <col min="3" max="6" width="10.85546875" customWidth="1"/>
    <col min="7" max="7" width="17.42578125" customWidth="1"/>
    <col min="8" max="8" width="18.85546875" customWidth="1"/>
    <col min="9" max="9" width="15.5703125" customWidth="1"/>
    <col min="10" max="10" width="16.28515625" customWidth="1"/>
    <col min="11" max="26" width="9" customWidth="1"/>
  </cols>
  <sheetData>
    <row r="1" spans="1:26" ht="12.75" customHeight="1">
      <c r="A1" s="400" t="s">
        <v>0</v>
      </c>
      <c r="B1" s="364"/>
      <c r="C1" s="364"/>
      <c r="D1" s="364"/>
      <c r="E1" s="364"/>
      <c r="F1" s="364"/>
      <c r="G1" s="364"/>
      <c r="H1" s="364"/>
      <c r="I1" s="364"/>
      <c r="J1" s="364"/>
    </row>
    <row r="2" spans="1:26" ht="12.75" customHeight="1">
      <c r="A2" s="400" t="s">
        <v>2796</v>
      </c>
      <c r="B2" s="364"/>
      <c r="C2" s="364"/>
      <c r="D2" s="364"/>
      <c r="E2" s="364"/>
      <c r="F2" s="364"/>
      <c r="G2" s="364"/>
      <c r="H2" s="364"/>
      <c r="I2" s="364"/>
      <c r="J2" s="364"/>
    </row>
    <row r="3" spans="1:26" ht="12.75" customHeight="1">
      <c r="A3" s="412" t="s">
        <v>1</v>
      </c>
      <c r="B3" s="364"/>
      <c r="C3" s="364"/>
      <c r="D3" s="364"/>
      <c r="E3" s="364"/>
      <c r="F3" s="364"/>
      <c r="G3" s="364"/>
      <c r="H3" s="364"/>
      <c r="I3" s="364"/>
      <c r="J3" s="364"/>
    </row>
    <row r="4" spans="1:26" ht="12.75" customHeight="1">
      <c r="A4" s="412" t="s">
        <v>2</v>
      </c>
      <c r="B4" s="364"/>
      <c r="C4" s="364"/>
      <c r="D4" s="364"/>
      <c r="E4" s="364"/>
      <c r="F4" s="364"/>
      <c r="G4" s="364"/>
      <c r="H4" s="364"/>
      <c r="I4" s="364"/>
      <c r="J4" s="364"/>
    </row>
    <row r="5" spans="1:26" ht="12.75" customHeight="1">
      <c r="A5" s="400" t="s">
        <v>3575</v>
      </c>
      <c r="B5" s="364"/>
      <c r="C5" s="364"/>
      <c r="D5" s="364"/>
      <c r="E5" s="364"/>
      <c r="F5" s="364"/>
      <c r="G5" s="364"/>
      <c r="H5" s="364"/>
      <c r="I5" s="364"/>
      <c r="J5" s="364"/>
    </row>
    <row r="6" spans="1:26" ht="12.75" customHeight="1">
      <c r="A6" s="400"/>
      <c r="B6" s="364"/>
      <c r="C6" s="364"/>
      <c r="D6" s="364"/>
      <c r="E6" s="364"/>
      <c r="F6" s="364"/>
      <c r="G6" s="364"/>
      <c r="H6" s="364"/>
      <c r="I6" s="364"/>
      <c r="J6" s="364"/>
    </row>
    <row r="7" spans="1:26" ht="12.75" customHeight="1">
      <c r="A7" s="401" t="s">
        <v>3576</v>
      </c>
      <c r="B7" s="364"/>
      <c r="C7" s="364"/>
      <c r="D7" s="364"/>
      <c r="E7" s="364"/>
      <c r="F7" s="364"/>
      <c r="G7" s="364"/>
      <c r="H7" s="364"/>
      <c r="I7" s="364"/>
      <c r="J7" s="364"/>
    </row>
    <row r="8" spans="1:26" ht="12.75" customHeight="1">
      <c r="A8" s="402" t="s">
        <v>3577</v>
      </c>
      <c r="B8" s="364"/>
      <c r="C8" s="364"/>
      <c r="D8" s="364"/>
      <c r="E8" s="364"/>
      <c r="F8" s="364"/>
      <c r="G8" s="364"/>
      <c r="H8" s="364"/>
      <c r="I8" s="364"/>
      <c r="J8" s="364"/>
    </row>
    <row r="9" spans="1:26" ht="10.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</row>
    <row r="10" spans="1:26" ht="18.75" customHeight="1">
      <c r="A10" s="406" t="s">
        <v>3578</v>
      </c>
      <c r="B10" s="408" t="s">
        <v>3579</v>
      </c>
      <c r="C10" s="403" t="s">
        <v>3580</v>
      </c>
      <c r="D10" s="404"/>
      <c r="E10" s="404"/>
      <c r="F10" s="405"/>
      <c r="G10" s="408" t="s">
        <v>3581</v>
      </c>
      <c r="H10" s="408" t="s">
        <v>3582</v>
      </c>
      <c r="I10" s="408" t="s">
        <v>3583</v>
      </c>
      <c r="J10" s="410" t="s">
        <v>3584</v>
      </c>
    </row>
    <row r="11" spans="1:26" ht="34.5" customHeight="1">
      <c r="A11" s="407"/>
      <c r="B11" s="409"/>
      <c r="C11" s="104" t="s">
        <v>3585</v>
      </c>
      <c r="D11" s="104" t="s">
        <v>3586</v>
      </c>
      <c r="E11" s="104" t="s">
        <v>3587</v>
      </c>
      <c r="F11" s="104" t="s">
        <v>3588</v>
      </c>
      <c r="G11" s="409"/>
      <c r="H11" s="409"/>
      <c r="I11" s="409"/>
      <c r="J11" s="411"/>
    </row>
    <row r="12" spans="1:26" ht="24" customHeight="1">
      <c r="A12" s="105" t="s">
        <v>3589</v>
      </c>
      <c r="B12" s="106">
        <v>1</v>
      </c>
      <c r="C12" s="107">
        <v>0</v>
      </c>
      <c r="D12" s="107">
        <v>0</v>
      </c>
      <c r="E12" s="108">
        <v>0</v>
      </c>
      <c r="F12" s="108">
        <v>0</v>
      </c>
      <c r="G12" s="106">
        <f t="shared" ref="G12:G18" si="0">SUM(C12:F12)</f>
        <v>0</v>
      </c>
      <c r="H12" s="169">
        <v>1</v>
      </c>
      <c r="I12" s="170">
        <v>1</v>
      </c>
      <c r="J12" s="171">
        <f t="shared" ref="J12:J18" si="1">I12-H12</f>
        <v>0</v>
      </c>
    </row>
    <row r="13" spans="1:26" ht="24" customHeight="1">
      <c r="A13" s="111" t="s">
        <v>1925</v>
      </c>
      <c r="B13" s="112">
        <v>7</v>
      </c>
      <c r="C13" s="113">
        <v>3</v>
      </c>
      <c r="D13" s="113">
        <v>0</v>
      </c>
      <c r="E13" s="114">
        <v>1</v>
      </c>
      <c r="F13" s="108">
        <v>0</v>
      </c>
      <c r="G13" s="106">
        <f t="shared" si="0"/>
        <v>4</v>
      </c>
      <c r="H13" s="169">
        <f t="shared" ref="H13:H18" si="2">B13+G13</f>
        <v>11</v>
      </c>
      <c r="I13" s="172">
        <v>8</v>
      </c>
      <c r="J13" s="159">
        <f t="shared" si="1"/>
        <v>-3</v>
      </c>
    </row>
    <row r="14" spans="1:26" ht="24" customHeight="1">
      <c r="A14" s="111" t="s">
        <v>1924</v>
      </c>
      <c r="B14" s="112">
        <v>22</v>
      </c>
      <c r="C14" s="113">
        <v>3</v>
      </c>
      <c r="D14" s="113">
        <v>17</v>
      </c>
      <c r="E14" s="114">
        <v>1</v>
      </c>
      <c r="F14" s="108">
        <v>0</v>
      </c>
      <c r="G14" s="106">
        <f t="shared" si="0"/>
        <v>21</v>
      </c>
      <c r="H14" s="169">
        <f t="shared" si="2"/>
        <v>43</v>
      </c>
      <c r="I14" s="172">
        <v>41</v>
      </c>
      <c r="J14" s="159">
        <f t="shared" si="1"/>
        <v>-2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24" customHeight="1">
      <c r="A15" s="111" t="s">
        <v>3590</v>
      </c>
      <c r="B15" s="112">
        <v>37</v>
      </c>
      <c r="C15" s="113">
        <v>10</v>
      </c>
      <c r="D15" s="113">
        <v>51</v>
      </c>
      <c r="E15" s="114">
        <v>4</v>
      </c>
      <c r="F15" s="108">
        <v>0</v>
      </c>
      <c r="G15" s="106">
        <f t="shared" si="0"/>
        <v>65</v>
      </c>
      <c r="H15" s="169">
        <f t="shared" si="2"/>
        <v>102</v>
      </c>
      <c r="I15" s="172">
        <v>6</v>
      </c>
      <c r="J15" s="159">
        <f t="shared" si="1"/>
        <v>-96</v>
      </c>
      <c r="K15" s="173"/>
    </row>
    <row r="16" spans="1:26" ht="24" customHeight="1">
      <c r="A16" s="111" t="s">
        <v>3591</v>
      </c>
      <c r="B16" s="112">
        <v>38</v>
      </c>
      <c r="C16" s="113">
        <v>1</v>
      </c>
      <c r="D16" s="113">
        <v>34</v>
      </c>
      <c r="E16" s="114">
        <v>3</v>
      </c>
      <c r="F16" s="108">
        <v>0</v>
      </c>
      <c r="G16" s="106">
        <f t="shared" si="0"/>
        <v>38</v>
      </c>
      <c r="H16" s="169">
        <f t="shared" si="2"/>
        <v>76</v>
      </c>
      <c r="I16" s="172">
        <v>39</v>
      </c>
      <c r="J16" s="159">
        <f t="shared" si="1"/>
        <v>-37</v>
      </c>
      <c r="K16" s="174"/>
    </row>
    <row r="17" spans="1:26" ht="24" customHeight="1">
      <c r="A17" s="117" t="s">
        <v>3592</v>
      </c>
      <c r="B17" s="118">
        <v>41</v>
      </c>
      <c r="C17" s="119">
        <v>0</v>
      </c>
      <c r="D17" s="119">
        <v>0</v>
      </c>
      <c r="E17" s="175">
        <v>1</v>
      </c>
      <c r="F17" s="176">
        <v>0</v>
      </c>
      <c r="G17" s="120">
        <f t="shared" si="0"/>
        <v>1</v>
      </c>
      <c r="H17" s="142">
        <f t="shared" si="2"/>
        <v>42</v>
      </c>
      <c r="I17" s="177">
        <v>85</v>
      </c>
      <c r="J17" s="144">
        <f t="shared" si="1"/>
        <v>43</v>
      </c>
      <c r="K17" s="173"/>
      <c r="L17" s="174"/>
      <c r="M17" s="174"/>
      <c r="N17" s="174"/>
    </row>
    <row r="18" spans="1:26" ht="24" customHeight="1">
      <c r="A18" s="123" t="s">
        <v>3593</v>
      </c>
      <c r="B18" s="124">
        <f t="shared" ref="B18:E18" si="3">SUM(B12:B17)</f>
        <v>146</v>
      </c>
      <c r="C18" s="125">
        <f t="shared" si="3"/>
        <v>17</v>
      </c>
      <c r="D18" s="125">
        <f t="shared" si="3"/>
        <v>102</v>
      </c>
      <c r="E18" s="125">
        <f t="shared" si="3"/>
        <v>10</v>
      </c>
      <c r="F18" s="125">
        <v>0</v>
      </c>
      <c r="G18" s="126">
        <f t="shared" si="0"/>
        <v>129</v>
      </c>
      <c r="H18" s="124">
        <f t="shared" si="2"/>
        <v>275</v>
      </c>
      <c r="I18" s="131">
        <f>SUM(I12:I17)</f>
        <v>180</v>
      </c>
      <c r="J18" s="133">
        <f t="shared" si="1"/>
        <v>-95</v>
      </c>
    </row>
    <row r="19" spans="1:26" ht="9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</row>
    <row r="20" spans="1:26" ht="57" customHeight="1">
      <c r="A20" s="130" t="s">
        <v>3594</v>
      </c>
      <c r="B20" s="131" t="s">
        <v>3579</v>
      </c>
      <c r="C20" s="104" t="s">
        <v>3585</v>
      </c>
      <c r="D20" s="104" t="s">
        <v>3586</v>
      </c>
      <c r="E20" s="104" t="s">
        <v>3587</v>
      </c>
      <c r="F20" s="104" t="s">
        <v>3588</v>
      </c>
      <c r="G20" s="102" t="s">
        <v>3595</v>
      </c>
      <c r="H20" s="102" t="s">
        <v>3582</v>
      </c>
      <c r="I20" s="102" t="s">
        <v>3583</v>
      </c>
      <c r="J20" s="133" t="s">
        <v>3584</v>
      </c>
      <c r="L20" s="178"/>
      <c r="N20" s="66">
        <v>183</v>
      </c>
    </row>
    <row r="21" spans="1:26" ht="19.5" customHeight="1">
      <c r="A21" s="105" t="s">
        <v>3596</v>
      </c>
      <c r="B21" s="106">
        <v>2</v>
      </c>
      <c r="C21" s="108">
        <v>0</v>
      </c>
      <c r="D21" s="108">
        <v>0</v>
      </c>
      <c r="E21" s="108">
        <v>1</v>
      </c>
      <c r="F21" s="108">
        <v>0</v>
      </c>
      <c r="G21" s="134">
        <f t="shared" ref="G21:G28" si="4">SUM(C21:F21)</f>
        <v>1</v>
      </c>
      <c r="H21" s="169">
        <f t="shared" ref="H21:H28" si="5">B21+G21</f>
        <v>3</v>
      </c>
      <c r="I21" s="179">
        <v>3</v>
      </c>
      <c r="J21" s="180">
        <f t="shared" ref="J21:J28" si="6">I21-H21</f>
        <v>0</v>
      </c>
      <c r="K21" s="173"/>
      <c r="N21" s="66">
        <v>146</v>
      </c>
    </row>
    <row r="22" spans="1:26" ht="19.5" customHeight="1">
      <c r="A22" s="111" t="s">
        <v>3597</v>
      </c>
      <c r="B22" s="112">
        <v>5</v>
      </c>
      <c r="C22" s="108">
        <v>0</v>
      </c>
      <c r="D22" s="108">
        <v>0</v>
      </c>
      <c r="E22" s="114">
        <v>1</v>
      </c>
      <c r="F22" s="108">
        <v>0</v>
      </c>
      <c r="G22" s="134">
        <f t="shared" si="4"/>
        <v>1</v>
      </c>
      <c r="H22" s="169">
        <f t="shared" si="5"/>
        <v>6</v>
      </c>
      <c r="I22" s="181">
        <v>2</v>
      </c>
      <c r="J22" s="144">
        <f t="shared" si="6"/>
        <v>-4</v>
      </c>
      <c r="N22" s="66">
        <v>221</v>
      </c>
    </row>
    <row r="23" spans="1:26" ht="19.5" customHeight="1">
      <c r="A23" s="111" t="s">
        <v>3598</v>
      </c>
      <c r="B23" s="112">
        <v>8</v>
      </c>
      <c r="C23" s="108">
        <v>0</v>
      </c>
      <c r="D23" s="108">
        <v>0</v>
      </c>
      <c r="E23" s="114">
        <v>2</v>
      </c>
      <c r="F23" s="108">
        <v>0</v>
      </c>
      <c r="G23" s="134">
        <f t="shared" si="4"/>
        <v>2</v>
      </c>
      <c r="H23" s="169">
        <f t="shared" si="5"/>
        <v>10</v>
      </c>
      <c r="I23" s="181">
        <v>27</v>
      </c>
      <c r="J23" s="144">
        <f t="shared" si="6"/>
        <v>17</v>
      </c>
      <c r="K23" s="173"/>
      <c r="N23" s="66">
        <f>SUM(N20:N22)</f>
        <v>550</v>
      </c>
    </row>
    <row r="24" spans="1:26" ht="19.5" customHeight="1">
      <c r="A24" s="111" t="s">
        <v>3599</v>
      </c>
      <c r="B24" s="112">
        <v>19</v>
      </c>
      <c r="C24" s="108">
        <v>0</v>
      </c>
      <c r="D24" s="108">
        <v>0</v>
      </c>
      <c r="E24" s="114">
        <v>5</v>
      </c>
      <c r="F24" s="114">
        <v>2</v>
      </c>
      <c r="G24" s="134">
        <f t="shared" si="4"/>
        <v>7</v>
      </c>
      <c r="H24" s="169">
        <f t="shared" si="5"/>
        <v>26</v>
      </c>
      <c r="I24" s="181">
        <v>16</v>
      </c>
      <c r="J24" s="144">
        <f t="shared" si="6"/>
        <v>-10</v>
      </c>
      <c r="K24" s="173"/>
    </row>
    <row r="25" spans="1:26" ht="19.5" customHeight="1">
      <c r="A25" s="111" t="s">
        <v>3600</v>
      </c>
      <c r="B25" s="112">
        <v>26</v>
      </c>
      <c r="C25" s="108">
        <v>0</v>
      </c>
      <c r="D25" s="108">
        <v>0</v>
      </c>
      <c r="E25" s="114">
        <v>1</v>
      </c>
      <c r="F25" s="108">
        <v>0</v>
      </c>
      <c r="G25" s="134">
        <f t="shared" si="4"/>
        <v>1</v>
      </c>
      <c r="H25" s="169">
        <f t="shared" si="5"/>
        <v>27</v>
      </c>
      <c r="I25" s="181">
        <v>11</v>
      </c>
      <c r="J25" s="144">
        <f t="shared" si="6"/>
        <v>-16</v>
      </c>
      <c r="K25" s="173"/>
    </row>
    <row r="26" spans="1:26" ht="19.5" customHeight="1">
      <c r="A26" s="111" t="s">
        <v>3601</v>
      </c>
      <c r="B26" s="112">
        <v>42</v>
      </c>
      <c r="C26" s="108">
        <v>0</v>
      </c>
      <c r="D26" s="108">
        <v>0</v>
      </c>
      <c r="E26" s="114">
        <v>0</v>
      </c>
      <c r="F26" s="108">
        <v>0</v>
      </c>
      <c r="G26" s="134">
        <f t="shared" si="4"/>
        <v>0</v>
      </c>
      <c r="H26" s="169">
        <f t="shared" si="5"/>
        <v>42</v>
      </c>
      <c r="I26" s="181" t="s">
        <v>3602</v>
      </c>
      <c r="J26" s="144" t="e">
        <f t="shared" si="6"/>
        <v>#VALUE!</v>
      </c>
      <c r="K26" s="173"/>
    </row>
    <row r="27" spans="1:26" ht="19.5" customHeight="1">
      <c r="A27" s="117" t="s">
        <v>3603</v>
      </c>
      <c r="B27" s="118">
        <v>44</v>
      </c>
      <c r="C27" s="176">
        <v>0</v>
      </c>
      <c r="D27" s="176">
        <v>0</v>
      </c>
      <c r="E27" s="175">
        <v>0</v>
      </c>
      <c r="F27" s="176">
        <v>0</v>
      </c>
      <c r="G27" s="173">
        <f t="shared" si="4"/>
        <v>0</v>
      </c>
      <c r="H27" s="142">
        <f t="shared" si="5"/>
        <v>44</v>
      </c>
      <c r="I27" s="182">
        <v>131</v>
      </c>
      <c r="J27" s="144">
        <f t="shared" si="6"/>
        <v>87</v>
      </c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9.5" customHeight="1">
      <c r="A28" s="123" t="s">
        <v>3604</v>
      </c>
      <c r="B28" s="126">
        <f t="shared" ref="B28:F28" si="7">SUM(B21:B27)</f>
        <v>146</v>
      </c>
      <c r="C28" s="125">
        <f t="shared" si="7"/>
        <v>0</v>
      </c>
      <c r="D28" s="125">
        <f t="shared" si="7"/>
        <v>0</v>
      </c>
      <c r="E28" s="125">
        <f t="shared" si="7"/>
        <v>10</v>
      </c>
      <c r="F28" s="125">
        <f t="shared" si="7"/>
        <v>2</v>
      </c>
      <c r="G28" s="126">
        <f t="shared" si="4"/>
        <v>12</v>
      </c>
      <c r="H28" s="124">
        <f t="shared" si="5"/>
        <v>158</v>
      </c>
      <c r="I28" s="124">
        <f>SUM(I21:I27)</f>
        <v>190</v>
      </c>
      <c r="J28" s="133">
        <f t="shared" si="6"/>
        <v>32</v>
      </c>
    </row>
    <row r="29" spans="1:26" ht="6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26" ht="22.5" customHeight="1">
      <c r="A30" s="148" t="s">
        <v>3605</v>
      </c>
      <c r="B30" s="126">
        <v>226</v>
      </c>
      <c r="C30" s="125">
        <v>0</v>
      </c>
      <c r="D30" s="125">
        <v>0</v>
      </c>
      <c r="E30" s="125">
        <v>0</v>
      </c>
      <c r="F30" s="125">
        <v>0</v>
      </c>
      <c r="G30" s="124">
        <v>0</v>
      </c>
      <c r="H30" s="124">
        <f>SUM(B30:G30)</f>
        <v>226</v>
      </c>
      <c r="I30" s="124">
        <v>170</v>
      </c>
      <c r="J30" s="133">
        <f>I30-H30</f>
        <v>-56</v>
      </c>
      <c r="L30" s="183"/>
      <c r="M30" s="183"/>
      <c r="N30" s="183"/>
      <c r="O30" s="183"/>
      <c r="P30" s="183"/>
    </row>
    <row r="31" spans="1:26" ht="7.5" customHeight="1"/>
    <row r="32" spans="1:26" ht="18.75" customHeight="1">
      <c r="A32" s="151" t="s">
        <v>3606</v>
      </c>
      <c r="B32" s="101"/>
      <c r="C32" s="101"/>
      <c r="D32" s="101"/>
      <c r="E32" s="101"/>
      <c r="F32" s="101"/>
      <c r="G32" s="101"/>
      <c r="H32" s="101"/>
      <c r="I32" s="101"/>
      <c r="J32" s="101"/>
    </row>
    <row r="33" spans="1:10" ht="16.5" customHeight="1">
      <c r="A33" s="152" t="s">
        <v>3593</v>
      </c>
      <c r="B33" s="153">
        <f t="shared" ref="B33:I33" si="8">B18</f>
        <v>146</v>
      </c>
      <c r="C33" s="154">
        <f t="shared" si="8"/>
        <v>17</v>
      </c>
      <c r="D33" s="154">
        <f t="shared" si="8"/>
        <v>102</v>
      </c>
      <c r="E33" s="154">
        <f t="shared" si="8"/>
        <v>10</v>
      </c>
      <c r="F33" s="154">
        <f t="shared" si="8"/>
        <v>0</v>
      </c>
      <c r="G33" s="154">
        <f t="shared" si="8"/>
        <v>129</v>
      </c>
      <c r="H33" s="154">
        <f t="shared" si="8"/>
        <v>275</v>
      </c>
      <c r="I33" s="154">
        <f t="shared" si="8"/>
        <v>180</v>
      </c>
      <c r="J33" s="103">
        <f t="shared" ref="J33:J36" si="9">I33-H33</f>
        <v>-95</v>
      </c>
    </row>
    <row r="34" spans="1:10" ht="16.5" customHeight="1">
      <c r="A34" s="156" t="s">
        <v>3604</v>
      </c>
      <c r="B34" s="157">
        <f t="shared" ref="B34:I34" si="10">B28</f>
        <v>146</v>
      </c>
      <c r="C34" s="157">
        <f t="shared" si="10"/>
        <v>0</v>
      </c>
      <c r="D34" s="157">
        <f t="shared" si="10"/>
        <v>0</v>
      </c>
      <c r="E34" s="157">
        <f t="shared" si="10"/>
        <v>10</v>
      </c>
      <c r="F34" s="157">
        <f t="shared" si="10"/>
        <v>2</v>
      </c>
      <c r="G34" s="157">
        <f t="shared" si="10"/>
        <v>12</v>
      </c>
      <c r="H34" s="157">
        <f t="shared" si="10"/>
        <v>158</v>
      </c>
      <c r="I34" s="157">
        <f t="shared" si="10"/>
        <v>190</v>
      </c>
      <c r="J34" s="159">
        <f t="shared" si="9"/>
        <v>32</v>
      </c>
    </row>
    <row r="35" spans="1:10" ht="16.5" customHeight="1">
      <c r="A35" s="160" t="s">
        <v>3605</v>
      </c>
      <c r="B35" s="139">
        <v>226</v>
      </c>
      <c r="C35" s="139">
        <f t="shared" ref="C35:I35" si="11">C30</f>
        <v>0</v>
      </c>
      <c r="D35" s="139">
        <f t="shared" si="11"/>
        <v>0</v>
      </c>
      <c r="E35" s="139">
        <f t="shared" si="11"/>
        <v>0</v>
      </c>
      <c r="F35" s="139">
        <f t="shared" si="11"/>
        <v>0</v>
      </c>
      <c r="G35" s="139">
        <f t="shared" si="11"/>
        <v>0</v>
      </c>
      <c r="H35" s="139">
        <f t="shared" si="11"/>
        <v>226</v>
      </c>
      <c r="I35" s="139">
        <f t="shared" si="11"/>
        <v>170</v>
      </c>
      <c r="J35" s="144">
        <f t="shared" si="9"/>
        <v>-56</v>
      </c>
    </row>
    <row r="36" spans="1:10" ht="16.5" customHeight="1">
      <c r="A36" s="130" t="s">
        <v>1916</v>
      </c>
      <c r="B36" s="124">
        <f t="shared" ref="B36:I36" si="12">SUM(B33:B35)</f>
        <v>518</v>
      </c>
      <c r="C36" s="162">
        <f t="shared" si="12"/>
        <v>17</v>
      </c>
      <c r="D36" s="162">
        <f t="shared" si="12"/>
        <v>102</v>
      </c>
      <c r="E36" s="162">
        <f t="shared" si="12"/>
        <v>20</v>
      </c>
      <c r="F36" s="162">
        <f t="shared" si="12"/>
        <v>2</v>
      </c>
      <c r="G36" s="162">
        <f t="shared" si="12"/>
        <v>141</v>
      </c>
      <c r="H36" s="162">
        <f t="shared" si="12"/>
        <v>659</v>
      </c>
      <c r="I36" s="162">
        <f t="shared" si="12"/>
        <v>540</v>
      </c>
      <c r="J36" s="133">
        <f t="shared" si="9"/>
        <v>-119</v>
      </c>
    </row>
    <row r="37" spans="1:10" ht="18" customHeight="1">
      <c r="A37" s="184"/>
      <c r="B37" s="184"/>
      <c r="C37" s="184"/>
      <c r="E37" s="184"/>
      <c r="F37" s="184"/>
      <c r="G37" s="184"/>
      <c r="H37" s="184"/>
      <c r="I37" s="184"/>
      <c r="J37" s="184"/>
    </row>
    <row r="38" spans="1:10" ht="13.5" customHeight="1">
      <c r="A38" s="66" t="s">
        <v>1917</v>
      </c>
      <c r="C38" s="164"/>
      <c r="D38" s="164" t="s">
        <v>1918</v>
      </c>
      <c r="E38" s="164"/>
      <c r="F38" s="164"/>
      <c r="G38" s="165"/>
      <c r="H38" s="164" t="s">
        <v>1919</v>
      </c>
      <c r="J38" s="164"/>
    </row>
    <row r="39" spans="1:10" ht="18.75" customHeight="1">
      <c r="G39" s="66"/>
    </row>
    <row r="40" spans="1:10" ht="18.75" customHeight="1"/>
    <row r="41" spans="1:10" ht="13.5" customHeight="1">
      <c r="A41" s="151" t="s">
        <v>1920</v>
      </c>
      <c r="C41" s="167"/>
      <c r="D41" s="167" t="s">
        <v>1921</v>
      </c>
      <c r="E41" s="167"/>
      <c r="F41" s="167"/>
      <c r="G41" s="59"/>
      <c r="H41" s="167" t="s">
        <v>3607</v>
      </c>
      <c r="J41" s="71"/>
    </row>
    <row r="42" spans="1:10" ht="12" customHeight="1">
      <c r="A42" s="164" t="s">
        <v>1923</v>
      </c>
      <c r="C42" s="168"/>
      <c r="D42" s="168" t="s">
        <v>1924</v>
      </c>
      <c r="E42" s="168"/>
      <c r="F42" s="168"/>
      <c r="G42" s="164"/>
      <c r="H42" s="168" t="s">
        <v>1924</v>
      </c>
      <c r="J42" s="73"/>
    </row>
    <row r="43" spans="1:10" ht="11.25" customHeight="1">
      <c r="A43" s="164" t="s">
        <v>3608</v>
      </c>
      <c r="C43" s="168"/>
      <c r="D43" s="168" t="s">
        <v>1927</v>
      </c>
      <c r="E43" s="168"/>
      <c r="F43" s="168"/>
      <c r="G43" s="66"/>
      <c r="H43" s="168" t="s">
        <v>3609</v>
      </c>
      <c r="J43" s="73"/>
    </row>
    <row r="44" spans="1:10" ht="12.75" customHeight="1">
      <c r="A44" s="164"/>
      <c r="B44" s="66"/>
      <c r="C44" s="66"/>
      <c r="D44" s="66"/>
      <c r="E44" s="66"/>
      <c r="F44" s="66"/>
      <c r="G44" s="66"/>
      <c r="H44" s="66"/>
      <c r="I44" s="164"/>
      <c r="J44" s="164"/>
    </row>
    <row r="45" spans="1:10" ht="12.75" customHeight="1">
      <c r="I45" s="164"/>
      <c r="J45" s="164"/>
    </row>
    <row r="46" spans="1:10" ht="12.75" customHeight="1"/>
    <row r="47" spans="1:10" ht="12.75" customHeight="1"/>
    <row r="48" spans="1:10" ht="12.75" customHeight="1"/>
    <row r="49" ht="10.5" customHeight="1"/>
    <row r="50" ht="11.2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C10:F10"/>
    <mergeCell ref="A10:A11"/>
    <mergeCell ref="B10:B11"/>
    <mergeCell ref="G10:G11"/>
    <mergeCell ref="H10:H11"/>
    <mergeCell ref="I10:I11"/>
    <mergeCell ref="J10:J11"/>
  </mergeCells>
  <printOptions horizontalCentered="1"/>
  <pageMargins left="0.31496062992126" right="0.31496062992126" top="0.35433070866141703" bottom="0.15748031496063" header="0" footer="0"/>
  <pageSetup paperSize="9" scale="7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I1"/>
    </sheetView>
  </sheetViews>
  <sheetFormatPr defaultColWidth="12.5703125" defaultRowHeight="15" customHeight="1"/>
  <cols>
    <col min="1" max="1" width="31.140625" customWidth="1"/>
    <col min="2" max="2" width="18" customWidth="1"/>
    <col min="3" max="5" width="10.85546875" customWidth="1"/>
    <col min="6" max="6" width="14" customWidth="1"/>
    <col min="7" max="7" width="18.85546875" customWidth="1"/>
    <col min="8" max="8" width="15.5703125" customWidth="1"/>
    <col min="9" max="9" width="16.28515625" customWidth="1"/>
    <col min="10" max="26" width="9" customWidth="1"/>
  </cols>
  <sheetData>
    <row r="1" spans="1:26" ht="12.75" customHeight="1">
      <c r="A1" s="400" t="s">
        <v>0</v>
      </c>
      <c r="B1" s="364"/>
      <c r="C1" s="364"/>
      <c r="D1" s="364"/>
      <c r="E1" s="364"/>
      <c r="F1" s="364"/>
      <c r="G1" s="364"/>
      <c r="H1" s="364"/>
      <c r="I1" s="364"/>
    </row>
    <row r="2" spans="1:26" ht="12.75" customHeight="1">
      <c r="A2" s="400" t="s">
        <v>2796</v>
      </c>
      <c r="B2" s="364"/>
      <c r="C2" s="364"/>
      <c r="D2" s="364"/>
      <c r="E2" s="364"/>
      <c r="F2" s="364"/>
      <c r="G2" s="364"/>
      <c r="H2" s="364"/>
      <c r="I2" s="364"/>
    </row>
    <row r="3" spans="1:26" ht="12.75" customHeight="1">
      <c r="A3" s="412" t="s">
        <v>1</v>
      </c>
      <c r="B3" s="364"/>
      <c r="C3" s="364"/>
      <c r="D3" s="364"/>
      <c r="E3" s="364"/>
      <c r="F3" s="364"/>
      <c r="G3" s="364"/>
      <c r="H3" s="364"/>
      <c r="I3" s="364"/>
    </row>
    <row r="4" spans="1:26" ht="12.75" customHeight="1">
      <c r="A4" s="412" t="s">
        <v>2</v>
      </c>
      <c r="B4" s="364"/>
      <c r="C4" s="364"/>
      <c r="D4" s="364"/>
      <c r="E4" s="364"/>
      <c r="F4" s="364"/>
      <c r="G4" s="364"/>
      <c r="H4" s="364"/>
      <c r="I4" s="364"/>
    </row>
    <row r="5" spans="1:26" ht="12.75" customHeight="1">
      <c r="A5" s="400" t="s">
        <v>3575</v>
      </c>
      <c r="B5" s="364"/>
      <c r="C5" s="364"/>
      <c r="D5" s="364"/>
      <c r="E5" s="364"/>
      <c r="F5" s="364"/>
      <c r="G5" s="364"/>
      <c r="H5" s="364"/>
      <c r="I5" s="364"/>
    </row>
    <row r="6" spans="1:26" ht="12.75" customHeight="1">
      <c r="A6" s="400"/>
      <c r="B6" s="364"/>
      <c r="C6" s="364"/>
      <c r="D6" s="364"/>
      <c r="E6" s="364"/>
      <c r="F6" s="364"/>
      <c r="G6" s="364"/>
      <c r="H6" s="364"/>
      <c r="I6" s="364"/>
    </row>
    <row r="7" spans="1:26" ht="12.75" customHeight="1">
      <c r="A7" s="401" t="s">
        <v>3576</v>
      </c>
      <c r="B7" s="364"/>
      <c r="C7" s="364"/>
      <c r="D7" s="364"/>
      <c r="E7" s="364"/>
      <c r="F7" s="364"/>
      <c r="G7" s="364"/>
      <c r="H7" s="364"/>
      <c r="I7" s="364"/>
    </row>
    <row r="8" spans="1:26" ht="12.75" customHeight="1">
      <c r="A8" s="402" t="s">
        <v>3610</v>
      </c>
      <c r="B8" s="364"/>
      <c r="C8" s="364"/>
      <c r="D8" s="364"/>
      <c r="E8" s="364"/>
      <c r="F8" s="364"/>
      <c r="G8" s="364"/>
      <c r="H8" s="364"/>
      <c r="I8" s="364"/>
    </row>
    <row r="9" spans="1:26" ht="10.5" customHeight="1">
      <c r="A9" s="101"/>
      <c r="B9" s="101"/>
      <c r="C9" s="101"/>
      <c r="D9" s="101"/>
      <c r="E9" s="101"/>
      <c r="F9" s="101"/>
      <c r="G9" s="101"/>
      <c r="H9" s="101"/>
      <c r="I9" s="101"/>
    </row>
    <row r="10" spans="1:26" ht="18.75" customHeight="1">
      <c r="A10" s="406" t="s">
        <v>3578</v>
      </c>
      <c r="B10" s="408" t="s">
        <v>3579</v>
      </c>
      <c r="C10" s="403" t="s">
        <v>3580</v>
      </c>
      <c r="D10" s="404"/>
      <c r="E10" s="404"/>
      <c r="F10" s="408" t="s">
        <v>3581</v>
      </c>
      <c r="G10" s="408" t="s">
        <v>3582</v>
      </c>
      <c r="H10" s="413" t="s">
        <v>3583</v>
      </c>
      <c r="I10" s="410" t="s">
        <v>3584</v>
      </c>
    </row>
    <row r="11" spans="1:26" ht="34.5" customHeight="1">
      <c r="A11" s="407"/>
      <c r="B11" s="409"/>
      <c r="C11" s="104" t="s">
        <v>3585</v>
      </c>
      <c r="D11" s="104" t="s">
        <v>3586</v>
      </c>
      <c r="E11" s="104" t="s">
        <v>3587</v>
      </c>
      <c r="F11" s="409"/>
      <c r="G11" s="409"/>
      <c r="H11" s="409"/>
      <c r="I11" s="411"/>
    </row>
    <row r="12" spans="1:26" ht="19.5" customHeight="1">
      <c r="A12" s="105" t="s">
        <v>3589</v>
      </c>
      <c r="B12" s="106">
        <v>1</v>
      </c>
      <c r="C12" s="107">
        <v>0</v>
      </c>
      <c r="D12" s="107">
        <v>0</v>
      </c>
      <c r="E12" s="108">
        <v>0</v>
      </c>
      <c r="F12" s="106">
        <f t="shared" ref="F12:F18" si="0">SUM(C12:E12)</f>
        <v>0</v>
      </c>
      <c r="G12" s="106">
        <v>1</v>
      </c>
      <c r="H12" s="109">
        <v>1</v>
      </c>
      <c r="I12" s="110">
        <f t="shared" ref="I12:I17" si="1">H12-G12</f>
        <v>0</v>
      </c>
    </row>
    <row r="13" spans="1:26" ht="19.5" customHeight="1">
      <c r="A13" s="111" t="s">
        <v>1925</v>
      </c>
      <c r="B13" s="112">
        <v>7</v>
      </c>
      <c r="C13" s="113">
        <v>3</v>
      </c>
      <c r="D13" s="113">
        <v>0</v>
      </c>
      <c r="E13" s="114">
        <v>1</v>
      </c>
      <c r="F13" s="106">
        <f t="shared" si="0"/>
        <v>4</v>
      </c>
      <c r="G13" s="106">
        <v>11</v>
      </c>
      <c r="H13" s="115">
        <v>10</v>
      </c>
      <c r="I13" s="116">
        <f t="shared" si="1"/>
        <v>-1</v>
      </c>
    </row>
    <row r="14" spans="1:26" ht="19.5" customHeight="1">
      <c r="A14" s="111" t="s">
        <v>1924</v>
      </c>
      <c r="B14" s="112">
        <v>22</v>
      </c>
      <c r="C14" s="113">
        <v>3</v>
      </c>
      <c r="D14" s="113">
        <v>18</v>
      </c>
      <c r="E14" s="114">
        <v>1</v>
      </c>
      <c r="F14" s="106">
        <f t="shared" si="0"/>
        <v>22</v>
      </c>
      <c r="G14" s="106">
        <f t="shared" ref="G14:G18" si="2">B14+F14</f>
        <v>44</v>
      </c>
      <c r="H14" s="115">
        <v>37</v>
      </c>
      <c r="I14" s="116">
        <f t="shared" si="1"/>
        <v>-7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9.5" customHeight="1">
      <c r="A15" s="111" t="s">
        <v>3590</v>
      </c>
      <c r="B15" s="112">
        <v>37</v>
      </c>
      <c r="C15" s="113">
        <v>10</v>
      </c>
      <c r="D15" s="113">
        <v>0</v>
      </c>
      <c r="E15" s="113">
        <v>0</v>
      </c>
      <c r="F15" s="106">
        <f t="shared" si="0"/>
        <v>10</v>
      </c>
      <c r="G15" s="106">
        <f t="shared" si="2"/>
        <v>47</v>
      </c>
      <c r="H15" s="115">
        <v>20</v>
      </c>
      <c r="I15" s="116">
        <f t="shared" si="1"/>
        <v>-27</v>
      </c>
    </row>
    <row r="16" spans="1:26" ht="19.5" customHeight="1">
      <c r="A16" s="111" t="s">
        <v>3591</v>
      </c>
      <c r="B16" s="112">
        <v>38</v>
      </c>
      <c r="C16" s="113">
        <v>0</v>
      </c>
      <c r="D16" s="113">
        <v>0</v>
      </c>
      <c r="E16" s="113">
        <v>0</v>
      </c>
      <c r="F16" s="106">
        <f t="shared" si="0"/>
        <v>0</v>
      </c>
      <c r="G16" s="106">
        <f t="shared" si="2"/>
        <v>38</v>
      </c>
      <c r="H16" s="115">
        <v>82</v>
      </c>
      <c r="I16" s="116">
        <f t="shared" si="1"/>
        <v>44</v>
      </c>
    </row>
    <row r="17" spans="1:26" ht="19.5" customHeight="1">
      <c r="A17" s="117" t="s">
        <v>3592</v>
      </c>
      <c r="B17" s="118">
        <v>41</v>
      </c>
      <c r="C17" s="119">
        <v>0</v>
      </c>
      <c r="D17" s="113">
        <v>0</v>
      </c>
      <c r="E17" s="113">
        <v>0</v>
      </c>
      <c r="F17" s="120">
        <f t="shared" si="0"/>
        <v>0</v>
      </c>
      <c r="G17" s="120">
        <f t="shared" si="2"/>
        <v>41</v>
      </c>
      <c r="H17" s="121">
        <v>31</v>
      </c>
      <c r="I17" s="122">
        <f t="shared" si="1"/>
        <v>-10</v>
      </c>
    </row>
    <row r="18" spans="1:26" ht="24" customHeight="1">
      <c r="A18" s="123" t="s">
        <v>3593</v>
      </c>
      <c r="B18" s="124">
        <f t="shared" ref="B18:E18" si="3">SUM(B12:B17)</f>
        <v>146</v>
      </c>
      <c r="C18" s="125">
        <f t="shared" si="3"/>
        <v>16</v>
      </c>
      <c r="D18" s="125">
        <f t="shared" si="3"/>
        <v>18</v>
      </c>
      <c r="E18" s="125">
        <f t="shared" si="3"/>
        <v>2</v>
      </c>
      <c r="F18" s="126">
        <f t="shared" si="0"/>
        <v>36</v>
      </c>
      <c r="G18" s="124">
        <f t="shared" si="2"/>
        <v>182</v>
      </c>
      <c r="H18" s="127">
        <f t="shared" ref="H18:I18" si="4">SUM(H12:H17)</f>
        <v>181</v>
      </c>
      <c r="I18" s="127">
        <f t="shared" si="4"/>
        <v>-1</v>
      </c>
    </row>
    <row r="19" spans="1:26" ht="9" customHeight="1">
      <c r="A19" s="128"/>
      <c r="B19" s="128"/>
      <c r="C19" s="128"/>
      <c r="D19" s="128"/>
      <c r="E19" s="128"/>
      <c r="F19" s="128"/>
      <c r="G19" s="128"/>
      <c r="H19" s="129"/>
      <c r="I19" s="128"/>
    </row>
    <row r="20" spans="1:26" ht="57" customHeight="1">
      <c r="A20" s="130" t="s">
        <v>3594</v>
      </c>
      <c r="B20" s="131" t="s">
        <v>3579</v>
      </c>
      <c r="C20" s="104" t="s">
        <v>3585</v>
      </c>
      <c r="D20" s="104" t="s">
        <v>3586</v>
      </c>
      <c r="E20" s="104" t="s">
        <v>3587</v>
      </c>
      <c r="F20" s="102" t="s">
        <v>3595</v>
      </c>
      <c r="G20" s="102" t="s">
        <v>3582</v>
      </c>
      <c r="H20" s="132" t="s">
        <v>3583</v>
      </c>
      <c r="I20" s="133" t="s">
        <v>3584</v>
      </c>
    </row>
    <row r="21" spans="1:26" ht="19.5" customHeight="1">
      <c r="A21" s="105" t="s">
        <v>3596</v>
      </c>
      <c r="B21" s="106">
        <v>2</v>
      </c>
      <c r="C21" s="108">
        <v>0</v>
      </c>
      <c r="D21" s="108">
        <v>0</v>
      </c>
      <c r="E21" s="108">
        <v>0</v>
      </c>
      <c r="F21" s="134">
        <f t="shared" ref="F21:F28" si="5">SUM(C21:E21)</f>
        <v>0</v>
      </c>
      <c r="G21" s="106">
        <f t="shared" ref="G21:G22" si="6">B21+F21</f>
        <v>2</v>
      </c>
      <c r="H21" s="135">
        <v>2</v>
      </c>
      <c r="I21" s="136">
        <f t="shared" ref="I21:I28" si="7">H21-G21</f>
        <v>0</v>
      </c>
    </row>
    <row r="22" spans="1:26" ht="19.5" customHeight="1">
      <c r="A22" s="111" t="s">
        <v>3597</v>
      </c>
      <c r="B22" s="112">
        <v>5</v>
      </c>
      <c r="C22" s="108">
        <v>0</v>
      </c>
      <c r="D22" s="108">
        <v>0</v>
      </c>
      <c r="E22" s="108">
        <v>0</v>
      </c>
      <c r="F22" s="134">
        <f t="shared" si="5"/>
        <v>0</v>
      </c>
      <c r="G22" s="106">
        <f t="shared" si="6"/>
        <v>5</v>
      </c>
      <c r="H22" s="137">
        <v>6</v>
      </c>
      <c r="I22" s="122">
        <f t="shared" si="7"/>
        <v>1</v>
      </c>
    </row>
    <row r="23" spans="1:26" ht="19.5" customHeight="1">
      <c r="A23" s="111" t="s">
        <v>3598</v>
      </c>
      <c r="B23" s="112">
        <v>8</v>
      </c>
      <c r="C23" s="108">
        <v>0</v>
      </c>
      <c r="D23" s="108">
        <v>0</v>
      </c>
      <c r="E23" s="108">
        <v>0</v>
      </c>
      <c r="F23" s="134">
        <f t="shared" si="5"/>
        <v>0</v>
      </c>
      <c r="G23" s="106">
        <v>8</v>
      </c>
      <c r="H23" s="137">
        <v>26</v>
      </c>
      <c r="I23" s="122">
        <f t="shared" si="7"/>
        <v>18</v>
      </c>
    </row>
    <row r="24" spans="1:26" ht="19.5" customHeight="1">
      <c r="A24" s="111" t="s">
        <v>3599</v>
      </c>
      <c r="B24" s="112">
        <v>19</v>
      </c>
      <c r="C24" s="108">
        <v>0</v>
      </c>
      <c r="D24" s="108">
        <v>0</v>
      </c>
      <c r="E24" s="108">
        <v>0</v>
      </c>
      <c r="F24" s="134">
        <f t="shared" si="5"/>
        <v>0</v>
      </c>
      <c r="G24" s="106">
        <f t="shared" ref="G24:G28" si="8">B24+F24</f>
        <v>19</v>
      </c>
      <c r="H24" s="137">
        <v>12</v>
      </c>
      <c r="I24" s="122">
        <f t="shared" si="7"/>
        <v>-7</v>
      </c>
    </row>
    <row r="25" spans="1:26" ht="19.5" customHeight="1">
      <c r="A25" s="111" t="s">
        <v>3600</v>
      </c>
      <c r="B25" s="112">
        <v>26</v>
      </c>
      <c r="C25" s="108">
        <v>0</v>
      </c>
      <c r="D25" s="108">
        <v>0</v>
      </c>
      <c r="E25" s="108">
        <v>0</v>
      </c>
      <c r="F25" s="134">
        <f t="shared" si="5"/>
        <v>0</v>
      </c>
      <c r="G25" s="106">
        <f t="shared" si="8"/>
        <v>26</v>
      </c>
      <c r="H25" s="137">
        <v>10</v>
      </c>
      <c r="I25" s="122">
        <f t="shared" si="7"/>
        <v>-16</v>
      </c>
    </row>
    <row r="26" spans="1:26" ht="19.5" customHeight="1">
      <c r="A26" s="111" t="s">
        <v>3601</v>
      </c>
      <c r="B26" s="112">
        <v>42</v>
      </c>
      <c r="C26" s="108">
        <v>0</v>
      </c>
      <c r="D26" s="108">
        <v>0</v>
      </c>
      <c r="E26" s="108">
        <v>0</v>
      </c>
      <c r="F26" s="134">
        <f t="shared" si="5"/>
        <v>0</v>
      </c>
      <c r="G26" s="106">
        <f t="shared" si="8"/>
        <v>42</v>
      </c>
      <c r="H26" s="137">
        <v>32</v>
      </c>
      <c r="I26" s="122">
        <f t="shared" si="7"/>
        <v>-10</v>
      </c>
    </row>
    <row r="27" spans="1:26" ht="19.5" customHeight="1">
      <c r="A27" s="138" t="s">
        <v>3603</v>
      </c>
      <c r="B27" s="139">
        <v>44</v>
      </c>
      <c r="C27" s="140">
        <v>0</v>
      </c>
      <c r="D27" s="140">
        <v>0</v>
      </c>
      <c r="E27" s="140">
        <v>0</v>
      </c>
      <c r="F27" s="141">
        <f t="shared" si="5"/>
        <v>0</v>
      </c>
      <c r="G27" s="142">
        <f t="shared" si="8"/>
        <v>44</v>
      </c>
      <c r="H27" s="143">
        <v>120</v>
      </c>
      <c r="I27" s="144">
        <f t="shared" si="7"/>
        <v>76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9.5" customHeight="1">
      <c r="A28" s="123" t="s">
        <v>3604</v>
      </c>
      <c r="B28" s="124">
        <f t="shared" ref="B28:D28" si="9">SUM(B21:B27)</f>
        <v>146</v>
      </c>
      <c r="C28" s="125">
        <f t="shared" si="9"/>
        <v>0</v>
      </c>
      <c r="D28" s="125">
        <f t="shared" si="9"/>
        <v>0</v>
      </c>
      <c r="E28" s="145">
        <v>0</v>
      </c>
      <c r="F28" s="126">
        <f t="shared" si="5"/>
        <v>0</v>
      </c>
      <c r="G28" s="133">
        <f t="shared" si="8"/>
        <v>146</v>
      </c>
      <c r="H28" s="146">
        <f>SUM(H21:H27)</f>
        <v>208</v>
      </c>
      <c r="I28" s="133">
        <f t="shared" si="7"/>
        <v>62</v>
      </c>
    </row>
    <row r="29" spans="1:26" ht="6" customHeight="1">
      <c r="A29" s="100"/>
      <c r="B29" s="100"/>
      <c r="C29" s="100"/>
      <c r="D29" s="100"/>
      <c r="E29" s="100"/>
      <c r="F29" s="100"/>
      <c r="G29" s="100"/>
      <c r="H29" s="147"/>
      <c r="I29" s="100"/>
    </row>
    <row r="30" spans="1:26" ht="22.5" customHeight="1">
      <c r="A30" s="148" t="s">
        <v>3605</v>
      </c>
      <c r="B30" s="124">
        <v>226</v>
      </c>
      <c r="C30" s="125">
        <v>0</v>
      </c>
      <c r="D30" s="125">
        <v>0</v>
      </c>
      <c r="E30" s="125">
        <v>0</v>
      </c>
      <c r="F30" s="124">
        <v>0</v>
      </c>
      <c r="G30" s="124">
        <f>SUM(B30:F30)</f>
        <v>226</v>
      </c>
      <c r="H30" s="149">
        <v>181</v>
      </c>
      <c r="I30" s="133">
        <f>H30-G30</f>
        <v>-45</v>
      </c>
    </row>
    <row r="31" spans="1:26" ht="7.5" customHeight="1">
      <c r="B31" s="66"/>
      <c r="H31" s="150"/>
    </row>
    <row r="32" spans="1:26" ht="18.75" customHeight="1">
      <c r="A32" s="151" t="s">
        <v>3606</v>
      </c>
      <c r="B32" s="101"/>
      <c r="C32" s="101"/>
      <c r="D32" s="101"/>
      <c r="E32" s="101"/>
      <c r="F32" s="101"/>
      <c r="G32" s="101"/>
      <c r="H32" s="147"/>
      <c r="I32" s="101"/>
    </row>
    <row r="33" spans="1:9" ht="16.5" customHeight="1">
      <c r="A33" s="152" t="s">
        <v>3593</v>
      </c>
      <c r="B33" s="153">
        <f t="shared" ref="B33:H33" si="10">B18</f>
        <v>146</v>
      </c>
      <c r="C33" s="154">
        <f t="shared" si="10"/>
        <v>16</v>
      </c>
      <c r="D33" s="154">
        <f t="shared" si="10"/>
        <v>18</v>
      </c>
      <c r="E33" s="154">
        <f t="shared" si="10"/>
        <v>2</v>
      </c>
      <c r="F33" s="154">
        <f t="shared" si="10"/>
        <v>36</v>
      </c>
      <c r="G33" s="154">
        <f t="shared" si="10"/>
        <v>182</v>
      </c>
      <c r="H33" s="155">
        <f t="shared" si="10"/>
        <v>181</v>
      </c>
      <c r="I33" s="103">
        <f t="shared" ref="I33:I36" si="11">H33-G33</f>
        <v>-1</v>
      </c>
    </row>
    <row r="34" spans="1:9" ht="16.5" customHeight="1">
      <c r="A34" s="156" t="s">
        <v>3604</v>
      </c>
      <c r="B34" s="157">
        <f t="shared" ref="B34:H34" si="12">B28</f>
        <v>146</v>
      </c>
      <c r="C34" s="157">
        <f t="shared" si="12"/>
        <v>0</v>
      </c>
      <c r="D34" s="157">
        <f t="shared" si="12"/>
        <v>0</v>
      </c>
      <c r="E34" s="157">
        <f t="shared" si="12"/>
        <v>0</v>
      </c>
      <c r="F34" s="157">
        <f t="shared" si="12"/>
        <v>0</v>
      </c>
      <c r="G34" s="157">
        <f t="shared" si="12"/>
        <v>146</v>
      </c>
      <c r="H34" s="158">
        <f t="shared" si="12"/>
        <v>208</v>
      </c>
      <c r="I34" s="159">
        <f t="shared" si="11"/>
        <v>62</v>
      </c>
    </row>
    <row r="35" spans="1:9" ht="16.5" customHeight="1">
      <c r="A35" s="160" t="s">
        <v>3605</v>
      </c>
      <c r="B35" s="139">
        <v>226</v>
      </c>
      <c r="C35" s="139">
        <f t="shared" ref="C35:H35" si="13">C30</f>
        <v>0</v>
      </c>
      <c r="D35" s="139">
        <f t="shared" si="13"/>
        <v>0</v>
      </c>
      <c r="E35" s="139">
        <f t="shared" si="13"/>
        <v>0</v>
      </c>
      <c r="F35" s="139">
        <f t="shared" si="13"/>
        <v>0</v>
      </c>
      <c r="G35" s="139">
        <f t="shared" si="13"/>
        <v>226</v>
      </c>
      <c r="H35" s="161">
        <f t="shared" si="13"/>
        <v>181</v>
      </c>
      <c r="I35" s="144">
        <f t="shared" si="11"/>
        <v>-45</v>
      </c>
    </row>
    <row r="36" spans="1:9" ht="16.5" customHeight="1">
      <c r="A36" s="130" t="s">
        <v>1916</v>
      </c>
      <c r="B36" s="124">
        <f t="shared" ref="B36:H36" si="14">SUM(B33:B35)</f>
        <v>518</v>
      </c>
      <c r="C36" s="162">
        <f t="shared" si="14"/>
        <v>16</v>
      </c>
      <c r="D36" s="162">
        <f t="shared" si="14"/>
        <v>18</v>
      </c>
      <c r="E36" s="162">
        <f t="shared" si="14"/>
        <v>2</v>
      </c>
      <c r="F36" s="162">
        <f t="shared" si="14"/>
        <v>36</v>
      </c>
      <c r="G36" s="162">
        <f t="shared" si="14"/>
        <v>554</v>
      </c>
      <c r="H36" s="163">
        <f t="shared" si="14"/>
        <v>570</v>
      </c>
      <c r="I36" s="133">
        <f t="shared" si="11"/>
        <v>16</v>
      </c>
    </row>
    <row r="37" spans="1:9" ht="13.5" customHeight="1">
      <c r="B37" s="66"/>
      <c r="C37" s="164"/>
      <c r="E37" s="164"/>
      <c r="F37" s="165"/>
      <c r="G37" s="164"/>
      <c r="I37" s="164"/>
    </row>
    <row r="38" spans="1:9" ht="18.75" customHeight="1">
      <c r="A38" s="65" t="s">
        <v>1917</v>
      </c>
      <c r="B38" s="65"/>
      <c r="C38" s="164" t="s">
        <v>1918</v>
      </c>
      <c r="E38" s="164"/>
      <c r="F38" s="164"/>
      <c r="G38" s="164" t="s">
        <v>1919</v>
      </c>
      <c r="H38" s="166"/>
    </row>
    <row r="39" spans="1:9" ht="18.75" customHeight="1">
      <c r="A39" s="65"/>
      <c r="B39" s="65"/>
      <c r="C39" s="66"/>
      <c r="E39" s="66"/>
      <c r="F39" s="66"/>
      <c r="G39" s="66"/>
      <c r="H39" s="166"/>
    </row>
    <row r="40" spans="1:9" ht="13.5" customHeight="1">
      <c r="A40" s="65"/>
      <c r="B40" s="65"/>
      <c r="C40" s="66"/>
      <c r="E40" s="66"/>
      <c r="F40" s="66"/>
      <c r="G40" s="66"/>
      <c r="H40" s="166"/>
      <c r="I40" s="71"/>
    </row>
    <row r="41" spans="1:9" ht="12" customHeight="1">
      <c r="A41" s="39" t="s">
        <v>1920</v>
      </c>
      <c r="B41" s="67"/>
      <c r="C41" s="167" t="s">
        <v>1921</v>
      </c>
      <c r="E41" s="167"/>
      <c r="F41" s="167"/>
      <c r="G41" s="167" t="s">
        <v>1922</v>
      </c>
      <c r="H41" s="166"/>
      <c r="I41" s="73"/>
    </row>
    <row r="42" spans="1:9" ht="11.25" customHeight="1">
      <c r="A42" s="72" t="s">
        <v>1923</v>
      </c>
      <c r="B42" s="72"/>
      <c r="C42" s="168" t="s">
        <v>1924</v>
      </c>
      <c r="E42" s="168"/>
      <c r="F42" s="168"/>
      <c r="G42" s="168" t="s">
        <v>1925</v>
      </c>
      <c r="H42" s="166"/>
      <c r="I42" s="73"/>
    </row>
    <row r="43" spans="1:9" ht="12.75" customHeight="1">
      <c r="A43" s="72" t="s">
        <v>1926</v>
      </c>
      <c r="B43" s="72"/>
      <c r="C43" s="168" t="s">
        <v>1927</v>
      </c>
      <c r="E43" s="168"/>
      <c r="F43" s="168"/>
      <c r="G43" s="168" t="s">
        <v>1928</v>
      </c>
      <c r="H43" s="166"/>
      <c r="I43" s="164"/>
    </row>
    <row r="44" spans="1:9" ht="12.75" customHeight="1">
      <c r="B44" s="66"/>
      <c r="H44" s="164"/>
      <c r="I44" s="164"/>
    </row>
    <row r="45" spans="1:9" ht="12.75" customHeight="1">
      <c r="B45" s="66"/>
    </row>
    <row r="46" spans="1:9" ht="12.75" customHeight="1">
      <c r="B46" s="66"/>
    </row>
    <row r="47" spans="1:9" ht="12.75" customHeight="1">
      <c r="B47" s="66"/>
    </row>
    <row r="48" spans="1:9" ht="10.5" customHeight="1">
      <c r="B48" s="66"/>
    </row>
    <row r="49" spans="2:2" ht="12.75" customHeight="1">
      <c r="B49" s="66"/>
    </row>
    <row r="50" spans="2:2" ht="12.75" customHeight="1">
      <c r="B50" s="66"/>
    </row>
    <row r="51" spans="2:2" ht="12.75" customHeight="1">
      <c r="B51" s="66"/>
    </row>
    <row r="52" spans="2:2" ht="12.75" customHeight="1">
      <c r="B52" s="66"/>
    </row>
    <row r="53" spans="2:2" ht="12.75" customHeight="1">
      <c r="B53" s="66"/>
    </row>
    <row r="54" spans="2:2" ht="12.75" customHeight="1">
      <c r="B54" s="66"/>
    </row>
    <row r="55" spans="2:2" ht="12.75" customHeight="1">
      <c r="B55" s="66"/>
    </row>
    <row r="56" spans="2:2" ht="12.75" customHeight="1">
      <c r="B56" s="66"/>
    </row>
    <row r="57" spans="2:2" ht="12.75" customHeight="1">
      <c r="B57" s="66"/>
    </row>
    <row r="58" spans="2:2" ht="12.75" customHeight="1">
      <c r="B58" s="66"/>
    </row>
    <row r="59" spans="2:2" ht="12.75" customHeight="1">
      <c r="B59" s="66"/>
    </row>
    <row r="60" spans="2:2" ht="12.75" customHeight="1">
      <c r="B60" s="66"/>
    </row>
    <row r="61" spans="2:2" ht="12.75" customHeight="1">
      <c r="B61" s="66"/>
    </row>
    <row r="62" spans="2:2" ht="12.75" customHeight="1">
      <c r="B62" s="66"/>
    </row>
    <row r="63" spans="2:2" ht="12.75" customHeight="1">
      <c r="B63" s="66"/>
    </row>
    <row r="64" spans="2:2" ht="12.75" customHeight="1">
      <c r="B64" s="66"/>
    </row>
    <row r="65" spans="2:2" ht="12.75" customHeight="1">
      <c r="B65" s="66"/>
    </row>
    <row r="66" spans="2:2" ht="12.75" customHeight="1">
      <c r="B66" s="66"/>
    </row>
    <row r="67" spans="2:2" ht="12.75" customHeight="1">
      <c r="B67" s="66"/>
    </row>
    <row r="68" spans="2:2" ht="12.75" customHeight="1">
      <c r="B68" s="66"/>
    </row>
    <row r="69" spans="2:2" ht="12.75" customHeight="1">
      <c r="B69" s="66"/>
    </row>
    <row r="70" spans="2:2" ht="12.75" customHeight="1">
      <c r="B70" s="66"/>
    </row>
    <row r="71" spans="2:2" ht="12.75" customHeight="1">
      <c r="B71" s="66"/>
    </row>
    <row r="72" spans="2:2" ht="12.75" customHeight="1">
      <c r="B72" s="66"/>
    </row>
    <row r="73" spans="2:2" ht="12.75" customHeight="1">
      <c r="B73" s="66"/>
    </row>
    <row r="74" spans="2:2" ht="12.75" customHeight="1">
      <c r="B74" s="66"/>
    </row>
    <row r="75" spans="2:2" ht="12.75" customHeight="1">
      <c r="B75" s="66"/>
    </row>
    <row r="76" spans="2:2" ht="12.75" customHeight="1">
      <c r="B76" s="66"/>
    </row>
    <row r="77" spans="2:2" ht="12.75" customHeight="1">
      <c r="B77" s="66"/>
    </row>
    <row r="78" spans="2:2" ht="12.75" customHeight="1">
      <c r="B78" s="66"/>
    </row>
    <row r="79" spans="2:2" ht="12.75" customHeight="1">
      <c r="B79" s="66"/>
    </row>
    <row r="80" spans="2:2" ht="12.75" customHeight="1">
      <c r="B80" s="66"/>
    </row>
    <row r="81" spans="2:2" ht="12.75" customHeight="1">
      <c r="B81" s="66"/>
    </row>
    <row r="82" spans="2:2" ht="12.75" customHeight="1">
      <c r="B82" s="66"/>
    </row>
    <row r="83" spans="2:2" ht="12.75" customHeight="1">
      <c r="B83" s="66"/>
    </row>
    <row r="84" spans="2:2" ht="12.75" customHeight="1">
      <c r="B84" s="66"/>
    </row>
    <row r="85" spans="2:2" ht="12.75" customHeight="1">
      <c r="B85" s="66"/>
    </row>
    <row r="86" spans="2:2" ht="12.75" customHeight="1">
      <c r="B86" s="66"/>
    </row>
    <row r="87" spans="2:2" ht="12.75" customHeight="1">
      <c r="B87" s="66"/>
    </row>
    <row r="88" spans="2:2" ht="12.75" customHeight="1">
      <c r="B88" s="66"/>
    </row>
    <row r="89" spans="2:2" ht="12.75" customHeight="1">
      <c r="B89" s="66"/>
    </row>
    <row r="90" spans="2:2" ht="12.75" customHeight="1">
      <c r="B90" s="66"/>
    </row>
    <row r="91" spans="2:2" ht="12.75" customHeight="1">
      <c r="B91" s="66"/>
    </row>
    <row r="92" spans="2:2" ht="12.75" customHeight="1">
      <c r="B92" s="66"/>
    </row>
    <row r="93" spans="2:2" ht="12.75" customHeight="1">
      <c r="B93" s="66"/>
    </row>
    <row r="94" spans="2:2" ht="12.75" customHeight="1">
      <c r="B94" s="66"/>
    </row>
    <row r="95" spans="2:2" ht="12.75" customHeight="1">
      <c r="B95" s="66"/>
    </row>
    <row r="96" spans="2:2" ht="12.75" customHeight="1">
      <c r="B96" s="66"/>
    </row>
    <row r="97" spans="2:2" ht="12.75" customHeight="1">
      <c r="B97" s="66"/>
    </row>
    <row r="98" spans="2:2" ht="12.75" customHeight="1">
      <c r="B98" s="66"/>
    </row>
    <row r="99" spans="2:2" ht="12.75" customHeight="1">
      <c r="B99" s="66"/>
    </row>
    <row r="100" spans="2:2" ht="12.75" customHeight="1">
      <c r="B100" s="66"/>
    </row>
    <row r="101" spans="2:2" ht="12.75" customHeight="1">
      <c r="B101" s="66"/>
    </row>
    <row r="102" spans="2:2" ht="12.75" customHeight="1">
      <c r="B102" s="66"/>
    </row>
    <row r="103" spans="2:2" ht="12.75" customHeight="1">
      <c r="B103" s="66"/>
    </row>
    <row r="104" spans="2:2" ht="12.75" customHeight="1">
      <c r="B104" s="66"/>
    </row>
    <row r="105" spans="2:2" ht="12.75" customHeight="1">
      <c r="B105" s="66"/>
    </row>
    <row r="106" spans="2:2" ht="12.75" customHeight="1">
      <c r="B106" s="66"/>
    </row>
    <row r="107" spans="2:2" ht="12.75" customHeight="1">
      <c r="B107" s="66"/>
    </row>
    <row r="108" spans="2:2" ht="12.75" customHeight="1">
      <c r="B108" s="66"/>
    </row>
    <row r="109" spans="2:2" ht="12.75" customHeight="1">
      <c r="B109" s="66"/>
    </row>
    <row r="110" spans="2:2" ht="12.75" customHeight="1">
      <c r="B110" s="66"/>
    </row>
    <row r="111" spans="2:2" ht="12.75" customHeight="1">
      <c r="B111" s="66"/>
    </row>
    <row r="112" spans="2:2" ht="12.75" customHeight="1">
      <c r="B112" s="66"/>
    </row>
    <row r="113" spans="2:2" ht="12.75" customHeight="1">
      <c r="B113" s="66"/>
    </row>
    <row r="114" spans="2:2" ht="12.75" customHeight="1">
      <c r="B114" s="66"/>
    </row>
    <row r="115" spans="2:2" ht="12.75" customHeight="1">
      <c r="B115" s="66"/>
    </row>
    <row r="116" spans="2:2" ht="12.75" customHeight="1">
      <c r="B116" s="66"/>
    </row>
    <row r="117" spans="2:2" ht="12.75" customHeight="1">
      <c r="B117" s="66"/>
    </row>
    <row r="118" spans="2:2" ht="12.75" customHeight="1">
      <c r="B118" s="66"/>
    </row>
    <row r="119" spans="2:2" ht="12.75" customHeight="1">
      <c r="B119" s="66"/>
    </row>
    <row r="120" spans="2:2" ht="12.75" customHeight="1">
      <c r="B120" s="66"/>
    </row>
    <row r="121" spans="2:2" ht="12.75" customHeight="1">
      <c r="B121" s="66"/>
    </row>
    <row r="122" spans="2:2" ht="12.75" customHeight="1">
      <c r="B122" s="66"/>
    </row>
    <row r="123" spans="2:2" ht="12.75" customHeight="1">
      <c r="B123" s="66"/>
    </row>
    <row r="124" spans="2:2" ht="12.75" customHeight="1">
      <c r="B124" s="66"/>
    </row>
    <row r="125" spans="2:2" ht="12.75" customHeight="1">
      <c r="B125" s="66"/>
    </row>
    <row r="126" spans="2:2" ht="12.75" customHeight="1">
      <c r="B126" s="66"/>
    </row>
    <row r="127" spans="2:2" ht="12.75" customHeight="1">
      <c r="B127" s="66"/>
    </row>
    <row r="128" spans="2:2" ht="12.75" customHeight="1">
      <c r="B128" s="66"/>
    </row>
    <row r="129" spans="2:2" ht="12.75" customHeight="1">
      <c r="B129" s="66"/>
    </row>
    <row r="130" spans="2:2" ht="12.75" customHeight="1">
      <c r="B130" s="66"/>
    </row>
    <row r="131" spans="2:2" ht="12.75" customHeight="1">
      <c r="B131" s="66"/>
    </row>
    <row r="132" spans="2:2" ht="12.75" customHeight="1">
      <c r="B132" s="66"/>
    </row>
    <row r="133" spans="2:2" ht="12.75" customHeight="1">
      <c r="B133" s="66"/>
    </row>
    <row r="134" spans="2:2" ht="12.75" customHeight="1">
      <c r="B134" s="66"/>
    </row>
    <row r="135" spans="2:2" ht="12.75" customHeight="1">
      <c r="B135" s="66"/>
    </row>
    <row r="136" spans="2:2" ht="12.75" customHeight="1">
      <c r="B136" s="66"/>
    </row>
    <row r="137" spans="2:2" ht="12.75" customHeight="1">
      <c r="B137" s="66"/>
    </row>
    <row r="138" spans="2:2" ht="12.75" customHeight="1">
      <c r="B138" s="66"/>
    </row>
    <row r="139" spans="2:2" ht="12.75" customHeight="1">
      <c r="B139" s="66"/>
    </row>
    <row r="140" spans="2:2" ht="12.75" customHeight="1">
      <c r="B140" s="66"/>
    </row>
    <row r="141" spans="2:2" ht="12.75" customHeight="1">
      <c r="B141" s="66"/>
    </row>
    <row r="142" spans="2:2" ht="12.75" customHeight="1">
      <c r="B142" s="66"/>
    </row>
    <row r="143" spans="2:2" ht="12.75" customHeight="1">
      <c r="B143" s="66"/>
    </row>
    <row r="144" spans="2:2" ht="12.75" customHeight="1">
      <c r="B144" s="66"/>
    </row>
    <row r="145" spans="2:2" ht="12.75" customHeight="1">
      <c r="B145" s="66"/>
    </row>
    <row r="146" spans="2:2" ht="12.75" customHeight="1">
      <c r="B146" s="66"/>
    </row>
    <row r="147" spans="2:2" ht="12.75" customHeight="1">
      <c r="B147" s="66"/>
    </row>
    <row r="148" spans="2:2" ht="12.75" customHeight="1">
      <c r="B148" s="66"/>
    </row>
    <row r="149" spans="2:2" ht="12.75" customHeight="1">
      <c r="B149" s="66"/>
    </row>
    <row r="150" spans="2:2" ht="12.75" customHeight="1">
      <c r="B150" s="66"/>
    </row>
    <row r="151" spans="2:2" ht="12.75" customHeight="1">
      <c r="B151" s="66"/>
    </row>
    <row r="152" spans="2:2" ht="12.75" customHeight="1">
      <c r="B152" s="66"/>
    </row>
    <row r="153" spans="2:2" ht="12.75" customHeight="1">
      <c r="B153" s="66"/>
    </row>
    <row r="154" spans="2:2" ht="12.75" customHeight="1">
      <c r="B154" s="66"/>
    </row>
    <row r="155" spans="2:2" ht="12.75" customHeight="1">
      <c r="B155" s="66"/>
    </row>
    <row r="156" spans="2:2" ht="12.75" customHeight="1">
      <c r="B156" s="66"/>
    </row>
    <row r="157" spans="2:2" ht="12.75" customHeight="1">
      <c r="B157" s="66"/>
    </row>
    <row r="158" spans="2:2" ht="12.75" customHeight="1">
      <c r="B158" s="66"/>
    </row>
    <row r="159" spans="2:2" ht="12.75" customHeight="1">
      <c r="B159" s="66"/>
    </row>
    <row r="160" spans="2:2" ht="12.75" customHeight="1">
      <c r="B160" s="66"/>
    </row>
    <row r="161" spans="2:2" ht="12.75" customHeight="1">
      <c r="B161" s="66"/>
    </row>
    <row r="162" spans="2:2" ht="12.75" customHeight="1">
      <c r="B162" s="66"/>
    </row>
    <row r="163" spans="2:2" ht="12.75" customHeight="1">
      <c r="B163" s="66"/>
    </row>
    <row r="164" spans="2:2" ht="12.75" customHeight="1">
      <c r="B164" s="66"/>
    </row>
    <row r="165" spans="2:2" ht="12.75" customHeight="1">
      <c r="B165" s="66"/>
    </row>
    <row r="166" spans="2:2" ht="12.75" customHeight="1">
      <c r="B166" s="66"/>
    </row>
    <row r="167" spans="2:2" ht="12.75" customHeight="1">
      <c r="B167" s="66"/>
    </row>
    <row r="168" spans="2:2" ht="12.75" customHeight="1">
      <c r="B168" s="66"/>
    </row>
    <row r="169" spans="2:2" ht="12.75" customHeight="1">
      <c r="B169" s="66"/>
    </row>
    <row r="170" spans="2:2" ht="12.75" customHeight="1">
      <c r="B170" s="66"/>
    </row>
    <row r="171" spans="2:2" ht="12.75" customHeight="1">
      <c r="B171" s="66"/>
    </row>
    <row r="172" spans="2:2" ht="12.75" customHeight="1">
      <c r="B172" s="66"/>
    </row>
    <row r="173" spans="2:2" ht="12.75" customHeight="1">
      <c r="B173" s="66"/>
    </row>
    <row r="174" spans="2:2" ht="12.75" customHeight="1">
      <c r="B174" s="66"/>
    </row>
    <row r="175" spans="2:2" ht="12.75" customHeight="1">
      <c r="B175" s="66"/>
    </row>
    <row r="176" spans="2:2" ht="12.75" customHeight="1">
      <c r="B176" s="66"/>
    </row>
    <row r="177" spans="2:2" ht="12.75" customHeight="1">
      <c r="B177" s="66"/>
    </row>
    <row r="178" spans="2:2" ht="12.75" customHeight="1">
      <c r="B178" s="66"/>
    </row>
    <row r="179" spans="2:2" ht="12.75" customHeight="1">
      <c r="B179" s="66"/>
    </row>
    <row r="180" spans="2:2" ht="12.75" customHeight="1">
      <c r="B180" s="66"/>
    </row>
    <row r="181" spans="2:2" ht="12.75" customHeight="1">
      <c r="B181" s="66"/>
    </row>
    <row r="182" spans="2:2" ht="12.75" customHeight="1">
      <c r="B182" s="66"/>
    </row>
    <row r="183" spans="2:2" ht="12.75" customHeight="1">
      <c r="B183" s="66"/>
    </row>
    <row r="184" spans="2:2" ht="12.75" customHeight="1">
      <c r="B184" s="66"/>
    </row>
    <row r="185" spans="2:2" ht="12.75" customHeight="1">
      <c r="B185" s="66"/>
    </row>
    <row r="186" spans="2:2" ht="12.75" customHeight="1">
      <c r="B186" s="66"/>
    </row>
    <row r="187" spans="2:2" ht="12.75" customHeight="1">
      <c r="B187" s="66"/>
    </row>
    <row r="188" spans="2:2" ht="12.75" customHeight="1">
      <c r="B188" s="66"/>
    </row>
    <row r="189" spans="2:2" ht="12.75" customHeight="1">
      <c r="B189" s="66"/>
    </row>
    <row r="190" spans="2:2" ht="12.75" customHeight="1">
      <c r="B190" s="66"/>
    </row>
    <row r="191" spans="2:2" ht="12.75" customHeight="1">
      <c r="B191" s="66"/>
    </row>
    <row r="192" spans="2:2" ht="12.75" customHeight="1">
      <c r="B192" s="66"/>
    </row>
    <row r="193" spans="2:2" ht="12.75" customHeight="1">
      <c r="B193" s="66"/>
    </row>
    <row r="194" spans="2:2" ht="12.75" customHeight="1">
      <c r="B194" s="66"/>
    </row>
    <row r="195" spans="2:2" ht="12.75" customHeight="1">
      <c r="B195" s="66"/>
    </row>
    <row r="196" spans="2:2" ht="12.75" customHeight="1">
      <c r="B196" s="66"/>
    </row>
    <row r="197" spans="2:2" ht="12.75" customHeight="1">
      <c r="B197" s="66"/>
    </row>
    <row r="198" spans="2:2" ht="12.75" customHeight="1">
      <c r="B198" s="66"/>
    </row>
    <row r="199" spans="2:2" ht="12.75" customHeight="1">
      <c r="B199" s="66"/>
    </row>
    <row r="200" spans="2:2" ht="12.75" customHeight="1">
      <c r="B200" s="66"/>
    </row>
    <row r="201" spans="2:2" ht="12.75" customHeight="1">
      <c r="B201" s="66"/>
    </row>
    <row r="202" spans="2:2" ht="12.75" customHeight="1">
      <c r="B202" s="66"/>
    </row>
    <row r="203" spans="2:2" ht="12.75" customHeight="1">
      <c r="B203" s="66"/>
    </row>
    <row r="204" spans="2:2" ht="12.75" customHeight="1">
      <c r="B204" s="66"/>
    </row>
    <row r="205" spans="2:2" ht="12.75" customHeight="1">
      <c r="B205" s="66"/>
    </row>
    <row r="206" spans="2:2" ht="12.75" customHeight="1">
      <c r="B206" s="66"/>
    </row>
    <row r="207" spans="2:2" ht="12.75" customHeight="1">
      <c r="B207" s="66"/>
    </row>
    <row r="208" spans="2:2" ht="12.75" customHeight="1">
      <c r="B208" s="66"/>
    </row>
    <row r="209" spans="2:2" ht="12.75" customHeight="1">
      <c r="B209" s="66"/>
    </row>
    <row r="210" spans="2:2" ht="12.75" customHeight="1">
      <c r="B210" s="66"/>
    </row>
    <row r="211" spans="2:2" ht="12.75" customHeight="1">
      <c r="B211" s="66"/>
    </row>
    <row r="212" spans="2:2" ht="12.75" customHeight="1">
      <c r="B212" s="66"/>
    </row>
    <row r="213" spans="2:2" ht="12.75" customHeight="1">
      <c r="B213" s="66"/>
    </row>
    <row r="214" spans="2:2" ht="12.75" customHeight="1">
      <c r="B214" s="66"/>
    </row>
    <row r="215" spans="2:2" ht="12.75" customHeight="1">
      <c r="B215" s="66"/>
    </row>
    <row r="216" spans="2:2" ht="12.75" customHeight="1">
      <c r="B216" s="66"/>
    </row>
    <row r="217" spans="2:2" ht="12.75" customHeight="1">
      <c r="B217" s="66"/>
    </row>
    <row r="218" spans="2:2" ht="12.75" customHeight="1">
      <c r="B218" s="66"/>
    </row>
    <row r="219" spans="2:2" ht="12.75" customHeight="1">
      <c r="B219" s="66"/>
    </row>
    <row r="220" spans="2:2" ht="12.75" customHeight="1">
      <c r="B220" s="66"/>
    </row>
    <row r="221" spans="2:2" ht="12.75" customHeight="1">
      <c r="B221" s="66"/>
    </row>
    <row r="222" spans="2:2" ht="12.75" customHeight="1">
      <c r="B222" s="66"/>
    </row>
    <row r="223" spans="2:2" ht="12.75" customHeight="1">
      <c r="B223" s="66"/>
    </row>
    <row r="224" spans="2:2" ht="12.75" customHeight="1">
      <c r="B224" s="66"/>
    </row>
    <row r="225" spans="2:2" ht="12.75" customHeight="1">
      <c r="B225" s="66"/>
    </row>
    <row r="226" spans="2:2" ht="12.75" customHeight="1">
      <c r="B226" s="66"/>
    </row>
    <row r="227" spans="2:2" ht="12.75" customHeight="1">
      <c r="B227" s="66"/>
    </row>
    <row r="228" spans="2:2" ht="12.75" customHeight="1">
      <c r="B228" s="66"/>
    </row>
    <row r="229" spans="2:2" ht="12.75" customHeight="1">
      <c r="B229" s="66"/>
    </row>
    <row r="230" spans="2:2" ht="12.75" customHeight="1">
      <c r="B230" s="66"/>
    </row>
    <row r="231" spans="2:2" ht="12.75" customHeight="1">
      <c r="B231" s="66"/>
    </row>
    <row r="232" spans="2:2" ht="12.75" customHeight="1">
      <c r="B232" s="66"/>
    </row>
    <row r="233" spans="2:2" ht="12.75" customHeight="1">
      <c r="B233" s="66"/>
    </row>
    <row r="234" spans="2:2" ht="12.75" customHeight="1">
      <c r="B234" s="66"/>
    </row>
    <row r="235" spans="2:2" ht="12.75" customHeight="1">
      <c r="B235" s="66"/>
    </row>
    <row r="236" spans="2:2" ht="12.75" customHeight="1">
      <c r="B236" s="66"/>
    </row>
    <row r="237" spans="2:2" ht="12.75" customHeight="1">
      <c r="B237" s="66"/>
    </row>
    <row r="238" spans="2:2" ht="12.75" customHeight="1">
      <c r="B238" s="66"/>
    </row>
    <row r="239" spans="2:2" ht="12.75" customHeight="1">
      <c r="B239" s="66"/>
    </row>
    <row r="240" spans="2:2" ht="12.75" customHeight="1">
      <c r="B240" s="66"/>
    </row>
    <row r="241" spans="2:2" ht="12.75" customHeight="1">
      <c r="B241" s="66"/>
    </row>
    <row r="242" spans="2:2" ht="12.75" customHeight="1">
      <c r="B242" s="66"/>
    </row>
    <row r="243" spans="2:2" ht="12.75" customHeight="1">
      <c r="B243" s="66"/>
    </row>
    <row r="244" spans="2:2" ht="12.75" customHeight="1">
      <c r="B244" s="66"/>
    </row>
    <row r="245" spans="2:2" ht="12.75" customHeight="1">
      <c r="B245" s="66"/>
    </row>
    <row r="246" spans="2:2" ht="12.75" customHeight="1">
      <c r="B246" s="66"/>
    </row>
    <row r="247" spans="2:2" ht="12.75" customHeight="1">
      <c r="B247" s="66"/>
    </row>
    <row r="248" spans="2:2" ht="12.75" customHeight="1">
      <c r="B248" s="66"/>
    </row>
    <row r="249" spans="2:2" ht="12.75" customHeight="1">
      <c r="B249" s="66"/>
    </row>
    <row r="250" spans="2:2" ht="12.75" customHeight="1">
      <c r="B250" s="66"/>
    </row>
    <row r="251" spans="2:2" ht="12.75" customHeight="1">
      <c r="B251" s="66"/>
    </row>
    <row r="252" spans="2:2" ht="12.75" customHeight="1">
      <c r="B252" s="66"/>
    </row>
    <row r="253" spans="2:2" ht="12.75" customHeight="1">
      <c r="B253" s="66"/>
    </row>
    <row r="254" spans="2:2" ht="12.75" customHeight="1">
      <c r="B254" s="66"/>
    </row>
    <row r="255" spans="2:2" ht="12.75" customHeight="1">
      <c r="B255" s="66"/>
    </row>
    <row r="256" spans="2:2" ht="12.75" customHeight="1">
      <c r="B256" s="66"/>
    </row>
    <row r="257" spans="2:2" ht="12.75" customHeight="1">
      <c r="B257" s="66"/>
    </row>
    <row r="258" spans="2:2" ht="12.75" customHeight="1">
      <c r="B258" s="66"/>
    </row>
    <row r="259" spans="2:2" ht="12.75" customHeight="1">
      <c r="B259" s="66"/>
    </row>
    <row r="260" spans="2:2" ht="12.75" customHeight="1">
      <c r="B260" s="66"/>
    </row>
    <row r="261" spans="2:2" ht="12.75" customHeight="1">
      <c r="B261" s="66"/>
    </row>
    <row r="262" spans="2:2" ht="12.75" customHeight="1">
      <c r="B262" s="66"/>
    </row>
    <row r="263" spans="2:2" ht="12.75" customHeight="1">
      <c r="B263" s="66"/>
    </row>
    <row r="264" spans="2:2" ht="12.75" customHeight="1">
      <c r="B264" s="66"/>
    </row>
    <row r="265" spans="2:2" ht="12.75" customHeight="1">
      <c r="B265" s="66"/>
    </row>
    <row r="266" spans="2:2" ht="12.75" customHeight="1">
      <c r="B266" s="66"/>
    </row>
    <row r="267" spans="2:2" ht="12.75" customHeight="1">
      <c r="B267" s="66"/>
    </row>
    <row r="268" spans="2:2" ht="12.75" customHeight="1">
      <c r="B268" s="66"/>
    </row>
    <row r="269" spans="2:2" ht="12.75" customHeight="1">
      <c r="B269" s="66"/>
    </row>
    <row r="270" spans="2:2" ht="12.75" customHeight="1">
      <c r="B270" s="66"/>
    </row>
    <row r="271" spans="2:2" ht="12.75" customHeight="1">
      <c r="B271" s="66"/>
    </row>
    <row r="272" spans="2:2" ht="12.75" customHeight="1">
      <c r="B272" s="66"/>
    </row>
    <row r="273" spans="2:2" ht="12.75" customHeight="1">
      <c r="B273" s="66"/>
    </row>
    <row r="274" spans="2:2" ht="12.75" customHeight="1">
      <c r="B274" s="66"/>
    </row>
    <row r="275" spans="2:2" ht="12.75" customHeight="1">
      <c r="B275" s="66"/>
    </row>
    <row r="276" spans="2:2" ht="12.75" customHeight="1">
      <c r="B276" s="66"/>
    </row>
    <row r="277" spans="2:2" ht="12.75" customHeight="1">
      <c r="B277" s="66"/>
    </row>
    <row r="278" spans="2:2" ht="12.75" customHeight="1">
      <c r="B278" s="66"/>
    </row>
    <row r="279" spans="2:2" ht="12.75" customHeight="1">
      <c r="B279" s="66"/>
    </row>
    <row r="280" spans="2:2" ht="12.75" customHeight="1">
      <c r="B280" s="66"/>
    </row>
    <row r="281" spans="2:2" ht="12.75" customHeight="1">
      <c r="B281" s="66"/>
    </row>
    <row r="282" spans="2:2" ht="12.75" customHeight="1">
      <c r="B282" s="66"/>
    </row>
    <row r="283" spans="2:2" ht="12.75" customHeight="1">
      <c r="B283" s="66"/>
    </row>
    <row r="284" spans="2:2" ht="12.75" customHeight="1">
      <c r="B284" s="66"/>
    </row>
    <row r="285" spans="2:2" ht="12.75" customHeight="1">
      <c r="B285" s="66"/>
    </row>
    <row r="286" spans="2:2" ht="12.75" customHeight="1">
      <c r="B286" s="66"/>
    </row>
    <row r="287" spans="2:2" ht="12.75" customHeight="1">
      <c r="B287" s="66"/>
    </row>
    <row r="288" spans="2:2" ht="12.75" customHeight="1">
      <c r="B288" s="66"/>
    </row>
    <row r="289" spans="2:2" ht="12.75" customHeight="1">
      <c r="B289" s="66"/>
    </row>
    <row r="290" spans="2:2" ht="12.75" customHeight="1">
      <c r="B290" s="66"/>
    </row>
    <row r="291" spans="2:2" ht="12.75" customHeight="1">
      <c r="B291" s="66"/>
    </row>
    <row r="292" spans="2:2" ht="12.75" customHeight="1">
      <c r="B292" s="66"/>
    </row>
    <row r="293" spans="2:2" ht="12.75" customHeight="1">
      <c r="B293" s="66"/>
    </row>
    <row r="294" spans="2:2" ht="12.75" customHeight="1">
      <c r="B294" s="66"/>
    </row>
    <row r="295" spans="2:2" ht="12.75" customHeight="1">
      <c r="B295" s="66"/>
    </row>
    <row r="296" spans="2:2" ht="12.75" customHeight="1">
      <c r="B296" s="66"/>
    </row>
    <row r="297" spans="2:2" ht="12.75" customHeight="1">
      <c r="B297" s="66"/>
    </row>
    <row r="298" spans="2:2" ht="12.75" customHeight="1">
      <c r="B298" s="66"/>
    </row>
    <row r="299" spans="2:2" ht="12.75" customHeight="1">
      <c r="B299" s="66"/>
    </row>
    <row r="300" spans="2:2" ht="12.75" customHeight="1">
      <c r="B300" s="66"/>
    </row>
    <row r="301" spans="2:2" ht="12.75" customHeight="1">
      <c r="B301" s="66"/>
    </row>
    <row r="302" spans="2:2" ht="12.75" customHeight="1">
      <c r="B302" s="66"/>
    </row>
    <row r="303" spans="2:2" ht="12.75" customHeight="1">
      <c r="B303" s="66"/>
    </row>
    <row r="304" spans="2:2" ht="12.75" customHeight="1">
      <c r="B304" s="66"/>
    </row>
    <row r="305" spans="2:2" ht="12.75" customHeight="1">
      <c r="B305" s="66"/>
    </row>
    <row r="306" spans="2:2" ht="12.75" customHeight="1">
      <c r="B306" s="66"/>
    </row>
    <row r="307" spans="2:2" ht="12.75" customHeight="1">
      <c r="B307" s="66"/>
    </row>
    <row r="308" spans="2:2" ht="12.75" customHeight="1">
      <c r="B308" s="66"/>
    </row>
    <row r="309" spans="2:2" ht="12.75" customHeight="1">
      <c r="B309" s="66"/>
    </row>
    <row r="310" spans="2:2" ht="12.75" customHeight="1">
      <c r="B310" s="66"/>
    </row>
    <row r="311" spans="2:2" ht="12.75" customHeight="1">
      <c r="B311" s="66"/>
    </row>
    <row r="312" spans="2:2" ht="12.75" customHeight="1">
      <c r="B312" s="66"/>
    </row>
    <row r="313" spans="2:2" ht="12.75" customHeight="1">
      <c r="B313" s="66"/>
    </row>
    <row r="314" spans="2:2" ht="12.75" customHeight="1">
      <c r="B314" s="66"/>
    </row>
    <row r="315" spans="2:2" ht="12.75" customHeight="1">
      <c r="B315" s="66"/>
    </row>
    <row r="316" spans="2:2" ht="12.75" customHeight="1">
      <c r="B316" s="66"/>
    </row>
    <row r="317" spans="2:2" ht="12.75" customHeight="1">
      <c r="B317" s="66"/>
    </row>
    <row r="318" spans="2:2" ht="12.75" customHeight="1">
      <c r="B318" s="66"/>
    </row>
    <row r="319" spans="2:2" ht="12.75" customHeight="1">
      <c r="B319" s="66"/>
    </row>
    <row r="320" spans="2:2" ht="12.75" customHeight="1">
      <c r="B320" s="66"/>
    </row>
    <row r="321" spans="2:2" ht="12.75" customHeight="1">
      <c r="B321" s="66"/>
    </row>
    <row r="322" spans="2:2" ht="12.75" customHeight="1">
      <c r="B322" s="66"/>
    </row>
    <row r="323" spans="2:2" ht="12.75" customHeight="1">
      <c r="B323" s="66"/>
    </row>
    <row r="324" spans="2:2" ht="12.75" customHeight="1">
      <c r="B324" s="66"/>
    </row>
    <row r="325" spans="2:2" ht="12.75" customHeight="1">
      <c r="B325" s="66"/>
    </row>
    <row r="326" spans="2:2" ht="12.75" customHeight="1">
      <c r="B326" s="66"/>
    </row>
    <row r="327" spans="2:2" ht="12.75" customHeight="1">
      <c r="B327" s="66"/>
    </row>
    <row r="328" spans="2:2" ht="12.75" customHeight="1">
      <c r="B328" s="66"/>
    </row>
    <row r="329" spans="2:2" ht="12.75" customHeight="1">
      <c r="B329" s="66"/>
    </row>
    <row r="330" spans="2:2" ht="12.75" customHeight="1">
      <c r="B330" s="66"/>
    </row>
    <row r="331" spans="2:2" ht="12.75" customHeight="1">
      <c r="B331" s="66"/>
    </row>
    <row r="332" spans="2:2" ht="12.75" customHeight="1">
      <c r="B332" s="66"/>
    </row>
    <row r="333" spans="2:2" ht="12.75" customHeight="1">
      <c r="B333" s="66"/>
    </row>
    <row r="334" spans="2:2" ht="12.75" customHeight="1">
      <c r="B334" s="66"/>
    </row>
    <row r="335" spans="2:2" ht="12.75" customHeight="1">
      <c r="B335" s="66"/>
    </row>
    <row r="336" spans="2:2" ht="12.75" customHeight="1">
      <c r="B336" s="66"/>
    </row>
    <row r="337" spans="2:2" ht="12.75" customHeight="1">
      <c r="B337" s="66"/>
    </row>
    <row r="338" spans="2:2" ht="12.75" customHeight="1">
      <c r="B338" s="66"/>
    </row>
    <row r="339" spans="2:2" ht="12.75" customHeight="1">
      <c r="B339" s="66"/>
    </row>
    <row r="340" spans="2:2" ht="12.75" customHeight="1">
      <c r="B340" s="66"/>
    </row>
    <row r="341" spans="2:2" ht="12.75" customHeight="1">
      <c r="B341" s="66"/>
    </row>
    <row r="342" spans="2:2" ht="12.75" customHeight="1">
      <c r="B342" s="66"/>
    </row>
    <row r="343" spans="2:2" ht="12.75" customHeight="1">
      <c r="B343" s="66"/>
    </row>
    <row r="344" spans="2:2" ht="12.75" customHeight="1">
      <c r="B344" s="66"/>
    </row>
    <row r="345" spans="2:2" ht="12.75" customHeight="1">
      <c r="B345" s="66"/>
    </row>
    <row r="346" spans="2:2" ht="12.75" customHeight="1">
      <c r="B346" s="66"/>
    </row>
    <row r="347" spans="2:2" ht="12.75" customHeight="1">
      <c r="B347" s="66"/>
    </row>
    <row r="348" spans="2:2" ht="12.75" customHeight="1">
      <c r="B348" s="66"/>
    </row>
    <row r="349" spans="2:2" ht="12.75" customHeight="1">
      <c r="B349" s="66"/>
    </row>
    <row r="350" spans="2:2" ht="12.75" customHeight="1">
      <c r="B350" s="66"/>
    </row>
    <row r="351" spans="2:2" ht="12.75" customHeight="1">
      <c r="B351" s="66"/>
    </row>
    <row r="352" spans="2:2" ht="12.75" customHeight="1">
      <c r="B352" s="66"/>
    </row>
    <row r="353" spans="2:2" ht="12.75" customHeight="1">
      <c r="B353" s="66"/>
    </row>
    <row r="354" spans="2:2" ht="12.75" customHeight="1">
      <c r="B354" s="66"/>
    </row>
    <row r="355" spans="2:2" ht="12.75" customHeight="1">
      <c r="B355" s="66"/>
    </row>
    <row r="356" spans="2:2" ht="12.75" customHeight="1">
      <c r="B356" s="66"/>
    </row>
    <row r="357" spans="2:2" ht="12.75" customHeight="1">
      <c r="B357" s="66"/>
    </row>
    <row r="358" spans="2:2" ht="12.75" customHeight="1">
      <c r="B358" s="66"/>
    </row>
    <row r="359" spans="2:2" ht="12.75" customHeight="1">
      <c r="B359" s="66"/>
    </row>
    <row r="360" spans="2:2" ht="12.75" customHeight="1">
      <c r="B360" s="66"/>
    </row>
    <row r="361" spans="2:2" ht="12.75" customHeight="1">
      <c r="B361" s="66"/>
    </row>
    <row r="362" spans="2:2" ht="12.75" customHeight="1">
      <c r="B362" s="66"/>
    </row>
    <row r="363" spans="2:2" ht="12.75" customHeight="1">
      <c r="B363" s="66"/>
    </row>
    <row r="364" spans="2:2" ht="12.75" customHeight="1">
      <c r="B364" s="66"/>
    </row>
    <row r="365" spans="2:2" ht="12.75" customHeight="1">
      <c r="B365" s="66"/>
    </row>
    <row r="366" spans="2:2" ht="12.75" customHeight="1">
      <c r="B366" s="66"/>
    </row>
    <row r="367" spans="2:2" ht="12.75" customHeight="1">
      <c r="B367" s="66"/>
    </row>
    <row r="368" spans="2:2" ht="12.75" customHeight="1">
      <c r="B368" s="66"/>
    </row>
    <row r="369" spans="2:2" ht="12.75" customHeight="1">
      <c r="B369" s="66"/>
    </row>
    <row r="370" spans="2:2" ht="12.75" customHeight="1">
      <c r="B370" s="66"/>
    </row>
    <row r="371" spans="2:2" ht="12.75" customHeight="1">
      <c r="B371" s="66"/>
    </row>
    <row r="372" spans="2:2" ht="12.75" customHeight="1">
      <c r="B372" s="66"/>
    </row>
    <row r="373" spans="2:2" ht="12.75" customHeight="1">
      <c r="B373" s="66"/>
    </row>
    <row r="374" spans="2:2" ht="12.75" customHeight="1">
      <c r="B374" s="66"/>
    </row>
    <row r="375" spans="2:2" ht="12.75" customHeight="1">
      <c r="B375" s="66"/>
    </row>
    <row r="376" spans="2:2" ht="12.75" customHeight="1">
      <c r="B376" s="66"/>
    </row>
    <row r="377" spans="2:2" ht="12.75" customHeight="1">
      <c r="B377" s="66"/>
    </row>
    <row r="378" spans="2:2" ht="12.75" customHeight="1">
      <c r="B378" s="66"/>
    </row>
    <row r="379" spans="2:2" ht="12.75" customHeight="1">
      <c r="B379" s="66"/>
    </row>
    <row r="380" spans="2:2" ht="12.75" customHeight="1">
      <c r="B380" s="66"/>
    </row>
    <row r="381" spans="2:2" ht="12.75" customHeight="1">
      <c r="B381" s="66"/>
    </row>
    <row r="382" spans="2:2" ht="12.75" customHeight="1">
      <c r="B382" s="66"/>
    </row>
    <row r="383" spans="2:2" ht="12.75" customHeight="1">
      <c r="B383" s="66"/>
    </row>
    <row r="384" spans="2:2" ht="12.75" customHeight="1">
      <c r="B384" s="66"/>
    </row>
    <row r="385" spans="2:2" ht="12.75" customHeight="1">
      <c r="B385" s="66"/>
    </row>
    <row r="386" spans="2:2" ht="12.75" customHeight="1">
      <c r="B386" s="66"/>
    </row>
    <row r="387" spans="2:2" ht="12.75" customHeight="1">
      <c r="B387" s="66"/>
    </row>
    <row r="388" spans="2:2" ht="12.75" customHeight="1">
      <c r="B388" s="66"/>
    </row>
    <row r="389" spans="2:2" ht="12.75" customHeight="1">
      <c r="B389" s="66"/>
    </row>
    <row r="390" spans="2:2" ht="12.75" customHeight="1">
      <c r="B390" s="66"/>
    </row>
    <row r="391" spans="2:2" ht="12.75" customHeight="1">
      <c r="B391" s="66"/>
    </row>
    <row r="392" spans="2:2" ht="12.75" customHeight="1">
      <c r="B392" s="66"/>
    </row>
    <row r="393" spans="2:2" ht="12.75" customHeight="1">
      <c r="B393" s="66"/>
    </row>
    <row r="394" spans="2:2" ht="12.75" customHeight="1">
      <c r="B394" s="66"/>
    </row>
    <row r="395" spans="2:2" ht="12.75" customHeight="1">
      <c r="B395" s="66"/>
    </row>
    <row r="396" spans="2:2" ht="12.75" customHeight="1">
      <c r="B396" s="66"/>
    </row>
    <row r="397" spans="2:2" ht="12.75" customHeight="1">
      <c r="B397" s="66"/>
    </row>
    <row r="398" spans="2:2" ht="12.75" customHeight="1">
      <c r="B398" s="66"/>
    </row>
    <row r="399" spans="2:2" ht="12.75" customHeight="1">
      <c r="B399" s="66"/>
    </row>
    <row r="400" spans="2:2" ht="12.75" customHeight="1">
      <c r="B400" s="66"/>
    </row>
    <row r="401" spans="2:2" ht="12.75" customHeight="1">
      <c r="B401" s="66"/>
    </row>
    <row r="402" spans="2:2" ht="12.75" customHeight="1">
      <c r="B402" s="66"/>
    </row>
    <row r="403" spans="2:2" ht="12.75" customHeight="1">
      <c r="B403" s="66"/>
    </row>
    <row r="404" spans="2:2" ht="12.75" customHeight="1">
      <c r="B404" s="66"/>
    </row>
    <row r="405" spans="2:2" ht="12.75" customHeight="1">
      <c r="B405" s="66"/>
    </row>
    <row r="406" spans="2:2" ht="12.75" customHeight="1">
      <c r="B406" s="66"/>
    </row>
    <row r="407" spans="2:2" ht="12.75" customHeight="1">
      <c r="B407" s="66"/>
    </row>
    <row r="408" spans="2:2" ht="12.75" customHeight="1">
      <c r="B408" s="66"/>
    </row>
    <row r="409" spans="2:2" ht="12.75" customHeight="1">
      <c r="B409" s="66"/>
    </row>
    <row r="410" spans="2:2" ht="12.75" customHeight="1">
      <c r="B410" s="66"/>
    </row>
    <row r="411" spans="2:2" ht="12.75" customHeight="1">
      <c r="B411" s="66"/>
    </row>
    <row r="412" spans="2:2" ht="12.75" customHeight="1">
      <c r="B412" s="66"/>
    </row>
    <row r="413" spans="2:2" ht="12.75" customHeight="1">
      <c r="B413" s="66"/>
    </row>
    <row r="414" spans="2:2" ht="12.75" customHeight="1">
      <c r="B414" s="66"/>
    </row>
    <row r="415" spans="2:2" ht="12.75" customHeight="1">
      <c r="B415" s="66"/>
    </row>
    <row r="416" spans="2:2" ht="12.75" customHeight="1">
      <c r="B416" s="66"/>
    </row>
    <row r="417" spans="2:2" ht="12.75" customHeight="1">
      <c r="B417" s="66"/>
    </row>
    <row r="418" spans="2:2" ht="12.75" customHeight="1">
      <c r="B418" s="66"/>
    </row>
    <row r="419" spans="2:2" ht="12.75" customHeight="1">
      <c r="B419" s="66"/>
    </row>
    <row r="420" spans="2:2" ht="12.75" customHeight="1">
      <c r="B420" s="66"/>
    </row>
    <row r="421" spans="2:2" ht="12.75" customHeight="1">
      <c r="B421" s="66"/>
    </row>
    <row r="422" spans="2:2" ht="12.75" customHeight="1">
      <c r="B422" s="66"/>
    </row>
    <row r="423" spans="2:2" ht="12.75" customHeight="1">
      <c r="B423" s="66"/>
    </row>
    <row r="424" spans="2:2" ht="12.75" customHeight="1">
      <c r="B424" s="66"/>
    </row>
    <row r="425" spans="2:2" ht="12.75" customHeight="1">
      <c r="B425" s="66"/>
    </row>
    <row r="426" spans="2:2" ht="12.75" customHeight="1">
      <c r="B426" s="66"/>
    </row>
    <row r="427" spans="2:2" ht="12.75" customHeight="1">
      <c r="B427" s="66"/>
    </row>
    <row r="428" spans="2:2" ht="12.75" customHeight="1">
      <c r="B428" s="66"/>
    </row>
    <row r="429" spans="2:2" ht="12.75" customHeight="1">
      <c r="B429" s="66"/>
    </row>
    <row r="430" spans="2:2" ht="12.75" customHeight="1">
      <c r="B430" s="66"/>
    </row>
    <row r="431" spans="2:2" ht="12.75" customHeight="1">
      <c r="B431" s="66"/>
    </row>
    <row r="432" spans="2:2" ht="12.75" customHeight="1">
      <c r="B432" s="66"/>
    </row>
    <row r="433" spans="2:2" ht="12.75" customHeight="1">
      <c r="B433" s="66"/>
    </row>
    <row r="434" spans="2:2" ht="12.75" customHeight="1">
      <c r="B434" s="66"/>
    </row>
    <row r="435" spans="2:2" ht="12.75" customHeight="1">
      <c r="B435" s="66"/>
    </row>
    <row r="436" spans="2:2" ht="12.75" customHeight="1">
      <c r="B436" s="66"/>
    </row>
    <row r="437" spans="2:2" ht="12.75" customHeight="1">
      <c r="B437" s="66"/>
    </row>
    <row r="438" spans="2:2" ht="12.75" customHeight="1">
      <c r="B438" s="66"/>
    </row>
    <row r="439" spans="2:2" ht="12.75" customHeight="1">
      <c r="B439" s="66"/>
    </row>
    <row r="440" spans="2:2" ht="12.75" customHeight="1">
      <c r="B440" s="66"/>
    </row>
    <row r="441" spans="2:2" ht="12.75" customHeight="1">
      <c r="B441" s="66"/>
    </row>
    <row r="442" spans="2:2" ht="12.75" customHeight="1">
      <c r="B442" s="66"/>
    </row>
    <row r="443" spans="2:2" ht="12.75" customHeight="1">
      <c r="B443" s="66"/>
    </row>
    <row r="444" spans="2:2" ht="12.75" customHeight="1">
      <c r="B444" s="66"/>
    </row>
    <row r="445" spans="2:2" ht="12.75" customHeight="1">
      <c r="B445" s="66"/>
    </row>
    <row r="446" spans="2:2" ht="12.75" customHeight="1">
      <c r="B446" s="66"/>
    </row>
    <row r="447" spans="2:2" ht="12.75" customHeight="1">
      <c r="B447" s="66"/>
    </row>
    <row r="448" spans="2:2" ht="12.75" customHeight="1">
      <c r="B448" s="66"/>
    </row>
    <row r="449" spans="2:2" ht="12.75" customHeight="1">
      <c r="B449" s="66"/>
    </row>
    <row r="450" spans="2:2" ht="12.75" customHeight="1">
      <c r="B450" s="66"/>
    </row>
    <row r="451" spans="2:2" ht="12.75" customHeight="1">
      <c r="B451" s="66"/>
    </row>
    <row r="452" spans="2:2" ht="12.75" customHeight="1">
      <c r="B452" s="66"/>
    </row>
    <row r="453" spans="2:2" ht="12.75" customHeight="1">
      <c r="B453" s="66"/>
    </row>
    <row r="454" spans="2:2" ht="12.75" customHeight="1">
      <c r="B454" s="66"/>
    </row>
    <row r="455" spans="2:2" ht="12.75" customHeight="1">
      <c r="B455" s="66"/>
    </row>
    <row r="456" spans="2:2" ht="12.75" customHeight="1">
      <c r="B456" s="66"/>
    </row>
    <row r="457" spans="2:2" ht="12.75" customHeight="1">
      <c r="B457" s="66"/>
    </row>
    <row r="458" spans="2:2" ht="12.75" customHeight="1">
      <c r="B458" s="66"/>
    </row>
    <row r="459" spans="2:2" ht="12.75" customHeight="1">
      <c r="B459" s="66"/>
    </row>
    <row r="460" spans="2:2" ht="12.75" customHeight="1">
      <c r="B460" s="66"/>
    </row>
    <row r="461" spans="2:2" ht="12.75" customHeight="1">
      <c r="B461" s="66"/>
    </row>
    <row r="462" spans="2:2" ht="12.75" customHeight="1">
      <c r="B462" s="66"/>
    </row>
    <row r="463" spans="2:2" ht="12.75" customHeight="1">
      <c r="B463" s="66"/>
    </row>
    <row r="464" spans="2:2" ht="12.75" customHeight="1">
      <c r="B464" s="66"/>
    </row>
    <row r="465" spans="2:2" ht="12.75" customHeight="1">
      <c r="B465" s="66"/>
    </row>
    <row r="466" spans="2:2" ht="12.75" customHeight="1">
      <c r="B466" s="66"/>
    </row>
    <row r="467" spans="2:2" ht="12.75" customHeight="1">
      <c r="B467" s="66"/>
    </row>
    <row r="468" spans="2:2" ht="12.75" customHeight="1">
      <c r="B468" s="66"/>
    </row>
    <row r="469" spans="2:2" ht="12.75" customHeight="1">
      <c r="B469" s="66"/>
    </row>
    <row r="470" spans="2:2" ht="12.75" customHeight="1">
      <c r="B470" s="66"/>
    </row>
    <row r="471" spans="2:2" ht="12.75" customHeight="1">
      <c r="B471" s="66"/>
    </row>
    <row r="472" spans="2:2" ht="12.75" customHeight="1">
      <c r="B472" s="66"/>
    </row>
    <row r="473" spans="2:2" ht="12.75" customHeight="1">
      <c r="B473" s="66"/>
    </row>
    <row r="474" spans="2:2" ht="12.75" customHeight="1">
      <c r="B474" s="66"/>
    </row>
    <row r="475" spans="2:2" ht="12.75" customHeight="1">
      <c r="B475" s="66"/>
    </row>
    <row r="476" spans="2:2" ht="12.75" customHeight="1">
      <c r="B476" s="66"/>
    </row>
    <row r="477" spans="2:2" ht="12.75" customHeight="1">
      <c r="B477" s="66"/>
    </row>
    <row r="478" spans="2:2" ht="12.75" customHeight="1">
      <c r="B478" s="66"/>
    </row>
    <row r="479" spans="2:2" ht="12.75" customHeight="1">
      <c r="B479" s="66"/>
    </row>
    <row r="480" spans="2:2" ht="12.75" customHeight="1">
      <c r="B480" s="66"/>
    </row>
    <row r="481" spans="2:2" ht="12.75" customHeight="1">
      <c r="B481" s="66"/>
    </row>
    <row r="482" spans="2:2" ht="12.75" customHeight="1">
      <c r="B482" s="66"/>
    </row>
    <row r="483" spans="2:2" ht="12.75" customHeight="1">
      <c r="B483" s="66"/>
    </row>
    <row r="484" spans="2:2" ht="12.75" customHeight="1">
      <c r="B484" s="66"/>
    </row>
    <row r="485" spans="2:2" ht="12.75" customHeight="1">
      <c r="B485" s="66"/>
    </row>
    <row r="486" spans="2:2" ht="12.75" customHeight="1">
      <c r="B486" s="66"/>
    </row>
    <row r="487" spans="2:2" ht="12.75" customHeight="1">
      <c r="B487" s="66"/>
    </row>
    <row r="488" spans="2:2" ht="12.75" customHeight="1">
      <c r="B488" s="66"/>
    </row>
    <row r="489" spans="2:2" ht="12.75" customHeight="1">
      <c r="B489" s="66"/>
    </row>
    <row r="490" spans="2:2" ht="12.75" customHeight="1">
      <c r="B490" s="66"/>
    </row>
    <row r="491" spans="2:2" ht="12.75" customHeight="1">
      <c r="B491" s="66"/>
    </row>
    <row r="492" spans="2:2" ht="12.75" customHeight="1">
      <c r="B492" s="66"/>
    </row>
    <row r="493" spans="2:2" ht="12.75" customHeight="1">
      <c r="B493" s="66"/>
    </row>
    <row r="494" spans="2:2" ht="12.75" customHeight="1">
      <c r="B494" s="66"/>
    </row>
    <row r="495" spans="2:2" ht="12.75" customHeight="1">
      <c r="B495" s="66"/>
    </row>
    <row r="496" spans="2:2" ht="12.75" customHeight="1">
      <c r="B496" s="66"/>
    </row>
    <row r="497" spans="2:2" ht="12.75" customHeight="1">
      <c r="B497" s="66"/>
    </row>
    <row r="498" spans="2:2" ht="12.75" customHeight="1">
      <c r="B498" s="66"/>
    </row>
    <row r="499" spans="2:2" ht="12.75" customHeight="1">
      <c r="B499" s="66"/>
    </row>
    <row r="500" spans="2:2" ht="12.75" customHeight="1">
      <c r="B500" s="66"/>
    </row>
    <row r="501" spans="2:2" ht="12.75" customHeight="1">
      <c r="B501" s="66"/>
    </row>
    <row r="502" spans="2:2" ht="12.75" customHeight="1">
      <c r="B502" s="66"/>
    </row>
    <row r="503" spans="2:2" ht="12.75" customHeight="1">
      <c r="B503" s="66"/>
    </row>
    <row r="504" spans="2:2" ht="12.75" customHeight="1">
      <c r="B504" s="66"/>
    </row>
    <row r="505" spans="2:2" ht="12.75" customHeight="1">
      <c r="B505" s="66"/>
    </row>
    <row r="506" spans="2:2" ht="12.75" customHeight="1">
      <c r="B506" s="66"/>
    </row>
    <row r="507" spans="2:2" ht="12.75" customHeight="1">
      <c r="B507" s="66"/>
    </row>
    <row r="508" spans="2:2" ht="12.75" customHeight="1">
      <c r="B508" s="66"/>
    </row>
    <row r="509" spans="2:2" ht="12.75" customHeight="1">
      <c r="B509" s="66"/>
    </row>
    <row r="510" spans="2:2" ht="12.75" customHeight="1">
      <c r="B510" s="66"/>
    </row>
    <row r="511" spans="2:2" ht="12.75" customHeight="1">
      <c r="B511" s="66"/>
    </row>
    <row r="512" spans="2:2" ht="12.75" customHeight="1">
      <c r="B512" s="66"/>
    </row>
    <row r="513" spans="2:2" ht="12.75" customHeight="1">
      <c r="B513" s="66"/>
    </row>
    <row r="514" spans="2:2" ht="12.75" customHeight="1">
      <c r="B514" s="66"/>
    </row>
    <row r="515" spans="2:2" ht="12.75" customHeight="1">
      <c r="B515" s="66"/>
    </row>
    <row r="516" spans="2:2" ht="12.75" customHeight="1">
      <c r="B516" s="66"/>
    </row>
    <row r="517" spans="2:2" ht="12.75" customHeight="1">
      <c r="B517" s="66"/>
    </row>
    <row r="518" spans="2:2" ht="12.75" customHeight="1">
      <c r="B518" s="66"/>
    </row>
    <row r="519" spans="2:2" ht="12.75" customHeight="1">
      <c r="B519" s="66"/>
    </row>
    <row r="520" spans="2:2" ht="12.75" customHeight="1">
      <c r="B520" s="66"/>
    </row>
    <row r="521" spans="2:2" ht="12.75" customHeight="1">
      <c r="B521" s="66"/>
    </row>
    <row r="522" spans="2:2" ht="12.75" customHeight="1">
      <c r="B522" s="66"/>
    </row>
    <row r="523" spans="2:2" ht="12.75" customHeight="1">
      <c r="B523" s="66"/>
    </row>
    <row r="524" spans="2:2" ht="12.75" customHeight="1">
      <c r="B524" s="66"/>
    </row>
    <row r="525" spans="2:2" ht="12.75" customHeight="1">
      <c r="B525" s="66"/>
    </row>
    <row r="526" spans="2:2" ht="12.75" customHeight="1">
      <c r="B526" s="66"/>
    </row>
    <row r="527" spans="2:2" ht="12.75" customHeight="1">
      <c r="B527" s="66"/>
    </row>
    <row r="528" spans="2:2" ht="12.75" customHeight="1">
      <c r="B528" s="66"/>
    </row>
    <row r="529" spans="2:2" ht="12.75" customHeight="1">
      <c r="B529" s="66"/>
    </row>
    <row r="530" spans="2:2" ht="12.75" customHeight="1">
      <c r="B530" s="66"/>
    </row>
    <row r="531" spans="2:2" ht="12.75" customHeight="1">
      <c r="B531" s="66"/>
    </row>
    <row r="532" spans="2:2" ht="12.75" customHeight="1">
      <c r="B532" s="66"/>
    </row>
    <row r="533" spans="2:2" ht="12.75" customHeight="1">
      <c r="B533" s="66"/>
    </row>
    <row r="534" spans="2:2" ht="12.75" customHeight="1">
      <c r="B534" s="66"/>
    </row>
    <row r="535" spans="2:2" ht="12.75" customHeight="1">
      <c r="B535" s="66"/>
    </row>
    <row r="536" spans="2:2" ht="12.75" customHeight="1">
      <c r="B536" s="66"/>
    </row>
    <row r="537" spans="2:2" ht="12.75" customHeight="1">
      <c r="B537" s="66"/>
    </row>
    <row r="538" spans="2:2" ht="12.75" customHeight="1">
      <c r="B538" s="66"/>
    </row>
    <row r="539" spans="2:2" ht="12.75" customHeight="1">
      <c r="B539" s="66"/>
    </row>
    <row r="540" spans="2:2" ht="12.75" customHeight="1">
      <c r="B540" s="66"/>
    </row>
    <row r="541" spans="2:2" ht="12.75" customHeight="1">
      <c r="B541" s="66"/>
    </row>
    <row r="542" spans="2:2" ht="12.75" customHeight="1">
      <c r="B542" s="66"/>
    </row>
    <row r="543" spans="2:2" ht="12.75" customHeight="1">
      <c r="B543" s="66"/>
    </row>
    <row r="544" spans="2:2" ht="12.75" customHeight="1">
      <c r="B544" s="66"/>
    </row>
    <row r="545" spans="2:2" ht="12.75" customHeight="1">
      <c r="B545" s="66"/>
    </row>
    <row r="546" spans="2:2" ht="12.75" customHeight="1">
      <c r="B546" s="66"/>
    </row>
    <row r="547" spans="2:2" ht="12.75" customHeight="1">
      <c r="B547" s="66"/>
    </row>
    <row r="548" spans="2:2" ht="12.75" customHeight="1">
      <c r="B548" s="66"/>
    </row>
    <row r="549" spans="2:2" ht="12.75" customHeight="1">
      <c r="B549" s="66"/>
    </row>
    <row r="550" spans="2:2" ht="12.75" customHeight="1">
      <c r="B550" s="66"/>
    </row>
    <row r="551" spans="2:2" ht="12.75" customHeight="1">
      <c r="B551" s="66"/>
    </row>
    <row r="552" spans="2:2" ht="12.75" customHeight="1">
      <c r="B552" s="66"/>
    </row>
    <row r="553" spans="2:2" ht="12.75" customHeight="1">
      <c r="B553" s="66"/>
    </row>
    <row r="554" spans="2:2" ht="12.75" customHeight="1">
      <c r="B554" s="66"/>
    </row>
    <row r="555" spans="2:2" ht="12.75" customHeight="1">
      <c r="B555" s="66"/>
    </row>
    <row r="556" spans="2:2" ht="12.75" customHeight="1">
      <c r="B556" s="66"/>
    </row>
    <row r="557" spans="2:2" ht="12.75" customHeight="1">
      <c r="B557" s="66"/>
    </row>
    <row r="558" spans="2:2" ht="12.75" customHeight="1">
      <c r="B558" s="66"/>
    </row>
    <row r="559" spans="2:2" ht="12.75" customHeight="1">
      <c r="B559" s="66"/>
    </row>
    <row r="560" spans="2:2" ht="12.75" customHeight="1">
      <c r="B560" s="66"/>
    </row>
    <row r="561" spans="2:2" ht="12.75" customHeight="1">
      <c r="B561" s="66"/>
    </row>
    <row r="562" spans="2:2" ht="12.75" customHeight="1">
      <c r="B562" s="66"/>
    </row>
    <row r="563" spans="2:2" ht="12.75" customHeight="1">
      <c r="B563" s="66"/>
    </row>
    <row r="564" spans="2:2" ht="12.75" customHeight="1">
      <c r="B564" s="66"/>
    </row>
    <row r="565" spans="2:2" ht="12.75" customHeight="1">
      <c r="B565" s="66"/>
    </row>
    <row r="566" spans="2:2" ht="12.75" customHeight="1">
      <c r="B566" s="66"/>
    </row>
    <row r="567" spans="2:2" ht="12.75" customHeight="1">
      <c r="B567" s="66"/>
    </row>
    <row r="568" spans="2:2" ht="12.75" customHeight="1">
      <c r="B568" s="66"/>
    </row>
    <row r="569" spans="2:2" ht="12.75" customHeight="1">
      <c r="B569" s="66"/>
    </row>
    <row r="570" spans="2:2" ht="12.75" customHeight="1">
      <c r="B570" s="66"/>
    </row>
    <row r="571" spans="2:2" ht="12.75" customHeight="1">
      <c r="B571" s="66"/>
    </row>
    <row r="572" spans="2:2" ht="12.75" customHeight="1">
      <c r="B572" s="66"/>
    </row>
    <row r="573" spans="2:2" ht="12.75" customHeight="1">
      <c r="B573" s="66"/>
    </row>
    <row r="574" spans="2:2" ht="12.75" customHeight="1">
      <c r="B574" s="66"/>
    </row>
    <row r="575" spans="2:2" ht="12.75" customHeight="1">
      <c r="B575" s="66"/>
    </row>
    <row r="576" spans="2:2" ht="12.75" customHeight="1">
      <c r="B576" s="66"/>
    </row>
    <row r="577" spans="2:2" ht="12.75" customHeight="1">
      <c r="B577" s="66"/>
    </row>
    <row r="578" spans="2:2" ht="12.75" customHeight="1">
      <c r="B578" s="66"/>
    </row>
    <row r="579" spans="2:2" ht="12.75" customHeight="1">
      <c r="B579" s="66"/>
    </row>
    <row r="580" spans="2:2" ht="12.75" customHeight="1">
      <c r="B580" s="66"/>
    </row>
    <row r="581" spans="2:2" ht="12.75" customHeight="1">
      <c r="B581" s="66"/>
    </row>
    <row r="582" spans="2:2" ht="12.75" customHeight="1">
      <c r="B582" s="66"/>
    </row>
    <row r="583" spans="2:2" ht="12.75" customHeight="1">
      <c r="B583" s="66"/>
    </row>
    <row r="584" spans="2:2" ht="12.75" customHeight="1">
      <c r="B584" s="66"/>
    </row>
    <row r="585" spans="2:2" ht="12.75" customHeight="1">
      <c r="B585" s="66"/>
    </row>
    <row r="586" spans="2:2" ht="12.75" customHeight="1">
      <c r="B586" s="66"/>
    </row>
    <row r="587" spans="2:2" ht="12.75" customHeight="1">
      <c r="B587" s="66"/>
    </row>
    <row r="588" spans="2:2" ht="12.75" customHeight="1">
      <c r="B588" s="66"/>
    </row>
    <row r="589" spans="2:2" ht="12.75" customHeight="1">
      <c r="B589" s="66"/>
    </row>
    <row r="590" spans="2:2" ht="12.75" customHeight="1">
      <c r="B590" s="66"/>
    </row>
    <row r="591" spans="2:2" ht="12.75" customHeight="1">
      <c r="B591" s="66"/>
    </row>
    <row r="592" spans="2:2" ht="12.75" customHeight="1">
      <c r="B592" s="66"/>
    </row>
    <row r="593" spans="2:2" ht="12.75" customHeight="1">
      <c r="B593" s="66"/>
    </row>
    <row r="594" spans="2:2" ht="12.75" customHeight="1">
      <c r="B594" s="66"/>
    </row>
    <row r="595" spans="2:2" ht="12.75" customHeight="1">
      <c r="B595" s="66"/>
    </row>
    <row r="596" spans="2:2" ht="12.75" customHeight="1">
      <c r="B596" s="66"/>
    </row>
    <row r="597" spans="2:2" ht="12.75" customHeight="1">
      <c r="B597" s="66"/>
    </row>
    <row r="598" spans="2:2" ht="12.75" customHeight="1">
      <c r="B598" s="66"/>
    </row>
    <row r="599" spans="2:2" ht="12.75" customHeight="1">
      <c r="B599" s="66"/>
    </row>
    <row r="600" spans="2:2" ht="12.75" customHeight="1">
      <c r="B600" s="66"/>
    </row>
    <row r="601" spans="2:2" ht="12.75" customHeight="1">
      <c r="B601" s="66"/>
    </row>
    <row r="602" spans="2:2" ht="12.75" customHeight="1">
      <c r="B602" s="66"/>
    </row>
    <row r="603" spans="2:2" ht="12.75" customHeight="1">
      <c r="B603" s="66"/>
    </row>
    <row r="604" spans="2:2" ht="12.75" customHeight="1">
      <c r="B604" s="66"/>
    </row>
    <row r="605" spans="2:2" ht="12.75" customHeight="1">
      <c r="B605" s="66"/>
    </row>
    <row r="606" spans="2:2" ht="12.75" customHeight="1">
      <c r="B606" s="66"/>
    </row>
    <row r="607" spans="2:2" ht="12.75" customHeight="1">
      <c r="B607" s="66"/>
    </row>
    <row r="608" spans="2:2" ht="12.75" customHeight="1">
      <c r="B608" s="66"/>
    </row>
    <row r="609" spans="2:2" ht="12.75" customHeight="1">
      <c r="B609" s="66"/>
    </row>
    <row r="610" spans="2:2" ht="12.75" customHeight="1">
      <c r="B610" s="66"/>
    </row>
    <row r="611" spans="2:2" ht="12.75" customHeight="1">
      <c r="B611" s="66"/>
    </row>
    <row r="612" spans="2:2" ht="12.75" customHeight="1">
      <c r="B612" s="66"/>
    </row>
    <row r="613" spans="2:2" ht="12.75" customHeight="1">
      <c r="B613" s="66"/>
    </row>
    <row r="614" spans="2:2" ht="12.75" customHeight="1">
      <c r="B614" s="66"/>
    </row>
    <row r="615" spans="2:2" ht="12.75" customHeight="1">
      <c r="B615" s="66"/>
    </row>
    <row r="616" spans="2:2" ht="12.75" customHeight="1">
      <c r="B616" s="66"/>
    </row>
    <row r="617" spans="2:2" ht="12.75" customHeight="1">
      <c r="B617" s="66"/>
    </row>
    <row r="618" spans="2:2" ht="12.75" customHeight="1">
      <c r="B618" s="66"/>
    </row>
    <row r="619" spans="2:2" ht="12.75" customHeight="1">
      <c r="B619" s="66"/>
    </row>
    <row r="620" spans="2:2" ht="12.75" customHeight="1">
      <c r="B620" s="66"/>
    </row>
    <row r="621" spans="2:2" ht="12.75" customHeight="1">
      <c r="B621" s="66"/>
    </row>
    <row r="622" spans="2:2" ht="12.75" customHeight="1">
      <c r="B622" s="66"/>
    </row>
    <row r="623" spans="2:2" ht="12.75" customHeight="1">
      <c r="B623" s="66"/>
    </row>
    <row r="624" spans="2:2" ht="12.75" customHeight="1">
      <c r="B624" s="66"/>
    </row>
    <row r="625" spans="2:2" ht="12.75" customHeight="1">
      <c r="B625" s="66"/>
    </row>
    <row r="626" spans="2:2" ht="12.75" customHeight="1">
      <c r="B626" s="66"/>
    </row>
    <row r="627" spans="2:2" ht="12.75" customHeight="1">
      <c r="B627" s="66"/>
    </row>
    <row r="628" spans="2:2" ht="12.75" customHeight="1">
      <c r="B628" s="66"/>
    </row>
    <row r="629" spans="2:2" ht="12.75" customHeight="1">
      <c r="B629" s="66"/>
    </row>
    <row r="630" spans="2:2" ht="12.75" customHeight="1">
      <c r="B630" s="66"/>
    </row>
    <row r="631" spans="2:2" ht="12.75" customHeight="1">
      <c r="B631" s="66"/>
    </row>
    <row r="632" spans="2:2" ht="12.75" customHeight="1">
      <c r="B632" s="66"/>
    </row>
    <row r="633" spans="2:2" ht="12.75" customHeight="1">
      <c r="B633" s="66"/>
    </row>
    <row r="634" spans="2:2" ht="12.75" customHeight="1">
      <c r="B634" s="66"/>
    </row>
    <row r="635" spans="2:2" ht="12.75" customHeight="1">
      <c r="B635" s="66"/>
    </row>
    <row r="636" spans="2:2" ht="12.75" customHeight="1">
      <c r="B636" s="66"/>
    </row>
    <row r="637" spans="2:2" ht="12.75" customHeight="1">
      <c r="B637" s="66"/>
    </row>
    <row r="638" spans="2:2" ht="12.75" customHeight="1">
      <c r="B638" s="66"/>
    </row>
    <row r="639" spans="2:2" ht="12.75" customHeight="1">
      <c r="B639" s="66"/>
    </row>
    <row r="640" spans="2:2" ht="12.75" customHeight="1">
      <c r="B640" s="66"/>
    </row>
    <row r="641" spans="2:2" ht="12.75" customHeight="1">
      <c r="B641" s="66"/>
    </row>
    <row r="642" spans="2:2" ht="12.75" customHeight="1">
      <c r="B642" s="66"/>
    </row>
    <row r="643" spans="2:2" ht="12.75" customHeight="1">
      <c r="B643" s="66"/>
    </row>
    <row r="644" spans="2:2" ht="12.75" customHeight="1">
      <c r="B644" s="66"/>
    </row>
    <row r="645" spans="2:2" ht="12.75" customHeight="1">
      <c r="B645" s="66"/>
    </row>
    <row r="646" spans="2:2" ht="12.75" customHeight="1">
      <c r="B646" s="66"/>
    </row>
    <row r="647" spans="2:2" ht="12.75" customHeight="1">
      <c r="B647" s="66"/>
    </row>
    <row r="648" spans="2:2" ht="12.75" customHeight="1">
      <c r="B648" s="66"/>
    </row>
    <row r="649" spans="2:2" ht="12.75" customHeight="1">
      <c r="B649" s="66"/>
    </row>
    <row r="650" spans="2:2" ht="12.75" customHeight="1">
      <c r="B650" s="66"/>
    </row>
    <row r="651" spans="2:2" ht="12.75" customHeight="1">
      <c r="B651" s="66"/>
    </row>
    <row r="652" spans="2:2" ht="12.75" customHeight="1">
      <c r="B652" s="66"/>
    </row>
    <row r="653" spans="2:2" ht="12.75" customHeight="1">
      <c r="B653" s="66"/>
    </row>
    <row r="654" spans="2:2" ht="12.75" customHeight="1">
      <c r="B654" s="66"/>
    </row>
    <row r="655" spans="2:2" ht="12.75" customHeight="1">
      <c r="B655" s="66"/>
    </row>
    <row r="656" spans="2:2" ht="12.75" customHeight="1">
      <c r="B656" s="66"/>
    </row>
    <row r="657" spans="2:2" ht="12.75" customHeight="1">
      <c r="B657" s="66"/>
    </row>
    <row r="658" spans="2:2" ht="12.75" customHeight="1">
      <c r="B658" s="66"/>
    </row>
    <row r="659" spans="2:2" ht="12.75" customHeight="1">
      <c r="B659" s="66"/>
    </row>
    <row r="660" spans="2:2" ht="12.75" customHeight="1">
      <c r="B660" s="66"/>
    </row>
    <row r="661" spans="2:2" ht="12.75" customHeight="1">
      <c r="B661" s="66"/>
    </row>
    <row r="662" spans="2:2" ht="12.75" customHeight="1">
      <c r="B662" s="66"/>
    </row>
    <row r="663" spans="2:2" ht="12.75" customHeight="1">
      <c r="B663" s="66"/>
    </row>
    <row r="664" spans="2:2" ht="12.75" customHeight="1">
      <c r="B664" s="66"/>
    </row>
    <row r="665" spans="2:2" ht="12.75" customHeight="1">
      <c r="B665" s="66"/>
    </row>
    <row r="666" spans="2:2" ht="12.75" customHeight="1">
      <c r="B666" s="66"/>
    </row>
    <row r="667" spans="2:2" ht="12.75" customHeight="1">
      <c r="B667" s="66"/>
    </row>
    <row r="668" spans="2:2" ht="12.75" customHeight="1">
      <c r="B668" s="66"/>
    </row>
    <row r="669" spans="2:2" ht="12.75" customHeight="1">
      <c r="B669" s="66"/>
    </row>
    <row r="670" spans="2:2" ht="12.75" customHeight="1">
      <c r="B670" s="66"/>
    </row>
    <row r="671" spans="2:2" ht="12.75" customHeight="1">
      <c r="B671" s="66"/>
    </row>
    <row r="672" spans="2:2" ht="12.75" customHeight="1">
      <c r="B672" s="66"/>
    </row>
    <row r="673" spans="2:2" ht="12.75" customHeight="1">
      <c r="B673" s="66"/>
    </row>
    <row r="674" spans="2:2" ht="12.75" customHeight="1">
      <c r="B674" s="66"/>
    </row>
    <row r="675" spans="2:2" ht="12.75" customHeight="1">
      <c r="B675" s="66"/>
    </row>
    <row r="676" spans="2:2" ht="12.75" customHeight="1">
      <c r="B676" s="66"/>
    </row>
    <row r="677" spans="2:2" ht="12.75" customHeight="1">
      <c r="B677" s="66"/>
    </row>
    <row r="678" spans="2:2" ht="12.75" customHeight="1">
      <c r="B678" s="66"/>
    </row>
    <row r="679" spans="2:2" ht="12.75" customHeight="1">
      <c r="B679" s="66"/>
    </row>
    <row r="680" spans="2:2" ht="12.75" customHeight="1">
      <c r="B680" s="66"/>
    </row>
    <row r="681" spans="2:2" ht="12.75" customHeight="1">
      <c r="B681" s="66"/>
    </row>
    <row r="682" spans="2:2" ht="12.75" customHeight="1">
      <c r="B682" s="66"/>
    </row>
    <row r="683" spans="2:2" ht="12.75" customHeight="1">
      <c r="B683" s="66"/>
    </row>
    <row r="684" spans="2:2" ht="12.75" customHeight="1">
      <c r="B684" s="66"/>
    </row>
    <row r="685" spans="2:2" ht="12.75" customHeight="1">
      <c r="B685" s="66"/>
    </row>
    <row r="686" spans="2:2" ht="12.75" customHeight="1">
      <c r="B686" s="66"/>
    </row>
    <row r="687" spans="2:2" ht="12.75" customHeight="1">
      <c r="B687" s="66"/>
    </row>
    <row r="688" spans="2:2" ht="12.75" customHeight="1">
      <c r="B688" s="66"/>
    </row>
    <row r="689" spans="2:2" ht="12.75" customHeight="1">
      <c r="B689" s="66"/>
    </row>
    <row r="690" spans="2:2" ht="12.75" customHeight="1">
      <c r="B690" s="66"/>
    </row>
    <row r="691" spans="2:2" ht="12.75" customHeight="1">
      <c r="B691" s="66"/>
    </row>
    <row r="692" spans="2:2" ht="12.75" customHeight="1">
      <c r="B692" s="66"/>
    </row>
    <row r="693" spans="2:2" ht="12.75" customHeight="1">
      <c r="B693" s="66"/>
    </row>
    <row r="694" spans="2:2" ht="12.75" customHeight="1">
      <c r="B694" s="66"/>
    </row>
    <row r="695" spans="2:2" ht="12.75" customHeight="1">
      <c r="B695" s="66"/>
    </row>
    <row r="696" spans="2:2" ht="12.75" customHeight="1">
      <c r="B696" s="66"/>
    </row>
    <row r="697" spans="2:2" ht="12.75" customHeight="1">
      <c r="B697" s="66"/>
    </row>
    <row r="698" spans="2:2" ht="12.75" customHeight="1">
      <c r="B698" s="66"/>
    </row>
    <row r="699" spans="2:2" ht="12.75" customHeight="1">
      <c r="B699" s="66"/>
    </row>
    <row r="700" spans="2:2" ht="12.75" customHeight="1">
      <c r="B700" s="66"/>
    </row>
    <row r="701" spans="2:2" ht="12.75" customHeight="1">
      <c r="B701" s="66"/>
    </row>
    <row r="702" spans="2:2" ht="12.75" customHeight="1">
      <c r="B702" s="66"/>
    </row>
    <row r="703" spans="2:2" ht="12.75" customHeight="1">
      <c r="B703" s="66"/>
    </row>
    <row r="704" spans="2:2" ht="12.75" customHeight="1">
      <c r="B704" s="66"/>
    </row>
    <row r="705" spans="2:2" ht="12.75" customHeight="1">
      <c r="B705" s="66"/>
    </row>
    <row r="706" spans="2:2" ht="12.75" customHeight="1">
      <c r="B706" s="66"/>
    </row>
    <row r="707" spans="2:2" ht="12.75" customHeight="1">
      <c r="B707" s="66"/>
    </row>
    <row r="708" spans="2:2" ht="12.75" customHeight="1">
      <c r="B708" s="66"/>
    </row>
    <row r="709" spans="2:2" ht="12.75" customHeight="1">
      <c r="B709" s="66"/>
    </row>
    <row r="710" spans="2:2" ht="12.75" customHeight="1">
      <c r="B710" s="66"/>
    </row>
    <row r="711" spans="2:2" ht="12.75" customHeight="1">
      <c r="B711" s="66"/>
    </row>
    <row r="712" spans="2:2" ht="12.75" customHeight="1">
      <c r="B712" s="66"/>
    </row>
    <row r="713" spans="2:2" ht="12.75" customHeight="1">
      <c r="B713" s="66"/>
    </row>
    <row r="714" spans="2:2" ht="12.75" customHeight="1">
      <c r="B714" s="66"/>
    </row>
    <row r="715" spans="2:2" ht="12.75" customHeight="1">
      <c r="B715" s="66"/>
    </row>
    <row r="716" spans="2:2" ht="12.75" customHeight="1">
      <c r="B716" s="66"/>
    </row>
    <row r="717" spans="2:2" ht="12.75" customHeight="1">
      <c r="B717" s="66"/>
    </row>
    <row r="718" spans="2:2" ht="12.75" customHeight="1">
      <c r="B718" s="66"/>
    </row>
    <row r="719" spans="2:2" ht="12.75" customHeight="1">
      <c r="B719" s="66"/>
    </row>
    <row r="720" spans="2:2" ht="12.75" customHeight="1">
      <c r="B720" s="66"/>
    </row>
    <row r="721" spans="2:2" ht="12.75" customHeight="1">
      <c r="B721" s="66"/>
    </row>
    <row r="722" spans="2:2" ht="12.75" customHeight="1">
      <c r="B722" s="66"/>
    </row>
    <row r="723" spans="2:2" ht="12.75" customHeight="1">
      <c r="B723" s="66"/>
    </row>
    <row r="724" spans="2:2" ht="12.75" customHeight="1">
      <c r="B724" s="66"/>
    </row>
    <row r="725" spans="2:2" ht="12.75" customHeight="1">
      <c r="B725" s="66"/>
    </row>
    <row r="726" spans="2:2" ht="12.75" customHeight="1">
      <c r="B726" s="66"/>
    </row>
    <row r="727" spans="2:2" ht="12.75" customHeight="1">
      <c r="B727" s="66"/>
    </row>
    <row r="728" spans="2:2" ht="12.75" customHeight="1">
      <c r="B728" s="66"/>
    </row>
    <row r="729" spans="2:2" ht="12.75" customHeight="1">
      <c r="B729" s="66"/>
    </row>
    <row r="730" spans="2:2" ht="12.75" customHeight="1">
      <c r="B730" s="66"/>
    </row>
    <row r="731" spans="2:2" ht="12.75" customHeight="1">
      <c r="B731" s="66"/>
    </row>
    <row r="732" spans="2:2" ht="12.75" customHeight="1">
      <c r="B732" s="66"/>
    </row>
    <row r="733" spans="2:2" ht="12.75" customHeight="1">
      <c r="B733" s="66"/>
    </row>
    <row r="734" spans="2:2" ht="12.75" customHeight="1">
      <c r="B734" s="66"/>
    </row>
    <row r="735" spans="2:2" ht="12.75" customHeight="1">
      <c r="B735" s="66"/>
    </row>
    <row r="736" spans="2:2" ht="12.75" customHeight="1">
      <c r="B736" s="66"/>
    </row>
    <row r="737" spans="2:2" ht="12.75" customHeight="1">
      <c r="B737" s="66"/>
    </row>
    <row r="738" spans="2:2" ht="12.75" customHeight="1">
      <c r="B738" s="66"/>
    </row>
    <row r="739" spans="2:2" ht="12.75" customHeight="1">
      <c r="B739" s="66"/>
    </row>
    <row r="740" spans="2:2" ht="12.75" customHeight="1">
      <c r="B740" s="66"/>
    </row>
    <row r="741" spans="2:2" ht="12.75" customHeight="1">
      <c r="B741" s="66"/>
    </row>
    <row r="742" spans="2:2" ht="12.75" customHeight="1">
      <c r="B742" s="66"/>
    </row>
    <row r="743" spans="2:2" ht="12.75" customHeight="1">
      <c r="B743" s="66"/>
    </row>
    <row r="744" spans="2:2" ht="12.75" customHeight="1">
      <c r="B744" s="66"/>
    </row>
    <row r="745" spans="2:2" ht="12.75" customHeight="1">
      <c r="B745" s="66"/>
    </row>
    <row r="746" spans="2:2" ht="12.75" customHeight="1">
      <c r="B746" s="66"/>
    </row>
    <row r="747" spans="2:2" ht="12.75" customHeight="1">
      <c r="B747" s="66"/>
    </row>
    <row r="748" spans="2:2" ht="12.75" customHeight="1">
      <c r="B748" s="66"/>
    </row>
    <row r="749" spans="2:2" ht="12.75" customHeight="1">
      <c r="B749" s="66"/>
    </row>
    <row r="750" spans="2:2" ht="12.75" customHeight="1">
      <c r="B750" s="66"/>
    </row>
    <row r="751" spans="2:2" ht="12.75" customHeight="1">
      <c r="B751" s="66"/>
    </row>
    <row r="752" spans="2:2" ht="12.75" customHeight="1">
      <c r="B752" s="66"/>
    </row>
    <row r="753" spans="2:2" ht="12.75" customHeight="1">
      <c r="B753" s="66"/>
    </row>
    <row r="754" spans="2:2" ht="12.75" customHeight="1">
      <c r="B754" s="66"/>
    </row>
    <row r="755" spans="2:2" ht="12.75" customHeight="1">
      <c r="B755" s="66"/>
    </row>
    <row r="756" spans="2:2" ht="12.75" customHeight="1">
      <c r="B756" s="66"/>
    </row>
    <row r="757" spans="2:2" ht="12.75" customHeight="1">
      <c r="B757" s="66"/>
    </row>
    <row r="758" spans="2:2" ht="12.75" customHeight="1">
      <c r="B758" s="66"/>
    </row>
    <row r="759" spans="2:2" ht="12.75" customHeight="1">
      <c r="B759" s="66"/>
    </row>
    <row r="760" spans="2:2" ht="12.75" customHeight="1">
      <c r="B760" s="66"/>
    </row>
    <row r="761" spans="2:2" ht="12.75" customHeight="1">
      <c r="B761" s="66"/>
    </row>
    <row r="762" spans="2:2" ht="12.75" customHeight="1">
      <c r="B762" s="66"/>
    </row>
    <row r="763" spans="2:2" ht="12.75" customHeight="1">
      <c r="B763" s="66"/>
    </row>
    <row r="764" spans="2:2" ht="12.75" customHeight="1">
      <c r="B764" s="66"/>
    </row>
    <row r="765" spans="2:2" ht="12.75" customHeight="1">
      <c r="B765" s="66"/>
    </row>
    <row r="766" spans="2:2" ht="12.75" customHeight="1">
      <c r="B766" s="66"/>
    </row>
    <row r="767" spans="2:2" ht="12.75" customHeight="1">
      <c r="B767" s="66"/>
    </row>
    <row r="768" spans="2:2" ht="12.75" customHeight="1">
      <c r="B768" s="66"/>
    </row>
    <row r="769" spans="2:2" ht="12.75" customHeight="1">
      <c r="B769" s="66"/>
    </row>
    <row r="770" spans="2:2" ht="12.75" customHeight="1">
      <c r="B770" s="66"/>
    </row>
    <row r="771" spans="2:2" ht="12.75" customHeight="1">
      <c r="B771" s="66"/>
    </row>
    <row r="772" spans="2:2" ht="12.75" customHeight="1">
      <c r="B772" s="66"/>
    </row>
    <row r="773" spans="2:2" ht="12.75" customHeight="1">
      <c r="B773" s="66"/>
    </row>
    <row r="774" spans="2:2" ht="12.75" customHeight="1">
      <c r="B774" s="66"/>
    </row>
    <row r="775" spans="2:2" ht="12.75" customHeight="1">
      <c r="B775" s="66"/>
    </row>
    <row r="776" spans="2:2" ht="12.75" customHeight="1">
      <c r="B776" s="66"/>
    </row>
    <row r="777" spans="2:2" ht="12.75" customHeight="1">
      <c r="B777" s="66"/>
    </row>
    <row r="778" spans="2:2" ht="12.75" customHeight="1">
      <c r="B778" s="66"/>
    </row>
    <row r="779" spans="2:2" ht="12.75" customHeight="1">
      <c r="B779" s="66"/>
    </row>
    <row r="780" spans="2:2" ht="12.75" customHeight="1">
      <c r="B780" s="66"/>
    </row>
    <row r="781" spans="2:2" ht="12.75" customHeight="1">
      <c r="B781" s="66"/>
    </row>
    <row r="782" spans="2:2" ht="12.75" customHeight="1">
      <c r="B782" s="66"/>
    </row>
    <row r="783" spans="2:2" ht="12.75" customHeight="1">
      <c r="B783" s="66"/>
    </row>
    <row r="784" spans="2:2" ht="12.75" customHeight="1">
      <c r="B784" s="66"/>
    </row>
    <row r="785" spans="2:2" ht="12.75" customHeight="1">
      <c r="B785" s="66"/>
    </row>
    <row r="786" spans="2:2" ht="12.75" customHeight="1">
      <c r="B786" s="66"/>
    </row>
    <row r="787" spans="2:2" ht="12.75" customHeight="1">
      <c r="B787" s="66"/>
    </row>
    <row r="788" spans="2:2" ht="12.75" customHeight="1">
      <c r="B788" s="66"/>
    </row>
    <row r="789" spans="2:2" ht="12.75" customHeight="1">
      <c r="B789" s="66"/>
    </row>
    <row r="790" spans="2:2" ht="12.75" customHeight="1">
      <c r="B790" s="66"/>
    </row>
    <row r="791" spans="2:2" ht="12.75" customHeight="1">
      <c r="B791" s="66"/>
    </row>
    <row r="792" spans="2:2" ht="12.75" customHeight="1">
      <c r="B792" s="66"/>
    </row>
    <row r="793" spans="2:2" ht="12.75" customHeight="1">
      <c r="B793" s="66"/>
    </row>
    <row r="794" spans="2:2" ht="12.75" customHeight="1">
      <c r="B794" s="66"/>
    </row>
    <row r="795" spans="2:2" ht="12.75" customHeight="1">
      <c r="B795" s="66"/>
    </row>
    <row r="796" spans="2:2" ht="12.75" customHeight="1">
      <c r="B796" s="66"/>
    </row>
    <row r="797" spans="2:2" ht="12.75" customHeight="1">
      <c r="B797" s="66"/>
    </row>
    <row r="798" spans="2:2" ht="12.75" customHeight="1">
      <c r="B798" s="66"/>
    </row>
    <row r="799" spans="2:2" ht="12.75" customHeight="1">
      <c r="B799" s="66"/>
    </row>
    <row r="800" spans="2:2" ht="12.75" customHeight="1">
      <c r="B800" s="66"/>
    </row>
    <row r="801" spans="2:2" ht="12.75" customHeight="1">
      <c r="B801" s="66"/>
    </row>
    <row r="802" spans="2:2" ht="12.75" customHeight="1">
      <c r="B802" s="66"/>
    </row>
    <row r="803" spans="2:2" ht="12.75" customHeight="1">
      <c r="B803" s="66"/>
    </row>
    <row r="804" spans="2:2" ht="12.75" customHeight="1">
      <c r="B804" s="66"/>
    </row>
    <row r="805" spans="2:2" ht="12.75" customHeight="1">
      <c r="B805" s="66"/>
    </row>
    <row r="806" spans="2:2" ht="12.75" customHeight="1">
      <c r="B806" s="66"/>
    </row>
    <row r="807" spans="2:2" ht="12.75" customHeight="1">
      <c r="B807" s="66"/>
    </row>
    <row r="808" spans="2:2" ht="12.75" customHeight="1">
      <c r="B808" s="66"/>
    </row>
    <row r="809" spans="2:2" ht="12.75" customHeight="1">
      <c r="B809" s="66"/>
    </row>
    <row r="810" spans="2:2" ht="12.75" customHeight="1">
      <c r="B810" s="66"/>
    </row>
    <row r="811" spans="2:2" ht="12.75" customHeight="1">
      <c r="B811" s="66"/>
    </row>
    <row r="812" spans="2:2" ht="12.75" customHeight="1">
      <c r="B812" s="66"/>
    </row>
    <row r="813" spans="2:2" ht="12.75" customHeight="1">
      <c r="B813" s="66"/>
    </row>
    <row r="814" spans="2:2" ht="12.75" customHeight="1">
      <c r="B814" s="66"/>
    </row>
    <row r="815" spans="2:2" ht="12.75" customHeight="1">
      <c r="B815" s="66"/>
    </row>
    <row r="816" spans="2:2" ht="12.75" customHeight="1">
      <c r="B816" s="66"/>
    </row>
    <row r="817" spans="2:2" ht="12.75" customHeight="1">
      <c r="B817" s="66"/>
    </row>
    <row r="818" spans="2:2" ht="12.75" customHeight="1">
      <c r="B818" s="66"/>
    </row>
    <row r="819" spans="2:2" ht="12.75" customHeight="1">
      <c r="B819" s="66"/>
    </row>
    <row r="820" spans="2:2" ht="12.75" customHeight="1">
      <c r="B820" s="66"/>
    </row>
    <row r="821" spans="2:2" ht="12.75" customHeight="1">
      <c r="B821" s="66"/>
    </row>
    <row r="822" spans="2:2" ht="12.75" customHeight="1">
      <c r="B822" s="66"/>
    </row>
    <row r="823" spans="2:2" ht="12.75" customHeight="1">
      <c r="B823" s="66"/>
    </row>
    <row r="824" spans="2:2" ht="12.75" customHeight="1">
      <c r="B824" s="66"/>
    </row>
    <row r="825" spans="2:2" ht="12.75" customHeight="1">
      <c r="B825" s="66"/>
    </row>
    <row r="826" spans="2:2" ht="12.75" customHeight="1">
      <c r="B826" s="66"/>
    </row>
    <row r="827" spans="2:2" ht="12.75" customHeight="1">
      <c r="B827" s="66"/>
    </row>
    <row r="828" spans="2:2" ht="12.75" customHeight="1">
      <c r="B828" s="66"/>
    </row>
    <row r="829" spans="2:2" ht="12.75" customHeight="1">
      <c r="B829" s="66"/>
    </row>
    <row r="830" spans="2:2" ht="12.75" customHeight="1">
      <c r="B830" s="66"/>
    </row>
    <row r="831" spans="2:2" ht="12.75" customHeight="1">
      <c r="B831" s="66"/>
    </row>
    <row r="832" spans="2:2" ht="12.75" customHeight="1">
      <c r="B832" s="66"/>
    </row>
    <row r="833" spans="2:2" ht="12.75" customHeight="1">
      <c r="B833" s="66"/>
    </row>
    <row r="834" spans="2:2" ht="12.75" customHeight="1">
      <c r="B834" s="66"/>
    </row>
    <row r="835" spans="2:2" ht="12.75" customHeight="1">
      <c r="B835" s="66"/>
    </row>
    <row r="836" spans="2:2" ht="12.75" customHeight="1">
      <c r="B836" s="66"/>
    </row>
    <row r="837" spans="2:2" ht="12.75" customHeight="1">
      <c r="B837" s="66"/>
    </row>
    <row r="838" spans="2:2" ht="12.75" customHeight="1">
      <c r="B838" s="66"/>
    </row>
    <row r="839" spans="2:2" ht="12.75" customHeight="1">
      <c r="B839" s="66"/>
    </row>
    <row r="840" spans="2:2" ht="12.75" customHeight="1">
      <c r="B840" s="66"/>
    </row>
    <row r="841" spans="2:2" ht="12.75" customHeight="1">
      <c r="B841" s="66"/>
    </row>
    <row r="842" spans="2:2" ht="12.75" customHeight="1">
      <c r="B842" s="66"/>
    </row>
    <row r="843" spans="2:2" ht="12.75" customHeight="1">
      <c r="B843" s="66"/>
    </row>
    <row r="844" spans="2:2" ht="12.75" customHeight="1">
      <c r="B844" s="66"/>
    </row>
    <row r="845" spans="2:2" ht="12.75" customHeight="1">
      <c r="B845" s="66"/>
    </row>
    <row r="846" spans="2:2" ht="12.75" customHeight="1">
      <c r="B846" s="66"/>
    </row>
    <row r="847" spans="2:2" ht="12.75" customHeight="1">
      <c r="B847" s="66"/>
    </row>
    <row r="848" spans="2:2" ht="12.75" customHeight="1">
      <c r="B848" s="66"/>
    </row>
    <row r="849" spans="2:2" ht="12.75" customHeight="1">
      <c r="B849" s="66"/>
    </row>
    <row r="850" spans="2:2" ht="12.75" customHeight="1">
      <c r="B850" s="66"/>
    </row>
    <row r="851" spans="2:2" ht="12.75" customHeight="1">
      <c r="B851" s="66"/>
    </row>
    <row r="852" spans="2:2" ht="12.75" customHeight="1">
      <c r="B852" s="66"/>
    </row>
    <row r="853" spans="2:2" ht="12.75" customHeight="1">
      <c r="B853" s="66"/>
    </row>
    <row r="854" spans="2:2" ht="12.75" customHeight="1">
      <c r="B854" s="66"/>
    </row>
    <row r="855" spans="2:2" ht="12.75" customHeight="1">
      <c r="B855" s="66"/>
    </row>
    <row r="856" spans="2:2" ht="12.75" customHeight="1">
      <c r="B856" s="66"/>
    </row>
    <row r="857" spans="2:2" ht="12.75" customHeight="1">
      <c r="B857" s="66"/>
    </row>
    <row r="858" spans="2:2" ht="12.75" customHeight="1">
      <c r="B858" s="66"/>
    </row>
    <row r="859" spans="2:2" ht="12.75" customHeight="1">
      <c r="B859" s="66"/>
    </row>
    <row r="860" spans="2:2" ht="12.75" customHeight="1">
      <c r="B860" s="66"/>
    </row>
    <row r="861" spans="2:2" ht="12.75" customHeight="1">
      <c r="B861" s="66"/>
    </row>
    <row r="862" spans="2:2" ht="12.75" customHeight="1">
      <c r="B862" s="66"/>
    </row>
    <row r="863" spans="2:2" ht="12.75" customHeight="1">
      <c r="B863" s="66"/>
    </row>
    <row r="864" spans="2:2" ht="12.75" customHeight="1">
      <c r="B864" s="66"/>
    </row>
    <row r="865" spans="2:2" ht="12.75" customHeight="1">
      <c r="B865" s="66"/>
    </row>
    <row r="866" spans="2:2" ht="12.75" customHeight="1">
      <c r="B866" s="66"/>
    </row>
    <row r="867" spans="2:2" ht="12.75" customHeight="1">
      <c r="B867" s="66"/>
    </row>
    <row r="868" spans="2:2" ht="12.75" customHeight="1">
      <c r="B868" s="66"/>
    </row>
    <row r="869" spans="2:2" ht="12.75" customHeight="1">
      <c r="B869" s="66"/>
    </row>
    <row r="870" spans="2:2" ht="12.75" customHeight="1">
      <c r="B870" s="66"/>
    </row>
    <row r="871" spans="2:2" ht="12.75" customHeight="1">
      <c r="B871" s="66"/>
    </row>
    <row r="872" spans="2:2" ht="12.75" customHeight="1">
      <c r="B872" s="66"/>
    </row>
    <row r="873" spans="2:2" ht="12.75" customHeight="1">
      <c r="B873" s="66"/>
    </row>
    <row r="874" spans="2:2" ht="12.75" customHeight="1">
      <c r="B874" s="66"/>
    </row>
    <row r="875" spans="2:2" ht="12.75" customHeight="1">
      <c r="B875" s="66"/>
    </row>
    <row r="876" spans="2:2" ht="12.75" customHeight="1">
      <c r="B876" s="66"/>
    </row>
    <row r="877" spans="2:2" ht="12.75" customHeight="1">
      <c r="B877" s="66"/>
    </row>
    <row r="878" spans="2:2" ht="12.75" customHeight="1">
      <c r="B878" s="66"/>
    </row>
    <row r="879" spans="2:2" ht="12.75" customHeight="1">
      <c r="B879" s="66"/>
    </row>
    <row r="880" spans="2:2" ht="12.75" customHeight="1">
      <c r="B880" s="66"/>
    </row>
    <row r="881" spans="2:2" ht="12.75" customHeight="1">
      <c r="B881" s="66"/>
    </row>
    <row r="882" spans="2:2" ht="12.75" customHeight="1">
      <c r="B882" s="66"/>
    </row>
    <row r="883" spans="2:2" ht="12.75" customHeight="1">
      <c r="B883" s="66"/>
    </row>
    <row r="884" spans="2:2" ht="12.75" customHeight="1">
      <c r="B884" s="66"/>
    </row>
    <row r="885" spans="2:2" ht="12.75" customHeight="1">
      <c r="B885" s="66"/>
    </row>
    <row r="886" spans="2:2" ht="12.75" customHeight="1">
      <c r="B886" s="66"/>
    </row>
    <row r="887" spans="2:2" ht="12.75" customHeight="1">
      <c r="B887" s="66"/>
    </row>
    <row r="888" spans="2:2" ht="12.75" customHeight="1">
      <c r="B888" s="66"/>
    </row>
    <row r="889" spans="2:2" ht="12.75" customHeight="1">
      <c r="B889" s="66"/>
    </row>
    <row r="890" spans="2:2" ht="12.75" customHeight="1">
      <c r="B890" s="66"/>
    </row>
    <row r="891" spans="2:2" ht="12.75" customHeight="1">
      <c r="B891" s="66"/>
    </row>
    <row r="892" spans="2:2" ht="12.75" customHeight="1">
      <c r="B892" s="66"/>
    </row>
    <row r="893" spans="2:2" ht="12.75" customHeight="1">
      <c r="B893" s="66"/>
    </row>
    <row r="894" spans="2:2" ht="12.75" customHeight="1">
      <c r="B894" s="66"/>
    </row>
    <row r="895" spans="2:2" ht="12.75" customHeight="1">
      <c r="B895" s="66"/>
    </row>
    <row r="896" spans="2:2" ht="12.75" customHeight="1">
      <c r="B896" s="66"/>
    </row>
    <row r="897" spans="2:2" ht="12.75" customHeight="1">
      <c r="B897" s="66"/>
    </row>
    <row r="898" spans="2:2" ht="12.75" customHeight="1">
      <c r="B898" s="66"/>
    </row>
    <row r="899" spans="2:2" ht="12.75" customHeight="1">
      <c r="B899" s="66"/>
    </row>
    <row r="900" spans="2:2" ht="12.75" customHeight="1">
      <c r="B900" s="66"/>
    </row>
    <row r="901" spans="2:2" ht="12.75" customHeight="1">
      <c r="B901" s="66"/>
    </row>
    <row r="902" spans="2:2" ht="12.75" customHeight="1">
      <c r="B902" s="66"/>
    </row>
    <row r="903" spans="2:2" ht="12.75" customHeight="1">
      <c r="B903" s="66"/>
    </row>
    <row r="904" spans="2:2" ht="12.75" customHeight="1">
      <c r="B904" s="66"/>
    </row>
    <row r="905" spans="2:2" ht="12.75" customHeight="1">
      <c r="B905" s="66"/>
    </row>
    <row r="906" spans="2:2" ht="12.75" customHeight="1">
      <c r="B906" s="66"/>
    </row>
    <row r="907" spans="2:2" ht="12.75" customHeight="1">
      <c r="B907" s="66"/>
    </row>
    <row r="908" spans="2:2" ht="12.75" customHeight="1">
      <c r="B908" s="66"/>
    </row>
    <row r="909" spans="2:2" ht="12.75" customHeight="1">
      <c r="B909" s="66"/>
    </row>
    <row r="910" spans="2:2" ht="12.75" customHeight="1">
      <c r="B910" s="66"/>
    </row>
    <row r="911" spans="2:2" ht="12.75" customHeight="1">
      <c r="B911" s="66"/>
    </row>
    <row r="912" spans="2:2" ht="12.75" customHeight="1">
      <c r="B912" s="66"/>
    </row>
    <row r="913" spans="2:2" ht="12.75" customHeight="1">
      <c r="B913" s="66"/>
    </row>
    <row r="914" spans="2:2" ht="12.75" customHeight="1">
      <c r="B914" s="66"/>
    </row>
    <row r="915" spans="2:2" ht="12.75" customHeight="1">
      <c r="B915" s="66"/>
    </row>
    <row r="916" spans="2:2" ht="12.75" customHeight="1">
      <c r="B916" s="66"/>
    </row>
    <row r="917" spans="2:2" ht="12.75" customHeight="1">
      <c r="B917" s="66"/>
    </row>
    <row r="918" spans="2:2" ht="12.75" customHeight="1">
      <c r="B918" s="66"/>
    </row>
    <row r="919" spans="2:2" ht="12.75" customHeight="1">
      <c r="B919" s="66"/>
    </row>
    <row r="920" spans="2:2" ht="12.75" customHeight="1">
      <c r="B920" s="66"/>
    </row>
    <row r="921" spans="2:2" ht="12.75" customHeight="1">
      <c r="B921" s="66"/>
    </row>
    <row r="922" spans="2:2" ht="12.75" customHeight="1">
      <c r="B922" s="66"/>
    </row>
    <row r="923" spans="2:2" ht="12.75" customHeight="1">
      <c r="B923" s="66"/>
    </row>
    <row r="924" spans="2:2" ht="12.75" customHeight="1">
      <c r="B924" s="66"/>
    </row>
    <row r="925" spans="2:2" ht="12.75" customHeight="1">
      <c r="B925" s="66"/>
    </row>
    <row r="926" spans="2:2" ht="12.75" customHeight="1">
      <c r="B926" s="66"/>
    </row>
    <row r="927" spans="2:2" ht="12.75" customHeight="1">
      <c r="B927" s="66"/>
    </row>
    <row r="928" spans="2:2" ht="12.75" customHeight="1">
      <c r="B928" s="66"/>
    </row>
    <row r="929" spans="2:2" ht="12.75" customHeight="1">
      <c r="B929" s="66"/>
    </row>
    <row r="930" spans="2:2" ht="12.75" customHeight="1">
      <c r="B930" s="66"/>
    </row>
    <row r="931" spans="2:2" ht="12.75" customHeight="1">
      <c r="B931" s="66"/>
    </row>
    <row r="932" spans="2:2" ht="12.75" customHeight="1">
      <c r="B932" s="66"/>
    </row>
    <row r="933" spans="2:2" ht="12.75" customHeight="1">
      <c r="B933" s="66"/>
    </row>
    <row r="934" spans="2:2" ht="12.75" customHeight="1">
      <c r="B934" s="66"/>
    </row>
    <row r="935" spans="2:2" ht="12.75" customHeight="1">
      <c r="B935" s="66"/>
    </row>
    <row r="936" spans="2:2" ht="12.75" customHeight="1">
      <c r="B936" s="66"/>
    </row>
    <row r="937" spans="2:2" ht="12.75" customHeight="1">
      <c r="B937" s="66"/>
    </row>
    <row r="938" spans="2:2" ht="12.75" customHeight="1">
      <c r="B938" s="66"/>
    </row>
    <row r="939" spans="2:2" ht="12.75" customHeight="1">
      <c r="B939" s="66"/>
    </row>
    <row r="940" spans="2:2" ht="12.75" customHeight="1">
      <c r="B940" s="66"/>
    </row>
    <row r="941" spans="2:2" ht="12.75" customHeight="1">
      <c r="B941" s="66"/>
    </row>
    <row r="942" spans="2:2" ht="12.75" customHeight="1">
      <c r="B942" s="66"/>
    </row>
    <row r="943" spans="2:2" ht="12.75" customHeight="1">
      <c r="B943" s="66"/>
    </row>
    <row r="944" spans="2:2" ht="12.75" customHeight="1">
      <c r="B944" s="66"/>
    </row>
    <row r="945" spans="2:2" ht="12.75" customHeight="1">
      <c r="B945" s="66"/>
    </row>
    <row r="946" spans="2:2" ht="12.75" customHeight="1">
      <c r="B946" s="66"/>
    </row>
    <row r="947" spans="2:2" ht="12.75" customHeight="1">
      <c r="B947" s="66"/>
    </row>
    <row r="948" spans="2:2" ht="12.75" customHeight="1">
      <c r="B948" s="66"/>
    </row>
    <row r="949" spans="2:2" ht="12.75" customHeight="1">
      <c r="B949" s="66"/>
    </row>
    <row r="950" spans="2:2" ht="12.75" customHeight="1">
      <c r="B950" s="66"/>
    </row>
    <row r="951" spans="2:2" ht="12.75" customHeight="1">
      <c r="B951" s="66"/>
    </row>
    <row r="952" spans="2:2" ht="12.75" customHeight="1">
      <c r="B952" s="66"/>
    </row>
    <row r="953" spans="2:2" ht="12.75" customHeight="1">
      <c r="B953" s="66"/>
    </row>
    <row r="954" spans="2:2" ht="12.75" customHeight="1">
      <c r="B954" s="66"/>
    </row>
    <row r="955" spans="2:2" ht="12.75" customHeight="1">
      <c r="B955" s="66"/>
    </row>
    <row r="956" spans="2:2" ht="12.75" customHeight="1">
      <c r="B956" s="66"/>
    </row>
    <row r="957" spans="2:2" ht="12.75" customHeight="1">
      <c r="B957" s="66"/>
    </row>
    <row r="958" spans="2:2" ht="12.75" customHeight="1">
      <c r="B958" s="66"/>
    </row>
    <row r="959" spans="2:2" ht="12.75" customHeight="1">
      <c r="B959" s="66"/>
    </row>
    <row r="960" spans="2:2" ht="12.75" customHeight="1">
      <c r="B960" s="66"/>
    </row>
    <row r="961" spans="2:2" ht="12.75" customHeight="1">
      <c r="B961" s="66"/>
    </row>
    <row r="962" spans="2:2" ht="12.75" customHeight="1">
      <c r="B962" s="66"/>
    </row>
    <row r="963" spans="2:2" ht="12.75" customHeight="1">
      <c r="B963" s="66"/>
    </row>
    <row r="964" spans="2:2" ht="12.75" customHeight="1">
      <c r="B964" s="66"/>
    </row>
    <row r="965" spans="2:2" ht="12.75" customHeight="1">
      <c r="B965" s="66"/>
    </row>
    <row r="966" spans="2:2" ht="12.75" customHeight="1">
      <c r="B966" s="66"/>
    </row>
    <row r="967" spans="2:2" ht="12.75" customHeight="1">
      <c r="B967" s="66"/>
    </row>
    <row r="968" spans="2:2" ht="12.75" customHeight="1">
      <c r="B968" s="66"/>
    </row>
    <row r="969" spans="2:2" ht="12.75" customHeight="1">
      <c r="B969" s="66"/>
    </row>
    <row r="970" spans="2:2" ht="12.75" customHeight="1">
      <c r="B970" s="66"/>
    </row>
    <row r="971" spans="2:2" ht="12.75" customHeight="1">
      <c r="B971" s="66"/>
    </row>
    <row r="972" spans="2:2" ht="12.75" customHeight="1">
      <c r="B972" s="66"/>
    </row>
    <row r="973" spans="2:2" ht="12.75" customHeight="1">
      <c r="B973" s="66"/>
    </row>
    <row r="974" spans="2:2" ht="12.75" customHeight="1">
      <c r="B974" s="66"/>
    </row>
    <row r="975" spans="2:2" ht="12.75" customHeight="1">
      <c r="B975" s="66"/>
    </row>
    <row r="976" spans="2:2" ht="12.75" customHeight="1">
      <c r="B976" s="66"/>
    </row>
    <row r="977" spans="2:2" ht="12.75" customHeight="1">
      <c r="B977" s="66"/>
    </row>
    <row r="978" spans="2:2" ht="12.75" customHeight="1">
      <c r="B978" s="66"/>
    </row>
    <row r="979" spans="2:2" ht="12.75" customHeight="1">
      <c r="B979" s="66"/>
    </row>
    <row r="980" spans="2:2" ht="12.75" customHeight="1">
      <c r="B980" s="66"/>
    </row>
    <row r="981" spans="2:2" ht="12.75" customHeight="1">
      <c r="B981" s="66"/>
    </row>
    <row r="982" spans="2:2" ht="12.75" customHeight="1">
      <c r="B982" s="66"/>
    </row>
    <row r="983" spans="2:2" ht="12.75" customHeight="1">
      <c r="B983" s="66"/>
    </row>
    <row r="984" spans="2:2" ht="12.75" customHeight="1">
      <c r="B984" s="66"/>
    </row>
    <row r="985" spans="2:2" ht="12.75" customHeight="1">
      <c r="B985" s="66"/>
    </row>
    <row r="986" spans="2:2" ht="12.75" customHeight="1">
      <c r="B986" s="66"/>
    </row>
    <row r="987" spans="2:2" ht="12.75" customHeight="1">
      <c r="B987" s="66"/>
    </row>
    <row r="988" spans="2:2" ht="12.75" customHeight="1">
      <c r="B988" s="66"/>
    </row>
    <row r="989" spans="2:2" ht="12.75" customHeight="1">
      <c r="B989" s="66"/>
    </row>
    <row r="990" spans="2:2" ht="12.75" customHeight="1">
      <c r="B990" s="66"/>
    </row>
    <row r="991" spans="2:2" ht="12.75" customHeight="1">
      <c r="B991" s="66"/>
    </row>
    <row r="992" spans="2:2" ht="12.75" customHeight="1">
      <c r="B992" s="66"/>
    </row>
    <row r="993" spans="2:2" ht="12.75" customHeight="1">
      <c r="B993" s="66"/>
    </row>
    <row r="994" spans="2:2" ht="12.75" customHeight="1">
      <c r="B994" s="66"/>
    </row>
    <row r="995" spans="2:2" ht="12.75" customHeight="1">
      <c r="B995" s="66"/>
    </row>
    <row r="996" spans="2:2" ht="12.75" customHeight="1">
      <c r="B996" s="66"/>
    </row>
    <row r="997" spans="2:2" ht="12.75" customHeight="1">
      <c r="B997" s="66"/>
    </row>
    <row r="998" spans="2:2" ht="12.75" customHeight="1">
      <c r="B998" s="66"/>
    </row>
    <row r="999" spans="2:2" ht="12.75" customHeight="1">
      <c r="B999" s="66"/>
    </row>
    <row r="1000" spans="2:2" ht="12.75" customHeight="1">
      <c r="B1000" s="66"/>
    </row>
  </sheetData>
  <mergeCells count="15">
    <mergeCell ref="A1:I1"/>
    <mergeCell ref="A2:I2"/>
    <mergeCell ref="A3:I3"/>
    <mergeCell ref="A4:I4"/>
    <mergeCell ref="A5:I5"/>
    <mergeCell ref="A6:I6"/>
    <mergeCell ref="A7:I7"/>
    <mergeCell ref="A8:I8"/>
    <mergeCell ref="C10:E10"/>
    <mergeCell ref="A10:A11"/>
    <mergeCell ref="B10:B11"/>
    <mergeCell ref="F10:F11"/>
    <mergeCell ref="G10:G11"/>
    <mergeCell ref="H10:H11"/>
    <mergeCell ref="I10:I11"/>
  </mergeCells>
  <printOptions horizontalCentered="1"/>
  <pageMargins left="0.31496062992126" right="0.31496062992126" top="0.10433070899999999" bottom="0" header="0" footer="0"/>
  <pageSetup paperSize="9" scale="7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view="pageBreakPreview" zoomScale="60" zoomScaleNormal="100" workbookViewId="0">
      <selection activeCell="D20" sqref="D20"/>
    </sheetView>
  </sheetViews>
  <sheetFormatPr defaultColWidth="12.5703125" defaultRowHeight="15" customHeight="1"/>
  <cols>
    <col min="1" max="1" width="35" customWidth="1"/>
    <col min="2" max="2" width="20" customWidth="1"/>
    <col min="3" max="7" width="11.140625" customWidth="1"/>
    <col min="8" max="8" width="16" customWidth="1"/>
    <col min="9" max="9" width="16.85546875" customWidth="1"/>
    <col min="10" max="10" width="15.5703125" customWidth="1"/>
    <col min="11" max="11" width="16.28515625" customWidth="1"/>
    <col min="12" max="27" width="9" customWidth="1"/>
  </cols>
  <sheetData>
    <row r="1" spans="1:27" ht="15.75">
      <c r="A1" s="401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7" ht="26.25">
      <c r="A2" s="425" t="s">
        <v>3611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</row>
    <row r="3" spans="1:27" ht="15.75">
      <c r="A3" s="401" t="s">
        <v>3612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>
      <c r="A4" s="426" t="s">
        <v>3662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1:27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 spans="1:27" ht="15.7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:27" ht="15" customHeight="1">
      <c r="A7" s="417" t="s">
        <v>3578</v>
      </c>
      <c r="B7" s="419" t="s">
        <v>3579</v>
      </c>
      <c r="C7" s="427" t="s">
        <v>3580</v>
      </c>
      <c r="D7" s="428"/>
      <c r="E7" s="428"/>
      <c r="F7" s="428"/>
      <c r="G7" s="421"/>
      <c r="H7" s="421" t="s">
        <v>3613</v>
      </c>
      <c r="I7" s="423" t="s">
        <v>3582</v>
      </c>
      <c r="J7" s="423" t="s">
        <v>3583</v>
      </c>
      <c r="K7" s="417" t="s">
        <v>3584</v>
      </c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27" ht="49.5" customHeight="1">
      <c r="A8" s="418"/>
      <c r="B8" s="420"/>
      <c r="C8" s="78" t="s">
        <v>3585</v>
      </c>
      <c r="D8" s="78" t="s">
        <v>3586</v>
      </c>
      <c r="E8" s="78" t="s">
        <v>3587</v>
      </c>
      <c r="F8" s="79" t="s">
        <v>3614</v>
      </c>
      <c r="G8" s="80" t="s">
        <v>3588</v>
      </c>
      <c r="H8" s="422"/>
      <c r="I8" s="424"/>
      <c r="J8" s="424"/>
      <c r="K8" s="418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27" ht="15.75">
      <c r="A9" s="81" t="s">
        <v>3589</v>
      </c>
      <c r="B9" s="82">
        <v>1</v>
      </c>
      <c r="C9" s="83">
        <v>0</v>
      </c>
      <c r="D9" s="83">
        <v>0</v>
      </c>
      <c r="E9" s="83">
        <v>0</v>
      </c>
      <c r="F9" s="83">
        <v>0</v>
      </c>
      <c r="G9" s="84">
        <v>0</v>
      </c>
      <c r="H9" s="82">
        <f t="shared" ref="H9:H15" si="0">SUM(C9:F9)</f>
        <v>0</v>
      </c>
      <c r="I9" s="85">
        <f t="shared" ref="I9:I14" si="1">SUM(B9,H9)</f>
        <v>1</v>
      </c>
      <c r="J9" s="86">
        <v>1</v>
      </c>
      <c r="K9" s="82">
        <f t="shared" ref="K9:K14" si="2">J9-I9</f>
        <v>0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1:27" ht="15.75">
      <c r="A10" s="81" t="s">
        <v>1925</v>
      </c>
      <c r="B10" s="82">
        <v>7</v>
      </c>
      <c r="C10" s="83">
        <v>3</v>
      </c>
      <c r="D10" s="83">
        <v>0</v>
      </c>
      <c r="E10" s="83">
        <v>1</v>
      </c>
      <c r="F10" s="83">
        <v>0</v>
      </c>
      <c r="G10" s="83">
        <v>0</v>
      </c>
      <c r="H10" s="82">
        <f t="shared" si="0"/>
        <v>4</v>
      </c>
      <c r="I10" s="85">
        <f t="shared" si="1"/>
        <v>11</v>
      </c>
      <c r="J10" s="86">
        <v>11</v>
      </c>
      <c r="K10" s="82">
        <f t="shared" si="2"/>
        <v>0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27" ht="15.75">
      <c r="A11" s="81" t="s">
        <v>1924</v>
      </c>
      <c r="B11" s="82">
        <v>22</v>
      </c>
      <c r="C11" s="83">
        <v>3</v>
      </c>
      <c r="D11" s="83">
        <v>18</v>
      </c>
      <c r="E11" s="83">
        <v>1</v>
      </c>
      <c r="F11" s="83">
        <v>0</v>
      </c>
      <c r="G11" s="83">
        <v>0</v>
      </c>
      <c r="H11" s="82">
        <f t="shared" si="0"/>
        <v>22</v>
      </c>
      <c r="I11" s="85">
        <f t="shared" si="1"/>
        <v>44</v>
      </c>
      <c r="J11" s="86">
        <v>36</v>
      </c>
      <c r="K11" s="82">
        <f t="shared" si="2"/>
        <v>-8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27" ht="15.75">
      <c r="A12" s="81" t="s">
        <v>3590</v>
      </c>
      <c r="B12" s="82">
        <v>37</v>
      </c>
      <c r="C12" s="83">
        <v>10</v>
      </c>
      <c r="D12" s="83">
        <v>54</v>
      </c>
      <c r="E12" s="83">
        <v>4</v>
      </c>
      <c r="F12" s="83">
        <v>0</v>
      </c>
      <c r="G12" s="83">
        <v>0</v>
      </c>
      <c r="H12" s="82">
        <f t="shared" si="0"/>
        <v>68</v>
      </c>
      <c r="I12" s="85">
        <f t="shared" si="1"/>
        <v>105</v>
      </c>
      <c r="J12" s="86">
        <v>24</v>
      </c>
      <c r="K12" s="82">
        <f t="shared" si="2"/>
        <v>-81</v>
      </c>
      <c r="L12" s="87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27" ht="15.75">
      <c r="A13" s="81" t="s">
        <v>3591</v>
      </c>
      <c r="B13" s="82">
        <v>38</v>
      </c>
      <c r="C13" s="83">
        <v>1</v>
      </c>
      <c r="D13" s="83">
        <v>36</v>
      </c>
      <c r="E13" s="83">
        <v>3</v>
      </c>
      <c r="F13" s="83">
        <v>0</v>
      </c>
      <c r="G13" s="83">
        <v>0</v>
      </c>
      <c r="H13" s="82">
        <f t="shared" si="0"/>
        <v>40</v>
      </c>
      <c r="I13" s="85">
        <f t="shared" si="1"/>
        <v>78</v>
      </c>
      <c r="J13" s="86">
        <v>90</v>
      </c>
      <c r="K13" s="82">
        <f t="shared" si="2"/>
        <v>12</v>
      </c>
      <c r="L13" s="87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27" ht="15.75">
      <c r="A14" s="81" t="s">
        <v>3592</v>
      </c>
      <c r="B14" s="82">
        <v>41</v>
      </c>
      <c r="C14" s="83">
        <v>0</v>
      </c>
      <c r="D14" s="83">
        <v>0</v>
      </c>
      <c r="E14" s="83">
        <v>1</v>
      </c>
      <c r="F14" s="83">
        <v>0</v>
      </c>
      <c r="G14" s="83">
        <v>0</v>
      </c>
      <c r="H14" s="82">
        <f t="shared" si="0"/>
        <v>1</v>
      </c>
      <c r="I14" s="85">
        <f t="shared" si="1"/>
        <v>42</v>
      </c>
      <c r="J14" s="86">
        <v>17</v>
      </c>
      <c r="K14" s="82">
        <f t="shared" si="2"/>
        <v>-25</v>
      </c>
      <c r="L14" s="87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27" ht="15.75">
      <c r="A15" s="88" t="s">
        <v>3593</v>
      </c>
      <c r="B15" s="85">
        <f t="shared" ref="B15:F15" si="3">SUM(B9:B14)</f>
        <v>146</v>
      </c>
      <c r="C15" s="89">
        <f t="shared" si="3"/>
        <v>17</v>
      </c>
      <c r="D15" s="89">
        <f t="shared" si="3"/>
        <v>108</v>
      </c>
      <c r="E15" s="89">
        <f t="shared" si="3"/>
        <v>10</v>
      </c>
      <c r="F15" s="89">
        <f t="shared" si="3"/>
        <v>0</v>
      </c>
      <c r="G15" s="89">
        <f t="shared" ref="G15" si="4">SUM(G9:G14)</f>
        <v>0</v>
      </c>
      <c r="H15" s="85">
        <f t="shared" si="0"/>
        <v>135</v>
      </c>
      <c r="I15" s="85">
        <f>B15+H15</f>
        <v>281</v>
      </c>
      <c r="J15" s="86">
        <f>SUM(J9:J14)</f>
        <v>179</v>
      </c>
      <c r="K15" s="86">
        <f>SUM(J15-I15)</f>
        <v>-102</v>
      </c>
      <c r="L15" s="90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27" ht="15.75">
      <c r="A16" s="91"/>
      <c r="B16" s="91"/>
      <c r="C16" s="91"/>
      <c r="D16" s="91"/>
      <c r="E16" s="91"/>
      <c r="F16" s="91"/>
      <c r="G16" s="91"/>
      <c r="H16" s="91"/>
      <c r="I16" s="91"/>
      <c r="J16" s="75"/>
      <c r="K16" s="91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 spans="1:27" ht="60">
      <c r="A17" s="82" t="s">
        <v>3594</v>
      </c>
      <c r="B17" s="92" t="s">
        <v>3579</v>
      </c>
      <c r="C17" s="78" t="s">
        <v>3585</v>
      </c>
      <c r="D17" s="78" t="s">
        <v>3586</v>
      </c>
      <c r="E17" s="78" t="s">
        <v>3587</v>
      </c>
      <c r="F17" s="78" t="s">
        <v>3614</v>
      </c>
      <c r="G17" s="80" t="s">
        <v>3588</v>
      </c>
      <c r="H17" s="92" t="s">
        <v>3613</v>
      </c>
      <c r="I17" s="86" t="s">
        <v>3582</v>
      </c>
      <c r="J17" s="86" t="s">
        <v>3583</v>
      </c>
      <c r="K17" s="85" t="s">
        <v>3584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spans="1:27" ht="15.75">
      <c r="A18" s="81" t="s">
        <v>3596</v>
      </c>
      <c r="B18" s="82">
        <v>2</v>
      </c>
      <c r="C18" s="83">
        <v>0</v>
      </c>
      <c r="D18" s="83">
        <v>0</v>
      </c>
      <c r="E18" s="83">
        <v>1</v>
      </c>
      <c r="F18" s="83">
        <v>0</v>
      </c>
      <c r="G18" s="83">
        <v>0</v>
      </c>
      <c r="H18" s="82">
        <f>SUM(C18:G18)</f>
        <v>1</v>
      </c>
      <c r="I18" s="85">
        <f t="shared" ref="I18:I25" si="5">B18+H18</f>
        <v>3</v>
      </c>
      <c r="J18" s="85">
        <v>2</v>
      </c>
      <c r="K18" s="82">
        <f t="shared" ref="K18:K25" si="6">J18-I18</f>
        <v>-1</v>
      </c>
      <c r="L18" s="90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 spans="1:27" ht="15.75">
      <c r="A19" s="81" t="s">
        <v>3597</v>
      </c>
      <c r="B19" s="82">
        <v>5</v>
      </c>
      <c r="C19" s="83">
        <v>0</v>
      </c>
      <c r="D19" s="83">
        <v>0</v>
      </c>
      <c r="E19" s="83">
        <v>1</v>
      </c>
      <c r="F19" s="83">
        <v>0</v>
      </c>
      <c r="G19" s="83">
        <v>0</v>
      </c>
      <c r="H19" s="82">
        <f t="shared" ref="H19:H25" si="7">SUM(C19:G19)</f>
        <v>1</v>
      </c>
      <c r="I19" s="85">
        <f t="shared" si="5"/>
        <v>6</v>
      </c>
      <c r="J19" s="85">
        <v>7</v>
      </c>
      <c r="K19" s="82">
        <f t="shared" si="6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 spans="1:27" ht="15.75">
      <c r="A20" s="81" t="s">
        <v>3598</v>
      </c>
      <c r="B20" s="82">
        <v>8</v>
      </c>
      <c r="C20" s="83">
        <v>0</v>
      </c>
      <c r="D20" s="83">
        <v>0</v>
      </c>
      <c r="E20" s="83">
        <v>2</v>
      </c>
      <c r="F20" s="83">
        <v>0</v>
      </c>
      <c r="G20" s="83">
        <v>0</v>
      </c>
      <c r="H20" s="82">
        <f t="shared" si="7"/>
        <v>2</v>
      </c>
      <c r="I20" s="85">
        <f t="shared" si="5"/>
        <v>10</v>
      </c>
      <c r="J20" s="85">
        <v>25</v>
      </c>
      <c r="K20" s="82">
        <f t="shared" si="6"/>
        <v>15</v>
      </c>
      <c r="L20" s="90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spans="1:27" ht="15.75" customHeight="1">
      <c r="A21" s="81" t="s">
        <v>3599</v>
      </c>
      <c r="B21" s="82">
        <v>19</v>
      </c>
      <c r="C21" s="83">
        <v>0</v>
      </c>
      <c r="D21" s="83">
        <v>0</v>
      </c>
      <c r="E21" s="83">
        <v>5</v>
      </c>
      <c r="F21" s="83">
        <v>0</v>
      </c>
      <c r="G21" s="83">
        <v>2</v>
      </c>
      <c r="H21" s="82">
        <f t="shared" si="7"/>
        <v>7</v>
      </c>
      <c r="I21" s="85">
        <f t="shared" si="5"/>
        <v>26</v>
      </c>
      <c r="J21" s="85">
        <v>12</v>
      </c>
      <c r="K21" s="82">
        <f t="shared" si="6"/>
        <v>-14</v>
      </c>
      <c r="L21" s="90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spans="1:27" ht="15.75" customHeight="1">
      <c r="A22" s="81" t="s">
        <v>3600</v>
      </c>
      <c r="B22" s="82">
        <v>26</v>
      </c>
      <c r="C22" s="83">
        <v>0</v>
      </c>
      <c r="D22" s="83">
        <v>0</v>
      </c>
      <c r="E22" s="83">
        <v>1</v>
      </c>
      <c r="F22" s="83">
        <v>1</v>
      </c>
      <c r="G22" s="83">
        <v>0</v>
      </c>
      <c r="H22" s="82">
        <f t="shared" si="7"/>
        <v>2</v>
      </c>
      <c r="I22" s="85">
        <f t="shared" si="5"/>
        <v>28</v>
      </c>
      <c r="J22" s="85">
        <v>10</v>
      </c>
      <c r="K22" s="82">
        <f t="shared" si="6"/>
        <v>-18</v>
      </c>
      <c r="L22" s="90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spans="1:27" ht="15.75" customHeight="1">
      <c r="A23" s="81" t="s">
        <v>3601</v>
      </c>
      <c r="B23" s="82">
        <v>42</v>
      </c>
      <c r="C23" s="83">
        <v>0</v>
      </c>
      <c r="D23" s="83">
        <v>0</v>
      </c>
      <c r="E23" s="83">
        <v>0</v>
      </c>
      <c r="F23" s="83">
        <v>0</v>
      </c>
      <c r="G23" s="83">
        <v>0</v>
      </c>
      <c r="H23" s="82">
        <f t="shared" si="7"/>
        <v>0</v>
      </c>
      <c r="I23" s="85">
        <f t="shared" si="5"/>
        <v>42</v>
      </c>
      <c r="J23" s="85">
        <v>36</v>
      </c>
      <c r="K23" s="82">
        <f t="shared" si="6"/>
        <v>-6</v>
      </c>
      <c r="L23" s="90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 spans="1:27" ht="15.75" customHeight="1">
      <c r="A24" s="81" t="s">
        <v>3603</v>
      </c>
      <c r="B24" s="82">
        <v>44</v>
      </c>
      <c r="C24" s="83">
        <v>0</v>
      </c>
      <c r="D24" s="83">
        <v>0</v>
      </c>
      <c r="E24" s="83">
        <v>0</v>
      </c>
      <c r="F24" s="83">
        <v>0</v>
      </c>
      <c r="G24" s="83">
        <v>0</v>
      </c>
      <c r="H24" s="82">
        <f t="shared" si="7"/>
        <v>0</v>
      </c>
      <c r="I24" s="85">
        <f t="shared" si="5"/>
        <v>44</v>
      </c>
      <c r="J24" s="85">
        <v>117</v>
      </c>
      <c r="K24" s="82">
        <f t="shared" si="6"/>
        <v>73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spans="1:27" ht="15.75" customHeight="1">
      <c r="A25" s="93" t="s">
        <v>3604</v>
      </c>
      <c r="B25" s="85">
        <f t="shared" ref="B25:G25" si="8">SUM(B18:B24)</f>
        <v>146</v>
      </c>
      <c r="C25" s="89">
        <f t="shared" si="8"/>
        <v>0</v>
      </c>
      <c r="D25" s="89">
        <f t="shared" si="8"/>
        <v>0</v>
      </c>
      <c r="E25" s="89">
        <f t="shared" si="8"/>
        <v>10</v>
      </c>
      <c r="F25" s="89">
        <f t="shared" si="8"/>
        <v>1</v>
      </c>
      <c r="G25" s="89">
        <f t="shared" si="8"/>
        <v>2</v>
      </c>
      <c r="H25" s="85">
        <f t="shared" si="7"/>
        <v>13</v>
      </c>
      <c r="I25" s="85">
        <f t="shared" si="5"/>
        <v>159</v>
      </c>
      <c r="J25" s="85">
        <f>SUM(J18:J24)</f>
        <v>209</v>
      </c>
      <c r="K25" s="85">
        <f t="shared" si="6"/>
        <v>50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spans="1:27" ht="15.75" customHeight="1">
      <c r="A26" s="91"/>
      <c r="B26" s="91"/>
      <c r="C26" s="91"/>
      <c r="D26" s="91"/>
      <c r="E26" s="91"/>
      <c r="F26" s="91"/>
      <c r="G26" s="91"/>
      <c r="H26" s="91"/>
      <c r="I26" s="91"/>
      <c r="J26" s="75"/>
      <c r="K26" s="91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spans="1:27" ht="15.75" customHeight="1">
      <c r="A27" s="94" t="s">
        <v>3605</v>
      </c>
      <c r="B27" s="85">
        <v>226</v>
      </c>
      <c r="C27" s="83">
        <v>0</v>
      </c>
      <c r="D27" s="83">
        <v>0</v>
      </c>
      <c r="E27" s="83">
        <v>0</v>
      </c>
      <c r="F27" s="83">
        <v>0</v>
      </c>
      <c r="G27" s="83">
        <v>0</v>
      </c>
      <c r="H27" s="85">
        <v>0</v>
      </c>
      <c r="I27" s="85">
        <f>SUM(B27:H27)</f>
        <v>226</v>
      </c>
      <c r="J27" s="85">
        <v>199</v>
      </c>
      <c r="K27" s="85">
        <f>J27-I27</f>
        <v>-27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spans="1:27" ht="15.75" customHeight="1">
      <c r="A28" s="76"/>
      <c r="B28" s="76"/>
      <c r="C28" s="76"/>
      <c r="D28" s="76"/>
      <c r="E28" s="76"/>
      <c r="F28" s="76"/>
      <c r="G28" s="76"/>
      <c r="H28" s="76"/>
      <c r="I28" s="76"/>
      <c r="J28" s="95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spans="1:27" ht="15.75" customHeight="1">
      <c r="A29" s="414" t="s">
        <v>3606</v>
      </c>
      <c r="B29" s="415"/>
      <c r="C29" s="415"/>
      <c r="D29" s="415"/>
      <c r="E29" s="415"/>
      <c r="F29" s="415"/>
      <c r="G29" s="415"/>
      <c r="H29" s="415"/>
      <c r="I29" s="415"/>
      <c r="J29" s="415"/>
      <c r="K29" s="41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spans="1:27" ht="15.75" customHeight="1">
      <c r="A30" s="96" t="s">
        <v>3593</v>
      </c>
      <c r="B30" s="82">
        <f t="shared" ref="B30:K30" si="9">B15</f>
        <v>146</v>
      </c>
      <c r="C30" s="82">
        <f t="shared" si="9"/>
        <v>17</v>
      </c>
      <c r="D30" s="82">
        <f t="shared" si="9"/>
        <v>108</v>
      </c>
      <c r="E30" s="82">
        <f t="shared" si="9"/>
        <v>10</v>
      </c>
      <c r="F30" s="82">
        <f t="shared" si="9"/>
        <v>0</v>
      </c>
      <c r="G30" s="82">
        <f t="shared" si="9"/>
        <v>0</v>
      </c>
      <c r="H30" s="82">
        <f>SUM(C30:G30)</f>
        <v>135</v>
      </c>
      <c r="I30" s="82">
        <f t="shared" si="9"/>
        <v>281</v>
      </c>
      <c r="J30" s="85">
        <f t="shared" si="9"/>
        <v>179</v>
      </c>
      <c r="K30" s="85">
        <f t="shared" si="9"/>
        <v>-102</v>
      </c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spans="1:27" ht="15.75" customHeight="1">
      <c r="A31" s="96" t="s">
        <v>3604</v>
      </c>
      <c r="B31" s="82">
        <f t="shared" ref="B31:K31" si="10">B25</f>
        <v>146</v>
      </c>
      <c r="C31" s="82">
        <f t="shared" si="10"/>
        <v>0</v>
      </c>
      <c r="D31" s="82">
        <f t="shared" si="10"/>
        <v>0</v>
      </c>
      <c r="E31" s="82">
        <f t="shared" si="10"/>
        <v>10</v>
      </c>
      <c r="F31" s="82">
        <f t="shared" si="10"/>
        <v>1</v>
      </c>
      <c r="G31" s="82">
        <f t="shared" si="10"/>
        <v>2</v>
      </c>
      <c r="H31" s="82">
        <f t="shared" si="10"/>
        <v>13</v>
      </c>
      <c r="I31" s="82">
        <f t="shared" si="10"/>
        <v>159</v>
      </c>
      <c r="J31" s="85">
        <f t="shared" si="10"/>
        <v>209</v>
      </c>
      <c r="K31" s="85">
        <f t="shared" si="10"/>
        <v>50</v>
      </c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spans="1:27" ht="15.75" customHeight="1">
      <c r="A32" s="97" t="s">
        <v>3605</v>
      </c>
      <c r="B32" s="82">
        <f t="shared" ref="B32:I32" si="11">B27</f>
        <v>226</v>
      </c>
      <c r="C32" s="82">
        <f t="shared" si="11"/>
        <v>0</v>
      </c>
      <c r="D32" s="82">
        <f t="shared" si="11"/>
        <v>0</v>
      </c>
      <c r="E32" s="82">
        <f t="shared" si="11"/>
        <v>0</v>
      </c>
      <c r="F32" s="82">
        <f t="shared" si="11"/>
        <v>0</v>
      </c>
      <c r="G32" s="82">
        <f t="shared" si="11"/>
        <v>0</v>
      </c>
      <c r="H32" s="82">
        <f t="shared" si="11"/>
        <v>0</v>
      </c>
      <c r="I32" s="82">
        <f t="shared" si="11"/>
        <v>226</v>
      </c>
      <c r="J32" s="85">
        <v>199</v>
      </c>
      <c r="K32" s="85">
        <f>K27</f>
        <v>-27</v>
      </c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spans="1:27" ht="15.75" customHeight="1">
      <c r="A33" s="98" t="s">
        <v>1916</v>
      </c>
      <c r="B33" s="85">
        <f t="shared" ref="B33:K33" si="12">SUM(B30:B32)</f>
        <v>518</v>
      </c>
      <c r="C33" s="85">
        <f t="shared" si="12"/>
        <v>17</v>
      </c>
      <c r="D33" s="85">
        <f t="shared" si="12"/>
        <v>108</v>
      </c>
      <c r="E33" s="85">
        <f t="shared" si="12"/>
        <v>20</v>
      </c>
      <c r="F33" s="85">
        <f t="shared" si="12"/>
        <v>1</v>
      </c>
      <c r="G33" s="85">
        <f t="shared" si="12"/>
        <v>2</v>
      </c>
      <c r="H33" s="85">
        <f t="shared" si="12"/>
        <v>148</v>
      </c>
      <c r="I33" s="85">
        <f t="shared" si="12"/>
        <v>666</v>
      </c>
      <c r="J33" s="85">
        <f t="shared" si="12"/>
        <v>587</v>
      </c>
      <c r="K33" s="85">
        <f t="shared" si="12"/>
        <v>-79</v>
      </c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spans="1:27" ht="15.75" customHeight="1">
      <c r="A34" s="99"/>
      <c r="B34" s="99"/>
      <c r="C34" s="99"/>
      <c r="D34" s="76"/>
      <c r="E34" s="99"/>
      <c r="F34" s="99"/>
      <c r="G34" s="99"/>
      <c r="H34" s="99"/>
      <c r="I34" s="99"/>
      <c r="J34" s="99"/>
      <c r="K34" s="99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spans="1:27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spans="1:27" ht="15.75" customHeight="1">
      <c r="A36" s="65" t="s">
        <v>1917</v>
      </c>
      <c r="B36" s="65"/>
      <c r="C36" s="65" t="s">
        <v>3615</v>
      </c>
      <c r="E36" s="76"/>
      <c r="H36" s="76"/>
      <c r="I36" s="65" t="s">
        <v>1919</v>
      </c>
      <c r="K36" s="76"/>
      <c r="L36" s="65"/>
      <c r="M36" s="65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spans="1:27" ht="15.75" customHeight="1">
      <c r="A37" s="65"/>
      <c r="B37" s="65"/>
      <c r="C37" s="65"/>
      <c r="E37" s="76"/>
      <c r="H37" s="76"/>
      <c r="I37" s="65"/>
      <c r="K37" s="76"/>
      <c r="L37" s="65"/>
      <c r="M37" s="65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spans="1:27" ht="15.75" customHeight="1">
      <c r="A38" s="65"/>
      <c r="B38" s="65"/>
      <c r="C38" s="65"/>
      <c r="D38" s="66" t="s">
        <v>3328</v>
      </c>
      <c r="E38" s="76"/>
      <c r="H38" s="76"/>
      <c r="I38" s="65"/>
      <c r="K38" s="76"/>
      <c r="L38" s="65"/>
      <c r="M38" s="65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spans="1:27" ht="13.5" customHeight="1">
      <c r="A39" s="67" t="s">
        <v>1920</v>
      </c>
      <c r="B39" s="68"/>
      <c r="C39" s="70" t="s">
        <v>1921</v>
      </c>
      <c r="D39" s="69"/>
      <c r="E39" s="76"/>
      <c r="F39" s="69"/>
      <c r="G39" s="69"/>
      <c r="H39" s="76"/>
      <c r="I39" s="70" t="s">
        <v>1922</v>
      </c>
      <c r="J39" s="69"/>
      <c r="K39" s="76"/>
      <c r="L39" s="66"/>
      <c r="M39" s="6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spans="1:27" ht="13.5" customHeight="1">
      <c r="A40" s="72" t="s">
        <v>1923</v>
      </c>
      <c r="B40" s="68"/>
      <c r="C40" s="68" t="s">
        <v>1924</v>
      </c>
      <c r="D40" s="69"/>
      <c r="E40" s="76"/>
      <c r="F40" s="69"/>
      <c r="G40" s="69"/>
      <c r="H40" s="76"/>
      <c r="I40" s="68" t="s">
        <v>1925</v>
      </c>
      <c r="J40" s="69"/>
      <c r="K40" s="76"/>
      <c r="L40" s="66"/>
      <c r="M40" s="6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spans="1:27" ht="13.5" customHeight="1">
      <c r="A41" s="72" t="s">
        <v>1926</v>
      </c>
      <c r="B41" s="68"/>
      <c r="C41" s="68" t="s">
        <v>3616</v>
      </c>
      <c r="D41" s="69"/>
      <c r="E41" s="76"/>
      <c r="F41" s="69"/>
      <c r="G41" s="69"/>
      <c r="H41" s="76"/>
      <c r="I41" s="68" t="s">
        <v>1928</v>
      </c>
      <c r="J41" s="69"/>
      <c r="K41" s="76"/>
      <c r="L41" s="66"/>
      <c r="M41" s="6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spans="1:27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spans="1:27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spans="1:27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spans="1:27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spans="1:27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spans="1:2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spans="1:27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spans="1:27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spans="1:27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spans="1:27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spans="1:27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spans="1:27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spans="1:27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spans="1:27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spans="1:27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spans="1:2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spans="1:27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spans="1:27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spans="1:27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spans="1:27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spans="1:27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spans="1:27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spans="1:27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spans="1:27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spans="1:27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spans="1:2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spans="1:27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spans="1:27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spans="1:27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spans="1:27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spans="1:27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spans="1:27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spans="1:27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spans="1:27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spans="1:27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spans="1:2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spans="1:27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spans="1:27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spans="1:27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spans="1:27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spans="1:27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spans="1:27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spans="1:27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spans="1:27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spans="1:27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spans="1:2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spans="1:27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spans="1:27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spans="1:27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spans="1:27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spans="1:27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spans="1:27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spans="1:27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spans="1:27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spans="1:27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spans="1:2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spans="1:27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spans="1:27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spans="1:27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spans="1:27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spans="1:27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spans="1:27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spans="1:27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spans="1:27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spans="1:27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spans="1:2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spans="1:27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spans="1:27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spans="1:27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spans="1:27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spans="1:27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spans="1:27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spans="1:27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spans="1:27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spans="1:27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spans="1:2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spans="1:27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spans="1:27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spans="1:27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spans="1:27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spans="1:27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spans="1:27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spans="1:27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spans="1:27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spans="1:27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spans="1: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spans="1:27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spans="1:27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spans="1:27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spans="1:27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spans="1:27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spans="1:27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spans="1:27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spans="1:27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spans="1:27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spans="1:2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spans="1:27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spans="1:27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spans="1:27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spans="1:27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spans="1:27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spans="1:27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spans="1:27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spans="1:27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spans="1:27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spans="1:2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spans="1:27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spans="1:27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spans="1:27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spans="1:27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spans="1:27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 spans="1:27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 spans="1:27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 spans="1:27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 spans="1:27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 spans="1:2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 spans="1:27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 spans="1:27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 spans="1:27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 spans="1:27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 spans="1:27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 spans="1:27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 spans="1:27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 spans="1:27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 spans="1:27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 spans="1:2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 spans="1:27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 spans="1:27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 spans="1:27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 spans="1:27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 spans="1:27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 spans="1:27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 spans="1:27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 spans="1:27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 spans="1:27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 spans="1:2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 spans="1:27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 spans="1:27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 spans="1:27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 spans="1:27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 spans="1:27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 spans="1:27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 spans="1:27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 spans="1:27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 spans="1:27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 spans="1:2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 spans="1:27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 spans="1:27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 spans="1:27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 spans="1:27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 spans="1:27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 spans="1:27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 spans="1:27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 spans="1:27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 spans="1:27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 spans="1:2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 spans="1:27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 spans="1:27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 spans="1:27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 spans="1:27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 spans="1:27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 spans="1:27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 spans="1:27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 spans="1:27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 spans="1:27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 spans="1:2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 spans="1:27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 spans="1:27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 spans="1:27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 spans="1:27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 spans="1:27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 spans="1:27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 spans="1:27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 spans="1:27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 spans="1:27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 spans="1:2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 spans="1:27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 spans="1:27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 spans="1:27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 spans="1:27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 spans="1:27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 spans="1:27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 spans="1:27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 spans="1:27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 spans="1:27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 spans="1: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 spans="1:27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 spans="1:27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 spans="1:27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 spans="1:27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 spans="1:27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 spans="1:27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 spans="1:27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 spans="1:27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 spans="1:27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 spans="1:2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 spans="1:27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 spans="1:27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 spans="1:27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 spans="1:27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 spans="1:27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 spans="1:27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 spans="1:27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 spans="1:27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 spans="1:27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 spans="1:2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 spans="1:27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 spans="1:27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 spans="1:27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 spans="1:27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 spans="1:27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 spans="1:27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 spans="1:27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 spans="1:27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 spans="1:27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 spans="1:2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 spans="1:27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 spans="1:27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 spans="1:27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 spans="1:27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 spans="1:27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 spans="1:27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 spans="1:27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 spans="1:27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 spans="1:27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 spans="1:2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 spans="1:27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 spans="1:27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 spans="1:27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 spans="1:27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 spans="1:27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 spans="1:27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 spans="1:27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 spans="1:27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 spans="1:27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 spans="1:2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 spans="1:27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 spans="1:27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 spans="1:27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 spans="1:27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 spans="1:27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 spans="1:27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 spans="1:27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 spans="1:27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 spans="1:27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 spans="1:2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 spans="1:27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 spans="1:27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 spans="1:27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 spans="1:27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 spans="1:27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 spans="1:27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 spans="1:27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 spans="1:27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 spans="1:27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 spans="1:2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 spans="1:27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 spans="1:27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 spans="1:27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 spans="1:27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 spans="1:27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 spans="1:27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 spans="1:27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 spans="1:27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 spans="1:27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 spans="1:2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 spans="1:27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 spans="1:27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 spans="1:27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 spans="1:27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 spans="1:27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 spans="1:27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 spans="1:27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 spans="1:27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 spans="1:27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 spans="1:2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 spans="1:27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 spans="1:27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 spans="1:27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 spans="1:27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 spans="1:27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 spans="1:27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 spans="1:27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 spans="1:27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 spans="1:27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 spans="1: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 spans="1:27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 spans="1:27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 spans="1:27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 spans="1:27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 spans="1:27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 spans="1:27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 spans="1:27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 spans="1:27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 spans="1:27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 spans="1:2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 spans="1:27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 spans="1:27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 spans="1:27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 spans="1:27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 spans="1:27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 spans="1:27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 spans="1:27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 spans="1:27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 spans="1:27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 spans="1:2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 spans="1:27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 spans="1:27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 spans="1:27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 spans="1:27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 spans="1:27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 spans="1:27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 spans="1:27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 spans="1:27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 spans="1:27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 spans="1:2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 spans="1:27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 spans="1:27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 spans="1:27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 spans="1:27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 spans="1:27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 spans="1:27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 spans="1:27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 spans="1:27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 spans="1:27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 spans="1:2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 spans="1:27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 spans="1:27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 spans="1:27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 spans="1:27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 spans="1:27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 spans="1:27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 spans="1:27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 spans="1:27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 spans="1:27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 spans="1:2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 spans="1:27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 spans="1:27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 spans="1:27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 spans="1:27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 spans="1:27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 spans="1:27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 spans="1:27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 spans="1:27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 spans="1:27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 spans="1:2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 spans="1:27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 spans="1:27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 spans="1:27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 spans="1:27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 spans="1:27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 spans="1:27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 spans="1:27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 spans="1:27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 spans="1:27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 spans="1:2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 spans="1:27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 spans="1:27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 spans="1:27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 spans="1:27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 spans="1:27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 spans="1:27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 spans="1:27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 spans="1:27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 spans="1:27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 spans="1:2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 spans="1:27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 spans="1:27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 spans="1:27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 spans="1:27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 spans="1:27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 spans="1:27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 spans="1:27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 spans="1:27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 spans="1:27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 spans="1:2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 spans="1:27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 spans="1:27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 spans="1:27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 spans="1:27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 spans="1:27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 spans="1:27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 spans="1:27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 spans="1:27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 spans="1:27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 spans="1: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 spans="1:27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 spans="1:27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 spans="1:27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 spans="1:27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 spans="1:27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 spans="1:27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 spans="1:27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 spans="1:27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 spans="1:27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 spans="1:2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 spans="1:27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 spans="1:27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 spans="1:27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 spans="1:27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 spans="1:27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 spans="1:27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 spans="1:27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 spans="1:27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 spans="1:27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 spans="1:2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 spans="1:27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 spans="1:27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 spans="1:27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 spans="1:27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 spans="1:27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 spans="1:27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 spans="1:27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 spans="1:27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 spans="1:27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 spans="1:2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 spans="1:27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 spans="1:27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 spans="1:27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 spans="1:27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 spans="1:27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 spans="1:27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 spans="1:27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 spans="1:27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 spans="1:27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 spans="1:2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 spans="1:27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 spans="1:27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 spans="1:27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 spans="1:27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 spans="1:27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 spans="1:27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 spans="1:27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 spans="1:27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 spans="1:27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 spans="1:2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 spans="1:27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 spans="1:27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 spans="1:27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 spans="1:27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 spans="1:27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 spans="1:27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 spans="1:27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 spans="1:27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 spans="1:27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 spans="1:2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 spans="1:27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 spans="1:27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 spans="1:27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 spans="1:27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 spans="1:27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 spans="1:27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 spans="1:27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 spans="1:27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 spans="1:27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 spans="1:2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 spans="1:27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 spans="1:27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 spans="1:27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 spans="1:27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 spans="1:27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 spans="1:27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 spans="1:27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 spans="1:27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 spans="1:27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 spans="1:2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 spans="1:27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 spans="1:27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 spans="1:27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 spans="1:27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 spans="1:27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 spans="1:27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 spans="1:27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 spans="1:27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 spans="1:27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 spans="1:2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 spans="1:27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 spans="1:27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 spans="1:27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 spans="1:27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 spans="1:27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 spans="1:27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 spans="1:27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 spans="1:27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 spans="1:27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 spans="1: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 spans="1:27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 spans="1:27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 spans="1:27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 spans="1:27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 spans="1:27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 spans="1:27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 spans="1:27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 spans="1:27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 spans="1:27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 spans="1:2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 spans="1:27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 spans="1:27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 spans="1:27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 spans="1:27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 spans="1:27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 spans="1:27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 spans="1:27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 spans="1:27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 spans="1:27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 spans="1:2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 spans="1:27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 spans="1:27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 spans="1:27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 spans="1:27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 spans="1:27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 spans="1:27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 spans="1:27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 spans="1:27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 spans="1:27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 spans="1:2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 spans="1:27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 spans="1:27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 spans="1:27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 spans="1:27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 spans="1:27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 spans="1:27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 spans="1:27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 spans="1:27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 spans="1:27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 spans="1:2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 spans="1:27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 spans="1:27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 spans="1:27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 spans="1:27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 spans="1:27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 spans="1:27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 spans="1:27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 spans="1:27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 spans="1:27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 spans="1:2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 spans="1:27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 spans="1:27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 spans="1:27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 spans="1:27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 spans="1:27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 spans="1:27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 spans="1:27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 spans="1:27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 spans="1:27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 spans="1:2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 spans="1:27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 spans="1:27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 spans="1:27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 spans="1:27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 spans="1:27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 spans="1:27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 spans="1:27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 spans="1:27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 spans="1:27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 spans="1:2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 spans="1:27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 spans="1:27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 spans="1:27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 spans="1:27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 spans="1:27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 spans="1:27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 spans="1:27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 spans="1:27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 spans="1:27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 spans="1:2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 spans="1:27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 spans="1:27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 spans="1:27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 spans="1:27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 spans="1:27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 spans="1:27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 spans="1:27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 spans="1:27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 spans="1:27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 spans="1:2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 spans="1:27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 spans="1:27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 spans="1:27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 spans="1:27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 spans="1:27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 spans="1:27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 spans="1:27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 spans="1:27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 spans="1:27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 spans="1: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 spans="1:27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 spans="1:27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 spans="1:27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 spans="1:27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 spans="1:27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 spans="1:27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 spans="1:27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 spans="1:27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 spans="1:27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 spans="1:2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 spans="1:27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 spans="1:27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 spans="1:27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 spans="1:27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 spans="1:27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 spans="1:27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 spans="1:27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 spans="1:27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 spans="1:27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 spans="1:2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 spans="1:27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 spans="1:27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 spans="1:27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 spans="1:27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 spans="1:27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 spans="1:27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 spans="1:27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 spans="1:27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 spans="1:27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 spans="1:2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 spans="1:27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 spans="1:27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 spans="1:27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 spans="1:27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 spans="1:27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 spans="1:27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 spans="1:27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 spans="1:27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 spans="1:27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 spans="1:2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 spans="1:27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 spans="1:27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 spans="1:27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 spans="1:27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 spans="1:27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 spans="1:27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 spans="1:27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 spans="1:27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 spans="1:27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 spans="1:2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 spans="1:27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 spans="1:27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 spans="1:27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 spans="1:27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 spans="1:27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 spans="1:27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 spans="1:27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 spans="1:27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 spans="1:27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 spans="1:2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 spans="1:27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 spans="1:27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 spans="1:27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 spans="1:27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 spans="1:27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 spans="1:27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 spans="1:27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 spans="1:27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 spans="1:27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 spans="1:2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 spans="1:27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 spans="1:27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 spans="1:27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 spans="1:27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 spans="1:27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 spans="1:27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 spans="1:27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 spans="1:27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 spans="1:27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 spans="1:2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 spans="1:27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 spans="1:27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 spans="1:27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 spans="1:27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 spans="1:27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 spans="1:27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 spans="1:27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 spans="1:27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 spans="1:27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 spans="1:2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 spans="1:27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 spans="1:27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 spans="1:27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 spans="1:27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 spans="1:27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 spans="1:27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 spans="1:27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 spans="1:27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 spans="1:27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 spans="1: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 spans="1:27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 spans="1:27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 spans="1:27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 spans="1:27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 spans="1:27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 spans="1:27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 spans="1:27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 spans="1:27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 spans="1:27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 spans="1:2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 spans="1:27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 spans="1:27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 spans="1:27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 spans="1:27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 spans="1:27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 spans="1:27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 spans="1:27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 spans="1:27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 spans="1:27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 spans="1:2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 spans="1:27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 spans="1:27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 spans="1:27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 spans="1:27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 spans="1:27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 spans="1:27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 spans="1:27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 spans="1:27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 spans="1:27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 spans="1:2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 spans="1:27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 spans="1:27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 spans="1:27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 spans="1:27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 spans="1:27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 spans="1:27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 spans="1:27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 spans="1:27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 spans="1:27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 spans="1:2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 spans="1:27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 spans="1:27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 spans="1:27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 spans="1:27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 spans="1:27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 spans="1:27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 spans="1:27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 spans="1:27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 spans="1:27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 spans="1:2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 spans="1:27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 spans="1:27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 spans="1:27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 spans="1:27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 spans="1:27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 spans="1:27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 spans="1:27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 spans="1:27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 spans="1:27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 spans="1:2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 spans="1:27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 spans="1:27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 spans="1:27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 spans="1:27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 spans="1:27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 spans="1:27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 spans="1:27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 spans="1:27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 spans="1:27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 spans="1:2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 spans="1:27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 spans="1:27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 spans="1:27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 spans="1:27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 spans="1:27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 spans="1:27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 spans="1:27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 spans="1:27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 spans="1:27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 spans="1:2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 spans="1:27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 spans="1:27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 spans="1:27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 spans="1:27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 spans="1:27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 spans="1:27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 spans="1:27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 spans="1:27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 spans="1:27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 spans="1:2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 spans="1:27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 spans="1:27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 spans="1:27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 spans="1:27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 spans="1:27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 spans="1:27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 spans="1:27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 spans="1:27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 spans="1:27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 spans="1: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 spans="1:27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 spans="1:27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 spans="1:27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 spans="1:27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 spans="1:27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 spans="1:27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 spans="1:27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 spans="1:27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 spans="1:27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 spans="1:2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 spans="1:27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 spans="1:27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 spans="1:27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 spans="1:27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 spans="1:27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 spans="1:27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 spans="1:27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 spans="1:27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 spans="1:27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 spans="1:2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 spans="1:27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 spans="1:27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 spans="1:27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 spans="1:27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 spans="1:27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 spans="1:27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 spans="1:27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 spans="1:27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 spans="1:27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 spans="1:2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 spans="1:27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 spans="1:27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 spans="1:27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 spans="1:27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 spans="1:27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 spans="1:27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 spans="1:27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 spans="1:27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 spans="1:27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 spans="1:2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 spans="1:27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 spans="1:27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 spans="1:27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 spans="1:27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 spans="1:27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 spans="1:27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 spans="1:27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 spans="1:27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 spans="1:27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 spans="1:2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 spans="1:27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 spans="1:27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 spans="1:27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 spans="1:27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 spans="1:27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 spans="1:27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 spans="1:27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 spans="1:27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 spans="1:27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 spans="1:2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 spans="1:27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 spans="1:27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 spans="1:27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 spans="1:27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 spans="1:27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 spans="1:27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 spans="1:27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 spans="1:27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 spans="1:27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 spans="1:2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 spans="1:27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 spans="1:27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 spans="1:27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 spans="1:27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 spans="1:27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 spans="1:27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 spans="1:27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 spans="1:27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 spans="1:27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 spans="1:2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 spans="1:27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 spans="1:27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 spans="1:27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 spans="1:27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 spans="1:27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 spans="1:27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 spans="1:27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 spans="1:27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 spans="1:27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 spans="1:2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 spans="1:27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 spans="1:27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 spans="1:27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 spans="1:27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 spans="1:27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 spans="1:27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 spans="1:27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 spans="1:27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 spans="1:27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 spans="1: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 spans="1:27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 spans="1:27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 spans="1:27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 spans="1:27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 spans="1:27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 spans="1:27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 spans="1:27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 spans="1:27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 spans="1:27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 spans="1:2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 spans="1:27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 spans="1:27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 spans="1:27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 spans="1:27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 spans="1:27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 spans="1:27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 spans="1:27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 spans="1:27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 spans="1:27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 spans="1:2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 spans="1:27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 spans="1:27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 spans="1:27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 spans="1:27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 spans="1:27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 spans="1:27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 spans="1:27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 spans="1:27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 spans="1:27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 spans="1:2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 spans="1:27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 spans="1:27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 spans="1:27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 spans="1:27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 spans="1:27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 spans="1:27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 spans="1:27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 spans="1:27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 spans="1:27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 spans="1:2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 spans="1:27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 spans="1:27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 spans="1:27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 spans="1:27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 spans="1:27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 spans="1:27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 spans="1:27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 spans="1:27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 spans="1:27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 spans="1:2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 spans="1:27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 spans="1:27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 spans="1:27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 spans="1:27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 spans="1:27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 spans="1:27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 spans="1:27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 spans="1:27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 spans="1:27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 spans="1:2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 spans="1:27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 spans="1:27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 spans="1:27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 spans="1:27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 spans="1:27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 spans="1:27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 spans="1:27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 spans="1:27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 spans="1:27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 spans="1:2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 spans="1:27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 spans="1:27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 spans="1:27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</sheetData>
  <mergeCells count="12">
    <mergeCell ref="A1:K1"/>
    <mergeCell ref="A2:K2"/>
    <mergeCell ref="A3:K3"/>
    <mergeCell ref="A4:K4"/>
    <mergeCell ref="C7:G7"/>
    <mergeCell ref="A29:K29"/>
    <mergeCell ref="A7:A8"/>
    <mergeCell ref="B7:B8"/>
    <mergeCell ref="H7:H8"/>
    <mergeCell ref="I7:I8"/>
    <mergeCell ref="J7:J8"/>
    <mergeCell ref="K7:K8"/>
  </mergeCells>
  <printOptions horizontalCentered="1"/>
  <pageMargins left="0.70866141732283505" right="0.70866141732283505" top="0.74803149606299202" bottom="0.74803149606299202" header="0" footer="0"/>
  <pageSetup paperSize="9" scale="68" orientation="landscape" r:id="rId1"/>
  <rowBreaks count="1" manualBreakCount="1">
    <brk id="4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view="pageBreakPreview" topLeftCell="A4" zoomScale="80" zoomScaleNormal="100" workbookViewId="0">
      <selection activeCell="J36" sqref="J36"/>
    </sheetView>
  </sheetViews>
  <sheetFormatPr defaultColWidth="12.5703125" defaultRowHeight="15" customHeight="1"/>
  <cols>
    <col min="1" max="1" width="16.28515625" customWidth="1"/>
    <col min="2" max="2" width="11.140625" customWidth="1"/>
    <col min="3" max="3" width="9.28515625" customWidth="1"/>
    <col min="4" max="4" width="11.28515625" customWidth="1"/>
    <col min="5" max="5" width="10.28515625" customWidth="1"/>
    <col min="6" max="7" width="11.5703125" customWidth="1"/>
    <col min="8" max="8" width="13.140625" customWidth="1"/>
    <col min="9" max="9" width="14.7109375" customWidth="1"/>
    <col min="10" max="10" width="12" customWidth="1"/>
    <col min="11" max="12" width="11.140625" customWidth="1"/>
    <col min="13" max="13" width="13" customWidth="1"/>
    <col min="14" max="14" width="12.28515625" customWidth="1"/>
    <col min="15" max="26" width="9" customWidth="1"/>
  </cols>
  <sheetData>
    <row r="1" spans="1:14" ht="12.75" customHeight="1">
      <c r="A1" s="375" t="s">
        <v>0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</row>
    <row r="2" spans="1:14" ht="12.75" customHeight="1">
      <c r="A2" s="375" t="s">
        <v>1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</row>
    <row r="3" spans="1:14" ht="12.75" customHeight="1">
      <c r="A3" s="375" t="s">
        <v>2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</row>
    <row r="4" spans="1:14" ht="12.75" customHeight="1">
      <c r="A4" s="375" t="s">
        <v>3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</row>
    <row r="5" spans="1:14" ht="12.75" customHeight="1">
      <c r="A5" s="375"/>
      <c r="B5" s="376"/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</row>
    <row r="6" spans="1:14" ht="12.75" customHeight="1">
      <c r="A6" s="375" t="s">
        <v>3617</v>
      </c>
      <c r="B6" s="376"/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</row>
    <row r="7" spans="1:14" ht="12.75" customHeight="1">
      <c r="A7" s="396" t="s">
        <v>3662</v>
      </c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</row>
    <row r="8" spans="1:14" ht="12.75" customHeight="1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51" customHeight="1">
      <c r="A9" s="377" t="s">
        <v>9</v>
      </c>
      <c r="B9" s="371"/>
      <c r="C9" s="440" t="s">
        <v>1908</v>
      </c>
      <c r="D9" s="371"/>
      <c r="E9" s="441" t="s">
        <v>3618</v>
      </c>
      <c r="F9" s="371"/>
      <c r="G9" s="441" t="s">
        <v>1932</v>
      </c>
      <c r="H9" s="371"/>
      <c r="I9" s="29" t="s">
        <v>3619</v>
      </c>
      <c r="J9" s="440" t="s">
        <v>2667</v>
      </c>
      <c r="K9" s="371"/>
      <c r="L9" s="440" t="s">
        <v>3645</v>
      </c>
      <c r="M9" s="371"/>
      <c r="N9" s="30" t="s">
        <v>3620</v>
      </c>
    </row>
    <row r="10" spans="1:14" ht="16.5" customHeight="1">
      <c r="A10" s="373" t="s">
        <v>1913</v>
      </c>
      <c r="B10" s="371"/>
      <c r="C10" s="439">
        <v>31</v>
      </c>
      <c r="D10" s="371"/>
      <c r="E10" s="436">
        <v>79</v>
      </c>
      <c r="F10" s="371"/>
      <c r="G10" s="436">
        <v>63</v>
      </c>
      <c r="H10" s="371"/>
      <c r="I10" s="32">
        <f t="shared" ref="I10:I12" si="0">SUM(E10:H10)</f>
        <v>142</v>
      </c>
      <c r="J10" s="439">
        <v>1</v>
      </c>
      <c r="K10" s="371"/>
      <c r="L10" s="438">
        <v>6</v>
      </c>
      <c r="M10" s="371"/>
      <c r="N10" s="33">
        <f t="shared" ref="N10:N13" si="1">C10+I10+J10+L10</f>
        <v>180</v>
      </c>
    </row>
    <row r="11" spans="1:14" ht="12.75" customHeight="1">
      <c r="A11" s="373" t="s">
        <v>1914</v>
      </c>
      <c r="B11" s="371"/>
      <c r="C11" s="439">
        <v>58</v>
      </c>
      <c r="D11" s="371"/>
      <c r="E11" s="436">
        <v>67</v>
      </c>
      <c r="F11" s="371"/>
      <c r="G11" s="436">
        <v>84</v>
      </c>
      <c r="H11" s="371"/>
      <c r="I11" s="32">
        <f t="shared" si="0"/>
        <v>151</v>
      </c>
      <c r="J11" s="439">
        <v>0</v>
      </c>
      <c r="K11" s="371"/>
      <c r="L11" s="438">
        <v>0</v>
      </c>
      <c r="M11" s="371"/>
      <c r="N11" s="33">
        <f t="shared" si="1"/>
        <v>209</v>
      </c>
    </row>
    <row r="12" spans="1:14" ht="12.75" customHeight="1">
      <c r="A12" s="373" t="s">
        <v>40</v>
      </c>
      <c r="B12" s="371"/>
      <c r="C12" s="439">
        <v>168</v>
      </c>
      <c r="D12" s="371"/>
      <c r="E12" s="436">
        <v>29</v>
      </c>
      <c r="F12" s="371"/>
      <c r="G12" s="436">
        <f>M20</f>
        <v>2</v>
      </c>
      <c r="H12" s="371"/>
      <c r="I12" s="32">
        <f t="shared" si="0"/>
        <v>31</v>
      </c>
      <c r="J12" s="439">
        <v>1</v>
      </c>
      <c r="K12" s="371"/>
      <c r="L12" s="438">
        <v>0</v>
      </c>
      <c r="M12" s="371"/>
      <c r="N12" s="33">
        <f t="shared" si="1"/>
        <v>200</v>
      </c>
    </row>
    <row r="13" spans="1:14" ht="12.75" customHeight="1">
      <c r="A13" s="373" t="s">
        <v>1916</v>
      </c>
      <c r="B13" s="371"/>
      <c r="C13" s="439">
        <f>SUM(C10:D12)</f>
        <v>257</v>
      </c>
      <c r="D13" s="371"/>
      <c r="E13" s="436">
        <f>F21</f>
        <v>175</v>
      </c>
      <c r="F13" s="371"/>
      <c r="G13" s="436">
        <f>SUM(G10:H12)</f>
        <v>149</v>
      </c>
      <c r="H13" s="371"/>
      <c r="I13" s="32">
        <f t="shared" ref="I13:J13" si="2">SUM(I10:I12)</f>
        <v>324</v>
      </c>
      <c r="J13" s="439">
        <f t="shared" si="2"/>
        <v>2</v>
      </c>
      <c r="K13" s="371"/>
      <c r="L13" s="439">
        <f>SUM(L10:L12)</f>
        <v>6</v>
      </c>
      <c r="M13" s="371"/>
      <c r="N13" s="33">
        <f t="shared" si="1"/>
        <v>589</v>
      </c>
    </row>
    <row r="14" spans="1:14" ht="12.75" customHeight="1">
      <c r="A14" s="34"/>
      <c r="B14" s="34"/>
      <c r="C14" s="35"/>
      <c r="D14" s="35"/>
      <c r="E14" s="36"/>
      <c r="F14" s="36"/>
      <c r="G14" s="36"/>
      <c r="H14" s="36"/>
      <c r="I14" s="37"/>
      <c r="J14" s="35"/>
      <c r="K14" s="35"/>
      <c r="L14" s="35"/>
      <c r="M14" s="35"/>
      <c r="N14" s="38"/>
    </row>
    <row r="15" spans="1:14" ht="12.75" customHeight="1">
      <c r="A15" s="39" t="s">
        <v>3621</v>
      </c>
      <c r="B15" s="40"/>
      <c r="C15" s="41"/>
      <c r="D15" s="41"/>
      <c r="E15" s="36"/>
      <c r="F15" s="41"/>
      <c r="G15" s="41"/>
      <c r="H15" s="41"/>
      <c r="I15" s="41"/>
      <c r="J15" s="41"/>
      <c r="K15" s="40"/>
      <c r="L15" s="40"/>
      <c r="M15" s="40"/>
      <c r="N15" s="40"/>
    </row>
    <row r="16" spans="1:14" ht="27.75" customHeight="1">
      <c r="A16" s="430"/>
      <c r="B16" s="431" t="s">
        <v>3622</v>
      </c>
      <c r="C16" s="431" t="s">
        <v>1929</v>
      </c>
      <c r="D16" s="370" t="s">
        <v>1930</v>
      </c>
      <c r="E16" s="371"/>
      <c r="F16" s="432" t="s">
        <v>1931</v>
      </c>
      <c r="G16" s="370" t="s">
        <v>1932</v>
      </c>
      <c r="H16" s="372"/>
      <c r="I16" s="372"/>
      <c r="J16" s="372"/>
      <c r="K16" s="372"/>
      <c r="L16" s="371"/>
      <c r="M16" s="432" t="s">
        <v>1933</v>
      </c>
      <c r="N16" s="429" t="s">
        <v>1934</v>
      </c>
    </row>
    <row r="17" spans="1:26" ht="36" customHeight="1">
      <c r="A17" s="382"/>
      <c r="B17" s="382"/>
      <c r="C17" s="382"/>
      <c r="D17" s="43" t="s">
        <v>3106</v>
      </c>
      <c r="E17" s="43" t="s">
        <v>3107</v>
      </c>
      <c r="F17" s="382"/>
      <c r="G17" s="378" t="s">
        <v>3623</v>
      </c>
      <c r="H17" s="371"/>
      <c r="I17" s="43" t="s">
        <v>3110</v>
      </c>
      <c r="J17" s="44" t="s">
        <v>3624</v>
      </c>
      <c r="K17" s="44" t="s">
        <v>3111</v>
      </c>
      <c r="L17" s="44" t="s">
        <v>3625</v>
      </c>
      <c r="M17" s="382"/>
      <c r="N17" s="382"/>
    </row>
    <row r="18" spans="1:26" ht="16.5" customHeight="1">
      <c r="A18" s="45" t="s">
        <v>1913</v>
      </c>
      <c r="B18" s="46">
        <v>9</v>
      </c>
      <c r="C18" s="47">
        <v>44</v>
      </c>
      <c r="D18" s="47">
        <v>10</v>
      </c>
      <c r="E18" s="47">
        <v>16</v>
      </c>
      <c r="F18" s="48">
        <f t="shared" ref="F18:F21" si="3">SUM(B18:E18)</f>
        <v>79</v>
      </c>
      <c r="G18" s="437">
        <v>3</v>
      </c>
      <c r="H18" s="371"/>
      <c r="I18" s="47">
        <v>2</v>
      </c>
      <c r="J18" s="47">
        <v>8</v>
      </c>
      <c r="K18" s="49">
        <v>49</v>
      </c>
      <c r="L18" s="49">
        <v>1</v>
      </c>
      <c r="M18" s="50">
        <f t="shared" ref="M18:M20" si="4">SUM(G18:L18)</f>
        <v>63</v>
      </c>
      <c r="N18" s="51">
        <f t="shared" ref="N18:N21" si="5">F18+M18</f>
        <v>142</v>
      </c>
    </row>
    <row r="19" spans="1:26" ht="16.5" customHeight="1">
      <c r="A19" s="45" t="s">
        <v>1914</v>
      </c>
      <c r="B19" s="46">
        <v>8</v>
      </c>
      <c r="C19" s="47">
        <v>47</v>
      </c>
      <c r="D19" s="47">
        <v>3</v>
      </c>
      <c r="E19" s="47">
        <v>9</v>
      </c>
      <c r="F19" s="48">
        <f t="shared" si="3"/>
        <v>67</v>
      </c>
      <c r="G19" s="437">
        <v>5</v>
      </c>
      <c r="H19" s="371"/>
      <c r="I19" s="47">
        <v>0</v>
      </c>
      <c r="J19" s="47">
        <v>6</v>
      </c>
      <c r="K19" s="49">
        <v>73</v>
      </c>
      <c r="L19" s="49">
        <v>0</v>
      </c>
      <c r="M19" s="50">
        <f t="shared" si="4"/>
        <v>84</v>
      </c>
      <c r="N19" s="51">
        <f t="shared" si="5"/>
        <v>151</v>
      </c>
    </row>
    <row r="20" spans="1:26" ht="16.5" customHeight="1">
      <c r="A20" s="45" t="s">
        <v>40</v>
      </c>
      <c r="B20" s="46">
        <v>2</v>
      </c>
      <c r="C20" s="47">
        <v>25</v>
      </c>
      <c r="D20" s="47">
        <v>1</v>
      </c>
      <c r="E20" s="47">
        <v>1</v>
      </c>
      <c r="F20" s="48">
        <f t="shared" si="3"/>
        <v>29</v>
      </c>
      <c r="G20" s="437">
        <v>0</v>
      </c>
      <c r="H20" s="371"/>
      <c r="I20" s="47">
        <v>0</v>
      </c>
      <c r="J20" s="47">
        <v>0</v>
      </c>
      <c r="K20" s="49">
        <v>2</v>
      </c>
      <c r="L20" s="49">
        <v>0</v>
      </c>
      <c r="M20" s="50">
        <f t="shared" si="4"/>
        <v>2</v>
      </c>
      <c r="N20" s="51">
        <f t="shared" si="5"/>
        <v>31</v>
      </c>
    </row>
    <row r="21" spans="1:26" ht="16.5" customHeight="1">
      <c r="A21" s="45" t="s">
        <v>1916</v>
      </c>
      <c r="B21" s="46">
        <f t="shared" ref="B21:E21" si="6">SUM(B18:B20)</f>
        <v>19</v>
      </c>
      <c r="C21" s="46">
        <f t="shared" si="6"/>
        <v>116</v>
      </c>
      <c r="D21" s="46">
        <f t="shared" si="6"/>
        <v>14</v>
      </c>
      <c r="E21" s="46">
        <f t="shared" si="6"/>
        <v>26</v>
      </c>
      <c r="F21" s="48">
        <f t="shared" si="3"/>
        <v>175</v>
      </c>
      <c r="G21" s="437">
        <f>SUM(G18:G20)</f>
        <v>8</v>
      </c>
      <c r="H21" s="371"/>
      <c r="I21" s="46">
        <f t="shared" ref="I21:M21" si="7">SUM(I18:I20)</f>
        <v>2</v>
      </c>
      <c r="J21" s="46">
        <f t="shared" si="7"/>
        <v>14</v>
      </c>
      <c r="K21" s="52">
        <f t="shared" si="7"/>
        <v>124</v>
      </c>
      <c r="L21" s="52">
        <f t="shared" si="7"/>
        <v>1</v>
      </c>
      <c r="M21" s="50">
        <f t="shared" si="7"/>
        <v>149</v>
      </c>
      <c r="N21" s="51">
        <f t="shared" si="5"/>
        <v>324</v>
      </c>
    </row>
    <row r="22" spans="1:26" ht="12.75" customHeight="1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</row>
    <row r="23" spans="1:26" ht="12.75" customHeight="1">
      <c r="A23" s="56" t="s">
        <v>3626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38.25" customHeight="1">
      <c r="A24" s="377" t="s">
        <v>9</v>
      </c>
      <c r="B24" s="371"/>
      <c r="C24" s="378" t="s">
        <v>1908</v>
      </c>
      <c r="D24" s="371"/>
      <c r="E24" s="370" t="s">
        <v>3627</v>
      </c>
      <c r="F24" s="371"/>
      <c r="G24" s="370" t="s">
        <v>3628</v>
      </c>
      <c r="H24" s="371"/>
      <c r="I24" s="370" t="s">
        <v>3629</v>
      </c>
      <c r="J24" s="371"/>
      <c r="K24" s="57"/>
      <c r="L24" s="58"/>
      <c r="M24" s="59"/>
      <c r="N24" s="60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2.75" customHeight="1">
      <c r="A25" s="435" t="s">
        <v>1912</v>
      </c>
      <c r="B25" s="371"/>
      <c r="C25" s="435">
        <f>C13</f>
        <v>257</v>
      </c>
      <c r="D25" s="371"/>
      <c r="E25" s="436">
        <f>I13</f>
        <v>324</v>
      </c>
      <c r="F25" s="371"/>
      <c r="G25" s="436">
        <f>L13</f>
        <v>6</v>
      </c>
      <c r="H25" s="371"/>
      <c r="I25" s="436">
        <f>C25+E25+G25</f>
        <v>587</v>
      </c>
      <c r="J25" s="371"/>
      <c r="K25" s="61"/>
      <c r="L25" s="36"/>
      <c r="M25" s="59"/>
      <c r="N25" s="62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2.75" customHeight="1">
      <c r="A26" s="373" t="s">
        <v>3630</v>
      </c>
      <c r="B26" s="371"/>
      <c r="C26" s="433">
        <f>C25/I25*100</f>
        <v>43.781942078364565</v>
      </c>
      <c r="D26" s="371"/>
      <c r="E26" s="433">
        <f>E25/I25*100</f>
        <v>55.195911413969334</v>
      </c>
      <c r="F26" s="371"/>
      <c r="G26" s="433">
        <f>G25/I25*100</f>
        <v>1.0221465076660987</v>
      </c>
      <c r="H26" s="371"/>
      <c r="I26" s="434">
        <f>I25/I25*100</f>
        <v>100</v>
      </c>
      <c r="J26" s="371"/>
      <c r="K26" s="63"/>
      <c r="L26" s="64"/>
      <c r="M26" s="59"/>
      <c r="N26" s="62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8.75" customHeight="1"/>
    <row r="28" spans="1:26" ht="12.75" customHeight="1">
      <c r="A28" s="65" t="s">
        <v>1917</v>
      </c>
      <c r="B28" s="65"/>
      <c r="E28" s="65" t="s">
        <v>3615</v>
      </c>
      <c r="J28" s="65" t="s">
        <v>1919</v>
      </c>
      <c r="K28" s="65"/>
      <c r="L28" s="65"/>
    </row>
    <row r="29" spans="1:26" ht="12.75" customHeight="1">
      <c r="A29" s="65"/>
      <c r="B29" s="65"/>
      <c r="E29" s="65"/>
      <c r="J29" s="65"/>
      <c r="K29" s="65"/>
      <c r="L29" s="65"/>
    </row>
    <row r="30" spans="1:26" ht="20.25" customHeight="1">
      <c r="A30" s="65"/>
      <c r="B30" s="65"/>
      <c r="D30" s="66" t="s">
        <v>3328</v>
      </c>
      <c r="E30" s="65"/>
      <c r="J30" s="65"/>
      <c r="K30" s="65"/>
      <c r="L30" s="65"/>
    </row>
    <row r="31" spans="1:26" ht="13.5" customHeight="1">
      <c r="A31" s="67" t="s">
        <v>1920</v>
      </c>
      <c r="B31" s="68"/>
      <c r="C31" s="69"/>
      <c r="D31" s="69"/>
      <c r="E31" s="70" t="s">
        <v>1921</v>
      </c>
      <c r="F31" s="69"/>
      <c r="G31" s="69"/>
      <c r="H31" s="69"/>
      <c r="I31" s="69"/>
      <c r="J31" s="70" t="s">
        <v>1922</v>
      </c>
      <c r="K31" s="66"/>
      <c r="L31" s="66"/>
      <c r="M31" s="71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3.5" customHeight="1">
      <c r="A32" s="72" t="s">
        <v>1923</v>
      </c>
      <c r="B32" s="68"/>
      <c r="C32" s="69"/>
      <c r="D32" s="69"/>
      <c r="E32" s="68" t="s">
        <v>1924</v>
      </c>
      <c r="F32" s="69"/>
      <c r="G32" s="69"/>
      <c r="H32" s="69"/>
      <c r="I32" s="69"/>
      <c r="J32" s="68" t="s">
        <v>1925</v>
      </c>
      <c r="K32" s="66"/>
      <c r="L32" s="66"/>
      <c r="M32" s="7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>
      <c r="A33" s="72" t="s">
        <v>1926</v>
      </c>
      <c r="B33" s="68"/>
      <c r="C33" s="69"/>
      <c r="D33" s="69"/>
      <c r="E33" s="68" t="s">
        <v>3616</v>
      </c>
      <c r="F33" s="69"/>
      <c r="G33" s="69"/>
      <c r="H33" s="69"/>
      <c r="I33" s="69"/>
      <c r="J33" s="68" t="s">
        <v>1928</v>
      </c>
      <c r="K33" s="66"/>
      <c r="L33" s="66"/>
      <c r="M33" s="73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/>
    <row r="35" spans="1:26" ht="12.75" customHeight="1"/>
    <row r="36" spans="1:26" ht="12.75" customHeight="1">
      <c r="B36" s="74">
        <f>5041000-643822.12</f>
        <v>4397177.88</v>
      </c>
    </row>
    <row r="37" spans="1:26" ht="12.75" customHeight="1"/>
    <row r="38" spans="1:26" ht="12.75" customHeight="1"/>
    <row r="39" spans="1:26" ht="12.75" customHeight="1"/>
    <row r="40" spans="1:26" ht="12.75" customHeight="1"/>
    <row r="41" spans="1:26" ht="12.75" customHeight="1"/>
    <row r="42" spans="1:26" ht="12.75" customHeight="1"/>
    <row r="43" spans="1:26" ht="12.75" customHeight="1"/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65">
    <mergeCell ref="A1:N1"/>
    <mergeCell ref="A2:N2"/>
    <mergeCell ref="A3:N3"/>
    <mergeCell ref="A4:N4"/>
    <mergeCell ref="A5:N5"/>
    <mergeCell ref="A6:N6"/>
    <mergeCell ref="A7:N7"/>
    <mergeCell ref="A9:B9"/>
    <mergeCell ref="C9:D9"/>
    <mergeCell ref="E9:F9"/>
    <mergeCell ref="G9:H9"/>
    <mergeCell ref="J9:K9"/>
    <mergeCell ref="L9:M9"/>
    <mergeCell ref="L10:M10"/>
    <mergeCell ref="A11:B11"/>
    <mergeCell ref="C11:D11"/>
    <mergeCell ref="E11:F11"/>
    <mergeCell ref="G11:H11"/>
    <mergeCell ref="J11:K11"/>
    <mergeCell ref="L11:M11"/>
    <mergeCell ref="A10:B10"/>
    <mergeCell ref="C10:D10"/>
    <mergeCell ref="E10:F10"/>
    <mergeCell ref="G10:H10"/>
    <mergeCell ref="J10:K10"/>
    <mergeCell ref="G18:H18"/>
    <mergeCell ref="G19:H19"/>
    <mergeCell ref="L12:M12"/>
    <mergeCell ref="A13:B13"/>
    <mergeCell ref="C13:D13"/>
    <mergeCell ref="E13:F13"/>
    <mergeCell ref="G13:H13"/>
    <mergeCell ref="J13:K13"/>
    <mergeCell ref="L13:M13"/>
    <mergeCell ref="A12:B12"/>
    <mergeCell ref="C12:D12"/>
    <mergeCell ref="E12:F12"/>
    <mergeCell ref="G12:H12"/>
    <mergeCell ref="J12:K12"/>
    <mergeCell ref="G20:H20"/>
    <mergeCell ref="G21:H21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N16:N17"/>
    <mergeCell ref="A16:A17"/>
    <mergeCell ref="B16:B17"/>
    <mergeCell ref="C16:C17"/>
    <mergeCell ref="F16:F17"/>
    <mergeCell ref="M16:M17"/>
    <mergeCell ref="D16:E16"/>
    <mergeCell ref="G16:L16"/>
    <mergeCell ref="G17:H17"/>
  </mergeCells>
  <printOptions horizontalCentered="1"/>
  <pageMargins left="0.70866141732283505" right="0.70866141732283505" top="0.74803149606299202" bottom="0.74803149606299202" header="0" footer="0"/>
  <pageSetup paperSize="9" scale="7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5"/>
  <sheetViews>
    <sheetView view="pageBreakPreview" zoomScale="91" zoomScaleNormal="100" workbookViewId="0">
      <selection activeCell="E48" sqref="E48"/>
    </sheetView>
  </sheetViews>
  <sheetFormatPr defaultColWidth="9.140625" defaultRowHeight="16.5"/>
  <cols>
    <col min="1" max="1" width="34.140625" style="1" customWidth="1"/>
    <col min="2" max="2" width="13.5703125" style="1" customWidth="1"/>
    <col min="3" max="3" width="14.42578125" style="1" customWidth="1"/>
    <col min="4" max="4" width="13.5703125" style="1" customWidth="1"/>
    <col min="5" max="5" width="16.7109375" style="1" customWidth="1"/>
    <col min="6" max="7" width="9.140625" style="1"/>
    <col min="8" max="12" width="10.85546875" style="1" customWidth="1"/>
    <col min="13" max="16384" width="9.140625" style="1"/>
  </cols>
  <sheetData>
    <row r="1" spans="1:14" customFormat="1" ht="12.75" customHeight="1">
      <c r="A1" s="375" t="s">
        <v>0</v>
      </c>
      <c r="B1" s="375"/>
      <c r="C1" s="375"/>
      <c r="D1" s="375"/>
      <c r="E1" s="375"/>
      <c r="F1" s="2"/>
      <c r="G1" s="2"/>
      <c r="H1" s="2"/>
      <c r="I1" s="2"/>
      <c r="J1" s="2"/>
      <c r="K1" s="2"/>
      <c r="L1" s="2"/>
      <c r="M1" s="2"/>
      <c r="N1" s="2"/>
    </row>
    <row r="2" spans="1:14" customFormat="1" ht="12.75" customHeight="1">
      <c r="A2" s="375" t="s">
        <v>1</v>
      </c>
      <c r="B2" s="375"/>
      <c r="C2" s="375"/>
      <c r="D2" s="375"/>
      <c r="E2" s="375"/>
      <c r="F2" s="2"/>
      <c r="G2" s="2"/>
      <c r="H2" s="2"/>
      <c r="I2" s="2"/>
      <c r="J2" s="2"/>
      <c r="K2" s="2"/>
      <c r="L2" s="2"/>
      <c r="M2" s="2"/>
      <c r="N2" s="2"/>
    </row>
    <row r="3" spans="1:14" customFormat="1" ht="12.75" customHeight="1">
      <c r="A3" s="375" t="s">
        <v>2</v>
      </c>
      <c r="B3" s="375"/>
      <c r="C3" s="375"/>
      <c r="D3" s="375"/>
      <c r="E3" s="375"/>
      <c r="F3" s="2"/>
      <c r="G3" s="2"/>
      <c r="H3" s="2"/>
      <c r="I3" s="2"/>
      <c r="J3" s="2"/>
      <c r="K3" s="2"/>
      <c r="L3" s="2"/>
      <c r="M3" s="2"/>
      <c r="N3" s="2"/>
    </row>
    <row r="4" spans="1:14" customFormat="1" ht="12.75" customHeight="1">
      <c r="A4" s="375" t="s">
        <v>3</v>
      </c>
      <c r="B4" s="375"/>
      <c r="C4" s="375"/>
      <c r="D4" s="375"/>
      <c r="E4" s="375"/>
      <c r="F4" s="2"/>
      <c r="G4" s="2"/>
      <c r="H4" s="2"/>
      <c r="I4" s="2"/>
      <c r="J4" s="2"/>
      <c r="K4" s="2"/>
      <c r="L4" s="2"/>
      <c r="M4" s="2"/>
      <c r="N4" s="2"/>
    </row>
    <row r="5" spans="1:14" customFormat="1" ht="12.75" customHeight="1">
      <c r="A5" s="375"/>
      <c r="B5" s="375"/>
      <c r="C5" s="375"/>
      <c r="D5" s="375"/>
      <c r="E5" s="375"/>
      <c r="F5" s="2"/>
      <c r="G5" s="2"/>
      <c r="H5" s="2"/>
      <c r="I5" s="2"/>
      <c r="J5" s="2"/>
      <c r="K5" s="2"/>
      <c r="L5" s="2"/>
      <c r="M5" s="2"/>
      <c r="N5" s="2"/>
    </row>
    <row r="6" spans="1:14" customFormat="1" ht="12.75" customHeight="1">
      <c r="A6" s="375" t="s">
        <v>3631</v>
      </c>
      <c r="B6" s="375"/>
      <c r="C6" s="375"/>
      <c r="D6" s="375"/>
      <c r="E6" s="375"/>
      <c r="F6" s="2"/>
      <c r="G6" s="2"/>
      <c r="H6" s="2"/>
      <c r="I6" s="2"/>
      <c r="J6" s="2"/>
      <c r="K6" s="2"/>
      <c r="L6" s="2"/>
      <c r="M6" s="2"/>
      <c r="N6" s="2"/>
    </row>
    <row r="7" spans="1:14" customFormat="1" ht="12.75" customHeight="1">
      <c r="A7" s="375" t="s">
        <v>3662</v>
      </c>
      <c r="B7" s="375"/>
      <c r="C7" s="375"/>
      <c r="D7" s="375"/>
      <c r="E7" s="375"/>
    </row>
    <row r="8" spans="1:14" customFormat="1" ht="12.75" customHeight="1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33">
      <c r="A9" s="5" t="s">
        <v>3632</v>
      </c>
      <c r="B9" s="6" t="s">
        <v>9</v>
      </c>
      <c r="C9" s="5" t="s">
        <v>3633</v>
      </c>
      <c r="D9" s="5" t="s">
        <v>3634</v>
      </c>
      <c r="E9" s="5" t="s">
        <v>3635</v>
      </c>
    </row>
    <row r="10" spans="1:14">
      <c r="A10" s="448" t="s">
        <v>3636</v>
      </c>
      <c r="B10" s="7" t="s">
        <v>3637</v>
      </c>
      <c r="C10" s="8">
        <v>5</v>
      </c>
      <c r="D10" s="8">
        <v>5</v>
      </c>
      <c r="E10" s="9">
        <f>D10-C10</f>
        <v>0</v>
      </c>
    </row>
    <row r="11" spans="1:14">
      <c r="A11" s="449"/>
      <c r="B11" s="10" t="s">
        <v>3122</v>
      </c>
      <c r="C11" s="11">
        <v>8</v>
      </c>
      <c r="D11" s="11">
        <v>10</v>
      </c>
      <c r="E11" s="12">
        <f t="shared" ref="E11:E45" si="0">D11-C11</f>
        <v>2</v>
      </c>
    </row>
    <row r="12" spans="1:14">
      <c r="A12" s="449"/>
      <c r="B12" s="10" t="s">
        <v>40</v>
      </c>
      <c r="C12" s="11">
        <v>8</v>
      </c>
      <c r="D12" s="11">
        <v>17</v>
      </c>
      <c r="E12" s="12">
        <f t="shared" si="0"/>
        <v>9</v>
      </c>
    </row>
    <row r="13" spans="1:14">
      <c r="A13" s="450"/>
      <c r="B13" s="13" t="s">
        <v>1912</v>
      </c>
      <c r="C13" s="14">
        <f>SUM(C10:C12)</f>
        <v>21</v>
      </c>
      <c r="D13" s="14">
        <f>SUM(D10:D12)</f>
        <v>32</v>
      </c>
      <c r="E13" s="15">
        <f t="shared" si="0"/>
        <v>11</v>
      </c>
    </row>
    <row r="14" spans="1:14">
      <c r="A14" s="448" t="s">
        <v>3638</v>
      </c>
      <c r="B14" s="7" t="s">
        <v>3637</v>
      </c>
      <c r="C14" s="8">
        <v>4</v>
      </c>
      <c r="D14" s="8">
        <v>2</v>
      </c>
      <c r="E14" s="9">
        <f t="shared" si="0"/>
        <v>-2</v>
      </c>
    </row>
    <row r="15" spans="1:14">
      <c r="A15" s="449"/>
      <c r="B15" s="10" t="s">
        <v>3122</v>
      </c>
      <c r="C15" s="11">
        <v>4</v>
      </c>
      <c r="D15" s="11">
        <v>5</v>
      </c>
      <c r="E15" s="12">
        <f t="shared" si="0"/>
        <v>1</v>
      </c>
    </row>
    <row r="16" spans="1:14">
      <c r="A16" s="449"/>
      <c r="B16" s="10" t="s">
        <v>40</v>
      </c>
      <c r="C16" s="11">
        <v>3</v>
      </c>
      <c r="D16" s="11">
        <v>3</v>
      </c>
      <c r="E16" s="12">
        <f t="shared" si="0"/>
        <v>0</v>
      </c>
    </row>
    <row r="17" spans="1:5">
      <c r="A17" s="450"/>
      <c r="B17" s="13" t="s">
        <v>1912</v>
      </c>
      <c r="C17" s="14">
        <f>SUM(C14:C16)</f>
        <v>11</v>
      </c>
      <c r="D17" s="14">
        <f>SUM(D14:D16)</f>
        <v>10</v>
      </c>
      <c r="E17" s="15">
        <f t="shared" si="0"/>
        <v>-1</v>
      </c>
    </row>
    <row r="18" spans="1:5">
      <c r="A18" s="448" t="s">
        <v>801</v>
      </c>
      <c r="B18" s="7" t="s">
        <v>3637</v>
      </c>
      <c r="C18" s="8">
        <v>4</v>
      </c>
      <c r="D18" s="8">
        <v>7</v>
      </c>
      <c r="E18" s="9">
        <f t="shared" si="0"/>
        <v>3</v>
      </c>
    </row>
    <row r="19" spans="1:5">
      <c r="A19" s="449"/>
      <c r="B19" s="10" t="s">
        <v>3122</v>
      </c>
      <c r="C19" s="11">
        <v>5</v>
      </c>
      <c r="D19" s="11">
        <v>17</v>
      </c>
      <c r="E19" s="12">
        <f t="shared" si="0"/>
        <v>12</v>
      </c>
    </row>
    <row r="20" spans="1:5">
      <c r="A20" s="449"/>
      <c r="B20" s="10" t="s">
        <v>40</v>
      </c>
      <c r="C20" s="11">
        <v>18</v>
      </c>
      <c r="D20" s="11">
        <v>33</v>
      </c>
      <c r="E20" s="12">
        <f t="shared" si="0"/>
        <v>15</v>
      </c>
    </row>
    <row r="21" spans="1:5">
      <c r="A21" s="450"/>
      <c r="B21" s="13" t="s">
        <v>1912</v>
      </c>
      <c r="C21" s="14">
        <f>SUM(C18:C20)</f>
        <v>27</v>
      </c>
      <c r="D21" s="14">
        <f>SUM(D18:D20)</f>
        <v>57</v>
      </c>
      <c r="E21" s="15">
        <f t="shared" si="0"/>
        <v>30</v>
      </c>
    </row>
    <row r="22" spans="1:5">
      <c r="A22" s="445" t="s">
        <v>1296</v>
      </c>
      <c r="B22" s="16" t="s">
        <v>3637</v>
      </c>
      <c r="C22" s="8">
        <v>0</v>
      </c>
      <c r="D22" s="8">
        <v>3</v>
      </c>
      <c r="E22" s="9">
        <f t="shared" si="0"/>
        <v>3</v>
      </c>
    </row>
    <row r="23" spans="1:5">
      <c r="A23" s="446"/>
      <c r="B23" s="17" t="s">
        <v>3122</v>
      </c>
      <c r="C23" s="11">
        <v>0</v>
      </c>
      <c r="D23" s="11">
        <v>5</v>
      </c>
      <c r="E23" s="12">
        <f t="shared" si="0"/>
        <v>5</v>
      </c>
    </row>
    <row r="24" spans="1:5">
      <c r="A24" s="446"/>
      <c r="B24" s="17" t="s">
        <v>40</v>
      </c>
      <c r="C24" s="11">
        <v>48</v>
      </c>
      <c r="D24" s="11">
        <v>30</v>
      </c>
      <c r="E24" s="12">
        <f t="shared" si="0"/>
        <v>-18</v>
      </c>
    </row>
    <row r="25" spans="1:5">
      <c r="A25" s="447"/>
      <c r="B25" s="18" t="s">
        <v>1912</v>
      </c>
      <c r="C25" s="14">
        <f>SUM(C22:C24)</f>
        <v>48</v>
      </c>
      <c r="D25" s="14">
        <f>SUM(D22:D24)</f>
        <v>38</v>
      </c>
      <c r="E25" s="15">
        <f t="shared" si="0"/>
        <v>-10</v>
      </c>
    </row>
    <row r="26" spans="1:5">
      <c r="A26" s="448" t="s">
        <v>1486</v>
      </c>
      <c r="B26" s="16" t="s">
        <v>3637</v>
      </c>
      <c r="C26" s="8">
        <v>2</v>
      </c>
      <c r="D26" s="8">
        <v>4</v>
      </c>
      <c r="E26" s="9">
        <f t="shared" si="0"/>
        <v>2</v>
      </c>
    </row>
    <row r="27" spans="1:5">
      <c r="A27" s="449"/>
      <c r="B27" s="17" t="s">
        <v>3122</v>
      </c>
      <c r="C27" s="11">
        <v>2</v>
      </c>
      <c r="D27" s="11">
        <v>13</v>
      </c>
      <c r="E27" s="12">
        <f t="shared" si="0"/>
        <v>11</v>
      </c>
    </row>
    <row r="28" spans="1:5">
      <c r="A28" s="449"/>
      <c r="B28" s="17" t="s">
        <v>40</v>
      </c>
      <c r="C28" s="11">
        <v>34</v>
      </c>
      <c r="D28" s="11">
        <v>35</v>
      </c>
      <c r="E28" s="12">
        <f t="shared" si="0"/>
        <v>1</v>
      </c>
    </row>
    <row r="29" spans="1:5">
      <c r="A29" s="450"/>
      <c r="B29" s="18" t="s">
        <v>1912</v>
      </c>
      <c r="C29" s="14">
        <f>SUM(C26:C28)</f>
        <v>38</v>
      </c>
      <c r="D29" s="14">
        <f>SUM(D26:D28)</f>
        <v>52</v>
      </c>
      <c r="E29" s="15">
        <f t="shared" si="0"/>
        <v>14</v>
      </c>
    </row>
    <row r="30" spans="1:5">
      <c r="A30" s="448" t="s">
        <v>1723</v>
      </c>
      <c r="B30" s="16" t="s">
        <v>3637</v>
      </c>
      <c r="C30" s="8">
        <v>3</v>
      </c>
      <c r="D30" s="8">
        <v>4</v>
      </c>
      <c r="E30" s="9">
        <f t="shared" si="0"/>
        <v>1</v>
      </c>
    </row>
    <row r="31" spans="1:5">
      <c r="A31" s="449"/>
      <c r="B31" s="17" t="s">
        <v>3122</v>
      </c>
      <c r="C31" s="11">
        <v>3</v>
      </c>
      <c r="D31" s="11">
        <v>4</v>
      </c>
      <c r="E31" s="12">
        <f t="shared" si="0"/>
        <v>1</v>
      </c>
    </row>
    <row r="32" spans="1:5">
      <c r="A32" s="449"/>
      <c r="B32" s="17" t="s">
        <v>40</v>
      </c>
      <c r="C32" s="11">
        <v>15</v>
      </c>
      <c r="D32" s="11">
        <v>13</v>
      </c>
      <c r="E32" s="12">
        <f t="shared" si="0"/>
        <v>-2</v>
      </c>
    </row>
    <row r="33" spans="1:5">
      <c r="A33" s="450"/>
      <c r="B33" s="18" t="s">
        <v>1912</v>
      </c>
      <c r="C33" s="14">
        <f>SUM(C30:C32)</f>
        <v>21</v>
      </c>
      <c r="D33" s="14">
        <f>SUM(D30:D32)</f>
        <v>21</v>
      </c>
      <c r="E33" s="15">
        <f t="shared" si="0"/>
        <v>0</v>
      </c>
    </row>
    <row r="34" spans="1:5">
      <c r="A34" s="448" t="s">
        <v>1804</v>
      </c>
      <c r="B34" s="16" t="s">
        <v>3637</v>
      </c>
      <c r="C34" s="8">
        <v>2</v>
      </c>
      <c r="D34" s="8">
        <v>2</v>
      </c>
      <c r="E34" s="9">
        <f t="shared" si="0"/>
        <v>0</v>
      </c>
    </row>
    <row r="35" spans="1:5">
      <c r="A35" s="449"/>
      <c r="B35" s="17" t="s">
        <v>3122</v>
      </c>
      <c r="C35" s="11">
        <v>4</v>
      </c>
      <c r="D35" s="11">
        <v>1</v>
      </c>
      <c r="E35" s="12">
        <f t="shared" si="0"/>
        <v>-3</v>
      </c>
    </row>
    <row r="36" spans="1:5">
      <c r="A36" s="449"/>
      <c r="B36" s="17" t="s">
        <v>40</v>
      </c>
      <c r="C36" s="11">
        <v>77</v>
      </c>
      <c r="D36" s="11">
        <v>26</v>
      </c>
      <c r="E36" s="12">
        <f t="shared" si="0"/>
        <v>-51</v>
      </c>
    </row>
    <row r="37" spans="1:5">
      <c r="A37" s="450"/>
      <c r="B37" s="18" t="s">
        <v>1912</v>
      </c>
      <c r="C37" s="14">
        <f>SUM(C34:C36)</f>
        <v>83</v>
      </c>
      <c r="D37" s="14">
        <f>SUM(D34:D36)</f>
        <v>29</v>
      </c>
      <c r="E37" s="15">
        <f t="shared" si="0"/>
        <v>-54</v>
      </c>
    </row>
    <row r="38" spans="1:5">
      <c r="A38" s="448" t="s">
        <v>1656</v>
      </c>
      <c r="B38" s="16" t="s">
        <v>3637</v>
      </c>
      <c r="C38" s="8">
        <v>5</v>
      </c>
      <c r="D38" s="8">
        <v>4</v>
      </c>
      <c r="E38" s="9">
        <f t="shared" si="0"/>
        <v>-1</v>
      </c>
    </row>
    <row r="39" spans="1:5">
      <c r="A39" s="449"/>
      <c r="B39" s="17" t="s">
        <v>3122</v>
      </c>
      <c r="C39" s="11">
        <v>12</v>
      </c>
      <c r="D39" s="11">
        <v>3</v>
      </c>
      <c r="E39" s="12">
        <f t="shared" si="0"/>
        <v>-9</v>
      </c>
    </row>
    <row r="40" spans="1:5">
      <c r="A40" s="449"/>
      <c r="B40" s="17" t="s">
        <v>40</v>
      </c>
      <c r="C40" s="11">
        <v>23</v>
      </c>
      <c r="D40" s="11">
        <v>11</v>
      </c>
      <c r="E40" s="12">
        <f t="shared" si="0"/>
        <v>-12</v>
      </c>
    </row>
    <row r="41" spans="1:5">
      <c r="A41" s="450"/>
      <c r="B41" s="18" t="s">
        <v>1912</v>
      </c>
      <c r="C41" s="14">
        <f>SUM(C38:C40)</f>
        <v>40</v>
      </c>
      <c r="D41" s="14">
        <f>SUM(D38:D40)</f>
        <v>18</v>
      </c>
      <c r="E41" s="15">
        <f t="shared" si="0"/>
        <v>-22</v>
      </c>
    </row>
    <row r="42" spans="1:5">
      <c r="A42" s="442" t="s">
        <v>3639</v>
      </c>
      <c r="B42" s="19" t="s">
        <v>3637</v>
      </c>
      <c r="C42" s="20">
        <f t="shared" ref="C42:D44" si="1">C10+C14+C18+C22+C26+C30+C34+C38</f>
        <v>25</v>
      </c>
      <c r="D42" s="20">
        <f>D10+D14+D18+D22+D26+D30+D34+D38</f>
        <v>31</v>
      </c>
      <c r="E42" s="21">
        <f t="shared" si="0"/>
        <v>6</v>
      </c>
    </row>
    <row r="43" spans="1:5">
      <c r="A43" s="443"/>
      <c r="B43" s="22" t="s">
        <v>3122</v>
      </c>
      <c r="C43" s="23">
        <f t="shared" si="1"/>
        <v>38</v>
      </c>
      <c r="D43" s="23">
        <f>D11+D15+D19+D23+D27+D31+D35+D39</f>
        <v>58</v>
      </c>
      <c r="E43" s="24">
        <f t="shared" si="0"/>
        <v>20</v>
      </c>
    </row>
    <row r="44" spans="1:5">
      <c r="A44" s="443"/>
      <c r="B44" s="22" t="s">
        <v>40</v>
      </c>
      <c r="C44" s="23">
        <f t="shared" si="1"/>
        <v>226</v>
      </c>
      <c r="D44" s="23">
        <f t="shared" si="1"/>
        <v>168</v>
      </c>
      <c r="E44" s="24">
        <f t="shared" si="0"/>
        <v>-58</v>
      </c>
    </row>
    <row r="45" spans="1:5">
      <c r="A45" s="444"/>
      <c r="B45" s="25" t="s">
        <v>1916</v>
      </c>
      <c r="C45" s="26">
        <f>SUM(C42:C44)</f>
        <v>289</v>
      </c>
      <c r="D45" s="26">
        <f>SUM(D42:D44)</f>
        <v>257</v>
      </c>
      <c r="E45" s="27">
        <f t="shared" si="0"/>
        <v>-32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10:A13"/>
    <mergeCell ref="A14:A17"/>
    <mergeCell ref="A18:A21"/>
    <mergeCell ref="A42:A45"/>
    <mergeCell ref="A22:A25"/>
    <mergeCell ref="A26:A29"/>
    <mergeCell ref="A30:A33"/>
    <mergeCell ref="A34:A37"/>
    <mergeCell ref="A38:A41"/>
  </mergeCells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DISPO Att (2)</vt:lpstr>
      <vt:lpstr>DISPO Att</vt:lpstr>
      <vt:lpstr>detail Crame based</vt:lpstr>
      <vt:lpstr>itmsHQ</vt:lpstr>
      <vt:lpstr>Disposition</vt:lpstr>
      <vt:lpstr>Alpha List</vt:lpstr>
      <vt:lpstr>15 YRS LENGTH OF SERVICE</vt:lpstr>
      <vt:lpstr>Crame-based PCOs</vt:lpstr>
      <vt:lpstr> New Rank Profile</vt:lpstr>
      <vt:lpstr>New Ranked Profile (DPL)</vt:lpstr>
      <vt:lpstr>Rank Profile with OSSP</vt:lpstr>
      <vt:lpstr>Updates for ADMO</vt:lpstr>
      <vt:lpstr>ITMS HQ</vt:lpstr>
      <vt:lpstr>'Alpha List'!Print_Area</vt:lpstr>
      <vt:lpstr>Disposition!Print_Area</vt:lpstr>
      <vt:lpstr>'ITMS HQ'!Print_Area</vt:lpstr>
      <vt:lpstr>Disposition!Print_Titles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SALES</dc:creator>
  <cp:lastModifiedBy>NUP Acel O Paris</cp:lastModifiedBy>
  <cp:lastPrinted>2026-09-01T02:03:59Z</cp:lastPrinted>
  <dcterms:created xsi:type="dcterms:W3CDTF">2006-01-31T10:22:00Z</dcterms:created>
  <dcterms:modified xsi:type="dcterms:W3CDTF">2026-09-08T02:06:47Z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79C4A903236848D896A30C2281303B65_13</vt:lpwstr>
  </property>
  <property fmtid="{D5CDD505-2E9C-101B-9397-08002B2CF9AE}" pid="4" name="CalculationRule">
    <vt:i4>0</vt:i4>
  </property>
</Properties>
</file>